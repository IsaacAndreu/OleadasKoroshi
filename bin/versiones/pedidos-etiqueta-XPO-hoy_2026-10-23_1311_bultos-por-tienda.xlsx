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hoy" sheetId="1" state="visible" r:id="rId1"/>
    <sheet name="Detalle" sheetId="2" state="visible" r:id="rId2"/>
  </sheets>
  <definedNames>
    <definedName name="_xlnm._FilterDatabase" localSheetId="0" hidden="1">'Pedidos hoy'!$A$1:$H$54</definedName>
    <definedName name="_xlnm._FilterDatabase" localSheetId="1" hidden="1">'Detalle'!$A$1:$G$162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9" customWidth="1" min="4" max="4"/>
    <col width="11" customWidth="1" min="5" max="5"/>
    <col width="10" customWidth="1" min="6" max="6"/>
    <col width="13" customWidth="1" min="7" max="7"/>
    <col width="15" customWidth="1" min="8" max="8"/>
  </cols>
  <sheetData>
    <row r="1">
      <c r="A1" s="1" t="inlineStr">
        <is>
          <t>Tienda</t>
        </is>
      </c>
      <c r="B1" s="1" t="inlineStr">
        <is>
          <t>Pedido</t>
        </is>
      </c>
      <c r="C1" s="1" t="inlineStr">
        <is>
          <t>Seguimiento XPO</t>
        </is>
      </c>
      <c r="D1" s="1" t="inlineStr">
        <is>
          <t>Nº OUT</t>
        </is>
      </c>
      <c r="E1" s="1" t="inlineStr">
        <is>
          <t>Unidades</t>
        </is>
      </c>
      <c r="F1" s="1" t="inlineStr">
        <is>
          <t>Bultos</t>
        </is>
      </c>
      <c r="G1" s="1" t="inlineStr">
        <is>
          <t>Uds tienda</t>
        </is>
      </c>
      <c r="H1" s="1" t="inlineStr">
        <is>
          <t>Bultos tienda</t>
        </is>
      </c>
    </row>
    <row r="2">
      <c r="A2" s="2" t="inlineStr">
        <is>
          <t>K7 - ISLAZUL</t>
        </is>
      </c>
      <c r="B2" s="2" t="inlineStr">
        <is>
          <t>S-6665003365</t>
        </is>
      </c>
      <c r="C2" s="2" t="inlineStr">
        <is>
          <t>121770892</t>
        </is>
      </c>
      <c r="D2" s="2">
        <f>COUNTIF(Detalle!$B$2:$B$162,B2)</f>
        <v/>
      </c>
      <c r="E2" s="2">
        <f>SUMIF(Detalle!$B$2:$B$162,B2,Detalle!$F$2:$F$162)</f>
        <v/>
      </c>
      <c r="F2" s="2">
        <f>SUMIF(Detalle!$B$2:$B$162,B2,Detalle!$G$2:$G$162)</f>
        <v/>
      </c>
      <c r="G2" s="2">
        <f>IF(COUNTIF($A$2:A2,A2)=1,SUMIF(Detalle!$A$2:$A$162,A2,Detalle!$F$2:$F$162),"")</f>
        <v/>
      </c>
      <c r="H2" s="2">
        <f>IF(COUNTIF($A$2:A2,A2)=1,SUMIF(Detalle!$A$2:$A$162,A2,Detalle!$G$2:$G$162),"")</f>
        <v/>
      </c>
    </row>
    <row r="3">
      <c r="A3" s="2" t="inlineStr">
        <is>
          <t>K7 - ISLAZUL</t>
        </is>
      </c>
      <c r="B3" s="2" t="inlineStr">
        <is>
          <t>S-6665003417</t>
        </is>
      </c>
      <c r="C3" s="2" t="inlineStr">
        <is>
          <t>121770892</t>
        </is>
      </c>
      <c r="D3" s="2">
        <f>COUNTIF(Detalle!$B$2:$B$162,B3)</f>
        <v/>
      </c>
      <c r="E3" s="2">
        <f>SUMIF(Detalle!$B$2:$B$162,B3,Detalle!$F$2:$F$162)</f>
        <v/>
      </c>
      <c r="F3" s="2">
        <f>SUMIF(Detalle!$B$2:$B$162,B3,Detalle!$G$2:$G$162)</f>
        <v/>
      </c>
      <c r="G3" s="2">
        <f>IF(COUNTIF($A$2:A3,A3)=1,SUMIF(Detalle!$A$2:$A$162,A3,Detalle!$F$2:$F$162),"")</f>
        <v/>
      </c>
      <c r="H3" s="2">
        <f>IF(COUNTIF($A$2:A3,A3)=1,SUMIF(Detalle!$A$2:$A$162,A3,Detalle!$G$2:$G$162),"")</f>
        <v/>
      </c>
    </row>
    <row r="4">
      <c r="A4" s="2" t="inlineStr">
        <is>
          <t>K9 - BALLONTI</t>
        </is>
      </c>
      <c r="B4" s="2" t="inlineStr">
        <is>
          <t>S-6665003367</t>
        </is>
      </c>
      <c r="C4" s="2" t="inlineStr">
        <is>
          <t>121770893</t>
        </is>
      </c>
      <c r="D4" s="2">
        <f>COUNTIF(Detalle!$B$2:$B$162,B4)</f>
        <v/>
      </c>
      <c r="E4" s="2">
        <f>SUMIF(Detalle!$B$2:$B$162,B4,Detalle!$F$2:$F$162)</f>
        <v/>
      </c>
      <c r="F4" s="2">
        <f>SUMIF(Detalle!$B$2:$B$162,B4,Detalle!$G$2:$G$162)</f>
        <v/>
      </c>
      <c r="G4" s="2">
        <f>IF(COUNTIF($A$2:A4,A4)=1,SUMIF(Detalle!$A$2:$A$162,A4,Detalle!$F$2:$F$162),"")</f>
        <v/>
      </c>
      <c r="H4" s="2">
        <f>IF(COUNTIF($A$2:A4,A4)=1,SUMIF(Detalle!$A$2:$A$162,A4,Detalle!$G$2:$G$162),"")</f>
        <v/>
      </c>
    </row>
    <row r="5">
      <c r="A5" s="2" t="inlineStr">
        <is>
          <t>K9 - BALLONTI</t>
        </is>
      </c>
      <c r="B5" s="2" t="inlineStr">
        <is>
          <t>S-6665003419</t>
        </is>
      </c>
      <c r="C5" s="2" t="inlineStr">
        <is>
          <t>121770893</t>
        </is>
      </c>
      <c r="D5" s="2">
        <f>COUNTIF(Detalle!$B$2:$B$162,B5)</f>
        <v/>
      </c>
      <c r="E5" s="2">
        <f>SUMIF(Detalle!$B$2:$B$162,B5,Detalle!$F$2:$F$162)</f>
        <v/>
      </c>
      <c r="F5" s="2">
        <f>SUMIF(Detalle!$B$2:$B$162,B5,Detalle!$G$2:$G$162)</f>
        <v/>
      </c>
      <c r="G5" s="2">
        <f>IF(COUNTIF($A$2:A5,A5)=1,SUMIF(Detalle!$A$2:$A$162,A5,Detalle!$F$2:$F$162),"")</f>
        <v/>
      </c>
      <c r="H5" s="2">
        <f>IF(COUNTIF($A$2:A5,A5)=1,SUMIF(Detalle!$A$2:$A$162,A5,Detalle!$G$2:$G$162),"")</f>
        <v/>
      </c>
    </row>
    <row r="6">
      <c r="A6" s="2" t="inlineStr">
        <is>
          <t>K24 - VALLADOLID</t>
        </is>
      </c>
      <c r="B6" s="2" t="inlineStr">
        <is>
          <t>S-6665003371</t>
        </is>
      </c>
      <c r="C6" s="2" t="inlineStr">
        <is>
          <t>121770894</t>
        </is>
      </c>
      <c r="D6" s="2">
        <f>COUNTIF(Detalle!$B$2:$B$162,B6)</f>
        <v/>
      </c>
      <c r="E6" s="2">
        <f>SUMIF(Detalle!$B$2:$B$162,B6,Detalle!$F$2:$F$162)</f>
        <v/>
      </c>
      <c r="F6" s="2">
        <f>SUMIF(Detalle!$B$2:$B$162,B6,Detalle!$G$2:$G$162)</f>
        <v/>
      </c>
      <c r="G6" s="2">
        <f>IF(COUNTIF($A$2:A6,A6)=1,SUMIF(Detalle!$A$2:$A$162,A6,Detalle!$F$2:$F$162),"")</f>
        <v/>
      </c>
      <c r="H6" s="2">
        <f>IF(COUNTIF($A$2:A6,A6)=1,SUMIF(Detalle!$A$2:$A$162,A6,Detalle!$G$2:$G$162),"")</f>
        <v/>
      </c>
    </row>
    <row r="7">
      <c r="A7" s="2" t="inlineStr">
        <is>
          <t>K24 - VALLADOLID</t>
        </is>
      </c>
      <c r="B7" s="2" t="inlineStr">
        <is>
          <t>S-6665003423</t>
        </is>
      </c>
      <c r="C7" s="2" t="inlineStr">
        <is>
          <t>121770894</t>
        </is>
      </c>
      <c r="D7" s="2">
        <f>COUNTIF(Detalle!$B$2:$B$162,B7)</f>
        <v/>
      </c>
      <c r="E7" s="2">
        <f>SUMIF(Detalle!$B$2:$B$162,B7,Detalle!$F$2:$F$162)</f>
        <v/>
      </c>
      <c r="F7" s="2">
        <f>SUMIF(Detalle!$B$2:$B$162,B7,Detalle!$G$2:$G$162)</f>
        <v/>
      </c>
      <c r="G7" s="2">
        <f>IF(COUNTIF($A$2:A7,A7)=1,SUMIF(Detalle!$A$2:$A$162,A7,Detalle!$F$2:$F$162),"")</f>
        <v/>
      </c>
      <c r="H7" s="2">
        <f>IF(COUNTIF($A$2:A7,A7)=1,SUMIF(Detalle!$A$2:$A$162,A7,Detalle!$G$2:$G$162),"")</f>
        <v/>
      </c>
    </row>
    <row r="8">
      <c r="A8" s="2" t="inlineStr">
        <is>
          <t>K29 - MARINEDA</t>
        </is>
      </c>
      <c r="B8" s="2" t="inlineStr">
        <is>
          <t>S-6665003373</t>
        </is>
      </c>
      <c r="C8" s="2" t="inlineStr">
        <is>
          <t>121770895</t>
        </is>
      </c>
      <c r="D8" s="2">
        <f>COUNTIF(Detalle!$B$2:$B$162,B8)</f>
        <v/>
      </c>
      <c r="E8" s="2">
        <f>SUMIF(Detalle!$B$2:$B$162,B8,Detalle!$F$2:$F$162)</f>
        <v/>
      </c>
      <c r="F8" s="2">
        <f>SUMIF(Detalle!$B$2:$B$162,B8,Detalle!$G$2:$G$162)</f>
        <v/>
      </c>
      <c r="G8" s="2">
        <f>IF(COUNTIF($A$2:A8,A8)=1,SUMIF(Detalle!$A$2:$A$162,A8,Detalle!$F$2:$F$162),"")</f>
        <v/>
      </c>
      <c r="H8" s="2">
        <f>IF(COUNTIF($A$2:A8,A8)=1,SUMIF(Detalle!$A$2:$A$162,A8,Detalle!$G$2:$G$162),"")</f>
        <v/>
      </c>
    </row>
    <row r="9">
      <c r="A9" s="2" t="inlineStr">
        <is>
          <t>K29 - MARINEDA</t>
        </is>
      </c>
      <c r="B9" s="2" t="inlineStr">
        <is>
          <t>S-6665003425</t>
        </is>
      </c>
      <c r="C9" s="2" t="inlineStr">
        <is>
          <t>121770895</t>
        </is>
      </c>
      <c r="D9" s="2">
        <f>COUNTIF(Detalle!$B$2:$B$162,B9)</f>
        <v/>
      </c>
      <c r="E9" s="2">
        <f>SUMIF(Detalle!$B$2:$B$162,B9,Detalle!$F$2:$F$162)</f>
        <v/>
      </c>
      <c r="F9" s="2">
        <f>SUMIF(Detalle!$B$2:$B$162,B9,Detalle!$G$2:$G$162)</f>
        <v/>
      </c>
      <c r="G9" s="2">
        <f>IF(COUNTIF($A$2:A9,A9)=1,SUMIF(Detalle!$A$2:$A$162,A9,Detalle!$F$2:$F$162),"")</f>
        <v/>
      </c>
      <c r="H9" s="2">
        <f>IF(COUNTIF($A$2:A9,A9)=1,SUMIF(Detalle!$A$2:$A$162,A9,Detalle!$G$2:$G$162),"")</f>
        <v/>
      </c>
    </row>
    <row r="10">
      <c r="A10" s="2" t="inlineStr">
        <is>
          <t>K33 - PUERTO VENECIA</t>
        </is>
      </c>
      <c r="B10" s="2" t="inlineStr">
        <is>
          <t>S-6665003375</t>
        </is>
      </c>
      <c r="C10" s="2" t="inlineStr">
        <is>
          <t>121770912</t>
        </is>
      </c>
      <c r="D10" s="2">
        <f>COUNTIF(Detalle!$B$2:$B$162,B10)</f>
        <v/>
      </c>
      <c r="E10" s="2">
        <f>SUMIF(Detalle!$B$2:$B$162,B10,Detalle!$F$2:$F$162)</f>
        <v/>
      </c>
      <c r="F10" s="2">
        <f>SUMIF(Detalle!$B$2:$B$162,B10,Detalle!$G$2:$G$162)</f>
        <v/>
      </c>
      <c r="G10" s="2">
        <f>IF(COUNTIF($A$2:A10,A10)=1,SUMIF(Detalle!$A$2:$A$162,A10,Detalle!$F$2:$F$162),"")</f>
        <v/>
      </c>
      <c r="H10" s="2">
        <f>IF(COUNTIF($A$2:A10,A10)=1,SUMIF(Detalle!$A$2:$A$162,A10,Detalle!$G$2:$G$162),"")</f>
        <v/>
      </c>
    </row>
    <row r="11">
      <c r="A11" s="2" t="inlineStr">
        <is>
          <t>K33 - PUERTO VENECIA</t>
        </is>
      </c>
      <c r="B11" s="2" t="inlineStr">
        <is>
          <t>S-6665003427</t>
        </is>
      </c>
      <c r="C11" s="2" t="inlineStr">
        <is>
          <t>121770912</t>
        </is>
      </c>
      <c r="D11" s="2">
        <f>COUNTIF(Detalle!$B$2:$B$162,B11)</f>
        <v/>
      </c>
      <c r="E11" s="2">
        <f>SUMIF(Detalle!$B$2:$B$162,B11,Detalle!$F$2:$F$162)</f>
        <v/>
      </c>
      <c r="F11" s="2">
        <f>SUMIF(Detalle!$B$2:$B$162,B11,Detalle!$G$2:$G$162)</f>
        <v/>
      </c>
      <c r="G11" s="2">
        <f>IF(COUNTIF($A$2:A11,A11)=1,SUMIF(Detalle!$A$2:$A$162,A11,Detalle!$F$2:$F$162),"")</f>
        <v/>
      </c>
      <c r="H11" s="2">
        <f>IF(COUNTIF($A$2:A11,A11)=1,SUMIF(Detalle!$A$2:$A$162,A11,Detalle!$G$2:$G$162),"")</f>
        <v/>
      </c>
    </row>
    <row r="12">
      <c r="A12" s="2" t="inlineStr">
        <is>
          <t>K38 - ARTEA</t>
        </is>
      </c>
      <c r="B12" s="2" t="inlineStr">
        <is>
          <t>S-6665003378</t>
        </is>
      </c>
      <c r="C12" s="2" t="inlineStr">
        <is>
          <t>121770896</t>
        </is>
      </c>
      <c r="D12" s="2">
        <f>COUNTIF(Detalle!$B$2:$B$162,B12)</f>
        <v/>
      </c>
      <c r="E12" s="2">
        <f>SUMIF(Detalle!$B$2:$B$162,B12,Detalle!$F$2:$F$162)</f>
        <v/>
      </c>
      <c r="F12" s="2">
        <f>SUMIF(Detalle!$B$2:$B$162,B12,Detalle!$G$2:$G$162)</f>
        <v/>
      </c>
      <c r="G12" s="2">
        <f>IF(COUNTIF($A$2:A12,A12)=1,SUMIF(Detalle!$A$2:$A$162,A12,Detalle!$F$2:$F$162),"")</f>
        <v/>
      </c>
      <c r="H12" s="2">
        <f>IF(COUNTIF($A$2:A12,A12)=1,SUMIF(Detalle!$A$2:$A$162,A12,Detalle!$G$2:$G$162),"")</f>
        <v/>
      </c>
    </row>
    <row r="13">
      <c r="A13" s="2" t="inlineStr">
        <is>
          <t>K38 - ARTEA</t>
        </is>
      </c>
      <c r="B13" s="2" t="inlineStr">
        <is>
          <t>S-6665003430</t>
        </is>
      </c>
      <c r="C13" s="2" t="inlineStr">
        <is>
          <t>121770896</t>
        </is>
      </c>
      <c r="D13" s="2">
        <f>COUNTIF(Detalle!$B$2:$B$162,B13)</f>
        <v/>
      </c>
      <c r="E13" s="2">
        <f>SUMIF(Detalle!$B$2:$B$162,B13,Detalle!$F$2:$F$162)</f>
        <v/>
      </c>
      <c r="F13" s="2">
        <f>SUMIF(Detalle!$B$2:$B$162,B13,Detalle!$G$2:$G$162)</f>
        <v/>
      </c>
      <c r="G13" s="2">
        <f>IF(COUNTIF($A$2:A13,A13)=1,SUMIF(Detalle!$A$2:$A$162,A13,Detalle!$F$2:$F$162),"")</f>
        <v/>
      </c>
      <c r="H13" s="2">
        <f>IF(COUNTIF($A$2:A13,A13)=1,SUMIF(Detalle!$A$2:$A$162,A13,Detalle!$G$2:$G$162),"")</f>
        <v/>
      </c>
    </row>
    <row r="14">
      <c r="A14" s="2" t="inlineStr">
        <is>
          <t>K41 - SANTANDER</t>
        </is>
      </c>
      <c r="B14" s="2" t="inlineStr">
        <is>
          <t>S-6665003380</t>
        </is>
      </c>
      <c r="C14" s="2" t="inlineStr">
        <is>
          <t>121770898</t>
        </is>
      </c>
      <c r="D14" s="2">
        <f>COUNTIF(Detalle!$B$2:$B$162,B14)</f>
        <v/>
      </c>
      <c r="E14" s="2">
        <f>SUMIF(Detalle!$B$2:$B$162,B14,Detalle!$F$2:$F$162)</f>
        <v/>
      </c>
      <c r="F14" s="2">
        <f>SUMIF(Detalle!$B$2:$B$162,B14,Detalle!$G$2:$G$162)</f>
        <v/>
      </c>
      <c r="G14" s="2">
        <f>IF(COUNTIF($A$2:A14,A14)=1,SUMIF(Detalle!$A$2:$A$162,A14,Detalle!$F$2:$F$162),"")</f>
        <v/>
      </c>
      <c r="H14" s="2">
        <f>IF(COUNTIF($A$2:A14,A14)=1,SUMIF(Detalle!$A$2:$A$162,A14,Detalle!$G$2:$G$162),"")</f>
        <v/>
      </c>
    </row>
    <row r="15">
      <c r="A15" s="2" t="inlineStr">
        <is>
          <t>K41 - SANTANDER</t>
        </is>
      </c>
      <c r="B15" s="2" t="inlineStr">
        <is>
          <t>S-6665003432</t>
        </is>
      </c>
      <c r="C15" s="2" t="inlineStr">
        <is>
          <t>121770898</t>
        </is>
      </c>
      <c r="D15" s="2">
        <f>COUNTIF(Detalle!$B$2:$B$162,B15)</f>
        <v/>
      </c>
      <c r="E15" s="2">
        <f>SUMIF(Detalle!$B$2:$B$162,B15,Detalle!$F$2:$F$162)</f>
        <v/>
      </c>
      <c r="F15" s="2">
        <f>SUMIF(Detalle!$B$2:$B$162,B15,Detalle!$G$2:$G$162)</f>
        <v/>
      </c>
      <c r="G15" s="2">
        <f>IF(COUNTIF($A$2:A15,A15)=1,SUMIF(Detalle!$A$2:$A$162,A15,Detalle!$F$2:$F$162),"")</f>
        <v/>
      </c>
      <c r="H15" s="2">
        <f>IF(COUNTIF($A$2:A15,A15)=1,SUMIF(Detalle!$A$2:$A$162,A15,Detalle!$G$2:$G$162),"")</f>
        <v/>
      </c>
    </row>
    <row r="16">
      <c r="A16" s="2" t="inlineStr">
        <is>
          <t>K42 - SPLAU</t>
        </is>
      </c>
      <c r="B16" s="2" t="inlineStr">
        <is>
          <t>S-6665003381</t>
        </is>
      </c>
      <c r="C16" s="2" t="inlineStr">
        <is>
          <t>121770900</t>
        </is>
      </c>
      <c r="D16" s="2">
        <f>COUNTIF(Detalle!$B$2:$B$162,B16)</f>
        <v/>
      </c>
      <c r="E16" s="2">
        <f>SUMIF(Detalle!$B$2:$B$162,B16,Detalle!$F$2:$F$162)</f>
        <v/>
      </c>
      <c r="F16" s="2">
        <f>SUMIF(Detalle!$B$2:$B$162,B16,Detalle!$G$2:$G$162)</f>
        <v/>
      </c>
      <c r="G16" s="2">
        <f>IF(COUNTIF($A$2:A16,A16)=1,SUMIF(Detalle!$A$2:$A$162,A16,Detalle!$F$2:$F$162),"")</f>
        <v/>
      </c>
      <c r="H16" s="2">
        <f>IF(COUNTIF($A$2:A16,A16)=1,SUMIF(Detalle!$A$2:$A$162,A16,Detalle!$G$2:$G$162),"")</f>
        <v/>
      </c>
    </row>
    <row r="17">
      <c r="A17" s="2" t="inlineStr">
        <is>
          <t>K42 - SPLAU</t>
        </is>
      </c>
      <c r="B17" s="2" t="inlineStr">
        <is>
          <t>S-6665003433</t>
        </is>
      </c>
      <c r="C17" s="2" t="inlineStr">
        <is>
          <t>121770900</t>
        </is>
      </c>
      <c r="D17" s="2">
        <f>COUNTIF(Detalle!$B$2:$B$162,B17)</f>
        <v/>
      </c>
      <c r="E17" s="2">
        <f>SUMIF(Detalle!$B$2:$B$162,B17,Detalle!$F$2:$F$162)</f>
        <v/>
      </c>
      <c r="F17" s="2">
        <f>SUMIF(Detalle!$B$2:$B$162,B17,Detalle!$G$2:$G$162)</f>
        <v/>
      </c>
      <c r="G17" s="2">
        <f>IF(COUNTIF($A$2:A17,A17)=1,SUMIF(Detalle!$A$2:$A$162,A17,Detalle!$F$2:$F$162),"")</f>
        <v/>
      </c>
      <c r="H17" s="2">
        <f>IF(COUNTIF($A$2:A17,A17)=1,SUMIF(Detalle!$A$2:$A$162,A17,Detalle!$G$2:$G$162),"")</f>
        <v/>
      </c>
    </row>
    <row r="18">
      <c r="A18" s="2" t="inlineStr">
        <is>
          <t>K43 - LEÓN</t>
        </is>
      </c>
      <c r="B18" s="2" t="inlineStr">
        <is>
          <t>S-6665003382</t>
        </is>
      </c>
      <c r="C18" s="2" t="inlineStr">
        <is>
          <t>121770905</t>
        </is>
      </c>
      <c r="D18" s="2">
        <f>COUNTIF(Detalle!$B$2:$B$162,B18)</f>
        <v/>
      </c>
      <c r="E18" s="2">
        <f>SUMIF(Detalle!$B$2:$B$162,B18,Detalle!$F$2:$F$162)</f>
        <v/>
      </c>
      <c r="F18" s="2">
        <f>SUMIF(Detalle!$B$2:$B$162,B18,Detalle!$G$2:$G$162)</f>
        <v/>
      </c>
      <c r="G18" s="2">
        <f>IF(COUNTIF($A$2:A18,A18)=1,SUMIF(Detalle!$A$2:$A$162,A18,Detalle!$F$2:$F$162),"")</f>
        <v/>
      </c>
      <c r="H18" s="2">
        <f>IF(COUNTIF($A$2:A18,A18)=1,SUMIF(Detalle!$A$2:$A$162,A18,Detalle!$G$2:$G$162),"")</f>
        <v/>
      </c>
    </row>
    <row r="19">
      <c r="A19" s="2" t="inlineStr">
        <is>
          <t>K43 - LEÓN</t>
        </is>
      </c>
      <c r="B19" s="2" t="inlineStr">
        <is>
          <t>S-6665003434</t>
        </is>
      </c>
      <c r="C19" s="2" t="inlineStr">
        <is>
          <t>121770905</t>
        </is>
      </c>
      <c r="D19" s="2">
        <f>COUNTIF(Detalle!$B$2:$B$162,B19)</f>
        <v/>
      </c>
      <c r="E19" s="2">
        <f>SUMIF(Detalle!$B$2:$B$162,B19,Detalle!$F$2:$F$162)</f>
        <v/>
      </c>
      <c r="F19" s="2">
        <f>SUMIF(Detalle!$B$2:$B$162,B19,Detalle!$G$2:$G$162)</f>
        <v/>
      </c>
      <c r="G19" s="2">
        <f>IF(COUNTIF($A$2:A19,A19)=1,SUMIF(Detalle!$A$2:$A$162,A19,Detalle!$F$2:$F$162),"")</f>
        <v/>
      </c>
      <c r="H19" s="2">
        <f>IF(COUNTIF($A$2:A19,A19)=1,SUMIF(Detalle!$A$2:$A$162,A19,Detalle!$G$2:$G$162),"")</f>
        <v/>
      </c>
    </row>
    <row r="20">
      <c r="A20" s="2" t="inlineStr">
        <is>
          <t>K44 - GIRONA</t>
        </is>
      </c>
      <c r="B20" s="2" t="inlineStr">
        <is>
          <t>S-6665003383</t>
        </is>
      </c>
      <c r="C20" s="2" t="inlineStr">
        <is>
          <t>121770907</t>
        </is>
      </c>
      <c r="D20" s="2">
        <f>COUNTIF(Detalle!$B$2:$B$162,B20)</f>
        <v/>
      </c>
      <c r="E20" s="2">
        <f>SUMIF(Detalle!$B$2:$B$162,B20,Detalle!$F$2:$F$162)</f>
        <v/>
      </c>
      <c r="F20" s="2">
        <f>SUMIF(Detalle!$B$2:$B$162,B20,Detalle!$G$2:$G$162)</f>
        <v/>
      </c>
      <c r="G20" s="2">
        <f>IF(COUNTIF($A$2:A20,A20)=1,SUMIF(Detalle!$A$2:$A$162,A20,Detalle!$F$2:$F$162),"")</f>
        <v/>
      </c>
      <c r="H20" s="2">
        <f>IF(COUNTIF($A$2:A20,A20)=1,SUMIF(Detalle!$A$2:$A$162,A20,Detalle!$G$2:$G$162),"")</f>
        <v/>
      </c>
    </row>
    <row r="21">
      <c r="A21" s="2" t="inlineStr">
        <is>
          <t>K44 - GIRONA</t>
        </is>
      </c>
      <c r="B21" s="2" t="inlineStr">
        <is>
          <t>S-6665003435</t>
        </is>
      </c>
      <c r="C21" s="2" t="inlineStr">
        <is>
          <t>121770907</t>
        </is>
      </c>
      <c r="D21" s="2">
        <f>COUNTIF(Detalle!$B$2:$B$162,B21)</f>
        <v/>
      </c>
      <c r="E21" s="2">
        <f>SUMIF(Detalle!$B$2:$B$162,B21,Detalle!$F$2:$F$162)</f>
        <v/>
      </c>
      <c r="F21" s="2">
        <f>SUMIF(Detalle!$B$2:$B$162,B21,Detalle!$G$2:$G$162)</f>
        <v/>
      </c>
      <c r="G21" s="2">
        <f>IF(COUNTIF($A$2:A21,A21)=1,SUMIF(Detalle!$A$2:$A$162,A21,Detalle!$F$2:$F$162),"")</f>
        <v/>
      </c>
      <c r="H21" s="2">
        <f>IF(COUNTIF($A$2:A21,A21)=1,SUMIF(Detalle!$A$2:$A$162,A21,Detalle!$G$2:$G$162),"")</f>
        <v/>
      </c>
    </row>
    <row r="22">
      <c r="A22" s="2" t="inlineStr">
        <is>
          <t>K45 - LOGROÑO BERCEO</t>
        </is>
      </c>
      <c r="B22" s="2" t="inlineStr">
        <is>
          <t>S-6665003384</t>
        </is>
      </c>
      <c r="C22" s="2" t="inlineStr">
        <is>
          <t>121770906</t>
        </is>
      </c>
      <c r="D22" s="2">
        <f>COUNTIF(Detalle!$B$2:$B$162,B22)</f>
        <v/>
      </c>
      <c r="E22" s="2">
        <f>SUMIF(Detalle!$B$2:$B$162,B22,Detalle!$F$2:$F$162)</f>
        <v/>
      </c>
      <c r="F22" s="2">
        <f>SUMIF(Detalle!$B$2:$B$162,B22,Detalle!$G$2:$G$162)</f>
        <v/>
      </c>
      <c r="G22" s="2">
        <f>IF(COUNTIF($A$2:A22,A22)=1,SUMIF(Detalle!$A$2:$A$162,A22,Detalle!$F$2:$F$162),"")</f>
        <v/>
      </c>
      <c r="H22" s="2">
        <f>IF(COUNTIF($A$2:A22,A22)=1,SUMIF(Detalle!$A$2:$A$162,A22,Detalle!$G$2:$G$162),"")</f>
        <v/>
      </c>
    </row>
    <row r="23">
      <c r="A23" s="2" t="inlineStr">
        <is>
          <t>K45 - LOGROÑO BERCEO</t>
        </is>
      </c>
      <c r="B23" s="2" t="inlineStr">
        <is>
          <t>S-6665003436</t>
        </is>
      </c>
      <c r="C23" s="2" t="inlineStr">
        <is>
          <t>121770906</t>
        </is>
      </c>
      <c r="D23" s="2">
        <f>COUNTIF(Detalle!$B$2:$B$162,B23)</f>
        <v/>
      </c>
      <c r="E23" s="2">
        <f>SUMIF(Detalle!$B$2:$B$162,B23,Detalle!$F$2:$F$162)</f>
        <v/>
      </c>
      <c r="F23" s="2">
        <f>SUMIF(Detalle!$B$2:$B$162,B23,Detalle!$G$2:$G$162)</f>
        <v/>
      </c>
      <c r="G23" s="2">
        <f>IF(COUNTIF($A$2:A23,A23)=1,SUMIF(Detalle!$A$2:$A$162,A23,Detalle!$F$2:$F$162),"")</f>
        <v/>
      </c>
      <c r="H23" s="2">
        <f>IF(COUNTIF($A$2:A23,A23)=1,SUMIF(Detalle!$A$2:$A$162,A23,Detalle!$G$2:$G$162),"")</f>
        <v/>
      </c>
    </row>
    <row r="24">
      <c r="A24" s="2" t="inlineStr">
        <is>
          <t>K46 - IRÚN</t>
        </is>
      </c>
      <c r="B24" s="2" t="inlineStr">
        <is>
          <t>S-6665003385</t>
        </is>
      </c>
      <c r="C24" s="2" t="inlineStr">
        <is>
          <t>121770914</t>
        </is>
      </c>
      <c r="D24" s="2">
        <f>COUNTIF(Detalle!$B$2:$B$162,B24)</f>
        <v/>
      </c>
      <c r="E24" s="2">
        <f>SUMIF(Detalle!$B$2:$B$162,B24,Detalle!$F$2:$F$162)</f>
        <v/>
      </c>
      <c r="F24" s="2">
        <f>SUMIF(Detalle!$B$2:$B$162,B24,Detalle!$G$2:$G$162)</f>
        <v/>
      </c>
      <c r="G24" s="2">
        <f>IF(COUNTIF($A$2:A24,A24)=1,SUMIF(Detalle!$A$2:$A$162,A24,Detalle!$F$2:$F$162),"")</f>
        <v/>
      </c>
      <c r="H24" s="2">
        <f>IF(COUNTIF($A$2:A24,A24)=1,SUMIF(Detalle!$A$2:$A$162,A24,Detalle!$G$2:$G$162),"")</f>
        <v/>
      </c>
    </row>
    <row r="25">
      <c r="A25" s="2" t="inlineStr">
        <is>
          <t>K46 - IRÚN</t>
        </is>
      </c>
      <c r="B25" s="2" t="inlineStr">
        <is>
          <t>S-6665003437</t>
        </is>
      </c>
      <c r="C25" s="2" t="inlineStr">
        <is>
          <t>121770914</t>
        </is>
      </c>
      <c r="D25" s="2">
        <f>COUNTIF(Detalle!$B$2:$B$162,B25)</f>
        <v/>
      </c>
      <c r="E25" s="2">
        <f>SUMIF(Detalle!$B$2:$B$162,B25,Detalle!$F$2:$F$162)</f>
        <v/>
      </c>
      <c r="F25" s="2">
        <f>SUMIF(Detalle!$B$2:$B$162,B25,Detalle!$G$2:$G$162)</f>
        <v/>
      </c>
      <c r="G25" s="2">
        <f>IF(COUNTIF($A$2:A25,A25)=1,SUMIF(Detalle!$A$2:$A$162,A25,Detalle!$F$2:$F$162),"")</f>
        <v/>
      </c>
      <c r="H25" s="2">
        <f>IF(COUNTIF($A$2:A25,A25)=1,SUMIF(Detalle!$A$2:$A$162,A25,Detalle!$G$2:$G$162),"")</f>
        <v/>
      </c>
    </row>
    <row r="26">
      <c r="A26" s="2" t="inlineStr">
        <is>
          <t>K48 - BONAIRE</t>
        </is>
      </c>
      <c r="B26" s="2" t="inlineStr">
        <is>
          <t>S-6665003386</t>
        </is>
      </c>
      <c r="C26" s="2" t="inlineStr">
        <is>
          <t>121770899</t>
        </is>
      </c>
      <c r="D26" s="2">
        <f>COUNTIF(Detalle!$B$2:$B$162,B26)</f>
        <v/>
      </c>
      <c r="E26" s="2">
        <f>SUMIF(Detalle!$B$2:$B$162,B26,Detalle!$F$2:$F$162)</f>
        <v/>
      </c>
      <c r="F26" s="2">
        <f>SUMIF(Detalle!$B$2:$B$162,B26,Detalle!$G$2:$G$162)</f>
        <v/>
      </c>
      <c r="G26" s="2">
        <f>IF(COUNTIF($A$2:A26,A26)=1,SUMIF(Detalle!$A$2:$A$162,A26,Detalle!$F$2:$F$162),"")</f>
        <v/>
      </c>
      <c r="H26" s="2">
        <f>IF(COUNTIF($A$2:A26,A26)=1,SUMIF(Detalle!$A$2:$A$162,A26,Detalle!$G$2:$G$162),"")</f>
        <v/>
      </c>
    </row>
    <row r="27">
      <c r="A27" s="2" t="inlineStr">
        <is>
          <t>K48 - BONAIRE</t>
        </is>
      </c>
      <c r="B27" s="2" t="inlineStr">
        <is>
          <t>S-6665003438</t>
        </is>
      </c>
      <c r="C27" s="2" t="inlineStr">
        <is>
          <t>121770899</t>
        </is>
      </c>
      <c r="D27" s="2">
        <f>COUNTIF(Detalle!$B$2:$B$162,B27)</f>
        <v/>
      </c>
      <c r="E27" s="2">
        <f>SUMIF(Detalle!$B$2:$B$162,B27,Detalle!$F$2:$F$162)</f>
        <v/>
      </c>
      <c r="F27" s="2">
        <f>SUMIF(Detalle!$B$2:$B$162,B27,Detalle!$G$2:$G$162)</f>
        <v/>
      </c>
      <c r="G27" s="2">
        <f>IF(COUNTIF($A$2:A27,A27)=1,SUMIF(Detalle!$A$2:$A$162,A27,Detalle!$F$2:$F$162),"")</f>
        <v/>
      </c>
      <c r="H27" s="2">
        <f>IF(COUNTIF($A$2:A27,A27)=1,SUMIF(Detalle!$A$2:$A$162,A27,Detalle!$G$2:$G$162),"")</f>
        <v/>
      </c>
    </row>
    <row r="28">
      <c r="A28" s="2" t="inlineStr">
        <is>
          <t>K49 - URBIL</t>
        </is>
      </c>
      <c r="B28" s="2" t="inlineStr">
        <is>
          <t>S-6665003387</t>
        </is>
      </c>
      <c r="C28" s="2" t="inlineStr">
        <is>
          <t>121770897</t>
        </is>
      </c>
      <c r="D28" s="2">
        <f>COUNTIF(Detalle!$B$2:$B$162,B28)</f>
        <v/>
      </c>
      <c r="E28" s="2">
        <f>SUMIF(Detalle!$B$2:$B$162,B28,Detalle!$F$2:$F$162)</f>
        <v/>
      </c>
      <c r="F28" s="2">
        <f>SUMIF(Detalle!$B$2:$B$162,B28,Detalle!$G$2:$G$162)</f>
        <v/>
      </c>
      <c r="G28" s="2">
        <f>IF(COUNTIF($A$2:A28,A28)=1,SUMIF(Detalle!$A$2:$A$162,A28,Detalle!$F$2:$F$162),"")</f>
        <v/>
      </c>
      <c r="H28" s="2">
        <f>IF(COUNTIF($A$2:A28,A28)=1,SUMIF(Detalle!$A$2:$A$162,A28,Detalle!$G$2:$G$162),"")</f>
        <v/>
      </c>
    </row>
    <row r="29">
      <c r="A29" s="2" t="inlineStr">
        <is>
          <t>K49 - URBIL</t>
        </is>
      </c>
      <c r="B29" s="2" t="inlineStr">
        <is>
          <t>S-6665003439</t>
        </is>
      </c>
      <c r="C29" s="2" t="inlineStr">
        <is>
          <t>121770897</t>
        </is>
      </c>
      <c r="D29" s="2">
        <f>COUNTIF(Detalle!$B$2:$B$162,B29)</f>
        <v/>
      </c>
      <c r="E29" s="2">
        <f>SUMIF(Detalle!$B$2:$B$162,B29,Detalle!$F$2:$F$162)</f>
        <v/>
      </c>
      <c r="F29" s="2">
        <f>SUMIF(Detalle!$B$2:$B$162,B29,Detalle!$G$2:$G$162)</f>
        <v/>
      </c>
      <c r="G29" s="2">
        <f>IF(COUNTIF($A$2:A29,A29)=1,SUMIF(Detalle!$A$2:$A$162,A29,Detalle!$F$2:$F$162),"")</f>
        <v/>
      </c>
      <c r="H29" s="2">
        <f>IF(COUNTIF($A$2:A29,A29)=1,SUMIF(Detalle!$A$2:$A$162,A29,Detalle!$G$2:$G$162),"")</f>
        <v/>
      </c>
    </row>
    <row r="30">
      <c r="A30" s="2" t="inlineStr">
        <is>
          <t>K55 - C.C. GRANCASA</t>
        </is>
      </c>
      <c r="B30" s="2" t="inlineStr">
        <is>
          <t>S-6665003388</t>
        </is>
      </c>
      <c r="C30" s="2" t="inlineStr">
        <is>
          <t>121770902</t>
        </is>
      </c>
      <c r="D30" s="2">
        <f>COUNTIF(Detalle!$B$2:$B$162,B30)</f>
        <v/>
      </c>
      <c r="E30" s="2">
        <f>SUMIF(Detalle!$B$2:$B$162,B30,Detalle!$F$2:$F$162)</f>
        <v/>
      </c>
      <c r="F30" s="2">
        <f>SUMIF(Detalle!$B$2:$B$162,B30,Detalle!$G$2:$G$162)</f>
        <v/>
      </c>
      <c r="G30" s="2">
        <f>IF(COUNTIF($A$2:A30,A30)=1,SUMIF(Detalle!$A$2:$A$162,A30,Detalle!$F$2:$F$162),"")</f>
        <v/>
      </c>
      <c r="H30" s="2">
        <f>IF(COUNTIF($A$2:A30,A30)=1,SUMIF(Detalle!$A$2:$A$162,A30,Detalle!$G$2:$G$162),"")</f>
        <v/>
      </c>
    </row>
    <row r="31">
      <c r="A31" s="2" t="inlineStr">
        <is>
          <t>K55 - C.C. GRANCASA</t>
        </is>
      </c>
      <c r="B31" s="2" t="inlineStr">
        <is>
          <t>S-6665003440</t>
        </is>
      </c>
      <c r="C31" s="2" t="inlineStr">
        <is>
          <t>121770902</t>
        </is>
      </c>
      <c r="D31" s="2">
        <f>COUNTIF(Detalle!$B$2:$B$162,B31)</f>
        <v/>
      </c>
      <c r="E31" s="2">
        <f>SUMIF(Detalle!$B$2:$B$162,B31,Detalle!$F$2:$F$162)</f>
        <v/>
      </c>
      <c r="F31" s="2">
        <f>SUMIF(Detalle!$B$2:$B$162,B31,Detalle!$G$2:$G$162)</f>
        <v/>
      </c>
      <c r="G31" s="2">
        <f>IF(COUNTIF($A$2:A31,A31)=1,SUMIF(Detalle!$A$2:$A$162,A31,Detalle!$F$2:$F$162),"")</f>
        <v/>
      </c>
      <c r="H31" s="2">
        <f>IF(COUNTIF($A$2:A31,A31)=1,SUMIF(Detalle!$A$2:$A$162,A31,Detalle!$G$2:$G$162),"")</f>
        <v/>
      </c>
    </row>
    <row r="32">
      <c r="A32" s="2" t="inlineStr">
        <is>
          <t>K57 - LAS ROSAS</t>
        </is>
      </c>
      <c r="B32" s="2" t="inlineStr">
        <is>
          <t>S-6665003390</t>
        </is>
      </c>
      <c r="C32" s="2" t="inlineStr">
        <is>
          <t>121770901</t>
        </is>
      </c>
      <c r="D32" s="2">
        <f>COUNTIF(Detalle!$B$2:$B$162,B32)</f>
        <v/>
      </c>
      <c r="E32" s="2">
        <f>SUMIF(Detalle!$B$2:$B$162,B32,Detalle!$F$2:$F$162)</f>
        <v/>
      </c>
      <c r="F32" s="2">
        <f>SUMIF(Detalle!$B$2:$B$162,B32,Detalle!$G$2:$G$162)</f>
        <v/>
      </c>
      <c r="G32" s="2">
        <f>IF(COUNTIF($A$2:A32,A32)=1,SUMIF(Detalle!$A$2:$A$162,A32,Detalle!$F$2:$F$162),"")</f>
        <v/>
      </c>
      <c r="H32" s="2">
        <f>IF(COUNTIF($A$2:A32,A32)=1,SUMIF(Detalle!$A$2:$A$162,A32,Detalle!$G$2:$G$162),"")</f>
        <v/>
      </c>
    </row>
    <row r="33">
      <c r="A33" s="2" t="inlineStr">
        <is>
          <t>K57 - LAS ROSAS</t>
        </is>
      </c>
      <c r="B33" s="2" t="inlineStr">
        <is>
          <t>S-6665003414</t>
        </is>
      </c>
      <c r="C33" s="2" t="inlineStr">
        <is>
          <t>121770901</t>
        </is>
      </c>
      <c r="D33" s="2">
        <f>COUNTIF(Detalle!$B$2:$B$162,B33)</f>
        <v/>
      </c>
      <c r="E33" s="2">
        <f>SUMIF(Detalle!$B$2:$B$162,B33,Detalle!$F$2:$F$162)</f>
        <v/>
      </c>
      <c r="F33" s="2">
        <f>SUMIF(Detalle!$B$2:$B$162,B33,Detalle!$G$2:$G$162)</f>
        <v/>
      </c>
      <c r="G33" s="2">
        <f>IF(COUNTIF($A$2:A33,A33)=1,SUMIF(Detalle!$A$2:$A$162,A33,Detalle!$F$2:$F$162),"")</f>
        <v/>
      </c>
      <c r="H33" s="2">
        <f>IF(COUNTIF($A$2:A33,A33)=1,SUMIF(Detalle!$A$2:$A$162,A33,Detalle!$G$2:$G$162),"")</f>
        <v/>
      </c>
    </row>
    <row r="34">
      <c r="A34" s="2" t="inlineStr">
        <is>
          <t>K57 - LAS ROSAS</t>
        </is>
      </c>
      <c r="B34" s="2" t="inlineStr">
        <is>
          <t>S-6665003442</t>
        </is>
      </c>
      <c r="C34" s="2" t="inlineStr">
        <is>
          <t>121770901</t>
        </is>
      </c>
      <c r="D34" s="2">
        <f>COUNTIF(Detalle!$B$2:$B$162,B34)</f>
        <v/>
      </c>
      <c r="E34" s="2">
        <f>SUMIF(Detalle!$B$2:$B$162,B34,Detalle!$F$2:$F$162)</f>
        <v/>
      </c>
      <c r="F34" s="2">
        <f>SUMIF(Detalle!$B$2:$B$162,B34,Detalle!$G$2:$G$162)</f>
        <v/>
      </c>
      <c r="G34" s="2">
        <f>IF(COUNTIF($A$2:A34,A34)=1,SUMIF(Detalle!$A$2:$A$162,A34,Detalle!$F$2:$F$162),"")</f>
        <v/>
      </c>
      <c r="H34" s="2">
        <f>IF(COUNTIF($A$2:A34,A34)=1,SUMIF(Detalle!$A$2:$A$162,A34,Detalle!$G$2:$G$162),"")</f>
        <v/>
      </c>
    </row>
    <row r="35">
      <c r="A35" s="2" t="inlineStr">
        <is>
          <t>K59 - NEVADA SHOPPING</t>
        </is>
      </c>
      <c r="B35" s="2" t="inlineStr">
        <is>
          <t>S-6665003392</t>
        </is>
      </c>
      <c r="C35" s="2" t="inlineStr">
        <is>
          <t>121770903</t>
        </is>
      </c>
      <c r="D35" s="2">
        <f>COUNTIF(Detalle!$B$2:$B$162,B35)</f>
        <v/>
      </c>
      <c r="E35" s="2">
        <f>SUMIF(Detalle!$B$2:$B$162,B35,Detalle!$F$2:$F$162)</f>
        <v/>
      </c>
      <c r="F35" s="2">
        <f>SUMIF(Detalle!$B$2:$B$162,B35,Detalle!$G$2:$G$162)</f>
        <v/>
      </c>
      <c r="G35" s="2">
        <f>IF(COUNTIF($A$2:A35,A35)=1,SUMIF(Detalle!$A$2:$A$162,A35,Detalle!$F$2:$F$162),"")</f>
        <v/>
      </c>
      <c r="H35" s="2">
        <f>IF(COUNTIF($A$2:A35,A35)=1,SUMIF(Detalle!$A$2:$A$162,A35,Detalle!$G$2:$G$162),"")</f>
        <v/>
      </c>
    </row>
    <row r="36">
      <c r="A36" s="2" t="inlineStr">
        <is>
          <t>K59 - NEVADA SHOPPING</t>
        </is>
      </c>
      <c r="B36" s="2" t="inlineStr">
        <is>
          <t>S-6665003444</t>
        </is>
      </c>
      <c r="C36" s="2" t="inlineStr">
        <is>
          <t>121770903</t>
        </is>
      </c>
      <c r="D36" s="2">
        <f>COUNTIF(Detalle!$B$2:$B$162,B36)</f>
        <v/>
      </c>
      <c r="E36" s="2">
        <f>SUMIF(Detalle!$B$2:$B$162,B36,Detalle!$F$2:$F$162)</f>
        <v/>
      </c>
      <c r="F36" s="2">
        <f>SUMIF(Detalle!$B$2:$B$162,B36,Detalle!$G$2:$G$162)</f>
        <v/>
      </c>
      <c r="G36" s="2">
        <f>IF(COUNTIF($A$2:A36,A36)=1,SUMIF(Detalle!$A$2:$A$162,A36,Detalle!$F$2:$F$162),"")</f>
        <v/>
      </c>
      <c r="H36" s="2">
        <f>IF(COUNTIF($A$2:A36,A36)=1,SUMIF(Detalle!$A$2:$A$162,A36,Detalle!$G$2:$G$162),"")</f>
        <v/>
      </c>
    </row>
    <row r="37">
      <c r="A37" s="2" t="inlineStr">
        <is>
          <t>K60 - LOS PRADOS</t>
        </is>
      </c>
      <c r="B37" s="2" t="inlineStr">
        <is>
          <t>S-6665003393</t>
        </is>
      </c>
      <c r="C37" s="2" t="inlineStr">
        <is>
          <t>121770904</t>
        </is>
      </c>
      <c r="D37" s="2">
        <f>COUNTIF(Detalle!$B$2:$B$162,B37)</f>
        <v/>
      </c>
      <c r="E37" s="2">
        <f>SUMIF(Detalle!$B$2:$B$162,B37,Detalle!$F$2:$F$162)</f>
        <v/>
      </c>
      <c r="F37" s="2">
        <f>SUMIF(Detalle!$B$2:$B$162,B37,Detalle!$G$2:$G$162)</f>
        <v/>
      </c>
      <c r="G37" s="2">
        <f>IF(COUNTIF($A$2:A37,A37)=1,SUMIF(Detalle!$A$2:$A$162,A37,Detalle!$F$2:$F$162),"")</f>
        <v/>
      </c>
      <c r="H37" s="2">
        <f>IF(COUNTIF($A$2:A37,A37)=1,SUMIF(Detalle!$A$2:$A$162,A37,Detalle!$G$2:$G$162),"")</f>
        <v/>
      </c>
    </row>
    <row r="38">
      <c r="A38" s="2" t="inlineStr">
        <is>
          <t>K60 - LOS PRADOS</t>
        </is>
      </c>
      <c r="B38" s="2" t="inlineStr">
        <is>
          <t>S-6665003445</t>
        </is>
      </c>
      <c r="C38" s="2" t="inlineStr">
        <is>
          <t>121770904</t>
        </is>
      </c>
      <c r="D38" s="2">
        <f>COUNTIF(Detalle!$B$2:$B$162,B38)</f>
        <v/>
      </c>
      <c r="E38" s="2">
        <f>SUMIF(Detalle!$B$2:$B$162,B38,Detalle!$F$2:$F$162)</f>
        <v/>
      </c>
      <c r="F38" s="2">
        <f>SUMIF(Detalle!$B$2:$B$162,B38,Detalle!$G$2:$G$162)</f>
        <v/>
      </c>
      <c r="G38" s="2">
        <f>IF(COUNTIF($A$2:A38,A38)=1,SUMIF(Detalle!$A$2:$A$162,A38,Detalle!$F$2:$F$162),"")</f>
        <v/>
      </c>
      <c r="H38" s="2">
        <f>IF(COUNTIF($A$2:A38,A38)=1,SUMIF(Detalle!$A$2:$A$162,A38,Detalle!$G$2:$G$162),"")</f>
        <v/>
      </c>
    </row>
    <row r="39">
      <c r="A39" s="2" t="inlineStr">
        <is>
          <t>K62 - XANADU</t>
        </is>
      </c>
      <c r="B39" s="2" t="inlineStr">
        <is>
          <t>S-6665003344</t>
        </is>
      </c>
      <c r="C39" s="2" t="inlineStr">
        <is>
          <t>121770916</t>
        </is>
      </c>
      <c r="D39" s="2">
        <f>COUNTIF(Detalle!$B$2:$B$162,B39)</f>
        <v/>
      </c>
      <c r="E39" s="2">
        <f>SUMIF(Detalle!$B$2:$B$162,B39,Detalle!$F$2:$F$162)</f>
        <v/>
      </c>
      <c r="F39" s="2">
        <f>SUMIF(Detalle!$B$2:$B$162,B39,Detalle!$G$2:$G$162)</f>
        <v/>
      </c>
      <c r="G39" s="2">
        <f>IF(COUNTIF($A$2:A39,A39)=1,SUMIF(Detalle!$A$2:$A$162,A39,Detalle!$F$2:$F$162),"")</f>
        <v/>
      </c>
      <c r="H39" s="2">
        <f>IF(COUNTIF($A$2:A39,A39)=1,SUMIF(Detalle!$A$2:$A$162,A39,Detalle!$G$2:$G$162),"")</f>
        <v/>
      </c>
    </row>
    <row r="40">
      <c r="A40" s="2" t="inlineStr">
        <is>
          <t>K62 - XANADU</t>
        </is>
      </c>
      <c r="B40" s="2" t="inlineStr">
        <is>
          <t>S-6665003395</t>
        </is>
      </c>
      <c r="C40" s="2" t="inlineStr">
        <is>
          <t>121770916</t>
        </is>
      </c>
      <c r="D40" s="2">
        <f>COUNTIF(Detalle!$B$2:$B$162,B40)</f>
        <v/>
      </c>
      <c r="E40" s="2">
        <f>SUMIF(Detalle!$B$2:$B$162,B40,Detalle!$F$2:$F$162)</f>
        <v/>
      </c>
      <c r="F40" s="2">
        <f>SUMIF(Detalle!$B$2:$B$162,B40,Detalle!$G$2:$G$162)</f>
        <v/>
      </c>
      <c r="G40" s="2">
        <f>IF(COUNTIF($A$2:A40,A40)=1,SUMIF(Detalle!$A$2:$A$162,A40,Detalle!$F$2:$F$162),"")</f>
        <v/>
      </c>
      <c r="H40" s="2">
        <f>IF(COUNTIF($A$2:A40,A40)=1,SUMIF(Detalle!$A$2:$A$162,A40,Detalle!$G$2:$G$162),"")</f>
        <v/>
      </c>
    </row>
    <row r="41">
      <c r="A41" s="2" t="inlineStr">
        <is>
          <t>K62 - XANADU</t>
        </is>
      </c>
      <c r="B41" s="2" t="inlineStr">
        <is>
          <t>S-6665003447</t>
        </is>
      </c>
      <c r="C41" s="2" t="inlineStr">
        <is>
          <t>121770916</t>
        </is>
      </c>
      <c r="D41" s="2">
        <f>COUNTIF(Detalle!$B$2:$B$162,B41)</f>
        <v/>
      </c>
      <c r="E41" s="2">
        <f>SUMIF(Detalle!$B$2:$B$162,B41,Detalle!$F$2:$F$162)</f>
        <v/>
      </c>
      <c r="F41" s="2">
        <f>SUMIF(Detalle!$B$2:$B$162,B41,Detalle!$G$2:$G$162)</f>
        <v/>
      </c>
      <c r="G41" s="2">
        <f>IF(COUNTIF($A$2:A41,A41)=1,SUMIF(Detalle!$A$2:$A$162,A41,Detalle!$F$2:$F$162),"")</f>
        <v/>
      </c>
      <c r="H41" s="2">
        <f>IF(COUNTIF($A$2:A41,A41)=1,SUMIF(Detalle!$A$2:$A$162,A41,Detalle!$G$2:$G$162),"")</f>
        <v/>
      </c>
    </row>
    <row r="42">
      <c r="A42" s="2" t="inlineStr">
        <is>
          <t>K63 - ALCALÁ MAGNA</t>
        </is>
      </c>
      <c r="B42" s="2" t="inlineStr">
        <is>
          <t>S-6665003396</t>
        </is>
      </c>
      <c r="C42" s="2" t="inlineStr">
        <is>
          <t>121770917</t>
        </is>
      </c>
      <c r="D42" s="2">
        <f>COUNTIF(Detalle!$B$2:$B$162,B42)</f>
        <v/>
      </c>
      <c r="E42" s="2">
        <f>SUMIF(Detalle!$B$2:$B$162,B42,Detalle!$F$2:$F$162)</f>
        <v/>
      </c>
      <c r="F42" s="2">
        <f>SUMIF(Detalle!$B$2:$B$162,B42,Detalle!$G$2:$G$162)</f>
        <v/>
      </c>
      <c r="G42" s="2">
        <f>IF(COUNTIF($A$2:A42,A42)=1,SUMIF(Detalle!$A$2:$A$162,A42,Detalle!$F$2:$F$162),"")</f>
        <v/>
      </c>
      <c r="H42" s="2">
        <f>IF(COUNTIF($A$2:A42,A42)=1,SUMIF(Detalle!$A$2:$A$162,A42,Detalle!$G$2:$G$162),"")</f>
        <v/>
      </c>
    </row>
    <row r="43">
      <c r="A43" s="2" t="inlineStr">
        <is>
          <t>K63 - ALCALÁ MAGNA</t>
        </is>
      </c>
      <c r="B43" s="2" t="inlineStr">
        <is>
          <t>S-6665003448</t>
        </is>
      </c>
      <c r="C43" s="2" t="inlineStr">
        <is>
          <t>121770917</t>
        </is>
      </c>
      <c r="D43" s="2">
        <f>COUNTIF(Detalle!$B$2:$B$162,B43)</f>
        <v/>
      </c>
      <c r="E43" s="2">
        <f>SUMIF(Detalle!$B$2:$B$162,B43,Detalle!$F$2:$F$162)</f>
        <v/>
      </c>
      <c r="F43" s="2">
        <f>SUMIF(Detalle!$B$2:$B$162,B43,Detalle!$G$2:$G$162)</f>
        <v/>
      </c>
      <c r="G43" s="2">
        <f>IF(COUNTIF($A$2:A43,A43)=1,SUMIF(Detalle!$A$2:$A$162,A43,Detalle!$F$2:$F$162),"")</f>
        <v/>
      </c>
      <c r="H43" s="2">
        <f>IF(COUNTIF($A$2:A43,A43)=1,SUMIF(Detalle!$A$2:$A$162,A43,Detalle!$G$2:$G$162),"")</f>
        <v/>
      </c>
    </row>
    <row r="44">
      <c r="A44" s="2" t="inlineStr">
        <is>
          <t>K65 - BARICENTRO</t>
        </is>
      </c>
      <c r="B44" s="2" t="inlineStr">
        <is>
          <t>S-6665003397</t>
        </is>
      </c>
      <c r="C44" s="2" t="inlineStr">
        <is>
          <t>121770910</t>
        </is>
      </c>
      <c r="D44" s="2">
        <f>COUNTIF(Detalle!$B$2:$B$162,B44)</f>
        <v/>
      </c>
      <c r="E44" s="2">
        <f>SUMIF(Detalle!$B$2:$B$162,B44,Detalle!$F$2:$F$162)</f>
        <v/>
      </c>
      <c r="F44" s="2">
        <f>SUMIF(Detalle!$B$2:$B$162,B44,Detalle!$G$2:$G$162)</f>
        <v/>
      </c>
      <c r="G44" s="2">
        <f>IF(COUNTIF($A$2:A44,A44)=1,SUMIF(Detalle!$A$2:$A$162,A44,Detalle!$F$2:$F$162),"")</f>
        <v/>
      </c>
      <c r="H44" s="2">
        <f>IF(COUNTIF($A$2:A44,A44)=1,SUMIF(Detalle!$A$2:$A$162,A44,Detalle!$G$2:$G$162),"")</f>
        <v/>
      </c>
    </row>
    <row r="45">
      <c r="A45" s="2" t="inlineStr">
        <is>
          <t>K65 - BARICENTRO</t>
        </is>
      </c>
      <c r="B45" s="2" t="inlineStr">
        <is>
          <t>S-6665003449</t>
        </is>
      </c>
      <c r="C45" s="2" t="inlineStr">
        <is>
          <t>121770910</t>
        </is>
      </c>
      <c r="D45" s="2">
        <f>COUNTIF(Detalle!$B$2:$B$162,B45)</f>
        <v/>
      </c>
      <c r="E45" s="2">
        <f>SUMIF(Detalle!$B$2:$B$162,B45,Detalle!$F$2:$F$162)</f>
        <v/>
      </c>
      <c r="F45" s="2">
        <f>SUMIF(Detalle!$B$2:$B$162,B45,Detalle!$G$2:$G$162)</f>
        <v/>
      </c>
      <c r="G45" s="2">
        <f>IF(COUNTIF($A$2:A45,A45)=1,SUMIF(Detalle!$A$2:$A$162,A45,Detalle!$F$2:$F$162),"")</f>
        <v/>
      </c>
      <c r="H45" s="2">
        <f>IF(COUNTIF($A$2:A45,A45)=1,SUMIF(Detalle!$A$2:$A$162,A45,Detalle!$G$2:$G$162),"")</f>
        <v/>
      </c>
    </row>
    <row r="46">
      <c r="A46" s="2" t="inlineStr">
        <is>
          <t>K72 - DIAGONAL MAR</t>
        </is>
      </c>
      <c r="B46" s="2" t="inlineStr">
        <is>
          <t>S-6665003401</t>
        </is>
      </c>
      <c r="C46" s="2" t="inlineStr">
        <is>
          <t>121770915</t>
        </is>
      </c>
      <c r="D46" s="2">
        <f>COUNTIF(Detalle!$B$2:$B$162,B46)</f>
        <v/>
      </c>
      <c r="E46" s="2">
        <f>SUMIF(Detalle!$B$2:$B$162,B46,Detalle!$F$2:$F$162)</f>
        <v/>
      </c>
      <c r="F46" s="2">
        <f>SUMIF(Detalle!$B$2:$B$162,B46,Detalle!$G$2:$G$162)</f>
        <v/>
      </c>
      <c r="G46" s="2">
        <f>IF(COUNTIF($A$2:A46,A46)=1,SUMIF(Detalle!$A$2:$A$162,A46,Detalle!$F$2:$F$162),"")</f>
        <v/>
      </c>
      <c r="H46" s="2">
        <f>IF(COUNTIF($A$2:A46,A46)=1,SUMIF(Detalle!$A$2:$A$162,A46,Detalle!$G$2:$G$162),"")</f>
        <v/>
      </c>
    </row>
    <row r="47">
      <c r="A47" s="2" t="inlineStr">
        <is>
          <t>K72 - DIAGONAL MAR</t>
        </is>
      </c>
      <c r="B47" s="2" t="inlineStr">
        <is>
          <t>S-6665003453</t>
        </is>
      </c>
      <c r="C47" s="2" t="inlineStr">
        <is>
          <t>121770915</t>
        </is>
      </c>
      <c r="D47" s="2">
        <f>COUNTIF(Detalle!$B$2:$B$162,B47)</f>
        <v/>
      </c>
      <c r="E47" s="2">
        <f>SUMIF(Detalle!$B$2:$B$162,B47,Detalle!$F$2:$F$162)</f>
        <v/>
      </c>
      <c r="F47" s="2">
        <f>SUMIF(Detalle!$B$2:$B$162,B47,Detalle!$G$2:$G$162)</f>
        <v/>
      </c>
      <c r="G47" s="2">
        <f>IF(COUNTIF($A$2:A47,A47)=1,SUMIF(Detalle!$A$2:$A$162,A47,Detalle!$F$2:$F$162),"")</f>
        <v/>
      </c>
      <c r="H47" s="2">
        <f>IF(COUNTIF($A$2:A47,A47)=1,SUMIF(Detalle!$A$2:$A$162,A47,Detalle!$G$2:$G$162),"")</f>
        <v/>
      </c>
    </row>
    <row r="48">
      <c r="A48" s="2" t="inlineStr">
        <is>
          <t>K74 - CC SALERA</t>
        </is>
      </c>
      <c r="B48" s="2" t="inlineStr">
        <is>
          <t>S-6665003403</t>
        </is>
      </c>
      <c r="C48" s="2" t="inlineStr">
        <is>
          <t>121770911</t>
        </is>
      </c>
      <c r="D48" s="2">
        <f>COUNTIF(Detalle!$B$2:$B$162,B48)</f>
        <v/>
      </c>
      <c r="E48" s="2">
        <f>SUMIF(Detalle!$B$2:$B$162,B48,Detalle!$F$2:$F$162)</f>
        <v/>
      </c>
      <c r="F48" s="2">
        <f>SUMIF(Detalle!$B$2:$B$162,B48,Detalle!$G$2:$G$162)</f>
        <v/>
      </c>
      <c r="G48" s="2">
        <f>IF(COUNTIF($A$2:A48,A48)=1,SUMIF(Detalle!$A$2:$A$162,A48,Detalle!$F$2:$F$162),"")</f>
        <v/>
      </c>
      <c r="H48" s="2">
        <f>IF(COUNTIF($A$2:A48,A48)=1,SUMIF(Detalle!$A$2:$A$162,A48,Detalle!$G$2:$G$162),"")</f>
        <v/>
      </c>
    </row>
    <row r="49">
      <c r="A49" s="2" t="inlineStr">
        <is>
          <t>K77 - CC SANT CUGAT</t>
        </is>
      </c>
      <c r="B49" s="2" t="inlineStr">
        <is>
          <t>S-6665003405</t>
        </is>
      </c>
      <c r="C49" s="2" t="inlineStr">
        <is>
          <t>121770909</t>
        </is>
      </c>
      <c r="D49" s="2">
        <f>COUNTIF(Detalle!$B$2:$B$162,B49)</f>
        <v/>
      </c>
      <c r="E49" s="2">
        <f>SUMIF(Detalle!$B$2:$B$162,B49,Detalle!$F$2:$F$162)</f>
        <v/>
      </c>
      <c r="F49" s="2">
        <f>SUMIF(Detalle!$B$2:$B$162,B49,Detalle!$G$2:$G$162)</f>
        <v/>
      </c>
      <c r="G49" s="2">
        <f>IF(COUNTIF($A$2:A49,A49)=1,SUMIF(Detalle!$A$2:$A$162,A49,Detalle!$F$2:$F$162),"")</f>
        <v/>
      </c>
      <c r="H49" s="2">
        <f>IF(COUNTIF($A$2:A49,A49)=1,SUMIF(Detalle!$A$2:$A$162,A49,Detalle!$G$2:$G$162),"")</f>
        <v/>
      </c>
    </row>
    <row r="50">
      <c r="A50" s="2" t="inlineStr">
        <is>
          <t>K77 - CC SANT CUGAT</t>
        </is>
      </c>
      <c r="B50" s="2" t="inlineStr">
        <is>
          <t>S-6665003415</t>
        </is>
      </c>
      <c r="C50" s="2" t="inlineStr">
        <is>
          <t>121770909</t>
        </is>
      </c>
      <c r="D50" s="2">
        <f>COUNTIF(Detalle!$B$2:$B$162,B50)</f>
        <v/>
      </c>
      <c r="E50" s="2">
        <f>SUMIF(Detalle!$B$2:$B$162,B50,Detalle!$F$2:$F$162)</f>
        <v/>
      </c>
      <c r="F50" s="2">
        <f>SUMIF(Detalle!$B$2:$B$162,B50,Detalle!$G$2:$G$162)</f>
        <v/>
      </c>
      <c r="G50" s="2">
        <f>IF(COUNTIF($A$2:A50,A50)=1,SUMIF(Detalle!$A$2:$A$162,A50,Detalle!$F$2:$F$162),"")</f>
        <v/>
      </c>
      <c r="H50" s="2">
        <f>IF(COUNTIF($A$2:A50,A50)=1,SUMIF(Detalle!$A$2:$A$162,A50,Detalle!$G$2:$G$162),"")</f>
        <v/>
      </c>
    </row>
    <row r="51">
      <c r="A51" s="2" t="inlineStr">
        <is>
          <t>K78 - PLAZA NORTE 2</t>
        </is>
      </c>
      <c r="B51" s="2" t="inlineStr">
        <is>
          <t>S-6665003406</t>
        </is>
      </c>
      <c r="C51" s="2" t="inlineStr">
        <is>
          <t>121770913</t>
        </is>
      </c>
      <c r="D51" s="2">
        <f>COUNTIF(Detalle!$B$2:$B$162,B51)</f>
        <v/>
      </c>
      <c r="E51" s="2">
        <f>SUMIF(Detalle!$B$2:$B$162,B51,Detalle!$F$2:$F$162)</f>
        <v/>
      </c>
      <c r="F51" s="2">
        <f>SUMIF(Detalle!$B$2:$B$162,B51,Detalle!$G$2:$G$162)</f>
        <v/>
      </c>
      <c r="G51" s="2">
        <f>IF(COUNTIF($A$2:A51,A51)=1,SUMIF(Detalle!$A$2:$A$162,A51,Detalle!$F$2:$F$162),"")</f>
        <v/>
      </c>
      <c r="H51" s="2">
        <f>IF(COUNTIF($A$2:A51,A51)=1,SUMIF(Detalle!$A$2:$A$162,A51,Detalle!$G$2:$G$162),"")</f>
        <v/>
      </c>
    </row>
    <row r="52">
      <c r="A52" s="2" t="inlineStr">
        <is>
          <t>K83 - GARBERA NEW</t>
        </is>
      </c>
      <c r="B52" s="2" t="inlineStr">
        <is>
          <t>S-6665003411</t>
        </is>
      </c>
      <c r="C52" s="2" t="inlineStr">
        <is>
          <t>121770908</t>
        </is>
      </c>
      <c r="D52" s="2">
        <f>COUNTIF(Detalle!$B$2:$B$162,B52)</f>
        <v/>
      </c>
      <c r="E52" s="2">
        <f>SUMIF(Detalle!$B$2:$B$162,B52,Detalle!$F$2:$F$162)</f>
        <v/>
      </c>
      <c r="F52" s="2">
        <f>SUMIF(Detalle!$B$2:$B$162,B52,Detalle!$G$2:$G$162)</f>
        <v/>
      </c>
      <c r="G52" s="2">
        <f>IF(COUNTIF($A$2:A52,A52)=1,SUMIF(Detalle!$A$2:$A$162,A52,Detalle!$F$2:$F$162),"")</f>
        <v/>
      </c>
      <c r="H52" s="2">
        <f>IF(COUNTIF($A$2:A52,A52)=1,SUMIF(Detalle!$A$2:$A$162,A52,Detalle!$G$2:$G$162),"")</f>
        <v/>
      </c>
    </row>
    <row r="53">
      <c r="A53" s="2" t="inlineStr">
        <is>
          <t>K85 - PLATJA D'ARO</t>
        </is>
      </c>
      <c r="B53" s="2" t="inlineStr">
        <is>
          <t>S-6665003412</t>
        </is>
      </c>
      <c r="C53" s="2" t="inlineStr">
        <is>
          <t>121770919</t>
        </is>
      </c>
      <c r="D53" s="2">
        <f>COUNTIF(Detalle!$B$2:$B$162,B53)</f>
        <v/>
      </c>
      <c r="E53" s="2">
        <f>SUMIF(Detalle!$B$2:$B$162,B53,Detalle!$F$2:$F$162)</f>
        <v/>
      </c>
      <c r="F53" s="2">
        <f>SUMIF(Detalle!$B$2:$B$162,B53,Detalle!$G$2:$G$162)</f>
        <v/>
      </c>
      <c r="G53" s="2">
        <f>IF(COUNTIF($A$2:A53,A53)=1,SUMIF(Detalle!$A$2:$A$162,A53,Detalle!$F$2:$F$162),"")</f>
        <v/>
      </c>
      <c r="H53" s="2">
        <f>IF(COUNTIF($A$2:A53,A53)=1,SUMIF(Detalle!$A$2:$A$162,A53,Detalle!$G$2:$G$162),"")</f>
        <v/>
      </c>
    </row>
    <row r="54">
      <c r="A54" s="2" t="inlineStr">
        <is>
          <t>K86 - L'ALJUB (ELX)</t>
        </is>
      </c>
      <c r="B54" s="2" t="inlineStr">
        <is>
          <t>S-6665003413</t>
        </is>
      </c>
      <c r="C54" s="2" t="inlineStr">
        <is>
          <t>121770918</t>
        </is>
      </c>
      <c r="D54" s="2">
        <f>COUNTIF(Detalle!$B$2:$B$162,B54)</f>
        <v/>
      </c>
      <c r="E54" s="2">
        <f>SUMIF(Detalle!$B$2:$B$162,B54,Detalle!$F$2:$F$162)</f>
        <v/>
      </c>
      <c r="F54" s="2">
        <f>SUMIF(Detalle!$B$2:$B$162,B54,Detalle!$G$2:$G$162)</f>
        <v/>
      </c>
      <c r="G54" s="2">
        <f>IF(COUNTIF($A$2:A54,A54)=1,SUMIF(Detalle!$A$2:$A$162,A54,Detalle!$F$2:$F$162),"")</f>
        <v/>
      </c>
      <c r="H54" s="2">
        <f>IF(COUNTIF($A$2:A54,A54)=1,SUMIF(Detalle!$A$2:$A$162,A54,Detalle!$G$2:$G$162),"")</f>
        <v/>
      </c>
    </row>
    <row r="55">
      <c r="A55" s="3" t="inlineStr">
        <is>
          <t>TOTAL</t>
        </is>
      </c>
      <c r="B55" s="3">
        <f>COUNTA(B2:B54)&amp;" pedidos"</f>
        <v/>
      </c>
      <c r="C55" s="3" t="n"/>
      <c r="D55" s="3">
        <f>SUM(D2:D54)</f>
        <v/>
      </c>
      <c r="E55" s="3">
        <f>SUM(E2:E54)</f>
        <v/>
      </c>
      <c r="F55" s="3">
        <f>SUM(F2:F54)</f>
        <v/>
      </c>
      <c r="G55" s="3">
        <f>SUM(G2:G54)</f>
        <v/>
      </c>
      <c r="H55" s="3">
        <f>SUM(H2:H54)</f>
        <v/>
      </c>
    </row>
    <row r="57">
      <c r="A57" s="4" t="inlineStr">
        <is>
          <t>Datos: listado de OUT de XPO sacado de Odoo: OUT con etiqueta XPO generada el 23/10/2026 (a las 13:00 aprox.). K86: la OUT 20964 tiene -4 bultos en Odoo (error del modulo de bultos): revisar.</t>
        </is>
      </c>
    </row>
  </sheetData>
  <autoFilter ref="A1:H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3" customWidth="1" min="4" max="4"/>
    <col width="13" customWidth="1" min="5" max="5"/>
    <col width="10" customWidth="1" min="6" max="6"/>
    <col width="9" customWidth="1" min="7" max="7"/>
  </cols>
  <sheetData>
    <row r="1">
      <c r="A1" s="1" t="inlineStr">
        <is>
          <t>Tienda</t>
        </is>
      </c>
      <c r="B1" s="1" t="inlineStr">
        <is>
          <t>Documento origen</t>
        </is>
      </c>
      <c r="C1" s="1" t="inlineStr">
        <is>
          <t>Referencia</t>
        </is>
      </c>
      <c r="D1" s="1" t="inlineStr">
        <is>
          <t>Transportista</t>
        </is>
      </c>
      <c r="E1" s="1" t="inlineStr">
        <is>
          <t>Seguimiento</t>
        </is>
      </c>
      <c r="F1" s="1" t="inlineStr">
        <is>
          <t>Unidades</t>
        </is>
      </c>
      <c r="G1" s="1" t="inlineStr">
        <is>
          <t>Bultos</t>
        </is>
      </c>
    </row>
    <row r="2">
      <c r="A2" s="2" t="inlineStr">
        <is>
          <t>K7 - ISLAZUL</t>
        </is>
      </c>
      <c r="B2" s="2" t="inlineStr">
        <is>
          <t>S-6665003365</t>
        </is>
      </c>
      <c r="C2" s="2" t="inlineStr">
        <is>
          <t>EFFEC/OUT/20412</t>
        </is>
      </c>
      <c r="D2" s="2" t="inlineStr">
        <is>
          <t>XPO ES</t>
        </is>
      </c>
      <c r="E2" s="2" t="inlineStr">
        <is>
          <t>121770892</t>
        </is>
      </c>
      <c r="F2" s="2" t="n">
        <v>13</v>
      </c>
      <c r="G2" s="2" t="n">
        <v>0</v>
      </c>
    </row>
    <row r="3">
      <c r="A3" s="2" t="inlineStr">
        <is>
          <t>K7 - ISLAZUL</t>
        </is>
      </c>
      <c r="B3" s="2" t="inlineStr">
        <is>
          <t>S-6665003365</t>
        </is>
      </c>
      <c r="C3" s="2" t="inlineStr">
        <is>
          <t>EFFEC/OUT/20779</t>
        </is>
      </c>
      <c r="D3" s="2" t="inlineStr">
        <is>
          <t>XPO ES</t>
        </is>
      </c>
      <c r="E3" s="2" t="inlineStr">
        <is>
          <t>121770892</t>
        </is>
      </c>
      <c r="F3" s="2" t="n">
        <v>4</v>
      </c>
      <c r="G3" s="2" t="n">
        <v>1</v>
      </c>
    </row>
    <row r="4">
      <c r="A4" s="2" t="inlineStr">
        <is>
          <t>K7 - ISLAZUL</t>
        </is>
      </c>
      <c r="B4" s="2" t="inlineStr">
        <is>
          <t>S-6665003365</t>
        </is>
      </c>
      <c r="C4" s="2" t="inlineStr">
        <is>
          <t>EFFEC/OUT/20780</t>
        </is>
      </c>
      <c r="D4" s="2" t="inlineStr">
        <is>
          <t>XPO ES</t>
        </is>
      </c>
      <c r="E4" s="2" t="inlineStr">
        <is>
          <t>121770892</t>
        </is>
      </c>
      <c r="F4" s="2" t="n">
        <v>4</v>
      </c>
      <c r="G4" s="2" t="n">
        <v>1</v>
      </c>
    </row>
    <row r="5">
      <c r="A5" s="2" t="inlineStr">
        <is>
          <t>K7 - ISLAZUL</t>
        </is>
      </c>
      <c r="B5" s="2" t="inlineStr">
        <is>
          <t>S-6665003365</t>
        </is>
      </c>
      <c r="C5" s="2" t="inlineStr">
        <is>
          <t>EFFEC/OUT/20781</t>
        </is>
      </c>
      <c r="D5" s="2" t="inlineStr">
        <is>
          <t>XPO ES</t>
        </is>
      </c>
      <c r="E5" s="2" t="inlineStr">
        <is>
          <t>121770892</t>
        </is>
      </c>
      <c r="F5" s="2" t="n">
        <v>3</v>
      </c>
      <c r="G5" s="2" t="n">
        <v>0</v>
      </c>
    </row>
    <row r="6">
      <c r="A6" s="2" t="inlineStr">
        <is>
          <t>K7 - ISLAZUL</t>
        </is>
      </c>
      <c r="B6" s="2" t="inlineStr">
        <is>
          <t>S-6665003365</t>
        </is>
      </c>
      <c r="C6" s="2" t="inlineStr">
        <is>
          <t>EFFEC/OUT/20782</t>
        </is>
      </c>
      <c r="D6" s="2" t="inlineStr">
        <is>
          <t>XPO ES</t>
        </is>
      </c>
      <c r="E6" s="2" t="inlineStr">
        <is>
          <t>121770892</t>
        </is>
      </c>
      <c r="F6" s="2" t="n">
        <v>1</v>
      </c>
      <c r="G6" s="2" t="n">
        <v>0</v>
      </c>
    </row>
    <row r="7">
      <c r="A7" s="2" t="inlineStr">
        <is>
          <t>K7 - ISLAZUL</t>
        </is>
      </c>
      <c r="B7" s="2" t="inlineStr">
        <is>
          <t>S-6665003417</t>
        </is>
      </c>
      <c r="C7" s="2" t="inlineStr">
        <is>
          <t>EFFEC/OUT/21040</t>
        </is>
      </c>
      <c r="D7" s="2" t="inlineStr">
        <is>
          <t>XPO ES</t>
        </is>
      </c>
      <c r="E7" s="2" t="inlineStr">
        <is>
          <t>121770892</t>
        </is>
      </c>
      <c r="F7" s="2" t="n">
        <v>83</v>
      </c>
      <c r="G7" s="2" t="n">
        <v>6</v>
      </c>
    </row>
    <row r="8">
      <c r="A8" s="2" t="inlineStr">
        <is>
          <t>K9 - BALLONTI</t>
        </is>
      </c>
      <c r="B8" s="2" t="inlineStr">
        <is>
          <t>S-6665003367</t>
        </is>
      </c>
      <c r="C8" s="2" t="inlineStr">
        <is>
          <t>EFFEC/OUT/20414</t>
        </is>
      </c>
      <c r="D8" s="2" t="inlineStr">
        <is>
          <t>XPO ES</t>
        </is>
      </c>
      <c r="E8" s="2" t="inlineStr">
        <is>
          <t>121770893</t>
        </is>
      </c>
      <c r="F8" s="2" t="n">
        <v>17</v>
      </c>
      <c r="G8" s="2" t="n">
        <v>1</v>
      </c>
    </row>
    <row r="9">
      <c r="A9" s="2" t="inlineStr">
        <is>
          <t>K9 - BALLONTI</t>
        </is>
      </c>
      <c r="B9" s="2" t="inlineStr">
        <is>
          <t>S-6665003367</t>
        </is>
      </c>
      <c r="C9" s="2" t="inlineStr">
        <is>
          <t>EFFEC/OUT/20787</t>
        </is>
      </c>
      <c r="D9" s="2" t="inlineStr">
        <is>
          <t>XPO ES</t>
        </is>
      </c>
      <c r="E9" s="2" t="inlineStr">
        <is>
          <t>121770893</t>
        </is>
      </c>
      <c r="F9" s="2" t="n">
        <v>6</v>
      </c>
      <c r="G9" s="2" t="n">
        <v>1</v>
      </c>
    </row>
    <row r="10">
      <c r="A10" s="2" t="inlineStr">
        <is>
          <t>K9 - BALLONTI</t>
        </is>
      </c>
      <c r="B10" s="2" t="inlineStr">
        <is>
          <t>S-6665003367</t>
        </is>
      </c>
      <c r="C10" s="2" t="inlineStr">
        <is>
          <t>EFFEC/OUT/20788</t>
        </is>
      </c>
      <c r="D10" s="2" t="inlineStr">
        <is>
          <t>XPO ES</t>
        </is>
      </c>
      <c r="E10" s="2" t="inlineStr">
        <is>
          <t>121770893</t>
        </is>
      </c>
      <c r="F10" s="2" t="n">
        <v>11</v>
      </c>
      <c r="G10" s="2" t="n">
        <v>2</v>
      </c>
    </row>
    <row r="11">
      <c r="A11" s="2" t="inlineStr">
        <is>
          <t>K9 - BALLONTI</t>
        </is>
      </c>
      <c r="B11" s="2" t="inlineStr">
        <is>
          <t>S-6665003367</t>
        </is>
      </c>
      <c r="C11" s="2" t="inlineStr">
        <is>
          <t>EFFEC/OUT/20789</t>
        </is>
      </c>
      <c r="D11" s="2" t="inlineStr">
        <is>
          <t>XPO ES</t>
        </is>
      </c>
      <c r="E11" s="2" t="inlineStr">
        <is>
          <t>121770893</t>
        </is>
      </c>
      <c r="F11" s="2" t="n">
        <v>16</v>
      </c>
      <c r="G11" s="2" t="n">
        <v>3</v>
      </c>
    </row>
    <row r="12">
      <c r="A12" s="2" t="inlineStr">
        <is>
          <t>K9 - BALLONTI</t>
        </is>
      </c>
      <c r="B12" s="2" t="inlineStr">
        <is>
          <t>S-6665003367</t>
        </is>
      </c>
      <c r="C12" s="2" t="inlineStr">
        <is>
          <t>EFFEC/OUT/20790</t>
        </is>
      </c>
      <c r="D12" s="2" t="inlineStr">
        <is>
          <t>XPO ES</t>
        </is>
      </c>
      <c r="E12" s="2" t="inlineStr">
        <is>
          <t>121770893</t>
        </is>
      </c>
      <c r="F12" s="2" t="n">
        <v>16</v>
      </c>
      <c r="G12" s="2" t="n">
        <v>2</v>
      </c>
    </row>
    <row r="13">
      <c r="A13" s="2" t="inlineStr">
        <is>
          <t>K9 - BALLONTI</t>
        </is>
      </c>
      <c r="B13" s="2" t="inlineStr">
        <is>
          <t>S-6665003367</t>
        </is>
      </c>
      <c r="C13" s="2" t="inlineStr">
        <is>
          <t>EFFEC/OUT/20791</t>
        </is>
      </c>
      <c r="D13" s="2" t="inlineStr">
        <is>
          <t>XPO ES</t>
        </is>
      </c>
      <c r="E13" s="2" t="inlineStr">
        <is>
          <t>121770893</t>
        </is>
      </c>
      <c r="F13" s="2" t="n">
        <v>1</v>
      </c>
      <c r="G13" s="2" t="n">
        <v>0</v>
      </c>
    </row>
    <row r="14">
      <c r="A14" s="2" t="inlineStr">
        <is>
          <t>K9 - BALLONTI</t>
        </is>
      </c>
      <c r="B14" s="2" t="inlineStr">
        <is>
          <t>S-6665003419</t>
        </is>
      </c>
      <c r="C14" s="2" t="inlineStr">
        <is>
          <t>EFFEC/OUT/21042</t>
        </is>
      </c>
      <c r="D14" s="2" t="inlineStr">
        <is>
          <t>XPO ES</t>
        </is>
      </c>
      <c r="E14" s="2" t="inlineStr">
        <is>
          <t>121770893</t>
        </is>
      </c>
      <c r="F14" s="2" t="n">
        <v>92</v>
      </c>
      <c r="G14" s="2" t="n">
        <v>7</v>
      </c>
    </row>
    <row r="15">
      <c r="A15" s="2" t="inlineStr">
        <is>
          <t>K24 - VALLADOLID</t>
        </is>
      </c>
      <c r="B15" s="2" t="inlineStr">
        <is>
          <t>S-6665003371</t>
        </is>
      </c>
      <c r="C15" s="2" t="inlineStr">
        <is>
          <t>EFFEC/OUT/20418</t>
        </is>
      </c>
      <c r="D15" s="2" t="inlineStr">
        <is>
          <t>XPO ES</t>
        </is>
      </c>
      <c r="E15" s="2" t="inlineStr">
        <is>
          <t>121770894</t>
        </is>
      </c>
      <c r="F15" s="2" t="n">
        <v>18</v>
      </c>
      <c r="G15" s="2" t="n">
        <v>2</v>
      </c>
    </row>
    <row r="16">
      <c r="A16" s="2" t="inlineStr">
        <is>
          <t>K24 - VALLADOLID</t>
        </is>
      </c>
      <c r="B16" s="2" t="inlineStr">
        <is>
          <t>S-6665003371</t>
        </is>
      </c>
      <c r="C16" s="2" t="inlineStr">
        <is>
          <t>EFFEC/OUT/20802</t>
        </is>
      </c>
      <c r="D16" s="2" t="inlineStr">
        <is>
          <t>XPO ES</t>
        </is>
      </c>
      <c r="E16" s="2" t="inlineStr">
        <is>
          <t>121770894</t>
        </is>
      </c>
      <c r="F16" s="2" t="n">
        <v>13</v>
      </c>
      <c r="G16" s="2" t="n">
        <v>1</v>
      </c>
    </row>
    <row r="17">
      <c r="A17" s="2" t="inlineStr">
        <is>
          <t>K24 - VALLADOLID</t>
        </is>
      </c>
      <c r="B17" s="2" t="inlineStr">
        <is>
          <t>S-6665003371</t>
        </is>
      </c>
      <c r="C17" s="2" t="inlineStr">
        <is>
          <t>EFFEC/OUT/20803</t>
        </is>
      </c>
      <c r="D17" s="2" t="inlineStr">
        <is>
          <t>XPO ES</t>
        </is>
      </c>
      <c r="E17" s="2" t="inlineStr">
        <is>
          <t>121770894</t>
        </is>
      </c>
      <c r="F17" s="2" t="n">
        <v>12</v>
      </c>
      <c r="G17" s="2" t="n">
        <v>1</v>
      </c>
    </row>
    <row r="18">
      <c r="A18" s="2" t="inlineStr">
        <is>
          <t>K24 - VALLADOLID</t>
        </is>
      </c>
      <c r="B18" s="2" t="inlineStr">
        <is>
          <t>S-6665003371</t>
        </is>
      </c>
      <c r="C18" s="2" t="inlineStr">
        <is>
          <t>EFFEC/OUT/20804</t>
        </is>
      </c>
      <c r="D18" s="2" t="inlineStr">
        <is>
          <t>XPO ES</t>
        </is>
      </c>
      <c r="E18" s="2" t="inlineStr">
        <is>
          <t>121770894</t>
        </is>
      </c>
      <c r="F18" s="2" t="n">
        <v>10</v>
      </c>
      <c r="G18" s="2" t="n">
        <v>2</v>
      </c>
    </row>
    <row r="19">
      <c r="A19" s="2" t="inlineStr">
        <is>
          <t>K24 - VALLADOLID</t>
        </is>
      </c>
      <c r="B19" s="2" t="inlineStr">
        <is>
          <t>S-6665003371</t>
        </is>
      </c>
      <c r="C19" s="2" t="inlineStr">
        <is>
          <t>EFFEC/OUT/20805</t>
        </is>
      </c>
      <c r="D19" s="2" t="inlineStr">
        <is>
          <t>XPO ES</t>
        </is>
      </c>
      <c r="E19" s="2" t="inlineStr">
        <is>
          <t>121770894</t>
        </is>
      </c>
      <c r="F19" s="2" t="n">
        <v>18</v>
      </c>
      <c r="G19" s="2" t="n">
        <v>3</v>
      </c>
    </row>
    <row r="20">
      <c r="A20" s="2" t="inlineStr">
        <is>
          <t>K24 - VALLADOLID</t>
        </is>
      </c>
      <c r="B20" s="2" t="inlineStr">
        <is>
          <t>S-6665003423</t>
        </is>
      </c>
      <c r="C20" s="2" t="inlineStr">
        <is>
          <t>EFFEC/OUT/21046</t>
        </is>
      </c>
      <c r="D20" s="2" t="inlineStr">
        <is>
          <t>XPO ES</t>
        </is>
      </c>
      <c r="E20" s="2" t="inlineStr">
        <is>
          <t>121770894</t>
        </is>
      </c>
      <c r="F20" s="2" t="n">
        <v>114</v>
      </c>
      <c r="G20" s="2" t="n">
        <v>10</v>
      </c>
    </row>
    <row r="21">
      <c r="A21" s="2" t="inlineStr">
        <is>
          <t>K29 - MARINEDA</t>
        </is>
      </c>
      <c r="B21" s="2" t="inlineStr">
        <is>
          <t>S-6665003373</t>
        </is>
      </c>
      <c r="C21" s="2" t="inlineStr">
        <is>
          <t>EFFEC/OUT/20420</t>
        </is>
      </c>
      <c r="D21" s="2" t="inlineStr">
        <is>
          <t>XPO ES</t>
        </is>
      </c>
      <c r="E21" s="2" t="inlineStr">
        <is>
          <t>121770895</t>
        </is>
      </c>
      <c r="F21" s="2" t="n">
        <v>15</v>
      </c>
      <c r="G21" s="2" t="n">
        <v>2</v>
      </c>
    </row>
    <row r="22">
      <c r="A22" s="2" t="inlineStr">
        <is>
          <t>K29 - MARINEDA</t>
        </is>
      </c>
      <c r="B22" s="2" t="inlineStr">
        <is>
          <t>S-6665003373</t>
        </is>
      </c>
      <c r="C22" s="2" t="inlineStr">
        <is>
          <t>EFFEC/OUT/20810</t>
        </is>
      </c>
      <c r="D22" s="2" t="inlineStr">
        <is>
          <t>XPO ES</t>
        </is>
      </c>
      <c r="E22" s="2" t="inlineStr">
        <is>
          <t>121770895</t>
        </is>
      </c>
      <c r="F22" s="2" t="n">
        <v>5</v>
      </c>
      <c r="G22" s="2" t="n">
        <v>1</v>
      </c>
    </row>
    <row r="23">
      <c r="A23" s="2" t="inlineStr">
        <is>
          <t>K29 - MARINEDA</t>
        </is>
      </c>
      <c r="B23" s="2" t="inlineStr">
        <is>
          <t>S-6665003373</t>
        </is>
      </c>
      <c r="C23" s="2" t="inlineStr">
        <is>
          <t>EFFEC/OUT/20811</t>
        </is>
      </c>
      <c r="D23" s="2" t="inlineStr">
        <is>
          <t>XPO ES</t>
        </is>
      </c>
      <c r="E23" s="2" t="inlineStr">
        <is>
          <t>121770895</t>
        </is>
      </c>
      <c r="F23" s="2" t="n">
        <v>8</v>
      </c>
      <c r="G23" s="2" t="n">
        <v>2</v>
      </c>
    </row>
    <row r="24">
      <c r="A24" s="2" t="inlineStr">
        <is>
          <t>K29 - MARINEDA</t>
        </is>
      </c>
      <c r="B24" s="2" t="inlineStr">
        <is>
          <t>S-6665003373</t>
        </is>
      </c>
      <c r="C24" s="2" t="inlineStr">
        <is>
          <t>EFFEC/OUT/20812</t>
        </is>
      </c>
      <c r="D24" s="2" t="inlineStr">
        <is>
          <t>XPO ES</t>
        </is>
      </c>
      <c r="E24" s="2" t="inlineStr">
        <is>
          <t>121770895</t>
        </is>
      </c>
      <c r="F24" s="2" t="n">
        <v>11</v>
      </c>
      <c r="G24" s="2" t="n">
        <v>2</v>
      </c>
    </row>
    <row r="25">
      <c r="A25" s="2" t="inlineStr">
        <is>
          <t>K29 - MARINEDA</t>
        </is>
      </c>
      <c r="B25" s="2" t="inlineStr">
        <is>
          <t>S-6665003425</t>
        </is>
      </c>
      <c r="C25" s="2" t="inlineStr">
        <is>
          <t>EFFEC/OUT/21048</t>
        </is>
      </c>
      <c r="D25" s="2" t="inlineStr">
        <is>
          <t>XPO ES</t>
        </is>
      </c>
      <c r="E25" s="2" t="inlineStr">
        <is>
          <t>121770895</t>
        </is>
      </c>
      <c r="F25" s="2" t="n">
        <v>40</v>
      </c>
      <c r="G25" s="2" t="n">
        <v>5</v>
      </c>
    </row>
    <row r="26">
      <c r="A26" s="2" t="inlineStr">
        <is>
          <t>K33 - PUERTO VENECIA</t>
        </is>
      </c>
      <c r="B26" s="2" t="inlineStr">
        <is>
          <t>S-6665003375</t>
        </is>
      </c>
      <c r="C26" s="2" t="inlineStr">
        <is>
          <t>EFFEC/OUT/20817</t>
        </is>
      </c>
      <c r="D26" s="2" t="inlineStr">
        <is>
          <t>XPO ES</t>
        </is>
      </c>
      <c r="E26" s="2" t="inlineStr">
        <is>
          <t>121770912</t>
        </is>
      </c>
      <c r="F26" s="2" t="n">
        <v>26</v>
      </c>
      <c r="G26" s="2" t="n">
        <v>1</v>
      </c>
    </row>
    <row r="27">
      <c r="A27" s="2" t="inlineStr">
        <is>
          <t>K33 - PUERTO VENECIA</t>
        </is>
      </c>
      <c r="B27" s="2" t="inlineStr">
        <is>
          <t>S-6665003427</t>
        </is>
      </c>
      <c r="C27" s="2" t="inlineStr">
        <is>
          <t>EFFEC/OUT/21050</t>
        </is>
      </c>
      <c r="D27" s="2" t="inlineStr">
        <is>
          <t>XPO ES</t>
        </is>
      </c>
      <c r="E27" s="2" t="inlineStr">
        <is>
          <t>121770912</t>
        </is>
      </c>
      <c r="F27" s="2" t="n">
        <v>71</v>
      </c>
      <c r="G27" s="2" t="n">
        <v>4</v>
      </c>
    </row>
    <row r="28">
      <c r="A28" s="2" t="inlineStr">
        <is>
          <t>K38 - ARTEA</t>
        </is>
      </c>
      <c r="B28" s="2" t="inlineStr">
        <is>
          <t>S-6665003378</t>
        </is>
      </c>
      <c r="C28" s="2" t="inlineStr">
        <is>
          <t>EFFEC/OUT/20425</t>
        </is>
      </c>
      <c r="D28" s="2" t="inlineStr">
        <is>
          <t>XPO ES</t>
        </is>
      </c>
      <c r="E28" s="2" t="inlineStr">
        <is>
          <t>121770896</t>
        </is>
      </c>
      <c r="F28" s="2" t="n">
        <v>23</v>
      </c>
      <c r="G28" s="2" t="n">
        <v>3</v>
      </c>
    </row>
    <row r="29">
      <c r="A29" s="2" t="inlineStr">
        <is>
          <t>K38 - ARTEA</t>
        </is>
      </c>
      <c r="B29" s="2" t="inlineStr">
        <is>
          <t>S-6665003378</t>
        </is>
      </c>
      <c r="C29" s="2" t="inlineStr">
        <is>
          <t>EFFEC/OUT/20830</t>
        </is>
      </c>
      <c r="D29" s="2" t="inlineStr">
        <is>
          <t>XPO ES</t>
        </is>
      </c>
      <c r="E29" s="2" t="inlineStr">
        <is>
          <t>121770896</t>
        </is>
      </c>
      <c r="F29" s="2" t="n">
        <v>12</v>
      </c>
      <c r="G29" s="2" t="n">
        <v>1</v>
      </c>
    </row>
    <row r="30">
      <c r="A30" s="2" t="inlineStr">
        <is>
          <t>K38 - ARTEA</t>
        </is>
      </c>
      <c r="B30" s="2" t="inlineStr">
        <is>
          <t>S-6665003378</t>
        </is>
      </c>
      <c r="C30" s="2" t="inlineStr">
        <is>
          <t>EFFEC/OUT/20831</t>
        </is>
      </c>
      <c r="D30" s="2" t="inlineStr">
        <is>
          <t>XPO ES</t>
        </is>
      </c>
      <c r="E30" s="2" t="inlineStr">
        <is>
          <t>121770896</t>
        </is>
      </c>
      <c r="F30" s="2" t="n">
        <v>8</v>
      </c>
      <c r="G30" s="2" t="n">
        <v>1</v>
      </c>
    </row>
    <row r="31">
      <c r="A31" s="2" t="inlineStr">
        <is>
          <t>K38 - ARTEA</t>
        </is>
      </c>
      <c r="B31" s="2" t="inlineStr">
        <is>
          <t>S-6665003378</t>
        </is>
      </c>
      <c r="C31" s="2" t="inlineStr">
        <is>
          <t>EFFEC/OUT/20832</t>
        </is>
      </c>
      <c r="D31" s="2" t="inlineStr">
        <is>
          <t>XPO ES</t>
        </is>
      </c>
      <c r="E31" s="2" t="inlineStr">
        <is>
          <t>121770896</t>
        </is>
      </c>
      <c r="F31" s="2" t="n">
        <v>11</v>
      </c>
      <c r="G31" s="2" t="n">
        <v>2</v>
      </c>
    </row>
    <row r="32">
      <c r="A32" s="2" t="inlineStr">
        <is>
          <t>K38 - ARTEA</t>
        </is>
      </c>
      <c r="B32" s="2" t="inlineStr">
        <is>
          <t>S-6665003378</t>
        </is>
      </c>
      <c r="C32" s="2" t="inlineStr">
        <is>
          <t>EFFEC/OUT/20833</t>
        </is>
      </c>
      <c r="D32" s="2" t="inlineStr">
        <is>
          <t>XPO ES</t>
        </is>
      </c>
      <c r="E32" s="2" t="inlineStr">
        <is>
          <t>121770896</t>
        </is>
      </c>
      <c r="F32" s="2" t="n">
        <v>11</v>
      </c>
      <c r="G32" s="2" t="n">
        <v>2</v>
      </c>
    </row>
    <row r="33">
      <c r="A33" s="2" t="inlineStr">
        <is>
          <t>K38 - ARTEA</t>
        </is>
      </c>
      <c r="B33" s="2" t="inlineStr">
        <is>
          <t>S-6665003430</t>
        </is>
      </c>
      <c r="C33" s="2" t="inlineStr">
        <is>
          <t>EFFEC/OUT/21053</t>
        </is>
      </c>
      <c r="D33" s="2" t="inlineStr">
        <is>
          <t>XPO ES</t>
        </is>
      </c>
      <c r="E33" s="2" t="inlineStr">
        <is>
          <t>121770896</t>
        </is>
      </c>
      <c r="F33" s="2" t="n">
        <v>66</v>
      </c>
      <c r="G33" s="2" t="n">
        <v>3</v>
      </c>
    </row>
    <row r="34">
      <c r="A34" s="2" t="inlineStr">
        <is>
          <t>K41 - SANTANDER</t>
        </is>
      </c>
      <c r="B34" s="2" t="inlineStr">
        <is>
          <t>S-6665003380</t>
        </is>
      </c>
      <c r="C34" s="2" t="inlineStr">
        <is>
          <t>EFFEC/OUT/20427</t>
        </is>
      </c>
      <c r="D34" s="2" t="inlineStr">
        <is>
          <t>XPO ES</t>
        </is>
      </c>
      <c r="E34" s="2" t="inlineStr">
        <is>
          <t>121770898</t>
        </is>
      </c>
      <c r="F34" s="2" t="n">
        <v>30</v>
      </c>
      <c r="G34" s="2" t="n">
        <v>2</v>
      </c>
    </row>
    <row r="35">
      <c r="A35" s="2" t="inlineStr">
        <is>
          <t>K41 - SANTANDER</t>
        </is>
      </c>
      <c r="B35" s="2" t="inlineStr">
        <is>
          <t>S-6665003380</t>
        </is>
      </c>
      <c r="C35" s="2" t="inlineStr">
        <is>
          <t>EFFEC/OUT/20838</t>
        </is>
      </c>
      <c r="D35" s="2" t="inlineStr">
        <is>
          <t>XPO ES</t>
        </is>
      </c>
      <c r="E35" s="2" t="inlineStr">
        <is>
          <t>121770898</t>
        </is>
      </c>
      <c r="F35" s="2" t="n">
        <v>28</v>
      </c>
      <c r="G35" s="2" t="n">
        <v>2</v>
      </c>
    </row>
    <row r="36">
      <c r="A36" s="2" t="inlineStr">
        <is>
          <t>K41 - SANTANDER</t>
        </is>
      </c>
      <c r="B36" s="2" t="inlineStr">
        <is>
          <t>S-6665003380</t>
        </is>
      </c>
      <c r="C36" s="2" t="inlineStr">
        <is>
          <t>EFFEC/OUT/20839</t>
        </is>
      </c>
      <c r="D36" s="2" t="inlineStr">
        <is>
          <t>XPO ES</t>
        </is>
      </c>
      <c r="E36" s="2" t="inlineStr">
        <is>
          <t>121770898</t>
        </is>
      </c>
      <c r="F36" s="2" t="n">
        <v>22</v>
      </c>
      <c r="G36" s="2" t="n">
        <v>3</v>
      </c>
    </row>
    <row r="37">
      <c r="A37" s="2" t="inlineStr">
        <is>
          <t>K41 - SANTANDER</t>
        </is>
      </c>
      <c r="B37" s="2" t="inlineStr">
        <is>
          <t>S-6665003380</t>
        </is>
      </c>
      <c r="C37" s="2" t="inlineStr">
        <is>
          <t>EFFEC/OUT/20840</t>
        </is>
      </c>
      <c r="D37" s="2" t="inlineStr">
        <is>
          <t>XPO ES</t>
        </is>
      </c>
      <c r="E37" s="2" t="inlineStr">
        <is>
          <t>121770898</t>
        </is>
      </c>
      <c r="F37" s="2" t="n">
        <v>27</v>
      </c>
      <c r="G37" s="2" t="n">
        <v>3</v>
      </c>
    </row>
    <row r="38">
      <c r="A38" s="2" t="inlineStr">
        <is>
          <t>K41 - SANTANDER</t>
        </is>
      </c>
      <c r="B38" s="2" t="inlineStr">
        <is>
          <t>S-6665003380</t>
        </is>
      </c>
      <c r="C38" s="2" t="inlineStr">
        <is>
          <t>EFFEC/OUT/20841</t>
        </is>
      </c>
      <c r="D38" s="2" t="inlineStr">
        <is>
          <t>XPO ES</t>
        </is>
      </c>
      <c r="E38" s="2" t="inlineStr">
        <is>
          <t>121770898</t>
        </is>
      </c>
      <c r="F38" s="2" t="n">
        <v>15</v>
      </c>
      <c r="G38" s="2" t="n">
        <v>2</v>
      </c>
    </row>
    <row r="39">
      <c r="A39" s="2" t="inlineStr">
        <is>
          <t>K41 - SANTANDER</t>
        </is>
      </c>
      <c r="B39" s="2" t="inlineStr">
        <is>
          <t>S-6665003432</t>
        </is>
      </c>
      <c r="C39" s="2" t="inlineStr">
        <is>
          <t>EFFEC/OUT/21055</t>
        </is>
      </c>
      <c r="D39" s="2" t="inlineStr">
        <is>
          <t>XPO ES</t>
        </is>
      </c>
      <c r="E39" s="2" t="inlineStr">
        <is>
          <t>121770898</t>
        </is>
      </c>
      <c r="F39" s="2" t="n">
        <v>131</v>
      </c>
      <c r="G39" s="2" t="n">
        <v>10</v>
      </c>
    </row>
    <row r="40">
      <c r="A40" s="2" t="inlineStr">
        <is>
          <t>K42 - SPLAU</t>
        </is>
      </c>
      <c r="B40" s="2" t="inlineStr">
        <is>
          <t>S-6665003381</t>
        </is>
      </c>
      <c r="C40" s="2" t="inlineStr">
        <is>
          <t>EFFEC/OUT/20428</t>
        </is>
      </c>
      <c r="D40" s="2" t="inlineStr">
        <is>
          <t>XPO ES</t>
        </is>
      </c>
      <c r="E40" s="2" t="inlineStr">
        <is>
          <t>121770900</t>
        </is>
      </c>
      <c r="F40" s="2" t="n">
        <v>21</v>
      </c>
      <c r="G40" s="2" t="n">
        <v>1</v>
      </c>
    </row>
    <row r="41">
      <c r="A41" s="2" t="inlineStr">
        <is>
          <t>K42 - SPLAU</t>
        </is>
      </c>
      <c r="B41" s="2" t="inlineStr">
        <is>
          <t>S-6665003381</t>
        </is>
      </c>
      <c r="C41" s="2" t="inlineStr">
        <is>
          <t>EFFEC/OUT/20842</t>
        </is>
      </c>
      <c r="D41" s="2" t="inlineStr">
        <is>
          <t>XPO ES</t>
        </is>
      </c>
      <c r="E41" s="2" t="inlineStr">
        <is>
          <t>121770900</t>
        </is>
      </c>
      <c r="F41" s="2" t="n">
        <v>16</v>
      </c>
      <c r="G41" s="2" t="n">
        <v>1</v>
      </c>
    </row>
    <row r="42">
      <c r="A42" s="2" t="inlineStr">
        <is>
          <t>K42 - SPLAU</t>
        </is>
      </c>
      <c r="B42" s="2" t="inlineStr">
        <is>
          <t>S-6665003381</t>
        </is>
      </c>
      <c r="C42" s="2" t="inlineStr">
        <is>
          <t>EFFEC/OUT/20843</t>
        </is>
      </c>
      <c r="D42" s="2" t="inlineStr">
        <is>
          <t>XPO ES</t>
        </is>
      </c>
      <c r="E42" s="2" t="inlineStr">
        <is>
          <t>121770900</t>
        </is>
      </c>
      <c r="F42" s="2" t="n">
        <v>13</v>
      </c>
      <c r="G42" s="2" t="n">
        <v>2</v>
      </c>
    </row>
    <row r="43">
      <c r="A43" s="2" t="inlineStr">
        <is>
          <t>K42 - SPLAU</t>
        </is>
      </c>
      <c r="B43" s="2" t="inlineStr">
        <is>
          <t>S-6665003381</t>
        </is>
      </c>
      <c r="C43" s="2" t="inlineStr">
        <is>
          <t>EFFEC/OUT/20844</t>
        </is>
      </c>
      <c r="D43" s="2" t="inlineStr">
        <is>
          <t>XPO ES</t>
        </is>
      </c>
      <c r="E43" s="2" t="inlineStr">
        <is>
          <t>121770900</t>
        </is>
      </c>
      <c r="F43" s="2" t="n">
        <v>13</v>
      </c>
      <c r="G43" s="2" t="n">
        <v>2</v>
      </c>
    </row>
    <row r="44">
      <c r="A44" s="2" t="inlineStr">
        <is>
          <t>K42 - SPLAU</t>
        </is>
      </c>
      <c r="B44" s="2" t="inlineStr">
        <is>
          <t>S-6665003381</t>
        </is>
      </c>
      <c r="C44" s="2" t="inlineStr">
        <is>
          <t>EFFEC/OUT/20845</t>
        </is>
      </c>
      <c r="D44" s="2" t="inlineStr">
        <is>
          <t>XPO ES</t>
        </is>
      </c>
      <c r="E44" s="2" t="inlineStr">
        <is>
          <t>121770900</t>
        </is>
      </c>
      <c r="F44" s="2" t="n">
        <v>14</v>
      </c>
      <c r="G44" s="2" t="n">
        <v>2</v>
      </c>
    </row>
    <row r="45">
      <c r="A45" s="2" t="inlineStr">
        <is>
          <t>K42 - SPLAU</t>
        </is>
      </c>
      <c r="B45" s="2" t="inlineStr">
        <is>
          <t>S-6665003433</t>
        </is>
      </c>
      <c r="C45" s="2" t="inlineStr">
        <is>
          <t>EFFEC/OUT/21056</t>
        </is>
      </c>
      <c r="D45" s="2" t="inlineStr">
        <is>
          <t>XPO ES</t>
        </is>
      </c>
      <c r="E45" s="2" t="inlineStr">
        <is>
          <t>121770900</t>
        </is>
      </c>
      <c r="F45" s="2" t="n">
        <v>54</v>
      </c>
      <c r="G45" s="2" t="n">
        <v>5</v>
      </c>
    </row>
    <row r="46">
      <c r="A46" s="2" t="inlineStr">
        <is>
          <t>K43 - LEÓN</t>
        </is>
      </c>
      <c r="B46" s="2" t="inlineStr">
        <is>
          <t>S-6665003382</t>
        </is>
      </c>
      <c r="C46" s="2" t="inlineStr">
        <is>
          <t>EFFEC/OUT/20429</t>
        </is>
      </c>
      <c r="D46" s="2" t="inlineStr">
        <is>
          <t>XPO ES</t>
        </is>
      </c>
      <c r="E46" s="2" t="inlineStr">
        <is>
          <t>121770905</t>
        </is>
      </c>
      <c r="F46" s="2" t="n">
        <v>5</v>
      </c>
      <c r="G46" s="2" t="n">
        <v>1</v>
      </c>
    </row>
    <row r="47">
      <c r="A47" s="2" t="inlineStr">
        <is>
          <t>K43 - LEÓN</t>
        </is>
      </c>
      <c r="B47" s="2" t="inlineStr">
        <is>
          <t>S-6665003382</t>
        </is>
      </c>
      <c r="C47" s="2" t="inlineStr">
        <is>
          <t>EFFEC/OUT/20846</t>
        </is>
      </c>
      <c r="D47" s="2" t="inlineStr">
        <is>
          <t>XPO ES</t>
        </is>
      </c>
      <c r="E47" s="2" t="inlineStr">
        <is>
          <t>121770905</t>
        </is>
      </c>
      <c r="F47" s="2" t="n">
        <v>4</v>
      </c>
      <c r="G47" s="2" t="n">
        <v>0</v>
      </c>
    </row>
    <row r="48">
      <c r="A48" s="2" t="inlineStr">
        <is>
          <t>K43 - LEÓN</t>
        </is>
      </c>
      <c r="B48" s="2" t="inlineStr">
        <is>
          <t>S-6665003382</t>
        </is>
      </c>
      <c r="C48" s="2" t="inlineStr">
        <is>
          <t>EFFEC/OUT/20847</t>
        </is>
      </c>
      <c r="D48" s="2" t="inlineStr">
        <is>
          <t>XPO ES</t>
        </is>
      </c>
      <c r="E48" s="2" t="inlineStr">
        <is>
          <t>121770905</t>
        </is>
      </c>
      <c r="F48" s="2" t="n">
        <v>2</v>
      </c>
      <c r="G48" s="2" t="n">
        <v>0</v>
      </c>
    </row>
    <row r="49">
      <c r="A49" s="2" t="inlineStr">
        <is>
          <t>K43 - LEÓN</t>
        </is>
      </c>
      <c r="B49" s="2" t="inlineStr">
        <is>
          <t>S-6665003382</t>
        </is>
      </c>
      <c r="C49" s="2" t="inlineStr">
        <is>
          <t>EFFEC/OUT/20848</t>
        </is>
      </c>
      <c r="D49" s="2" t="inlineStr">
        <is>
          <t>XPO ES</t>
        </is>
      </c>
      <c r="E49" s="2" t="inlineStr">
        <is>
          <t>121770905</t>
        </is>
      </c>
      <c r="F49" s="2" t="n">
        <v>3</v>
      </c>
      <c r="G49" s="2" t="n">
        <v>1</v>
      </c>
    </row>
    <row r="50">
      <c r="A50" s="2" t="inlineStr">
        <is>
          <t>K43 - LEÓN</t>
        </is>
      </c>
      <c r="B50" s="2" t="inlineStr">
        <is>
          <t>S-6665003382</t>
        </is>
      </c>
      <c r="C50" s="2" t="inlineStr">
        <is>
          <t>EFFEC/OUT/20849</t>
        </is>
      </c>
      <c r="D50" s="2" t="inlineStr">
        <is>
          <t>XPO ES</t>
        </is>
      </c>
      <c r="E50" s="2" t="inlineStr">
        <is>
          <t>121770905</t>
        </is>
      </c>
      <c r="F50" s="2" t="n">
        <v>1</v>
      </c>
      <c r="G50" s="2" t="n">
        <v>0</v>
      </c>
    </row>
    <row r="51">
      <c r="A51" s="2" t="inlineStr">
        <is>
          <t>K43 - LEÓN</t>
        </is>
      </c>
      <c r="B51" s="2" t="inlineStr">
        <is>
          <t>S-6665003434</t>
        </is>
      </c>
      <c r="C51" s="2" t="inlineStr">
        <is>
          <t>EFFEC/OUT/21057</t>
        </is>
      </c>
      <c r="D51" s="2" t="inlineStr">
        <is>
          <t>XPO ES</t>
        </is>
      </c>
      <c r="E51" s="2" t="inlineStr">
        <is>
          <t>121770905</t>
        </is>
      </c>
      <c r="F51" s="2" t="n">
        <v>42</v>
      </c>
      <c r="G51" s="2" t="n">
        <v>3</v>
      </c>
    </row>
    <row r="52">
      <c r="A52" s="2" t="inlineStr">
        <is>
          <t>K44 - GIRONA</t>
        </is>
      </c>
      <c r="B52" s="2" t="inlineStr">
        <is>
          <t>S-6665003383</t>
        </is>
      </c>
      <c r="C52" s="2" t="inlineStr">
        <is>
          <t>EFFEC/OUT/20430</t>
        </is>
      </c>
      <c r="D52" s="2" t="inlineStr">
        <is>
          <t>XPO ES</t>
        </is>
      </c>
      <c r="E52" s="2" t="inlineStr">
        <is>
          <t>121770907</t>
        </is>
      </c>
      <c r="F52" s="2" t="n">
        <v>7</v>
      </c>
      <c r="G52" s="2" t="n">
        <v>1</v>
      </c>
    </row>
    <row r="53">
      <c r="A53" s="2" t="inlineStr">
        <is>
          <t>K44 - GIRONA</t>
        </is>
      </c>
      <c r="B53" s="2" t="inlineStr">
        <is>
          <t>S-6665003383</t>
        </is>
      </c>
      <c r="C53" s="2" t="inlineStr">
        <is>
          <t>EFFEC/OUT/20850</t>
        </is>
      </c>
      <c r="D53" s="2" t="inlineStr">
        <is>
          <t>XPO ES</t>
        </is>
      </c>
      <c r="E53" s="2" t="inlineStr">
        <is>
          <t>121770907</t>
        </is>
      </c>
      <c r="F53" s="2" t="n">
        <v>4</v>
      </c>
      <c r="G53" s="2" t="n">
        <v>0</v>
      </c>
    </row>
    <row r="54">
      <c r="A54" s="2" t="inlineStr">
        <is>
          <t>K44 - GIRONA</t>
        </is>
      </c>
      <c r="B54" s="2" t="inlineStr">
        <is>
          <t>S-6665003383</t>
        </is>
      </c>
      <c r="C54" s="2" t="inlineStr">
        <is>
          <t>EFFEC/OUT/20851</t>
        </is>
      </c>
      <c r="D54" s="2" t="inlineStr">
        <is>
          <t>XPO ES</t>
        </is>
      </c>
      <c r="E54" s="2" t="inlineStr">
        <is>
          <t>121770907</t>
        </is>
      </c>
      <c r="F54" s="2" t="n">
        <v>4</v>
      </c>
      <c r="G54" s="2" t="n">
        <v>0</v>
      </c>
    </row>
    <row r="55">
      <c r="A55" s="2" t="inlineStr">
        <is>
          <t>K44 - GIRONA</t>
        </is>
      </c>
      <c r="B55" s="2" t="inlineStr">
        <is>
          <t>S-6665003435</t>
        </is>
      </c>
      <c r="C55" s="2" t="inlineStr">
        <is>
          <t>EFFEC/OUT/21058</t>
        </is>
      </c>
      <c r="D55" s="2" t="inlineStr">
        <is>
          <t>XPO ES</t>
        </is>
      </c>
      <c r="E55" s="2" t="inlineStr">
        <is>
          <t>121770907</t>
        </is>
      </c>
      <c r="F55" s="2" t="n">
        <v>64</v>
      </c>
      <c r="G55" s="2" t="n">
        <v>3</v>
      </c>
    </row>
    <row r="56">
      <c r="A56" s="2" t="inlineStr">
        <is>
          <t>K45 - LOGROÑO BERCEO</t>
        </is>
      </c>
      <c r="B56" s="2" t="inlineStr">
        <is>
          <t>S-6665003384</t>
        </is>
      </c>
      <c r="C56" s="2" t="inlineStr">
        <is>
          <t>EFFEC/OUT/20431</t>
        </is>
      </c>
      <c r="D56" s="2" t="inlineStr">
        <is>
          <t>XPO ES</t>
        </is>
      </c>
      <c r="E56" s="2" t="inlineStr">
        <is>
          <t>121770906</t>
        </is>
      </c>
      <c r="F56" s="2" t="n">
        <v>19</v>
      </c>
      <c r="G56" s="2" t="n">
        <v>2</v>
      </c>
    </row>
    <row r="57">
      <c r="A57" s="2" t="inlineStr">
        <is>
          <t>K45 - LOGROÑO BERCEO</t>
        </is>
      </c>
      <c r="B57" s="2" t="inlineStr">
        <is>
          <t>S-6665003384</t>
        </is>
      </c>
      <c r="C57" s="2" t="inlineStr">
        <is>
          <t>EFFEC/OUT/20852</t>
        </is>
      </c>
      <c r="D57" s="2" t="inlineStr">
        <is>
          <t>XPO ES</t>
        </is>
      </c>
      <c r="E57" s="2" t="inlineStr">
        <is>
          <t>121770906</t>
        </is>
      </c>
      <c r="F57" s="2" t="n">
        <v>3</v>
      </c>
      <c r="G57" s="2" t="n">
        <v>1</v>
      </c>
    </row>
    <row r="58">
      <c r="A58" s="2" t="inlineStr">
        <is>
          <t>K45 - LOGROÑO BERCEO</t>
        </is>
      </c>
      <c r="B58" s="2" t="inlineStr">
        <is>
          <t>S-6665003384</t>
        </is>
      </c>
      <c r="C58" s="2" t="inlineStr">
        <is>
          <t>EFFEC/OUT/20853</t>
        </is>
      </c>
      <c r="D58" s="2" t="inlineStr">
        <is>
          <t>XPO ES</t>
        </is>
      </c>
      <c r="E58" s="2" t="inlineStr">
        <is>
          <t>121770906</t>
        </is>
      </c>
      <c r="F58" s="2" t="n">
        <v>15</v>
      </c>
      <c r="G58" s="2" t="n">
        <v>2</v>
      </c>
    </row>
    <row r="59">
      <c r="A59" s="2" t="inlineStr">
        <is>
          <t>K45 - LOGROÑO BERCEO</t>
        </is>
      </c>
      <c r="B59" s="2" t="inlineStr">
        <is>
          <t>S-6665003384</t>
        </is>
      </c>
      <c r="C59" s="2" t="inlineStr">
        <is>
          <t>EFFEC/OUT/20854</t>
        </is>
      </c>
      <c r="D59" s="2" t="inlineStr">
        <is>
          <t>XPO ES</t>
        </is>
      </c>
      <c r="E59" s="2" t="inlineStr">
        <is>
          <t>121770906</t>
        </is>
      </c>
      <c r="F59" s="2" t="n">
        <v>14</v>
      </c>
      <c r="G59" s="2" t="n">
        <v>2</v>
      </c>
    </row>
    <row r="60">
      <c r="A60" s="2" t="inlineStr">
        <is>
          <t>K45 - LOGROÑO BERCEO</t>
        </is>
      </c>
      <c r="B60" s="2" t="inlineStr">
        <is>
          <t>S-6665003384</t>
        </is>
      </c>
      <c r="C60" s="2" t="inlineStr">
        <is>
          <t>EFFEC/OUT/20855</t>
        </is>
      </c>
      <c r="D60" s="2" t="inlineStr">
        <is>
          <t>XPO ES</t>
        </is>
      </c>
      <c r="E60" s="2" t="inlineStr">
        <is>
          <t>121770906</t>
        </is>
      </c>
      <c r="F60" s="2" t="n">
        <v>15</v>
      </c>
      <c r="G60" s="2" t="n">
        <v>2</v>
      </c>
    </row>
    <row r="61">
      <c r="A61" s="2" t="inlineStr">
        <is>
          <t>K45 - LOGROÑO BERCEO</t>
        </is>
      </c>
      <c r="B61" s="2" t="inlineStr">
        <is>
          <t>S-6665003436</t>
        </is>
      </c>
      <c r="C61" s="2" t="inlineStr">
        <is>
          <t>EFFEC/OUT/21059</t>
        </is>
      </c>
      <c r="D61" s="2" t="inlineStr">
        <is>
          <t>XPO ES</t>
        </is>
      </c>
      <c r="E61" s="2" t="inlineStr">
        <is>
          <t>121770906</t>
        </is>
      </c>
      <c r="F61" s="2" t="n">
        <v>121</v>
      </c>
      <c r="G61" s="2" t="n">
        <v>13</v>
      </c>
    </row>
    <row r="62">
      <c r="A62" s="2" t="inlineStr">
        <is>
          <t>K46 - IRÚN</t>
        </is>
      </c>
      <c r="B62" s="2" t="inlineStr">
        <is>
          <t>S-6665003385</t>
        </is>
      </c>
      <c r="C62" s="2" t="inlineStr">
        <is>
          <t>EFFEC/OUT/20432</t>
        </is>
      </c>
      <c r="D62" s="2" t="inlineStr">
        <is>
          <t>XPO ES</t>
        </is>
      </c>
      <c r="E62" s="2" t="inlineStr">
        <is>
          <t>121770914</t>
        </is>
      </c>
      <c r="F62" s="2" t="n">
        <v>26</v>
      </c>
      <c r="G62" s="2" t="n">
        <v>2</v>
      </c>
    </row>
    <row r="63">
      <c r="A63" s="2" t="inlineStr">
        <is>
          <t>K46 - IRÚN</t>
        </is>
      </c>
      <c r="B63" s="2" t="inlineStr">
        <is>
          <t>S-6665003385</t>
        </is>
      </c>
      <c r="C63" s="2" t="inlineStr">
        <is>
          <t>EFFEC/OUT/20856</t>
        </is>
      </c>
      <c r="D63" s="2" t="inlineStr">
        <is>
          <t>XPO ES</t>
        </is>
      </c>
      <c r="E63" s="2" t="inlineStr">
        <is>
          <t>121770914</t>
        </is>
      </c>
      <c r="F63" s="2" t="n">
        <v>16</v>
      </c>
      <c r="G63" s="2" t="n">
        <v>1</v>
      </c>
    </row>
    <row r="64">
      <c r="A64" s="2" t="inlineStr">
        <is>
          <t>K46 - IRÚN</t>
        </is>
      </c>
      <c r="B64" s="2" t="inlineStr">
        <is>
          <t>S-6665003385</t>
        </is>
      </c>
      <c r="C64" s="2" t="inlineStr">
        <is>
          <t>EFFEC/OUT/20857</t>
        </is>
      </c>
      <c r="D64" s="2" t="inlineStr">
        <is>
          <t>XPO ES</t>
        </is>
      </c>
      <c r="E64" s="2" t="inlineStr">
        <is>
          <t>121770914</t>
        </is>
      </c>
      <c r="F64" s="2" t="n">
        <v>17</v>
      </c>
      <c r="G64" s="2" t="n">
        <v>2</v>
      </c>
    </row>
    <row r="65">
      <c r="A65" s="2" t="inlineStr">
        <is>
          <t>K46 - IRÚN</t>
        </is>
      </c>
      <c r="B65" s="2" t="inlineStr">
        <is>
          <t>S-6665003385</t>
        </is>
      </c>
      <c r="C65" s="2" t="inlineStr">
        <is>
          <t>EFFEC/OUT/20858</t>
        </is>
      </c>
      <c r="D65" s="2" t="inlineStr">
        <is>
          <t>XPO ES</t>
        </is>
      </c>
      <c r="E65" s="2" t="inlineStr">
        <is>
          <t>121770914</t>
        </is>
      </c>
      <c r="F65" s="2" t="n">
        <v>17</v>
      </c>
      <c r="G65" s="2" t="n">
        <v>3</v>
      </c>
    </row>
    <row r="66">
      <c r="A66" s="2" t="inlineStr">
        <is>
          <t>K46 - IRÚN</t>
        </is>
      </c>
      <c r="B66" s="2" t="inlineStr">
        <is>
          <t>S-6665003385</t>
        </is>
      </c>
      <c r="C66" s="2" t="inlineStr">
        <is>
          <t>EFFEC/OUT/20859</t>
        </is>
      </c>
      <c r="D66" s="2" t="inlineStr">
        <is>
          <t>XPO ES</t>
        </is>
      </c>
      <c r="E66" s="2" t="inlineStr">
        <is>
          <t>121770914</t>
        </is>
      </c>
      <c r="F66" s="2" t="n">
        <v>22</v>
      </c>
      <c r="G66" s="2" t="n">
        <v>3</v>
      </c>
    </row>
    <row r="67">
      <c r="A67" s="2" t="inlineStr">
        <is>
          <t>K46 - IRÚN</t>
        </is>
      </c>
      <c r="B67" s="2" t="inlineStr">
        <is>
          <t>S-6665003437</t>
        </is>
      </c>
      <c r="C67" s="2" t="inlineStr">
        <is>
          <t>EFFEC/OUT/21060</t>
        </is>
      </c>
      <c r="D67" s="2" t="inlineStr">
        <is>
          <t>XPO ES</t>
        </is>
      </c>
      <c r="E67" s="2" t="inlineStr">
        <is>
          <t>121770914</t>
        </is>
      </c>
      <c r="F67" s="2" t="n">
        <v>163</v>
      </c>
      <c r="G67" s="2" t="n">
        <v>13</v>
      </c>
    </row>
    <row r="68">
      <c r="A68" s="2" t="inlineStr">
        <is>
          <t>K48 - BONAIRE</t>
        </is>
      </c>
      <c r="B68" s="2" t="inlineStr">
        <is>
          <t>S-6665003386</t>
        </is>
      </c>
      <c r="C68" s="2" t="inlineStr">
        <is>
          <t>EFFEC/OUT/20433</t>
        </is>
      </c>
      <c r="D68" s="2" t="inlineStr">
        <is>
          <t>XPO ES</t>
        </is>
      </c>
      <c r="E68" s="2" t="inlineStr">
        <is>
          <t>121770899</t>
        </is>
      </c>
      <c r="F68" s="2" t="n">
        <v>14</v>
      </c>
      <c r="G68" s="2" t="n">
        <v>2</v>
      </c>
    </row>
    <row r="69">
      <c r="A69" s="2" t="inlineStr">
        <is>
          <t>K48 - BONAIRE</t>
        </is>
      </c>
      <c r="B69" s="2" t="inlineStr">
        <is>
          <t>S-6665003386</t>
        </is>
      </c>
      <c r="C69" s="2" t="inlineStr">
        <is>
          <t>EFFEC/OUT/20860</t>
        </is>
      </c>
      <c r="D69" s="2" t="inlineStr">
        <is>
          <t>XPO ES</t>
        </is>
      </c>
      <c r="E69" s="2" t="inlineStr">
        <is>
          <t>121770899</t>
        </is>
      </c>
      <c r="F69" s="2" t="n">
        <v>7</v>
      </c>
      <c r="G69" s="2" t="n">
        <v>0</v>
      </c>
    </row>
    <row r="70">
      <c r="A70" s="2" t="inlineStr">
        <is>
          <t>K48 - BONAIRE</t>
        </is>
      </c>
      <c r="B70" s="2" t="inlineStr">
        <is>
          <t>S-6665003386</t>
        </is>
      </c>
      <c r="C70" s="2" t="inlineStr">
        <is>
          <t>EFFEC/OUT/20861</t>
        </is>
      </c>
      <c r="D70" s="2" t="inlineStr">
        <is>
          <t>XPO ES</t>
        </is>
      </c>
      <c r="E70" s="2" t="inlineStr">
        <is>
          <t>121770899</t>
        </is>
      </c>
      <c r="F70" s="2" t="n">
        <v>12</v>
      </c>
      <c r="G70" s="2" t="n">
        <v>1</v>
      </c>
    </row>
    <row r="71">
      <c r="A71" s="2" t="inlineStr">
        <is>
          <t>K48 - BONAIRE</t>
        </is>
      </c>
      <c r="B71" s="2" t="inlineStr">
        <is>
          <t>S-6665003386</t>
        </is>
      </c>
      <c r="C71" s="2" t="inlineStr">
        <is>
          <t>EFFEC/OUT/20862</t>
        </is>
      </c>
      <c r="D71" s="2" t="inlineStr">
        <is>
          <t>XPO ES</t>
        </is>
      </c>
      <c r="E71" s="2" t="inlineStr">
        <is>
          <t>121770899</t>
        </is>
      </c>
      <c r="F71" s="2" t="n">
        <v>8</v>
      </c>
      <c r="G71" s="2" t="n">
        <v>2</v>
      </c>
    </row>
    <row r="72">
      <c r="A72" s="2" t="inlineStr">
        <is>
          <t>K48 - BONAIRE</t>
        </is>
      </c>
      <c r="B72" s="2" t="inlineStr">
        <is>
          <t>S-6665003386</t>
        </is>
      </c>
      <c r="C72" s="2" t="inlineStr">
        <is>
          <t>EFFEC/OUT/20863</t>
        </is>
      </c>
      <c r="D72" s="2" t="inlineStr">
        <is>
          <t>XPO ES</t>
        </is>
      </c>
      <c r="E72" s="2" t="inlineStr">
        <is>
          <t>121770899</t>
        </is>
      </c>
      <c r="F72" s="2" t="n">
        <v>13</v>
      </c>
      <c r="G72" s="2" t="n">
        <v>2</v>
      </c>
    </row>
    <row r="73">
      <c r="A73" s="2" t="inlineStr">
        <is>
          <t>K48 - BONAIRE</t>
        </is>
      </c>
      <c r="B73" s="2" t="inlineStr">
        <is>
          <t>S-6665003438</t>
        </is>
      </c>
      <c r="C73" s="2" t="inlineStr">
        <is>
          <t>EFFEC/OUT/21061</t>
        </is>
      </c>
      <c r="D73" s="2" t="inlineStr">
        <is>
          <t>XPO ES</t>
        </is>
      </c>
      <c r="E73" s="2" t="inlineStr">
        <is>
          <t>121770899</t>
        </is>
      </c>
      <c r="F73" s="2" t="n">
        <v>93</v>
      </c>
      <c r="G73" s="2" t="n">
        <v>6</v>
      </c>
    </row>
    <row r="74">
      <c r="A74" s="2" t="inlineStr">
        <is>
          <t>K49 - URBIL</t>
        </is>
      </c>
      <c r="B74" s="2" t="inlineStr">
        <is>
          <t>S-6665003387</t>
        </is>
      </c>
      <c r="C74" s="2" t="inlineStr">
        <is>
          <t>EFFEC/OUT/20434</t>
        </is>
      </c>
      <c r="D74" s="2" t="inlineStr">
        <is>
          <t>XPO ES</t>
        </is>
      </c>
      <c r="E74" s="2" t="inlineStr">
        <is>
          <t>121770897</t>
        </is>
      </c>
      <c r="F74" s="2" t="n">
        <v>7</v>
      </c>
      <c r="G74" s="2" t="n">
        <v>1</v>
      </c>
    </row>
    <row r="75">
      <c r="A75" s="2" t="inlineStr">
        <is>
          <t>K49 - URBIL</t>
        </is>
      </c>
      <c r="B75" s="2" t="inlineStr">
        <is>
          <t>S-6665003387</t>
        </is>
      </c>
      <c r="C75" s="2" t="inlineStr">
        <is>
          <t>EFFEC/OUT/20864</t>
        </is>
      </c>
      <c r="D75" s="2" t="inlineStr">
        <is>
          <t>XPO ES</t>
        </is>
      </c>
      <c r="E75" s="2" t="inlineStr">
        <is>
          <t>121770897</t>
        </is>
      </c>
      <c r="F75" s="2" t="n">
        <v>2</v>
      </c>
      <c r="G75" s="2" t="n">
        <v>0</v>
      </c>
    </row>
    <row r="76">
      <c r="A76" s="2" t="inlineStr">
        <is>
          <t>K49 - URBIL</t>
        </is>
      </c>
      <c r="B76" s="2" t="inlineStr">
        <is>
          <t>S-6665003387</t>
        </is>
      </c>
      <c r="C76" s="2" t="inlineStr">
        <is>
          <t>EFFEC/OUT/20865</t>
        </is>
      </c>
      <c r="D76" s="2" t="inlineStr">
        <is>
          <t>XPO ES</t>
        </is>
      </c>
      <c r="E76" s="2" t="inlineStr">
        <is>
          <t>121770897</t>
        </is>
      </c>
      <c r="F76" s="2" t="n">
        <v>3</v>
      </c>
      <c r="G76" s="2" t="n">
        <v>0</v>
      </c>
    </row>
    <row r="77">
      <c r="A77" s="2" t="inlineStr">
        <is>
          <t>K49 - URBIL</t>
        </is>
      </c>
      <c r="B77" s="2" t="inlineStr">
        <is>
          <t>S-6665003387</t>
        </is>
      </c>
      <c r="C77" s="2" t="inlineStr">
        <is>
          <t>EFFEC/OUT/20866</t>
        </is>
      </c>
      <c r="D77" s="2" t="inlineStr">
        <is>
          <t>XPO ES</t>
        </is>
      </c>
      <c r="E77" s="2" t="inlineStr">
        <is>
          <t>121770897</t>
        </is>
      </c>
      <c r="F77" s="2" t="n">
        <v>1</v>
      </c>
      <c r="G77" s="2" t="n">
        <v>0</v>
      </c>
    </row>
    <row r="78">
      <c r="A78" s="2" t="inlineStr">
        <is>
          <t>K49 - URBIL</t>
        </is>
      </c>
      <c r="B78" s="2" t="inlineStr">
        <is>
          <t>S-6665003387</t>
        </is>
      </c>
      <c r="C78" s="2" t="inlineStr">
        <is>
          <t>EFFEC/OUT/20867</t>
        </is>
      </c>
      <c r="D78" s="2" t="inlineStr">
        <is>
          <t>XPO ES</t>
        </is>
      </c>
      <c r="E78" s="2" t="inlineStr">
        <is>
          <t>121770897</t>
        </is>
      </c>
      <c r="F78" s="2" t="n">
        <v>2</v>
      </c>
      <c r="G78" s="2" t="n">
        <v>0</v>
      </c>
    </row>
    <row r="79">
      <c r="A79" s="2" t="inlineStr">
        <is>
          <t>K49 - URBIL</t>
        </is>
      </c>
      <c r="B79" s="2" t="inlineStr">
        <is>
          <t>S-6665003439</t>
        </is>
      </c>
      <c r="C79" s="2" t="inlineStr">
        <is>
          <t>EFFEC/OUT/21062</t>
        </is>
      </c>
      <c r="D79" s="2" t="inlineStr">
        <is>
          <t>XPO ES</t>
        </is>
      </c>
      <c r="E79" s="2" t="inlineStr">
        <is>
          <t>121770897</t>
        </is>
      </c>
      <c r="F79" s="2" t="n">
        <v>79</v>
      </c>
      <c r="G79" s="2" t="n">
        <v>3</v>
      </c>
    </row>
    <row r="80">
      <c r="A80" s="2" t="inlineStr">
        <is>
          <t>K55 - C.C. GRANCASA</t>
        </is>
      </c>
      <c r="B80" s="2" t="inlineStr">
        <is>
          <t>S-6665003388</t>
        </is>
      </c>
      <c r="C80" s="2" t="inlineStr">
        <is>
          <t>EFFEC/OUT/20435</t>
        </is>
      </c>
      <c r="D80" s="2" t="inlineStr">
        <is>
          <t>XPO ES</t>
        </is>
      </c>
      <c r="E80" s="2" t="inlineStr">
        <is>
          <t>121770902</t>
        </is>
      </c>
      <c r="F80" s="2" t="n">
        <v>15</v>
      </c>
      <c r="G80" s="2" t="n">
        <v>2</v>
      </c>
    </row>
    <row r="81">
      <c r="A81" s="2" t="inlineStr">
        <is>
          <t>K55 - C.C. GRANCASA</t>
        </is>
      </c>
      <c r="B81" s="2" t="inlineStr">
        <is>
          <t>S-6665003388</t>
        </is>
      </c>
      <c r="C81" s="2" t="inlineStr">
        <is>
          <t>EFFEC/OUT/20868</t>
        </is>
      </c>
      <c r="D81" s="2" t="inlineStr">
        <is>
          <t>XPO ES</t>
        </is>
      </c>
      <c r="E81" s="2" t="inlineStr">
        <is>
          <t>121770902</t>
        </is>
      </c>
      <c r="F81" s="2" t="n">
        <v>11</v>
      </c>
      <c r="G81" s="2" t="n">
        <v>1</v>
      </c>
    </row>
    <row r="82">
      <c r="A82" s="2" t="inlineStr">
        <is>
          <t>K55 - C.C. GRANCASA</t>
        </is>
      </c>
      <c r="B82" s="2" t="inlineStr">
        <is>
          <t>S-6665003388</t>
        </is>
      </c>
      <c r="C82" s="2" t="inlineStr">
        <is>
          <t>EFFEC/OUT/20869</t>
        </is>
      </c>
      <c r="D82" s="2" t="inlineStr">
        <is>
          <t>XPO ES</t>
        </is>
      </c>
      <c r="E82" s="2" t="inlineStr">
        <is>
          <t>121770902</t>
        </is>
      </c>
      <c r="F82" s="2" t="n">
        <v>5</v>
      </c>
      <c r="G82" s="2" t="n">
        <v>0</v>
      </c>
    </row>
    <row r="83">
      <c r="A83" s="2" t="inlineStr">
        <is>
          <t>K55 - C.C. GRANCASA</t>
        </is>
      </c>
      <c r="B83" s="2" t="inlineStr">
        <is>
          <t>S-6665003388</t>
        </is>
      </c>
      <c r="C83" s="2" t="inlineStr">
        <is>
          <t>EFFEC/OUT/20870</t>
        </is>
      </c>
      <c r="D83" s="2" t="inlineStr">
        <is>
          <t>XPO ES</t>
        </is>
      </c>
      <c r="E83" s="2" t="inlineStr">
        <is>
          <t>121770902</t>
        </is>
      </c>
      <c r="F83" s="2" t="n">
        <v>12</v>
      </c>
      <c r="G83" s="2" t="n">
        <v>2</v>
      </c>
    </row>
    <row r="84">
      <c r="A84" s="2" t="inlineStr">
        <is>
          <t>K55 - C.C. GRANCASA</t>
        </is>
      </c>
      <c r="B84" s="2" t="inlineStr">
        <is>
          <t>S-6665003388</t>
        </is>
      </c>
      <c r="C84" s="2" t="inlineStr">
        <is>
          <t>EFFEC/OUT/20871</t>
        </is>
      </c>
      <c r="D84" s="2" t="inlineStr">
        <is>
          <t>XPO ES</t>
        </is>
      </c>
      <c r="E84" s="2" t="inlineStr">
        <is>
          <t>121770902</t>
        </is>
      </c>
      <c r="F84" s="2" t="n">
        <v>12</v>
      </c>
      <c r="G84" s="2" t="n">
        <v>2</v>
      </c>
    </row>
    <row r="85">
      <c r="A85" s="2" t="inlineStr">
        <is>
          <t>K55 - C.C. GRANCASA</t>
        </is>
      </c>
      <c r="B85" s="2" t="inlineStr">
        <is>
          <t>S-6665003440</t>
        </is>
      </c>
      <c r="C85" s="2" t="inlineStr">
        <is>
          <t>EFFEC/OUT/21063</t>
        </is>
      </c>
      <c r="D85" s="2" t="inlineStr">
        <is>
          <t>XPO ES</t>
        </is>
      </c>
      <c r="E85" s="2" t="inlineStr">
        <is>
          <t>121770902</t>
        </is>
      </c>
      <c r="F85" s="2" t="n">
        <v>161</v>
      </c>
      <c r="G85" s="2" t="n">
        <v>11</v>
      </c>
    </row>
    <row r="86">
      <c r="A86" s="2" t="inlineStr">
        <is>
          <t>K57 - LAS ROSAS</t>
        </is>
      </c>
      <c r="B86" s="2" t="inlineStr">
        <is>
          <t>S-6665003390</t>
        </is>
      </c>
      <c r="C86" s="2" t="inlineStr">
        <is>
          <t>EFFEC/OUT/20437</t>
        </is>
      </c>
      <c r="D86" s="2" t="inlineStr">
        <is>
          <t>XPO ES</t>
        </is>
      </c>
      <c r="E86" s="2" t="inlineStr">
        <is>
          <t>121770901</t>
        </is>
      </c>
      <c r="F86" s="2" t="n">
        <v>18</v>
      </c>
      <c r="G86" s="2" t="n">
        <v>3</v>
      </c>
    </row>
    <row r="87">
      <c r="A87" s="2" t="inlineStr">
        <is>
          <t>K57 - LAS ROSAS</t>
        </is>
      </c>
      <c r="B87" s="2" t="inlineStr">
        <is>
          <t>S-6665003390</t>
        </is>
      </c>
      <c r="C87" s="2" t="inlineStr">
        <is>
          <t>EFFEC/OUT/20876</t>
        </is>
      </c>
      <c r="D87" s="2" t="inlineStr">
        <is>
          <t>XPO ES</t>
        </is>
      </c>
      <c r="E87" s="2" t="inlineStr">
        <is>
          <t>121770901</t>
        </is>
      </c>
      <c r="F87" s="2" t="n">
        <v>6</v>
      </c>
      <c r="G87" s="2" t="n">
        <v>1</v>
      </c>
    </row>
    <row r="88">
      <c r="A88" s="2" t="inlineStr">
        <is>
          <t>K57 - LAS ROSAS</t>
        </is>
      </c>
      <c r="B88" s="2" t="inlineStr">
        <is>
          <t>S-6665003390</t>
        </is>
      </c>
      <c r="C88" s="2" t="inlineStr">
        <is>
          <t>EFFEC/OUT/20877</t>
        </is>
      </c>
      <c r="D88" s="2" t="inlineStr">
        <is>
          <t>XPO ES</t>
        </is>
      </c>
      <c r="E88" s="2" t="inlineStr">
        <is>
          <t>121770901</t>
        </is>
      </c>
      <c r="F88" s="2" t="n">
        <v>5</v>
      </c>
      <c r="G88" s="2" t="n">
        <v>0</v>
      </c>
    </row>
    <row r="89">
      <c r="A89" s="2" t="inlineStr">
        <is>
          <t>K57 - LAS ROSAS</t>
        </is>
      </c>
      <c r="B89" s="2" t="inlineStr">
        <is>
          <t>S-6665003390</t>
        </is>
      </c>
      <c r="C89" s="2" t="inlineStr">
        <is>
          <t>EFFEC/OUT/20878</t>
        </is>
      </c>
      <c r="D89" s="2" t="inlineStr">
        <is>
          <t>XPO ES</t>
        </is>
      </c>
      <c r="E89" s="2" t="inlineStr">
        <is>
          <t>121770901</t>
        </is>
      </c>
      <c r="F89" s="2" t="n">
        <v>9</v>
      </c>
      <c r="G89" s="2" t="n">
        <v>2</v>
      </c>
    </row>
    <row r="90">
      <c r="A90" s="2" t="inlineStr">
        <is>
          <t>K57 - LAS ROSAS</t>
        </is>
      </c>
      <c r="B90" s="2" t="inlineStr">
        <is>
          <t>S-6665003390</t>
        </is>
      </c>
      <c r="C90" s="2" t="inlineStr">
        <is>
          <t>EFFEC/OUT/20879</t>
        </is>
      </c>
      <c r="D90" s="2" t="inlineStr">
        <is>
          <t>XPO ES</t>
        </is>
      </c>
      <c r="E90" s="2" t="inlineStr">
        <is>
          <t>121770901</t>
        </is>
      </c>
      <c r="F90" s="2" t="n">
        <v>13</v>
      </c>
      <c r="G90" s="2" t="n">
        <v>2</v>
      </c>
    </row>
    <row r="91">
      <c r="A91" s="2" t="inlineStr">
        <is>
          <t>K57 - LAS ROSAS</t>
        </is>
      </c>
      <c r="B91" s="2" t="inlineStr">
        <is>
          <t>S-6665003414</t>
        </is>
      </c>
      <c r="C91" s="2" t="inlineStr">
        <is>
          <t>EFFEC/OUT/20989</t>
        </is>
      </c>
      <c r="D91" s="2" t="inlineStr">
        <is>
          <t>XPO ES</t>
        </is>
      </c>
      <c r="E91" s="2" t="inlineStr">
        <is>
          <t>121770901</t>
        </is>
      </c>
      <c r="F91" s="2" t="n">
        <v>4</v>
      </c>
      <c r="G91" s="2" t="n">
        <v>4</v>
      </c>
    </row>
    <row r="92">
      <c r="A92" s="2" t="inlineStr">
        <is>
          <t>K57 - LAS ROSAS</t>
        </is>
      </c>
      <c r="B92" s="2" t="inlineStr">
        <is>
          <t>S-6665003442</t>
        </is>
      </c>
      <c r="C92" s="2" t="inlineStr">
        <is>
          <t>EFFEC/OUT/21065</t>
        </is>
      </c>
      <c r="D92" s="2" t="inlineStr">
        <is>
          <t>XPO ES</t>
        </is>
      </c>
      <c r="E92" s="2" t="inlineStr">
        <is>
          <t>121770901</t>
        </is>
      </c>
      <c r="F92" s="2" t="n">
        <v>81</v>
      </c>
      <c r="G92" s="2" t="n">
        <v>5</v>
      </c>
    </row>
    <row r="93">
      <c r="A93" s="2" t="inlineStr">
        <is>
          <t>K59 - NEVADA SHOPPING</t>
        </is>
      </c>
      <c r="B93" s="2" t="inlineStr">
        <is>
          <t>S-6665003392</t>
        </is>
      </c>
      <c r="C93" s="2" t="inlineStr">
        <is>
          <t>EFFEC/OUT/20439</t>
        </is>
      </c>
      <c r="D93" s="2" t="inlineStr">
        <is>
          <t>XPO ES</t>
        </is>
      </c>
      <c r="E93" s="2" t="inlineStr">
        <is>
          <t>121770903</t>
        </is>
      </c>
      <c r="F93" s="2" t="n">
        <v>13</v>
      </c>
      <c r="G93" s="2" t="n">
        <v>2</v>
      </c>
    </row>
    <row r="94">
      <c r="A94" s="2" t="inlineStr">
        <is>
          <t>K59 - NEVADA SHOPPING</t>
        </is>
      </c>
      <c r="B94" s="2" t="inlineStr">
        <is>
          <t>S-6665003392</t>
        </is>
      </c>
      <c r="C94" s="2" t="inlineStr">
        <is>
          <t>EFFEC/OUT/20884</t>
        </is>
      </c>
      <c r="D94" s="2" t="inlineStr">
        <is>
          <t>XPO ES</t>
        </is>
      </c>
      <c r="E94" s="2" t="inlineStr">
        <is>
          <t>121770903</t>
        </is>
      </c>
      <c r="F94" s="2" t="n">
        <v>8</v>
      </c>
      <c r="G94" s="2" t="n">
        <v>0</v>
      </c>
    </row>
    <row r="95">
      <c r="A95" s="2" t="inlineStr">
        <is>
          <t>K59 - NEVADA SHOPPING</t>
        </is>
      </c>
      <c r="B95" s="2" t="inlineStr">
        <is>
          <t>S-6665003392</t>
        </is>
      </c>
      <c r="C95" s="2" t="inlineStr">
        <is>
          <t>EFFEC/OUT/20885</t>
        </is>
      </c>
      <c r="D95" s="2" t="inlineStr">
        <is>
          <t>XPO ES</t>
        </is>
      </c>
      <c r="E95" s="2" t="inlineStr">
        <is>
          <t>121770903</t>
        </is>
      </c>
      <c r="F95" s="2" t="n">
        <v>8</v>
      </c>
      <c r="G95" s="2" t="n">
        <v>1</v>
      </c>
    </row>
    <row r="96">
      <c r="A96" s="2" t="inlineStr">
        <is>
          <t>K59 - NEVADA SHOPPING</t>
        </is>
      </c>
      <c r="B96" s="2" t="inlineStr">
        <is>
          <t>S-6665003392</t>
        </is>
      </c>
      <c r="C96" s="2" t="inlineStr">
        <is>
          <t>EFFEC/OUT/20886</t>
        </is>
      </c>
      <c r="D96" s="2" t="inlineStr">
        <is>
          <t>XPO ES</t>
        </is>
      </c>
      <c r="E96" s="2" t="inlineStr">
        <is>
          <t>121770903</t>
        </is>
      </c>
      <c r="F96" s="2" t="n">
        <v>10</v>
      </c>
      <c r="G96" s="2" t="n">
        <v>1</v>
      </c>
    </row>
    <row r="97">
      <c r="A97" s="2" t="inlineStr">
        <is>
          <t>K59 - NEVADA SHOPPING</t>
        </is>
      </c>
      <c r="B97" s="2" t="inlineStr">
        <is>
          <t>S-6665003392</t>
        </is>
      </c>
      <c r="C97" s="2" t="inlineStr">
        <is>
          <t>EFFEC/OUT/20887</t>
        </is>
      </c>
      <c r="D97" s="2" t="inlineStr">
        <is>
          <t>XPO ES</t>
        </is>
      </c>
      <c r="E97" s="2" t="inlineStr">
        <is>
          <t>121770903</t>
        </is>
      </c>
      <c r="F97" s="2" t="n">
        <v>12</v>
      </c>
      <c r="G97" s="2" t="n">
        <v>2</v>
      </c>
    </row>
    <row r="98">
      <c r="A98" s="2" t="inlineStr">
        <is>
          <t>K59 - NEVADA SHOPPING</t>
        </is>
      </c>
      <c r="B98" s="2" t="inlineStr">
        <is>
          <t>S-6665003444</t>
        </is>
      </c>
      <c r="C98" s="2" t="inlineStr">
        <is>
          <t>EFFEC/OUT/21067</t>
        </is>
      </c>
      <c r="D98" s="2" t="inlineStr">
        <is>
          <t>XPO ES</t>
        </is>
      </c>
      <c r="E98" s="2" t="inlineStr">
        <is>
          <t>121770903</t>
        </is>
      </c>
      <c r="F98" s="2" t="n">
        <v>64</v>
      </c>
      <c r="G98" s="2" t="n">
        <v>5</v>
      </c>
    </row>
    <row r="99">
      <c r="A99" s="2" t="inlineStr">
        <is>
          <t>K60 - LOS PRADOS</t>
        </is>
      </c>
      <c r="B99" s="2" t="inlineStr">
        <is>
          <t>S-6665003393</t>
        </is>
      </c>
      <c r="C99" s="2" t="inlineStr">
        <is>
          <t>EFFEC/OUT/20440</t>
        </is>
      </c>
      <c r="D99" s="2" t="inlineStr">
        <is>
          <t>XPO ES</t>
        </is>
      </c>
      <c r="E99" s="2" t="inlineStr">
        <is>
          <t>121770904</t>
        </is>
      </c>
      <c r="F99" s="2" t="n">
        <v>5</v>
      </c>
      <c r="G99" s="2" t="n">
        <v>0</v>
      </c>
    </row>
    <row r="100">
      <c r="A100" s="2" t="inlineStr">
        <is>
          <t>K60 - LOS PRADOS</t>
        </is>
      </c>
      <c r="B100" s="2" t="inlineStr">
        <is>
          <t>S-6665003393</t>
        </is>
      </c>
      <c r="C100" s="2" t="inlineStr">
        <is>
          <t>EFFEC/OUT/20888</t>
        </is>
      </c>
      <c r="D100" s="2" t="inlineStr">
        <is>
          <t>XPO ES</t>
        </is>
      </c>
      <c r="E100" s="2" t="inlineStr">
        <is>
          <t>121770904</t>
        </is>
      </c>
      <c r="F100" s="2" t="n">
        <v>5</v>
      </c>
      <c r="G100" s="2" t="n">
        <v>1</v>
      </c>
    </row>
    <row r="101">
      <c r="A101" s="2" t="inlineStr">
        <is>
          <t>K60 - LOS PRADOS</t>
        </is>
      </c>
      <c r="B101" s="2" t="inlineStr">
        <is>
          <t>S-6665003393</t>
        </is>
      </c>
      <c r="C101" s="2" t="inlineStr">
        <is>
          <t>EFFEC/OUT/20889</t>
        </is>
      </c>
      <c r="D101" s="2" t="inlineStr">
        <is>
          <t>XPO ES</t>
        </is>
      </c>
      <c r="E101" s="2" t="inlineStr">
        <is>
          <t>121770904</t>
        </is>
      </c>
      <c r="F101" s="2" t="n">
        <v>1</v>
      </c>
      <c r="G101" s="2" t="n">
        <v>0</v>
      </c>
    </row>
    <row r="102">
      <c r="A102" s="2" t="inlineStr">
        <is>
          <t>K60 - LOS PRADOS</t>
        </is>
      </c>
      <c r="B102" s="2" t="inlineStr">
        <is>
          <t>S-6665003445</t>
        </is>
      </c>
      <c r="C102" s="2" t="inlineStr">
        <is>
          <t>EFFEC/OUT/21068</t>
        </is>
      </c>
      <c r="D102" s="2" t="inlineStr">
        <is>
          <t>XPO ES</t>
        </is>
      </c>
      <c r="E102" s="2" t="inlineStr">
        <is>
          <t>121770904</t>
        </is>
      </c>
      <c r="F102" s="2" t="n">
        <v>61</v>
      </c>
      <c r="G102" s="2" t="n">
        <v>3</v>
      </c>
    </row>
    <row r="103">
      <c r="A103" s="2" t="inlineStr">
        <is>
          <t>K62 - XANADU</t>
        </is>
      </c>
      <c r="B103" s="2" t="inlineStr">
        <is>
          <t>S-6665003344</t>
        </is>
      </c>
      <c r="C103" s="2" t="inlineStr">
        <is>
          <t>EFFEC/OUT/20091</t>
        </is>
      </c>
      <c r="D103" s="2" t="inlineStr">
        <is>
          <t>XPO ES</t>
        </is>
      </c>
      <c r="E103" s="2" t="inlineStr">
        <is>
          <t>121770916</t>
        </is>
      </c>
      <c r="F103" s="2" t="n">
        <v>28</v>
      </c>
      <c r="G103" s="2" t="n">
        <v>1</v>
      </c>
    </row>
    <row r="104">
      <c r="A104" s="2" t="inlineStr">
        <is>
          <t>K62 - XANADU</t>
        </is>
      </c>
      <c r="B104" s="2" t="inlineStr">
        <is>
          <t>S-6665003344</t>
        </is>
      </c>
      <c r="C104" s="2" t="inlineStr">
        <is>
          <t>EFFEC/OUT/20255</t>
        </is>
      </c>
      <c r="D104" s="2" t="inlineStr">
        <is>
          <t>XPO ES</t>
        </is>
      </c>
      <c r="E104" s="2" t="inlineStr">
        <is>
          <t>121770916</t>
        </is>
      </c>
      <c r="F104" s="2" t="n">
        <v>4</v>
      </c>
      <c r="G104" s="2" t="n">
        <v>0</v>
      </c>
    </row>
    <row r="105">
      <c r="A105" s="2" t="inlineStr">
        <is>
          <t>K62 - XANADU</t>
        </is>
      </c>
      <c r="B105" s="2" t="inlineStr">
        <is>
          <t>S-6665003344</t>
        </is>
      </c>
      <c r="C105" s="2" t="inlineStr">
        <is>
          <t>EFFEC/OUT/20256</t>
        </is>
      </c>
      <c r="D105" s="2" t="inlineStr">
        <is>
          <t>XPO ES</t>
        </is>
      </c>
      <c r="E105" s="2" t="inlineStr">
        <is>
          <t>121770916</t>
        </is>
      </c>
      <c r="F105" s="2" t="n">
        <v>6</v>
      </c>
      <c r="G105" s="2" t="n">
        <v>1</v>
      </c>
    </row>
    <row r="106">
      <c r="A106" s="2" t="inlineStr">
        <is>
          <t>K62 - XANADU</t>
        </is>
      </c>
      <c r="B106" s="2" t="inlineStr">
        <is>
          <t>S-6665003344</t>
        </is>
      </c>
      <c r="C106" s="2" t="inlineStr">
        <is>
          <t>EFFEC/OUT/20257</t>
        </is>
      </c>
      <c r="D106" s="2" t="inlineStr">
        <is>
          <t>XPO ES</t>
        </is>
      </c>
      <c r="E106" s="2" t="inlineStr">
        <is>
          <t>121770916</t>
        </is>
      </c>
      <c r="F106" s="2" t="n">
        <v>5</v>
      </c>
      <c r="G106" s="2" t="n">
        <v>0</v>
      </c>
    </row>
    <row r="107">
      <c r="A107" s="2" t="inlineStr">
        <is>
          <t>K62 - XANADU</t>
        </is>
      </c>
      <c r="B107" s="2" t="inlineStr">
        <is>
          <t>S-6665003344</t>
        </is>
      </c>
      <c r="C107" s="2" t="inlineStr">
        <is>
          <t>EFFEC/OUT/20258</t>
        </is>
      </c>
      <c r="D107" s="2" t="inlineStr">
        <is>
          <t>XPO ES</t>
        </is>
      </c>
      <c r="E107" s="2" t="inlineStr">
        <is>
          <t>121770916</t>
        </is>
      </c>
      <c r="F107" s="2" t="n">
        <v>2</v>
      </c>
      <c r="G107" s="2" t="n">
        <v>0</v>
      </c>
    </row>
    <row r="108">
      <c r="A108" s="2" t="inlineStr">
        <is>
          <t>K62 - XANADU</t>
        </is>
      </c>
      <c r="B108" s="2" t="inlineStr">
        <is>
          <t>S-6665003395</t>
        </is>
      </c>
      <c r="C108" s="2" t="inlineStr">
        <is>
          <t>EFFEC/OUT/20442</t>
        </is>
      </c>
      <c r="D108" s="2" t="inlineStr">
        <is>
          <t>XPO ES</t>
        </is>
      </c>
      <c r="E108" s="2" t="inlineStr">
        <is>
          <t>121770916</t>
        </is>
      </c>
      <c r="F108" s="2" t="n">
        <v>19</v>
      </c>
      <c r="G108" s="2" t="n">
        <v>1</v>
      </c>
    </row>
    <row r="109">
      <c r="A109" s="2" t="inlineStr">
        <is>
          <t>K62 - XANADU</t>
        </is>
      </c>
      <c r="B109" s="2" t="inlineStr">
        <is>
          <t>S-6665003395</t>
        </is>
      </c>
      <c r="C109" s="2" t="inlineStr">
        <is>
          <t>EFFEC/OUT/20895</t>
        </is>
      </c>
      <c r="D109" s="2" t="inlineStr">
        <is>
          <t>XPO ES</t>
        </is>
      </c>
      <c r="E109" s="2" t="inlineStr">
        <is>
          <t>121770916</t>
        </is>
      </c>
      <c r="F109" s="2" t="n">
        <v>14</v>
      </c>
      <c r="G109" s="2" t="n">
        <v>1</v>
      </c>
    </row>
    <row r="110">
      <c r="A110" s="2" t="inlineStr">
        <is>
          <t>K62 - XANADU</t>
        </is>
      </c>
      <c r="B110" s="2" t="inlineStr">
        <is>
          <t>S-6665003395</t>
        </is>
      </c>
      <c r="C110" s="2" t="inlineStr">
        <is>
          <t>EFFEC/OUT/20896</t>
        </is>
      </c>
      <c r="D110" s="2" t="inlineStr">
        <is>
          <t>XPO ES</t>
        </is>
      </c>
      <c r="E110" s="2" t="inlineStr">
        <is>
          <t>121770916</t>
        </is>
      </c>
      <c r="F110" s="2" t="n">
        <v>11</v>
      </c>
      <c r="G110" s="2" t="n">
        <v>2</v>
      </c>
    </row>
    <row r="111">
      <c r="A111" s="2" t="inlineStr">
        <is>
          <t>K62 - XANADU</t>
        </is>
      </c>
      <c r="B111" s="2" t="inlineStr">
        <is>
          <t>S-6665003395</t>
        </is>
      </c>
      <c r="C111" s="2" t="inlineStr">
        <is>
          <t>EFFEC/OUT/20897</t>
        </is>
      </c>
      <c r="D111" s="2" t="inlineStr">
        <is>
          <t>XPO ES</t>
        </is>
      </c>
      <c r="E111" s="2" t="inlineStr">
        <is>
          <t>121770916</t>
        </is>
      </c>
      <c r="F111" s="2" t="n">
        <v>15</v>
      </c>
      <c r="G111" s="2" t="n">
        <v>2</v>
      </c>
    </row>
    <row r="112">
      <c r="A112" s="2" t="inlineStr">
        <is>
          <t>K62 - XANADU</t>
        </is>
      </c>
      <c r="B112" s="2" t="inlineStr">
        <is>
          <t>S-6665003395</t>
        </is>
      </c>
      <c r="C112" s="2" t="inlineStr">
        <is>
          <t>EFFEC/OUT/20898</t>
        </is>
      </c>
      <c r="D112" s="2" t="inlineStr">
        <is>
          <t>XPO ES</t>
        </is>
      </c>
      <c r="E112" s="2" t="inlineStr">
        <is>
          <t>121770916</t>
        </is>
      </c>
      <c r="F112" s="2" t="n">
        <v>13</v>
      </c>
      <c r="G112" s="2" t="n">
        <v>2</v>
      </c>
    </row>
    <row r="113">
      <c r="A113" s="2" t="inlineStr">
        <is>
          <t>K62 - XANADU</t>
        </is>
      </c>
      <c r="B113" s="2" t="inlineStr">
        <is>
          <t>S-6665003447</t>
        </is>
      </c>
      <c r="C113" s="2" t="inlineStr">
        <is>
          <t>EFFEC/OUT/21070</t>
        </is>
      </c>
      <c r="D113" s="2" t="inlineStr">
        <is>
          <t>XPO ES</t>
        </is>
      </c>
      <c r="E113" s="2" t="inlineStr">
        <is>
          <t>121770916</t>
        </is>
      </c>
      <c r="F113" s="2" t="n">
        <v>91</v>
      </c>
      <c r="G113" s="2" t="n">
        <v>7</v>
      </c>
    </row>
    <row r="114">
      <c r="A114" s="2" t="inlineStr">
        <is>
          <t>K63 - ALCALÁ MAGNA</t>
        </is>
      </c>
      <c r="B114" s="2" t="inlineStr">
        <is>
          <t>S-6665003396</t>
        </is>
      </c>
      <c r="C114" s="2" t="inlineStr">
        <is>
          <t>EFFEC/OUT/20443</t>
        </is>
      </c>
      <c r="D114" s="2" t="inlineStr">
        <is>
          <t>XPO ES</t>
        </is>
      </c>
      <c r="E114" s="2" t="inlineStr">
        <is>
          <t>121770917</t>
        </is>
      </c>
      <c r="F114" s="2" t="n">
        <v>14</v>
      </c>
      <c r="G114" s="2" t="n">
        <v>2</v>
      </c>
    </row>
    <row r="115">
      <c r="A115" s="2" t="inlineStr">
        <is>
          <t>K63 - ALCALÁ MAGNA</t>
        </is>
      </c>
      <c r="B115" s="2" t="inlineStr">
        <is>
          <t>S-6665003396</t>
        </is>
      </c>
      <c r="C115" s="2" t="inlineStr">
        <is>
          <t>EFFEC/OUT/20899</t>
        </is>
      </c>
      <c r="D115" s="2" t="inlineStr">
        <is>
          <t>XPO ES</t>
        </is>
      </c>
      <c r="E115" s="2" t="inlineStr">
        <is>
          <t>121770917</t>
        </is>
      </c>
      <c r="F115" s="2" t="n">
        <v>2</v>
      </c>
      <c r="G115" s="2" t="n">
        <v>1</v>
      </c>
    </row>
    <row r="116">
      <c r="A116" s="2" t="inlineStr">
        <is>
          <t>K63 - ALCALÁ MAGNA</t>
        </is>
      </c>
      <c r="B116" s="2" t="inlineStr">
        <is>
          <t>S-6665003396</t>
        </is>
      </c>
      <c r="C116" s="2" t="inlineStr">
        <is>
          <t>EFFEC/OUT/20900</t>
        </is>
      </c>
      <c r="D116" s="2" t="inlineStr">
        <is>
          <t>XPO ES</t>
        </is>
      </c>
      <c r="E116" s="2" t="inlineStr">
        <is>
          <t>121770917</t>
        </is>
      </c>
      <c r="F116" s="2" t="n">
        <v>11</v>
      </c>
      <c r="G116" s="2" t="n">
        <v>1</v>
      </c>
    </row>
    <row r="117">
      <c r="A117" s="2" t="inlineStr">
        <is>
          <t>K63 - ALCALÁ MAGNA</t>
        </is>
      </c>
      <c r="B117" s="2" t="inlineStr">
        <is>
          <t>S-6665003396</t>
        </is>
      </c>
      <c r="C117" s="2" t="inlineStr">
        <is>
          <t>EFFEC/OUT/20901</t>
        </is>
      </c>
      <c r="D117" s="2" t="inlineStr">
        <is>
          <t>XPO ES</t>
        </is>
      </c>
      <c r="E117" s="2" t="inlineStr">
        <is>
          <t>121770917</t>
        </is>
      </c>
      <c r="F117" s="2" t="n">
        <v>11</v>
      </c>
      <c r="G117" s="2" t="n">
        <v>2</v>
      </c>
    </row>
    <row r="118">
      <c r="A118" s="2" t="inlineStr">
        <is>
          <t>K63 - ALCALÁ MAGNA</t>
        </is>
      </c>
      <c r="B118" s="2" t="inlineStr">
        <is>
          <t>S-6665003396</t>
        </is>
      </c>
      <c r="C118" s="2" t="inlineStr">
        <is>
          <t>EFFEC/OUT/20902</t>
        </is>
      </c>
      <c r="D118" s="2" t="inlineStr">
        <is>
          <t>XPO ES</t>
        </is>
      </c>
      <c r="E118" s="2" t="inlineStr">
        <is>
          <t>121770917</t>
        </is>
      </c>
      <c r="F118" s="2" t="n">
        <v>12</v>
      </c>
      <c r="G118" s="2" t="n">
        <v>2</v>
      </c>
    </row>
    <row r="119">
      <c r="A119" s="2" t="inlineStr">
        <is>
          <t>K63 - ALCALÁ MAGNA</t>
        </is>
      </c>
      <c r="B119" s="2" t="inlineStr">
        <is>
          <t>S-6665003448</t>
        </is>
      </c>
      <c r="C119" s="2" t="inlineStr">
        <is>
          <t>EFFEC/OUT/21071</t>
        </is>
      </c>
      <c r="D119" s="2" t="inlineStr">
        <is>
          <t>XPO ES</t>
        </is>
      </c>
      <c r="E119" s="2" t="inlineStr">
        <is>
          <t>121770917</t>
        </is>
      </c>
      <c r="F119" s="2" t="n">
        <v>75</v>
      </c>
      <c r="G119" s="2" t="n">
        <v>5</v>
      </c>
    </row>
    <row r="120">
      <c r="A120" s="2" t="inlineStr">
        <is>
          <t>K65 - BARICENTRO</t>
        </is>
      </c>
      <c r="B120" s="2" t="inlineStr">
        <is>
          <t>S-6665003397</t>
        </is>
      </c>
      <c r="C120" s="2" t="inlineStr">
        <is>
          <t>EFFEC/OUT/20444</t>
        </is>
      </c>
      <c r="D120" s="2" t="inlineStr">
        <is>
          <t>XPO ES</t>
        </is>
      </c>
      <c r="E120" s="2" t="inlineStr">
        <is>
          <t>121770910</t>
        </is>
      </c>
      <c r="F120" s="2" t="n">
        <v>14</v>
      </c>
      <c r="G120" s="2" t="n">
        <v>2</v>
      </c>
    </row>
    <row r="121">
      <c r="A121" s="2" t="inlineStr">
        <is>
          <t>K65 - BARICENTRO</t>
        </is>
      </c>
      <c r="B121" s="2" t="inlineStr">
        <is>
          <t>S-6665003397</t>
        </is>
      </c>
      <c r="C121" s="2" t="inlineStr">
        <is>
          <t>EFFEC/OUT/20903</t>
        </is>
      </c>
      <c r="D121" s="2" t="inlineStr">
        <is>
          <t>XPO ES</t>
        </is>
      </c>
      <c r="E121" s="2" t="inlineStr">
        <is>
          <t>121770910</t>
        </is>
      </c>
      <c r="F121" s="2" t="n">
        <v>7</v>
      </c>
      <c r="G121" s="2" t="n">
        <v>1</v>
      </c>
    </row>
    <row r="122">
      <c r="A122" s="2" t="inlineStr">
        <is>
          <t>K65 - BARICENTRO</t>
        </is>
      </c>
      <c r="B122" s="2" t="inlineStr">
        <is>
          <t>S-6665003397</t>
        </is>
      </c>
      <c r="C122" s="2" t="inlineStr">
        <is>
          <t>EFFEC/OUT/20904</t>
        </is>
      </c>
      <c r="D122" s="2" t="inlineStr">
        <is>
          <t>XPO ES</t>
        </is>
      </c>
      <c r="E122" s="2" t="inlineStr">
        <is>
          <t>121770910</t>
        </is>
      </c>
      <c r="F122" s="2" t="n">
        <v>2</v>
      </c>
      <c r="G122" s="2" t="n">
        <v>0</v>
      </c>
    </row>
    <row r="123">
      <c r="A123" s="2" t="inlineStr">
        <is>
          <t>K65 - BARICENTRO</t>
        </is>
      </c>
      <c r="B123" s="2" t="inlineStr">
        <is>
          <t>S-6665003397</t>
        </is>
      </c>
      <c r="C123" s="2" t="inlineStr">
        <is>
          <t>EFFEC/OUT/20905</t>
        </is>
      </c>
      <c r="D123" s="2" t="inlineStr">
        <is>
          <t>XPO ES</t>
        </is>
      </c>
      <c r="E123" s="2" t="inlineStr">
        <is>
          <t>121770910</t>
        </is>
      </c>
      <c r="F123" s="2" t="n">
        <v>10</v>
      </c>
      <c r="G123" s="2" t="n">
        <v>2</v>
      </c>
    </row>
    <row r="124">
      <c r="A124" s="2" t="inlineStr">
        <is>
          <t>K65 - BARICENTRO</t>
        </is>
      </c>
      <c r="B124" s="2" t="inlineStr">
        <is>
          <t>S-6665003397</t>
        </is>
      </c>
      <c r="C124" s="2" t="inlineStr">
        <is>
          <t>EFFEC/OUT/20906</t>
        </is>
      </c>
      <c r="D124" s="2" t="inlineStr">
        <is>
          <t>XPO ES</t>
        </is>
      </c>
      <c r="E124" s="2" t="inlineStr">
        <is>
          <t>121770910</t>
        </is>
      </c>
      <c r="F124" s="2" t="n">
        <v>14</v>
      </c>
      <c r="G124" s="2" t="n">
        <v>2</v>
      </c>
    </row>
    <row r="125">
      <c r="A125" s="2" t="inlineStr">
        <is>
          <t>K65 - BARICENTRO</t>
        </is>
      </c>
      <c r="B125" s="2" t="inlineStr">
        <is>
          <t>S-6665003449</t>
        </is>
      </c>
      <c r="C125" s="2" t="inlineStr">
        <is>
          <t>EFFEC/OUT/21072</t>
        </is>
      </c>
      <c r="D125" s="2" t="inlineStr">
        <is>
          <t>XPO ES</t>
        </is>
      </c>
      <c r="E125" s="2" t="inlineStr">
        <is>
          <t>121770910</t>
        </is>
      </c>
      <c r="F125" s="2" t="n">
        <v>93</v>
      </c>
      <c r="G125" s="2" t="n">
        <v>6</v>
      </c>
    </row>
    <row r="126">
      <c r="A126" s="2" t="inlineStr">
        <is>
          <t>K72 - DIAGONAL MAR</t>
        </is>
      </c>
      <c r="B126" s="2" t="inlineStr">
        <is>
          <t>S-6665003401</t>
        </is>
      </c>
      <c r="C126" s="2" t="inlineStr">
        <is>
          <t>EFFEC/OUT/20448</t>
        </is>
      </c>
      <c r="D126" s="2" t="inlineStr">
        <is>
          <t>XPO ES</t>
        </is>
      </c>
      <c r="E126" s="2" t="inlineStr">
        <is>
          <t>121770915</t>
        </is>
      </c>
      <c r="F126" s="2" t="n">
        <v>21</v>
      </c>
      <c r="G126" s="2" t="n">
        <v>3</v>
      </c>
    </row>
    <row r="127">
      <c r="A127" s="2" t="inlineStr">
        <is>
          <t>K72 - DIAGONAL MAR</t>
        </is>
      </c>
      <c r="B127" s="2" t="inlineStr">
        <is>
          <t>S-6665003401</t>
        </is>
      </c>
      <c r="C127" s="2" t="inlineStr">
        <is>
          <t>EFFEC/OUT/20918</t>
        </is>
      </c>
      <c r="D127" s="2" t="inlineStr">
        <is>
          <t>XPO ES</t>
        </is>
      </c>
      <c r="E127" s="2" t="inlineStr">
        <is>
          <t>121770915</t>
        </is>
      </c>
      <c r="F127" s="2" t="n">
        <v>19</v>
      </c>
      <c r="G127" s="2" t="n">
        <v>1</v>
      </c>
    </row>
    <row r="128">
      <c r="A128" s="2" t="inlineStr">
        <is>
          <t>K72 - DIAGONAL MAR</t>
        </is>
      </c>
      <c r="B128" s="2" t="inlineStr">
        <is>
          <t>S-6665003401</t>
        </is>
      </c>
      <c r="C128" s="2" t="inlineStr">
        <is>
          <t>EFFEC/OUT/20919</t>
        </is>
      </c>
      <c r="D128" s="2" t="inlineStr">
        <is>
          <t>XPO ES</t>
        </is>
      </c>
      <c r="E128" s="2" t="inlineStr">
        <is>
          <t>121770915</t>
        </is>
      </c>
      <c r="F128" s="2" t="n">
        <v>11</v>
      </c>
      <c r="G128" s="2" t="n">
        <v>1</v>
      </c>
    </row>
    <row r="129">
      <c r="A129" s="2" t="inlineStr">
        <is>
          <t>K72 - DIAGONAL MAR</t>
        </is>
      </c>
      <c r="B129" s="2" t="inlineStr">
        <is>
          <t>S-6665003401</t>
        </is>
      </c>
      <c r="C129" s="2" t="inlineStr">
        <is>
          <t>EFFEC/OUT/20920</t>
        </is>
      </c>
      <c r="D129" s="2" t="inlineStr">
        <is>
          <t>XPO ES</t>
        </is>
      </c>
      <c r="E129" s="2" t="inlineStr">
        <is>
          <t>121770915</t>
        </is>
      </c>
      <c r="F129" s="2" t="n">
        <v>19</v>
      </c>
      <c r="G129" s="2" t="n">
        <v>2</v>
      </c>
    </row>
    <row r="130">
      <c r="A130" s="2" t="inlineStr">
        <is>
          <t>K72 - DIAGONAL MAR</t>
        </is>
      </c>
      <c r="B130" s="2" t="inlineStr">
        <is>
          <t>S-6665003401</t>
        </is>
      </c>
      <c r="C130" s="2" t="inlineStr">
        <is>
          <t>EFFEC/OUT/20921</t>
        </is>
      </c>
      <c r="D130" s="2" t="inlineStr">
        <is>
          <t>XPO ES</t>
        </is>
      </c>
      <c r="E130" s="2" t="inlineStr">
        <is>
          <t>121770915</t>
        </is>
      </c>
      <c r="F130" s="2" t="n">
        <v>10</v>
      </c>
      <c r="G130" s="2" t="n">
        <v>1</v>
      </c>
    </row>
    <row r="131">
      <c r="A131" s="2" t="inlineStr">
        <is>
          <t>K72 - DIAGONAL MAR</t>
        </is>
      </c>
      <c r="B131" s="2" t="inlineStr">
        <is>
          <t>S-6665003453</t>
        </is>
      </c>
      <c r="C131" s="2" t="inlineStr">
        <is>
          <t>EFFEC/OUT/21076</t>
        </is>
      </c>
      <c r="D131" s="2" t="inlineStr">
        <is>
          <t>XPO ES</t>
        </is>
      </c>
      <c r="E131" s="2" t="inlineStr">
        <is>
          <t>121770915</t>
        </is>
      </c>
      <c r="F131" s="2" t="n">
        <v>91</v>
      </c>
      <c r="G131" s="2" t="n">
        <v>7</v>
      </c>
    </row>
    <row r="132">
      <c r="A132" s="2" t="inlineStr">
        <is>
          <t>K74 - CC SALERA</t>
        </is>
      </c>
      <c r="B132" s="2" t="inlineStr">
        <is>
          <t>S-6665003403</t>
        </is>
      </c>
      <c r="C132" s="2" t="inlineStr">
        <is>
          <t>EFFEC/OUT/20450</t>
        </is>
      </c>
      <c r="D132" s="2" t="inlineStr">
        <is>
          <t>XPO ES</t>
        </is>
      </c>
      <c r="E132" s="2" t="inlineStr">
        <is>
          <t>121770911</t>
        </is>
      </c>
      <c r="F132" s="2" t="n">
        <v>16</v>
      </c>
      <c r="G132" s="2" t="n">
        <v>3</v>
      </c>
    </row>
    <row r="133">
      <c r="A133" s="2" t="inlineStr">
        <is>
          <t>K74 - CC SALERA</t>
        </is>
      </c>
      <c r="B133" s="2" t="inlineStr">
        <is>
          <t>S-6665003403</t>
        </is>
      </c>
      <c r="C133" s="2" t="inlineStr">
        <is>
          <t>EFFEC/OUT/20926</t>
        </is>
      </c>
      <c r="D133" s="2" t="inlineStr">
        <is>
          <t>XPO ES</t>
        </is>
      </c>
      <c r="E133" s="2" t="inlineStr">
        <is>
          <t>121770911</t>
        </is>
      </c>
      <c r="F133" s="2" t="n">
        <v>2</v>
      </c>
      <c r="G133" s="2" t="n">
        <v>1</v>
      </c>
    </row>
    <row r="134">
      <c r="A134" s="2" t="inlineStr">
        <is>
          <t>K74 - CC SALERA</t>
        </is>
      </c>
      <c r="B134" s="2" t="inlineStr">
        <is>
          <t>S-6665003403</t>
        </is>
      </c>
      <c r="C134" s="2" t="inlineStr">
        <is>
          <t>EFFEC/OUT/20927</t>
        </is>
      </c>
      <c r="D134" s="2" t="inlineStr">
        <is>
          <t>XPO ES</t>
        </is>
      </c>
      <c r="E134" s="2" t="inlineStr">
        <is>
          <t>121770911</t>
        </is>
      </c>
      <c r="F134" s="2" t="n">
        <v>9</v>
      </c>
      <c r="G134" s="2" t="n">
        <v>1</v>
      </c>
    </row>
    <row r="135">
      <c r="A135" s="2" t="inlineStr">
        <is>
          <t>K74 - CC SALERA</t>
        </is>
      </c>
      <c r="B135" s="2" t="inlineStr">
        <is>
          <t>S-6665003403</t>
        </is>
      </c>
      <c r="C135" s="2" t="inlineStr">
        <is>
          <t>EFFEC/OUT/20928</t>
        </is>
      </c>
      <c r="D135" s="2" t="inlineStr">
        <is>
          <t>XPO ES</t>
        </is>
      </c>
      <c r="E135" s="2" t="inlineStr">
        <is>
          <t>121770911</t>
        </is>
      </c>
      <c r="F135" s="2" t="n">
        <v>8</v>
      </c>
      <c r="G135" s="2" t="n">
        <v>2</v>
      </c>
    </row>
    <row r="136">
      <c r="A136" s="2" t="inlineStr">
        <is>
          <t>K74 - CC SALERA</t>
        </is>
      </c>
      <c r="B136" s="2" t="inlineStr">
        <is>
          <t>S-6665003403</t>
        </is>
      </c>
      <c r="C136" s="2" t="inlineStr">
        <is>
          <t>EFFEC/OUT/20929</t>
        </is>
      </c>
      <c r="D136" s="2" t="inlineStr">
        <is>
          <t>XPO ES</t>
        </is>
      </c>
      <c r="E136" s="2" t="inlineStr">
        <is>
          <t>121770911</t>
        </is>
      </c>
      <c r="F136" s="2" t="n">
        <v>10</v>
      </c>
      <c r="G136" s="2" t="n">
        <v>1</v>
      </c>
    </row>
    <row r="137">
      <c r="A137" s="2" t="inlineStr">
        <is>
          <t>K77 - CC SANT CUGAT</t>
        </is>
      </c>
      <c r="B137" s="2" t="inlineStr">
        <is>
          <t>S-6665003405</t>
        </is>
      </c>
      <c r="C137" s="2" t="inlineStr">
        <is>
          <t>EFFEC/OUT/20452</t>
        </is>
      </c>
      <c r="D137" s="2" t="inlineStr">
        <is>
          <t>XPO ES</t>
        </is>
      </c>
      <c r="E137" s="2" t="inlineStr">
        <is>
          <t>121770909</t>
        </is>
      </c>
      <c r="F137" s="2" t="n">
        <v>14</v>
      </c>
      <c r="G137" s="2" t="n">
        <v>2</v>
      </c>
    </row>
    <row r="138">
      <c r="A138" s="2" t="inlineStr">
        <is>
          <t>K77 - CC SANT CUGAT</t>
        </is>
      </c>
      <c r="B138" s="2" t="inlineStr">
        <is>
          <t>S-6665003405</t>
        </is>
      </c>
      <c r="C138" s="2" t="inlineStr">
        <is>
          <t>EFFEC/OUT/20934</t>
        </is>
      </c>
      <c r="D138" s="2" t="inlineStr">
        <is>
          <t>XPO ES</t>
        </is>
      </c>
      <c r="E138" s="2" t="inlineStr">
        <is>
          <t>121770909</t>
        </is>
      </c>
      <c r="F138" s="2" t="n">
        <v>9</v>
      </c>
      <c r="G138" s="2" t="n">
        <v>1</v>
      </c>
    </row>
    <row r="139">
      <c r="A139" s="2" t="inlineStr">
        <is>
          <t>K77 - CC SANT CUGAT</t>
        </is>
      </c>
      <c r="B139" s="2" t="inlineStr">
        <is>
          <t>S-6665003405</t>
        </is>
      </c>
      <c r="C139" s="2" t="inlineStr">
        <is>
          <t>EFFEC/OUT/20935</t>
        </is>
      </c>
      <c r="D139" s="2" t="inlineStr">
        <is>
          <t>XPO ES</t>
        </is>
      </c>
      <c r="E139" s="2" t="inlineStr">
        <is>
          <t>121770909</t>
        </is>
      </c>
      <c r="F139" s="2" t="n">
        <v>7</v>
      </c>
      <c r="G139" s="2" t="n">
        <v>1</v>
      </c>
    </row>
    <row r="140">
      <c r="A140" s="2" t="inlineStr">
        <is>
          <t>K77 - CC SANT CUGAT</t>
        </is>
      </c>
      <c r="B140" s="2" t="inlineStr">
        <is>
          <t>S-6665003405</t>
        </is>
      </c>
      <c r="C140" s="2" t="inlineStr">
        <is>
          <t>EFFEC/OUT/20936</t>
        </is>
      </c>
      <c r="D140" s="2" t="inlineStr">
        <is>
          <t>XPO ES</t>
        </is>
      </c>
      <c r="E140" s="2" t="inlineStr">
        <is>
          <t>121770909</t>
        </is>
      </c>
      <c r="F140" s="2" t="n">
        <v>8</v>
      </c>
      <c r="G140" s="2" t="n">
        <v>2</v>
      </c>
    </row>
    <row r="141">
      <c r="A141" s="2" t="inlineStr">
        <is>
          <t>K77 - CC SANT CUGAT</t>
        </is>
      </c>
      <c r="B141" s="2" t="inlineStr">
        <is>
          <t>S-6665003405</t>
        </is>
      </c>
      <c r="C141" s="2" t="inlineStr">
        <is>
          <t>EFFEC/OUT/20937</t>
        </is>
      </c>
      <c r="D141" s="2" t="inlineStr">
        <is>
          <t>XPO ES</t>
        </is>
      </c>
      <c r="E141" s="2" t="inlineStr">
        <is>
          <t>121770909</t>
        </is>
      </c>
      <c r="F141" s="2" t="n">
        <v>13</v>
      </c>
      <c r="G141" s="2" t="n">
        <v>2</v>
      </c>
    </row>
    <row r="142">
      <c r="A142" s="2" t="inlineStr">
        <is>
          <t>K77 - CC SANT CUGAT</t>
        </is>
      </c>
      <c r="B142" s="2" t="inlineStr">
        <is>
          <t>S-6665003415</t>
        </is>
      </c>
      <c r="C142" s="2" t="inlineStr">
        <is>
          <t>EFFEC/OUT/20991</t>
        </is>
      </c>
      <c r="D142" s="2" t="inlineStr">
        <is>
          <t>XPO ES</t>
        </is>
      </c>
      <c r="E142" s="2" t="inlineStr">
        <is>
          <t>121770909</t>
        </is>
      </c>
      <c r="F142" s="2" t="n">
        <v>3</v>
      </c>
      <c r="G142" s="2" t="n">
        <v>3</v>
      </c>
    </row>
    <row r="143">
      <c r="A143" s="2" t="inlineStr">
        <is>
          <t>K78 - PLAZA NORTE 2</t>
        </is>
      </c>
      <c r="B143" s="2" t="inlineStr">
        <is>
          <t>S-6665003406</t>
        </is>
      </c>
      <c r="C143" s="2" t="inlineStr">
        <is>
          <t>EFFEC/OUT/20453</t>
        </is>
      </c>
      <c r="D143" s="2" t="inlineStr">
        <is>
          <t>XPO ES</t>
        </is>
      </c>
      <c r="E143" s="2" t="inlineStr">
        <is>
          <t>121770913</t>
        </is>
      </c>
      <c r="F143" s="2" t="n">
        <v>14</v>
      </c>
      <c r="G143" s="2" t="n">
        <v>2</v>
      </c>
    </row>
    <row r="144">
      <c r="A144" s="2" t="inlineStr">
        <is>
          <t>K78 - PLAZA NORTE 2</t>
        </is>
      </c>
      <c r="B144" s="2" t="inlineStr">
        <is>
          <t>S-6665003406</t>
        </is>
      </c>
      <c r="C144" s="2" t="inlineStr">
        <is>
          <t>EFFEC/OUT/20938</t>
        </is>
      </c>
      <c r="D144" s="2" t="inlineStr">
        <is>
          <t>XPO ES</t>
        </is>
      </c>
      <c r="E144" s="2" t="inlineStr">
        <is>
          <t>121770913</t>
        </is>
      </c>
      <c r="F144" s="2" t="n">
        <v>7</v>
      </c>
      <c r="G144" s="2" t="n">
        <v>1</v>
      </c>
    </row>
    <row r="145">
      <c r="A145" s="2" t="inlineStr">
        <is>
          <t>K78 - PLAZA NORTE 2</t>
        </is>
      </c>
      <c r="B145" s="2" t="inlineStr">
        <is>
          <t>S-6665003406</t>
        </is>
      </c>
      <c r="C145" s="2" t="inlineStr">
        <is>
          <t>EFFEC/OUT/20939</t>
        </is>
      </c>
      <c r="D145" s="2" t="inlineStr">
        <is>
          <t>XPO ES</t>
        </is>
      </c>
      <c r="E145" s="2" t="inlineStr">
        <is>
          <t>121770913</t>
        </is>
      </c>
      <c r="F145" s="2" t="n">
        <v>12</v>
      </c>
      <c r="G145" s="2" t="n">
        <v>1</v>
      </c>
    </row>
    <row r="146">
      <c r="A146" s="2" t="inlineStr">
        <is>
          <t>K78 - PLAZA NORTE 2</t>
        </is>
      </c>
      <c r="B146" s="2" t="inlineStr">
        <is>
          <t>S-6665003406</t>
        </is>
      </c>
      <c r="C146" s="2" t="inlineStr">
        <is>
          <t>EFFEC/OUT/20940</t>
        </is>
      </c>
      <c r="D146" s="2" t="inlineStr">
        <is>
          <t>XPO ES</t>
        </is>
      </c>
      <c r="E146" s="2" t="inlineStr">
        <is>
          <t>121770913</t>
        </is>
      </c>
      <c r="F146" s="2" t="n">
        <v>12</v>
      </c>
      <c r="G146" s="2" t="n">
        <v>2</v>
      </c>
    </row>
    <row r="147">
      <c r="A147" s="2" t="inlineStr">
        <is>
          <t>K78 - PLAZA NORTE 2</t>
        </is>
      </c>
      <c r="B147" s="2" t="inlineStr">
        <is>
          <t>S-6665003406</t>
        </is>
      </c>
      <c r="C147" s="2" t="inlineStr">
        <is>
          <t>EFFEC/OUT/20941</t>
        </is>
      </c>
      <c r="D147" s="2" t="inlineStr">
        <is>
          <t>XPO ES</t>
        </is>
      </c>
      <c r="E147" s="2" t="inlineStr">
        <is>
          <t>121770913</t>
        </is>
      </c>
      <c r="F147" s="2" t="n">
        <v>13</v>
      </c>
      <c r="G147" s="2" t="n">
        <v>2</v>
      </c>
    </row>
    <row r="148">
      <c r="A148" s="2" t="inlineStr">
        <is>
          <t>K78 - PLAZA NORTE 2</t>
        </is>
      </c>
      <c r="B148" s="2" t="inlineStr">
        <is>
          <t>S-6665003406</t>
        </is>
      </c>
      <c r="C148" s="2" t="inlineStr">
        <is>
          <t>EFFEC/OUT/20942</t>
        </is>
      </c>
      <c r="D148" s="2" t="inlineStr">
        <is>
          <t>XPO ES</t>
        </is>
      </c>
      <c r="E148" s="2" t="inlineStr">
        <is>
          <t>121770913</t>
        </is>
      </c>
      <c r="F148" s="2" t="n">
        <v>1</v>
      </c>
      <c r="G148" s="2" t="n">
        <v>0</v>
      </c>
    </row>
    <row r="149">
      <c r="A149" s="2" t="inlineStr">
        <is>
          <t>K83 - GARBERA NEW</t>
        </is>
      </c>
      <c r="B149" s="2" t="inlineStr">
        <is>
          <t>S-6665003411</t>
        </is>
      </c>
      <c r="C149" s="2" t="inlineStr">
        <is>
          <t>EFFEC/OUT/20458</t>
        </is>
      </c>
      <c r="D149" s="2" t="inlineStr">
        <is>
          <t>XPO ES</t>
        </is>
      </c>
      <c r="E149" s="2" t="inlineStr">
        <is>
          <t>121770908</t>
        </is>
      </c>
      <c r="F149" s="2" t="n">
        <v>73</v>
      </c>
      <c r="G149" s="2" t="n">
        <v>9</v>
      </c>
    </row>
    <row r="150">
      <c r="A150" s="2" t="inlineStr">
        <is>
          <t>K83 - GARBERA NEW</t>
        </is>
      </c>
      <c r="B150" s="2" t="inlineStr">
        <is>
          <t>S-6665003411</t>
        </is>
      </c>
      <c r="C150" s="2" t="inlineStr">
        <is>
          <t>EFFEC/OUT/20954</t>
        </is>
      </c>
      <c r="D150" s="2" t="inlineStr">
        <is>
          <t>XPO ES</t>
        </is>
      </c>
      <c r="E150" s="2" t="inlineStr">
        <is>
          <t>121770908</t>
        </is>
      </c>
      <c r="F150" s="2" t="n">
        <v>18</v>
      </c>
      <c r="G150" s="2" t="n">
        <v>1</v>
      </c>
    </row>
    <row r="151">
      <c r="A151" s="2" t="inlineStr">
        <is>
          <t>K83 - GARBERA NEW</t>
        </is>
      </c>
      <c r="B151" s="2" t="inlineStr">
        <is>
          <t>S-6665003411</t>
        </is>
      </c>
      <c r="C151" s="2" t="inlineStr">
        <is>
          <t>EFFEC/OUT/20955</t>
        </is>
      </c>
      <c r="D151" s="2" t="inlineStr">
        <is>
          <t>XPO ES</t>
        </is>
      </c>
      <c r="E151" s="2" t="inlineStr">
        <is>
          <t>121770908</t>
        </is>
      </c>
      <c r="F151" s="2" t="n">
        <v>60</v>
      </c>
      <c r="G151" s="2" t="n">
        <v>8</v>
      </c>
    </row>
    <row r="152">
      <c r="A152" s="2" t="inlineStr">
        <is>
          <t>K83 - GARBERA NEW</t>
        </is>
      </c>
      <c r="B152" s="2" t="inlineStr">
        <is>
          <t>S-6665003411</t>
        </is>
      </c>
      <c r="C152" s="2" t="inlineStr">
        <is>
          <t>EFFEC/OUT/20956</t>
        </is>
      </c>
      <c r="D152" s="2" t="inlineStr">
        <is>
          <t>XPO ES</t>
        </is>
      </c>
      <c r="E152" s="2" t="inlineStr">
        <is>
          <t>121770908</t>
        </is>
      </c>
      <c r="F152" s="2" t="n">
        <v>31</v>
      </c>
      <c r="G152" s="2" t="n">
        <v>4</v>
      </c>
    </row>
    <row r="153">
      <c r="A153" s="2" t="inlineStr">
        <is>
          <t>K83 - GARBERA NEW</t>
        </is>
      </c>
      <c r="B153" s="2" t="inlineStr">
        <is>
          <t>S-6665003411</t>
        </is>
      </c>
      <c r="C153" s="2" t="inlineStr">
        <is>
          <t>EFFEC/OUT/20957</t>
        </is>
      </c>
      <c r="D153" s="2" t="inlineStr">
        <is>
          <t>XPO ES</t>
        </is>
      </c>
      <c r="E153" s="2" t="inlineStr">
        <is>
          <t>121770908</t>
        </is>
      </c>
      <c r="F153" s="2" t="n">
        <v>30</v>
      </c>
      <c r="G153" s="2" t="n">
        <v>4</v>
      </c>
    </row>
    <row r="154">
      <c r="A154" s="2" t="inlineStr">
        <is>
          <t>K85 - PLATJA D'ARO</t>
        </is>
      </c>
      <c r="B154" s="2" t="inlineStr">
        <is>
          <t>S-6665003412</t>
        </is>
      </c>
      <c r="C154" s="2" t="inlineStr">
        <is>
          <t>EFFEC/OUT/20459</t>
        </is>
      </c>
      <c r="D154" s="2" t="inlineStr">
        <is>
          <t>XPO ES</t>
        </is>
      </c>
      <c r="E154" s="2" t="inlineStr">
        <is>
          <t>121770919</t>
        </is>
      </c>
      <c r="F154" s="2" t="n">
        <v>14</v>
      </c>
      <c r="G154" s="2" t="n">
        <v>2</v>
      </c>
    </row>
    <row r="155">
      <c r="A155" s="2" t="inlineStr">
        <is>
          <t>K85 - PLATJA D'ARO</t>
        </is>
      </c>
      <c r="B155" s="2" t="inlineStr">
        <is>
          <t>S-6665003412</t>
        </is>
      </c>
      <c r="C155" s="2" t="inlineStr">
        <is>
          <t>EFFEC/OUT/20958</t>
        </is>
      </c>
      <c r="D155" s="2" t="inlineStr">
        <is>
          <t>XPO ES</t>
        </is>
      </c>
      <c r="E155" s="2" t="inlineStr">
        <is>
          <t>121770919</t>
        </is>
      </c>
      <c r="F155" s="2" t="n">
        <v>2</v>
      </c>
      <c r="G155" s="2" t="n">
        <v>1</v>
      </c>
    </row>
    <row r="156">
      <c r="A156" s="2" t="inlineStr">
        <is>
          <t>K85 - PLATJA D'ARO</t>
        </is>
      </c>
      <c r="B156" s="2" t="inlineStr">
        <is>
          <t>S-6665003412</t>
        </is>
      </c>
      <c r="C156" s="2" t="inlineStr">
        <is>
          <t>EFFEC/OUT/20959</t>
        </is>
      </c>
      <c r="D156" s="2" t="inlineStr">
        <is>
          <t>XPO ES</t>
        </is>
      </c>
      <c r="E156" s="2" t="inlineStr">
        <is>
          <t>121770919</t>
        </is>
      </c>
      <c r="F156" s="2" t="n">
        <v>7</v>
      </c>
      <c r="G156" s="2" t="n">
        <v>1</v>
      </c>
    </row>
    <row r="157">
      <c r="A157" s="2" t="inlineStr">
        <is>
          <t>K85 - PLATJA D'ARO</t>
        </is>
      </c>
      <c r="B157" s="2" t="inlineStr">
        <is>
          <t>S-6665003412</t>
        </is>
      </c>
      <c r="C157" s="2" t="inlineStr">
        <is>
          <t>EFFEC/OUT/20960</t>
        </is>
      </c>
      <c r="D157" s="2" t="inlineStr">
        <is>
          <t>XPO ES</t>
        </is>
      </c>
      <c r="E157" s="2" t="inlineStr">
        <is>
          <t>121770919</t>
        </is>
      </c>
      <c r="F157" s="2" t="n">
        <v>11</v>
      </c>
      <c r="G157" s="2" t="n">
        <v>2</v>
      </c>
    </row>
    <row r="158">
      <c r="A158" s="2" t="inlineStr">
        <is>
          <t>K85 - PLATJA D'ARO</t>
        </is>
      </c>
      <c r="B158" s="2" t="inlineStr">
        <is>
          <t>S-6665003412</t>
        </is>
      </c>
      <c r="C158" s="2" t="inlineStr">
        <is>
          <t>EFFEC/OUT/20961</t>
        </is>
      </c>
      <c r="D158" s="2" t="inlineStr">
        <is>
          <t>XPO ES</t>
        </is>
      </c>
      <c r="E158" s="2" t="inlineStr">
        <is>
          <t>121770919</t>
        </is>
      </c>
      <c r="F158" s="2" t="n">
        <v>12</v>
      </c>
      <c r="G158" s="2" t="n">
        <v>2</v>
      </c>
    </row>
    <row r="159">
      <c r="A159" s="2" t="inlineStr">
        <is>
          <t>K86 - L'ALJUB (ELX)</t>
        </is>
      </c>
      <c r="B159" s="2" t="inlineStr">
        <is>
          <t>S-6665003413</t>
        </is>
      </c>
      <c r="C159" s="2" t="inlineStr">
        <is>
          <t>EFFEC/OUT/20460</t>
        </is>
      </c>
      <c r="D159" s="2" t="inlineStr">
        <is>
          <t>XPO ES</t>
        </is>
      </c>
      <c r="E159" s="2" t="inlineStr">
        <is>
          <t>121770918</t>
        </is>
      </c>
      <c r="F159" s="2" t="n">
        <v>18</v>
      </c>
      <c r="G159" s="2" t="n">
        <v>3</v>
      </c>
    </row>
    <row r="160">
      <c r="A160" s="2" t="inlineStr">
        <is>
          <t>K86 - L'ALJUB (ELX)</t>
        </is>
      </c>
      <c r="B160" s="2" t="inlineStr">
        <is>
          <t>S-6665003413</t>
        </is>
      </c>
      <c r="C160" s="2" t="inlineStr">
        <is>
          <t>EFFEC/OUT/20962</t>
        </is>
      </c>
      <c r="D160" s="2" t="inlineStr">
        <is>
          <t>XPO ES</t>
        </is>
      </c>
      <c r="E160" s="2" t="inlineStr">
        <is>
          <t>121770918</t>
        </is>
      </c>
      <c r="F160" s="2" t="n">
        <v>2</v>
      </c>
      <c r="G160" s="2" t="n">
        <v>1</v>
      </c>
    </row>
    <row r="161">
      <c r="A161" s="2" t="inlineStr">
        <is>
          <t>K86 - L'ALJUB (ELX)</t>
        </is>
      </c>
      <c r="B161" s="2" t="inlineStr">
        <is>
          <t>S-6665003413</t>
        </is>
      </c>
      <c r="C161" s="2" t="inlineStr">
        <is>
          <t>EFFEC/OUT/20963</t>
        </is>
      </c>
      <c r="D161" s="2" t="inlineStr">
        <is>
          <t>XPO ES</t>
        </is>
      </c>
      <c r="E161" s="2" t="inlineStr">
        <is>
          <t>121770918</t>
        </is>
      </c>
      <c r="F161" s="2" t="n">
        <v>9</v>
      </c>
      <c r="G161" s="2" t="n">
        <v>2</v>
      </c>
    </row>
    <row r="162">
      <c r="A162" s="2" t="inlineStr">
        <is>
          <t>K86 - L'ALJUB (ELX)</t>
        </is>
      </c>
      <c r="B162" s="2" t="inlineStr">
        <is>
          <t>S-6665003413</t>
        </is>
      </c>
      <c r="C162" s="2" t="inlineStr">
        <is>
          <t>EFFEC/OUT/20964</t>
        </is>
      </c>
      <c r="D162" s="2" t="inlineStr">
        <is>
          <t>XPO ES</t>
        </is>
      </c>
      <c r="E162" s="2" t="inlineStr">
        <is>
          <t>121770918</t>
        </is>
      </c>
      <c r="F162" s="2" t="n">
        <v>9</v>
      </c>
      <c r="G162" s="2" t="n">
        <v>-4</v>
      </c>
    </row>
    <row r="163">
      <c r="A163" s="3" t="inlineStr">
        <is>
          <t>TOTAL</t>
        </is>
      </c>
      <c r="B163" s="3" t="n"/>
      <c r="C163" s="3">
        <f>COUNTA(C2:C162)&amp;" OUT"</f>
        <v/>
      </c>
      <c r="D163" s="3" t="n"/>
      <c r="E163" s="3" t="n"/>
      <c r="F163" s="3">
        <f>SUM(F2:F162)</f>
        <v/>
      </c>
      <c r="G163" s="3">
        <f>SUM(G2:G162)</f>
        <v/>
      </c>
    </row>
  </sheetData>
  <autoFilter ref="A1:G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2026-10-23T11:11:33Z</dcterms:created>
  <dcterms:modified xsi:type="dcterms:W3CDTF">2026-10-23T11:11:33Z</dcterms:modified>
</cp:coreProperties>
</file>