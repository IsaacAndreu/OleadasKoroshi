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8C2BC2A2-79BB-432B-8FEF-13ED4F1FDCB1}" xr6:coauthVersionLast="47" xr6:coauthVersionMax="47" xr10:uidLastSave="{00000000-0000-0000-0000-000000000000}"/>
  <bookViews>
    <workbookView xWindow="28680" yWindow="-120" windowWidth="29040" windowHeight="15720" firstSheet="1" activeTab="4" xr2:uid="{00000000-000D-0000-FFFF-FFFF00000000}"/>
  </bookViews>
  <sheets>
    <sheet name="MASTER por modelo" sheetId="1" r:id="rId1"/>
    <sheet name="Indicadores" sheetId="2" r:id="rId2"/>
    <sheet name="Detalle por artículo" sheetId="3" r:id="rId3"/>
    <sheet name="Implantación por tienda" sheetId="6" r:id="rId4"/>
    <sheet name="Reposición por tienda" sheetId="7" r:id="rId5"/>
    <sheet name="Resumen por familia" sheetId="4" r:id="rId6"/>
    <sheet name="Resumen por artículo" sheetId="5" r:id="rId7"/>
  </sheets>
  <definedNames>
    <definedName name="_xlnm._FilterDatabase" localSheetId="2" hidden="1">'Detalle por artículo'!$A$7:$Q$592</definedName>
    <definedName name="_xlnm._FilterDatabase" localSheetId="3" hidden="1">'Implantación por tienda'!$A$7:$BH$659</definedName>
    <definedName name="_xlnm._FilterDatabase" localSheetId="0" hidden="1">'MASTER por modelo'!$A$7:$AW$474</definedName>
    <definedName name="_xlnm._FilterDatabase" localSheetId="4" hidden="1">'Reposición por tienda'!$A$7:$BC$659</definedName>
    <definedName name="_xlnm._FilterDatabase" localSheetId="6" hidden="1">'Resumen por artículo'!$A$3:$K$481</definedName>
    <definedName name="_xlnm._FilterDatabase" localSheetId="5" hidden="1">'Resumen por familia'!$A$3:$K$38</definedName>
    <definedName name="IMP_MOD">'Implantación por tienda'!$A$8:$A$659</definedName>
    <definedName name="IMP_NT">'Implantación por tienda'!$C$8:$C$659</definedName>
    <definedName name="IMP_TOT">'Implantación por tienda'!$B$8:$B$659</definedName>
    <definedName name="REP_MOD">'Reposición por tienda'!$A$8:$A$659</definedName>
    <definedName name="REP_TOT">'Reposición por tienda'!$B$8:$B$659</definedName>
    <definedName name="TIENDAS">'Implantación por tienda'!$K$4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9" i="7" l="1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AD473" i="1" s="1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AD146" i="1" s="1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AD379" i="1" s="1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AD99" i="1" s="1"/>
  <c r="B212" i="7"/>
  <c r="B211" i="7"/>
  <c r="AD426" i="1" s="1"/>
  <c r="B210" i="7"/>
  <c r="B209" i="7"/>
  <c r="B208" i="7"/>
  <c r="AD286" i="1" s="1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AD459" i="1" s="1"/>
  <c r="AJ459" i="1" s="1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G659" i="6"/>
  <c r="C659" i="6"/>
  <c r="D659" i="6" s="1"/>
  <c r="B659" i="6"/>
  <c r="G658" i="6"/>
  <c r="C658" i="6"/>
  <c r="D658" i="6" s="1"/>
  <c r="B658" i="6"/>
  <c r="G657" i="6"/>
  <c r="C657" i="6"/>
  <c r="D657" i="6" s="1"/>
  <c r="B657" i="6"/>
  <c r="G656" i="6"/>
  <c r="C656" i="6"/>
  <c r="D656" i="6" s="1"/>
  <c r="B656" i="6"/>
  <c r="G655" i="6"/>
  <c r="C655" i="6"/>
  <c r="D655" i="6" s="1"/>
  <c r="B655" i="6"/>
  <c r="G654" i="6"/>
  <c r="C654" i="6"/>
  <c r="D654" i="6" s="1"/>
  <c r="B654" i="6"/>
  <c r="G653" i="6"/>
  <c r="C653" i="6"/>
  <c r="D653" i="6" s="1"/>
  <c r="B653" i="6"/>
  <c r="G652" i="6"/>
  <c r="C652" i="6"/>
  <c r="D652" i="6" s="1"/>
  <c r="B652" i="6"/>
  <c r="G651" i="6"/>
  <c r="C651" i="6"/>
  <c r="D651" i="6" s="1"/>
  <c r="B651" i="6"/>
  <c r="G650" i="6"/>
  <c r="C650" i="6"/>
  <c r="D650" i="6" s="1"/>
  <c r="B650" i="6"/>
  <c r="G649" i="6"/>
  <c r="C649" i="6"/>
  <c r="D649" i="6" s="1"/>
  <c r="B649" i="6"/>
  <c r="G648" i="6"/>
  <c r="C648" i="6"/>
  <c r="D648" i="6" s="1"/>
  <c r="B648" i="6"/>
  <c r="G647" i="6"/>
  <c r="C647" i="6"/>
  <c r="D647" i="6" s="1"/>
  <c r="B647" i="6"/>
  <c r="G646" i="6"/>
  <c r="C646" i="6"/>
  <c r="D646" i="6" s="1"/>
  <c r="B646" i="6"/>
  <c r="C645" i="6"/>
  <c r="D645" i="6" s="1"/>
  <c r="B645" i="6"/>
  <c r="G644" i="6"/>
  <c r="C644" i="6"/>
  <c r="D644" i="6" s="1"/>
  <c r="B644" i="6"/>
  <c r="G643" i="6"/>
  <c r="C643" i="6"/>
  <c r="D643" i="6" s="1"/>
  <c r="B643" i="6"/>
  <c r="G642" i="6"/>
  <c r="C642" i="6"/>
  <c r="D642" i="6" s="1"/>
  <c r="B642" i="6"/>
  <c r="G641" i="6"/>
  <c r="C641" i="6"/>
  <c r="D641" i="6" s="1"/>
  <c r="B641" i="6"/>
  <c r="G640" i="6"/>
  <c r="C640" i="6"/>
  <c r="D640" i="6" s="1"/>
  <c r="B640" i="6"/>
  <c r="G639" i="6"/>
  <c r="C639" i="6"/>
  <c r="D639" i="6" s="1"/>
  <c r="B639" i="6"/>
  <c r="C638" i="6"/>
  <c r="D638" i="6" s="1"/>
  <c r="B638" i="6"/>
  <c r="C637" i="6"/>
  <c r="D637" i="6" s="1"/>
  <c r="B637" i="6"/>
  <c r="C636" i="6"/>
  <c r="D636" i="6" s="1"/>
  <c r="B636" i="6"/>
  <c r="C635" i="6"/>
  <c r="D635" i="6" s="1"/>
  <c r="B635" i="6"/>
  <c r="C634" i="6"/>
  <c r="D634" i="6" s="1"/>
  <c r="B634" i="6"/>
  <c r="C633" i="6"/>
  <c r="D633" i="6" s="1"/>
  <c r="B633" i="6"/>
  <c r="C632" i="6"/>
  <c r="D632" i="6" s="1"/>
  <c r="B632" i="6"/>
  <c r="C631" i="6"/>
  <c r="D631" i="6" s="1"/>
  <c r="B631" i="6"/>
  <c r="C630" i="6"/>
  <c r="D630" i="6" s="1"/>
  <c r="B630" i="6"/>
  <c r="C629" i="6"/>
  <c r="D629" i="6" s="1"/>
  <c r="B629" i="6"/>
  <c r="C628" i="6"/>
  <c r="D628" i="6" s="1"/>
  <c r="B628" i="6"/>
  <c r="G627" i="6"/>
  <c r="C627" i="6"/>
  <c r="D627" i="6" s="1"/>
  <c r="B627" i="6"/>
  <c r="G626" i="6"/>
  <c r="C626" i="6"/>
  <c r="D626" i="6" s="1"/>
  <c r="B626" i="6"/>
  <c r="G625" i="6"/>
  <c r="C625" i="6"/>
  <c r="D625" i="6" s="1"/>
  <c r="B625" i="6"/>
  <c r="G624" i="6"/>
  <c r="C624" i="6"/>
  <c r="D624" i="6" s="1"/>
  <c r="B624" i="6"/>
  <c r="G623" i="6"/>
  <c r="C623" i="6"/>
  <c r="D623" i="6" s="1"/>
  <c r="B623" i="6"/>
  <c r="C622" i="6"/>
  <c r="D622" i="6" s="1"/>
  <c r="B622" i="6"/>
  <c r="C621" i="6"/>
  <c r="D621" i="6" s="1"/>
  <c r="B621" i="6"/>
  <c r="C620" i="6"/>
  <c r="D620" i="6" s="1"/>
  <c r="B620" i="6"/>
  <c r="C619" i="6"/>
  <c r="D619" i="6" s="1"/>
  <c r="B619" i="6"/>
  <c r="G618" i="6"/>
  <c r="C618" i="6"/>
  <c r="D618" i="6" s="1"/>
  <c r="B618" i="6"/>
  <c r="G617" i="6"/>
  <c r="C617" i="6"/>
  <c r="D617" i="6" s="1"/>
  <c r="B617" i="6"/>
  <c r="C616" i="6"/>
  <c r="D616" i="6" s="1"/>
  <c r="B616" i="6"/>
  <c r="G615" i="6"/>
  <c r="C615" i="6"/>
  <c r="D615" i="6" s="1"/>
  <c r="B615" i="6"/>
  <c r="G614" i="6"/>
  <c r="C614" i="6"/>
  <c r="D614" i="6" s="1"/>
  <c r="B614" i="6"/>
  <c r="G613" i="6"/>
  <c r="C613" i="6"/>
  <c r="D613" i="6" s="1"/>
  <c r="B613" i="6"/>
  <c r="G612" i="6"/>
  <c r="C612" i="6"/>
  <c r="D612" i="6" s="1"/>
  <c r="B612" i="6"/>
  <c r="G611" i="6"/>
  <c r="C611" i="6"/>
  <c r="D611" i="6" s="1"/>
  <c r="B611" i="6"/>
  <c r="G610" i="6"/>
  <c r="C610" i="6"/>
  <c r="D610" i="6" s="1"/>
  <c r="B610" i="6"/>
  <c r="G609" i="6"/>
  <c r="C609" i="6"/>
  <c r="D609" i="6" s="1"/>
  <c r="B609" i="6"/>
  <c r="G608" i="6"/>
  <c r="C608" i="6"/>
  <c r="D608" i="6" s="1"/>
  <c r="B608" i="6"/>
  <c r="G607" i="6"/>
  <c r="C607" i="6"/>
  <c r="D607" i="6" s="1"/>
  <c r="B607" i="6"/>
  <c r="G606" i="6"/>
  <c r="C606" i="6"/>
  <c r="D606" i="6" s="1"/>
  <c r="B606" i="6"/>
  <c r="G605" i="6"/>
  <c r="C605" i="6"/>
  <c r="D605" i="6" s="1"/>
  <c r="B605" i="6"/>
  <c r="G604" i="6"/>
  <c r="C604" i="6"/>
  <c r="D604" i="6" s="1"/>
  <c r="B604" i="6"/>
  <c r="G603" i="6"/>
  <c r="C603" i="6"/>
  <c r="D603" i="6" s="1"/>
  <c r="B603" i="6"/>
  <c r="G602" i="6"/>
  <c r="C602" i="6"/>
  <c r="D602" i="6" s="1"/>
  <c r="B602" i="6"/>
  <c r="G601" i="6"/>
  <c r="C601" i="6"/>
  <c r="D601" i="6" s="1"/>
  <c r="B601" i="6"/>
  <c r="G600" i="6"/>
  <c r="C600" i="6"/>
  <c r="D600" i="6" s="1"/>
  <c r="B600" i="6"/>
  <c r="C599" i="6"/>
  <c r="D599" i="6" s="1"/>
  <c r="B599" i="6"/>
  <c r="G598" i="6"/>
  <c r="C598" i="6"/>
  <c r="D598" i="6" s="1"/>
  <c r="B598" i="6"/>
  <c r="G597" i="6"/>
  <c r="C597" i="6"/>
  <c r="D597" i="6" s="1"/>
  <c r="B597" i="6"/>
  <c r="C596" i="6"/>
  <c r="D596" i="6" s="1"/>
  <c r="B596" i="6"/>
  <c r="G595" i="6"/>
  <c r="C595" i="6"/>
  <c r="D595" i="6" s="1"/>
  <c r="B595" i="6"/>
  <c r="G594" i="6"/>
  <c r="C594" i="6"/>
  <c r="D594" i="6" s="1"/>
  <c r="B594" i="6"/>
  <c r="G593" i="6"/>
  <c r="C593" i="6"/>
  <c r="D593" i="6" s="1"/>
  <c r="B593" i="6"/>
  <c r="G592" i="6"/>
  <c r="C592" i="6"/>
  <c r="D592" i="6" s="1"/>
  <c r="B592" i="6"/>
  <c r="G591" i="6"/>
  <c r="C591" i="6"/>
  <c r="D591" i="6" s="1"/>
  <c r="B591" i="6"/>
  <c r="G590" i="6"/>
  <c r="C590" i="6"/>
  <c r="D590" i="6" s="1"/>
  <c r="B590" i="6"/>
  <c r="G589" i="6"/>
  <c r="C589" i="6"/>
  <c r="D589" i="6" s="1"/>
  <c r="B589" i="6"/>
  <c r="G588" i="6"/>
  <c r="C588" i="6"/>
  <c r="D588" i="6" s="1"/>
  <c r="B588" i="6"/>
  <c r="G587" i="6"/>
  <c r="C587" i="6"/>
  <c r="D587" i="6" s="1"/>
  <c r="B587" i="6"/>
  <c r="G586" i="6"/>
  <c r="C586" i="6"/>
  <c r="D586" i="6" s="1"/>
  <c r="B586" i="6"/>
  <c r="G585" i="6"/>
  <c r="C585" i="6"/>
  <c r="D585" i="6" s="1"/>
  <c r="B585" i="6"/>
  <c r="G584" i="6"/>
  <c r="C584" i="6"/>
  <c r="D584" i="6" s="1"/>
  <c r="B584" i="6"/>
  <c r="G583" i="6"/>
  <c r="C583" i="6"/>
  <c r="D583" i="6" s="1"/>
  <c r="B583" i="6"/>
  <c r="G582" i="6"/>
  <c r="C582" i="6"/>
  <c r="D582" i="6" s="1"/>
  <c r="B582" i="6"/>
  <c r="G581" i="6"/>
  <c r="C581" i="6"/>
  <c r="D581" i="6" s="1"/>
  <c r="B581" i="6"/>
  <c r="G580" i="6"/>
  <c r="C580" i="6"/>
  <c r="D580" i="6" s="1"/>
  <c r="B580" i="6"/>
  <c r="G579" i="6"/>
  <c r="C579" i="6"/>
  <c r="D579" i="6" s="1"/>
  <c r="B579" i="6"/>
  <c r="C578" i="6"/>
  <c r="D578" i="6" s="1"/>
  <c r="B578" i="6"/>
  <c r="G577" i="6"/>
  <c r="C577" i="6"/>
  <c r="D577" i="6" s="1"/>
  <c r="B577" i="6"/>
  <c r="G576" i="6"/>
  <c r="C576" i="6"/>
  <c r="D576" i="6" s="1"/>
  <c r="B576" i="6"/>
  <c r="G575" i="6"/>
  <c r="C575" i="6"/>
  <c r="D575" i="6" s="1"/>
  <c r="B575" i="6"/>
  <c r="G574" i="6"/>
  <c r="C574" i="6"/>
  <c r="D574" i="6" s="1"/>
  <c r="B574" i="6"/>
  <c r="G573" i="6"/>
  <c r="C573" i="6"/>
  <c r="D573" i="6" s="1"/>
  <c r="B573" i="6"/>
  <c r="G572" i="6"/>
  <c r="C572" i="6"/>
  <c r="D572" i="6" s="1"/>
  <c r="B572" i="6"/>
  <c r="G571" i="6"/>
  <c r="C571" i="6"/>
  <c r="D571" i="6" s="1"/>
  <c r="B571" i="6"/>
  <c r="G570" i="6"/>
  <c r="C570" i="6"/>
  <c r="D570" i="6" s="1"/>
  <c r="B570" i="6"/>
  <c r="G569" i="6"/>
  <c r="C569" i="6"/>
  <c r="D569" i="6" s="1"/>
  <c r="B569" i="6"/>
  <c r="G568" i="6"/>
  <c r="C568" i="6"/>
  <c r="D568" i="6" s="1"/>
  <c r="B568" i="6"/>
  <c r="G567" i="6"/>
  <c r="C567" i="6"/>
  <c r="D567" i="6" s="1"/>
  <c r="B567" i="6"/>
  <c r="G566" i="6"/>
  <c r="C566" i="6"/>
  <c r="D566" i="6" s="1"/>
  <c r="B566" i="6"/>
  <c r="G565" i="6"/>
  <c r="C565" i="6"/>
  <c r="D565" i="6" s="1"/>
  <c r="B565" i="6"/>
  <c r="G564" i="6"/>
  <c r="C564" i="6"/>
  <c r="D564" i="6" s="1"/>
  <c r="B564" i="6"/>
  <c r="G563" i="6"/>
  <c r="C563" i="6"/>
  <c r="D563" i="6" s="1"/>
  <c r="B563" i="6"/>
  <c r="G562" i="6"/>
  <c r="C562" i="6"/>
  <c r="D562" i="6" s="1"/>
  <c r="B562" i="6"/>
  <c r="G561" i="6"/>
  <c r="C561" i="6"/>
  <c r="D561" i="6" s="1"/>
  <c r="B561" i="6"/>
  <c r="G560" i="6"/>
  <c r="C560" i="6"/>
  <c r="D560" i="6" s="1"/>
  <c r="B560" i="6"/>
  <c r="G559" i="6"/>
  <c r="C559" i="6"/>
  <c r="D559" i="6" s="1"/>
  <c r="B559" i="6"/>
  <c r="G558" i="6"/>
  <c r="C558" i="6"/>
  <c r="D558" i="6" s="1"/>
  <c r="B558" i="6"/>
  <c r="G557" i="6"/>
  <c r="C557" i="6"/>
  <c r="D557" i="6" s="1"/>
  <c r="B557" i="6"/>
  <c r="G556" i="6"/>
  <c r="C556" i="6"/>
  <c r="D556" i="6" s="1"/>
  <c r="B556" i="6"/>
  <c r="C555" i="6"/>
  <c r="D555" i="6" s="1"/>
  <c r="B555" i="6"/>
  <c r="G554" i="6"/>
  <c r="C554" i="6"/>
  <c r="D554" i="6" s="1"/>
  <c r="B554" i="6"/>
  <c r="G553" i="6"/>
  <c r="C553" i="6"/>
  <c r="D553" i="6" s="1"/>
  <c r="B553" i="6"/>
  <c r="G552" i="6"/>
  <c r="C552" i="6"/>
  <c r="D552" i="6" s="1"/>
  <c r="B552" i="6"/>
  <c r="G551" i="6"/>
  <c r="C551" i="6"/>
  <c r="D551" i="6" s="1"/>
  <c r="B551" i="6"/>
  <c r="G550" i="6"/>
  <c r="C550" i="6"/>
  <c r="D550" i="6" s="1"/>
  <c r="B550" i="6"/>
  <c r="G549" i="6"/>
  <c r="C549" i="6"/>
  <c r="D549" i="6" s="1"/>
  <c r="B549" i="6"/>
  <c r="G548" i="6"/>
  <c r="C548" i="6"/>
  <c r="D548" i="6" s="1"/>
  <c r="B548" i="6"/>
  <c r="G547" i="6"/>
  <c r="C547" i="6"/>
  <c r="D547" i="6" s="1"/>
  <c r="B547" i="6"/>
  <c r="G546" i="6"/>
  <c r="C546" i="6"/>
  <c r="D546" i="6" s="1"/>
  <c r="B546" i="6"/>
  <c r="G545" i="6"/>
  <c r="C545" i="6"/>
  <c r="D545" i="6" s="1"/>
  <c r="B545" i="6"/>
  <c r="G544" i="6"/>
  <c r="C544" i="6"/>
  <c r="D544" i="6" s="1"/>
  <c r="B544" i="6"/>
  <c r="G543" i="6"/>
  <c r="C543" i="6"/>
  <c r="D543" i="6" s="1"/>
  <c r="B543" i="6"/>
  <c r="G542" i="6"/>
  <c r="C542" i="6"/>
  <c r="D542" i="6" s="1"/>
  <c r="B542" i="6"/>
  <c r="G541" i="6"/>
  <c r="C541" i="6"/>
  <c r="D541" i="6" s="1"/>
  <c r="B541" i="6"/>
  <c r="G540" i="6"/>
  <c r="C540" i="6"/>
  <c r="D540" i="6" s="1"/>
  <c r="B540" i="6"/>
  <c r="G539" i="6"/>
  <c r="C539" i="6"/>
  <c r="D539" i="6" s="1"/>
  <c r="B539" i="6"/>
  <c r="G538" i="6"/>
  <c r="C538" i="6"/>
  <c r="D538" i="6" s="1"/>
  <c r="B538" i="6"/>
  <c r="G537" i="6"/>
  <c r="C537" i="6"/>
  <c r="D537" i="6" s="1"/>
  <c r="B537" i="6"/>
  <c r="G536" i="6"/>
  <c r="C536" i="6"/>
  <c r="D536" i="6" s="1"/>
  <c r="B536" i="6"/>
  <c r="G535" i="6"/>
  <c r="C535" i="6"/>
  <c r="D535" i="6" s="1"/>
  <c r="B535" i="6"/>
  <c r="G534" i="6"/>
  <c r="C534" i="6"/>
  <c r="D534" i="6" s="1"/>
  <c r="B534" i="6"/>
  <c r="G533" i="6"/>
  <c r="C533" i="6"/>
  <c r="D533" i="6" s="1"/>
  <c r="B533" i="6"/>
  <c r="C532" i="6"/>
  <c r="D532" i="6" s="1"/>
  <c r="B532" i="6"/>
  <c r="C531" i="6"/>
  <c r="D531" i="6" s="1"/>
  <c r="B531" i="6"/>
  <c r="G530" i="6"/>
  <c r="C530" i="6"/>
  <c r="D530" i="6" s="1"/>
  <c r="B530" i="6"/>
  <c r="G529" i="6"/>
  <c r="C529" i="6"/>
  <c r="D529" i="6" s="1"/>
  <c r="B529" i="6"/>
  <c r="G528" i="6"/>
  <c r="C528" i="6"/>
  <c r="D528" i="6" s="1"/>
  <c r="B528" i="6"/>
  <c r="G527" i="6"/>
  <c r="C527" i="6"/>
  <c r="D527" i="6" s="1"/>
  <c r="B527" i="6"/>
  <c r="G526" i="6"/>
  <c r="C526" i="6"/>
  <c r="D526" i="6" s="1"/>
  <c r="B526" i="6"/>
  <c r="G525" i="6"/>
  <c r="C525" i="6"/>
  <c r="D525" i="6" s="1"/>
  <c r="B525" i="6"/>
  <c r="G524" i="6"/>
  <c r="C524" i="6"/>
  <c r="D524" i="6" s="1"/>
  <c r="B524" i="6"/>
  <c r="G523" i="6"/>
  <c r="C523" i="6"/>
  <c r="D523" i="6" s="1"/>
  <c r="B523" i="6"/>
  <c r="G522" i="6"/>
  <c r="C522" i="6"/>
  <c r="D522" i="6" s="1"/>
  <c r="B522" i="6"/>
  <c r="G521" i="6"/>
  <c r="C521" i="6"/>
  <c r="D521" i="6" s="1"/>
  <c r="B521" i="6"/>
  <c r="G520" i="6"/>
  <c r="C520" i="6"/>
  <c r="D520" i="6" s="1"/>
  <c r="B520" i="6"/>
  <c r="G519" i="6"/>
  <c r="C519" i="6"/>
  <c r="D519" i="6" s="1"/>
  <c r="B519" i="6"/>
  <c r="G518" i="6"/>
  <c r="C518" i="6"/>
  <c r="D518" i="6" s="1"/>
  <c r="B518" i="6"/>
  <c r="G517" i="6"/>
  <c r="C517" i="6"/>
  <c r="D517" i="6" s="1"/>
  <c r="B517" i="6"/>
  <c r="G516" i="6"/>
  <c r="C516" i="6"/>
  <c r="D516" i="6" s="1"/>
  <c r="B516" i="6"/>
  <c r="G515" i="6"/>
  <c r="C515" i="6"/>
  <c r="D515" i="6" s="1"/>
  <c r="B515" i="6"/>
  <c r="G514" i="6"/>
  <c r="C514" i="6"/>
  <c r="D514" i="6" s="1"/>
  <c r="B514" i="6"/>
  <c r="G513" i="6"/>
  <c r="C513" i="6"/>
  <c r="D513" i="6" s="1"/>
  <c r="B513" i="6"/>
  <c r="G512" i="6"/>
  <c r="C512" i="6"/>
  <c r="D512" i="6" s="1"/>
  <c r="B512" i="6"/>
  <c r="G511" i="6"/>
  <c r="C511" i="6"/>
  <c r="D511" i="6" s="1"/>
  <c r="B511" i="6"/>
  <c r="G510" i="6"/>
  <c r="C510" i="6"/>
  <c r="D510" i="6" s="1"/>
  <c r="B510" i="6"/>
  <c r="G509" i="6"/>
  <c r="C509" i="6"/>
  <c r="D509" i="6" s="1"/>
  <c r="B509" i="6"/>
  <c r="G508" i="6"/>
  <c r="C508" i="6"/>
  <c r="D508" i="6" s="1"/>
  <c r="B508" i="6"/>
  <c r="G507" i="6"/>
  <c r="C507" i="6"/>
  <c r="D507" i="6" s="1"/>
  <c r="B507" i="6"/>
  <c r="G506" i="6"/>
  <c r="C506" i="6"/>
  <c r="D506" i="6" s="1"/>
  <c r="B506" i="6"/>
  <c r="G505" i="6"/>
  <c r="C505" i="6"/>
  <c r="D505" i="6" s="1"/>
  <c r="B505" i="6"/>
  <c r="G504" i="6"/>
  <c r="C504" i="6"/>
  <c r="D504" i="6" s="1"/>
  <c r="B504" i="6"/>
  <c r="G503" i="6"/>
  <c r="C503" i="6"/>
  <c r="D503" i="6" s="1"/>
  <c r="B503" i="6"/>
  <c r="C502" i="6"/>
  <c r="D502" i="6" s="1"/>
  <c r="B502" i="6"/>
  <c r="G501" i="6"/>
  <c r="C501" i="6"/>
  <c r="D501" i="6" s="1"/>
  <c r="B501" i="6"/>
  <c r="G500" i="6"/>
  <c r="C500" i="6"/>
  <c r="D500" i="6" s="1"/>
  <c r="B500" i="6"/>
  <c r="G499" i="6"/>
  <c r="C499" i="6"/>
  <c r="D499" i="6" s="1"/>
  <c r="B499" i="6"/>
  <c r="G498" i="6"/>
  <c r="C498" i="6"/>
  <c r="D498" i="6" s="1"/>
  <c r="B498" i="6"/>
  <c r="G497" i="6"/>
  <c r="C497" i="6"/>
  <c r="D497" i="6" s="1"/>
  <c r="B497" i="6"/>
  <c r="G496" i="6"/>
  <c r="C496" i="6"/>
  <c r="D496" i="6" s="1"/>
  <c r="B496" i="6"/>
  <c r="G495" i="6"/>
  <c r="C495" i="6"/>
  <c r="D495" i="6" s="1"/>
  <c r="B495" i="6"/>
  <c r="G494" i="6"/>
  <c r="C494" i="6"/>
  <c r="D494" i="6" s="1"/>
  <c r="B494" i="6"/>
  <c r="C493" i="6"/>
  <c r="D493" i="6" s="1"/>
  <c r="B493" i="6"/>
  <c r="G492" i="6"/>
  <c r="C492" i="6"/>
  <c r="D492" i="6" s="1"/>
  <c r="B492" i="6"/>
  <c r="G491" i="6"/>
  <c r="C491" i="6"/>
  <c r="D491" i="6" s="1"/>
  <c r="B491" i="6"/>
  <c r="G490" i="6"/>
  <c r="C490" i="6"/>
  <c r="D490" i="6" s="1"/>
  <c r="B490" i="6"/>
  <c r="G489" i="6"/>
  <c r="C489" i="6"/>
  <c r="D489" i="6" s="1"/>
  <c r="B489" i="6"/>
  <c r="G488" i="6"/>
  <c r="C488" i="6"/>
  <c r="D488" i="6" s="1"/>
  <c r="B488" i="6"/>
  <c r="G487" i="6"/>
  <c r="C487" i="6"/>
  <c r="D487" i="6" s="1"/>
  <c r="B487" i="6"/>
  <c r="G486" i="6"/>
  <c r="C486" i="6"/>
  <c r="D486" i="6" s="1"/>
  <c r="B486" i="6"/>
  <c r="G485" i="6"/>
  <c r="C485" i="6"/>
  <c r="D485" i="6" s="1"/>
  <c r="B485" i="6"/>
  <c r="G484" i="6"/>
  <c r="C484" i="6"/>
  <c r="D484" i="6" s="1"/>
  <c r="B484" i="6"/>
  <c r="G483" i="6"/>
  <c r="C483" i="6"/>
  <c r="D483" i="6" s="1"/>
  <c r="B483" i="6"/>
  <c r="G482" i="6"/>
  <c r="C482" i="6"/>
  <c r="D482" i="6" s="1"/>
  <c r="B482" i="6"/>
  <c r="G481" i="6"/>
  <c r="C481" i="6"/>
  <c r="D481" i="6" s="1"/>
  <c r="B481" i="6"/>
  <c r="G480" i="6"/>
  <c r="C480" i="6"/>
  <c r="D480" i="6" s="1"/>
  <c r="B480" i="6"/>
  <c r="G479" i="6"/>
  <c r="C479" i="6"/>
  <c r="D479" i="6" s="1"/>
  <c r="B479" i="6"/>
  <c r="G478" i="6"/>
  <c r="C478" i="6"/>
  <c r="D478" i="6" s="1"/>
  <c r="B478" i="6"/>
  <c r="G477" i="6"/>
  <c r="C477" i="6"/>
  <c r="D477" i="6" s="1"/>
  <c r="B477" i="6"/>
  <c r="G476" i="6"/>
  <c r="C476" i="6"/>
  <c r="D476" i="6" s="1"/>
  <c r="B476" i="6"/>
  <c r="G475" i="6"/>
  <c r="C475" i="6"/>
  <c r="D475" i="6" s="1"/>
  <c r="B475" i="6"/>
  <c r="G474" i="6"/>
  <c r="C474" i="6"/>
  <c r="D474" i="6" s="1"/>
  <c r="B474" i="6"/>
  <c r="G473" i="6"/>
  <c r="C473" i="6"/>
  <c r="D473" i="6" s="1"/>
  <c r="B473" i="6"/>
  <c r="G472" i="6"/>
  <c r="C472" i="6"/>
  <c r="D472" i="6" s="1"/>
  <c r="B472" i="6"/>
  <c r="G471" i="6"/>
  <c r="C471" i="6"/>
  <c r="D471" i="6" s="1"/>
  <c r="B471" i="6"/>
  <c r="G470" i="6"/>
  <c r="C470" i="6"/>
  <c r="D470" i="6" s="1"/>
  <c r="B470" i="6"/>
  <c r="C469" i="6"/>
  <c r="D469" i="6" s="1"/>
  <c r="B469" i="6"/>
  <c r="C468" i="6"/>
  <c r="D468" i="6" s="1"/>
  <c r="B468" i="6"/>
  <c r="C467" i="6"/>
  <c r="D467" i="6" s="1"/>
  <c r="B467" i="6"/>
  <c r="C466" i="6"/>
  <c r="D466" i="6" s="1"/>
  <c r="B466" i="6"/>
  <c r="G465" i="6"/>
  <c r="C465" i="6"/>
  <c r="D465" i="6" s="1"/>
  <c r="B465" i="6"/>
  <c r="G464" i="6"/>
  <c r="C464" i="6"/>
  <c r="D464" i="6" s="1"/>
  <c r="B464" i="6"/>
  <c r="G463" i="6"/>
  <c r="C463" i="6"/>
  <c r="D463" i="6" s="1"/>
  <c r="B463" i="6"/>
  <c r="G462" i="6"/>
  <c r="C462" i="6"/>
  <c r="D462" i="6" s="1"/>
  <c r="B462" i="6"/>
  <c r="G461" i="6"/>
  <c r="C461" i="6"/>
  <c r="D461" i="6" s="1"/>
  <c r="B461" i="6"/>
  <c r="G460" i="6"/>
  <c r="C460" i="6"/>
  <c r="D460" i="6" s="1"/>
  <c r="B460" i="6"/>
  <c r="G459" i="6"/>
  <c r="C459" i="6"/>
  <c r="D459" i="6" s="1"/>
  <c r="B459" i="6"/>
  <c r="G458" i="6"/>
  <c r="C458" i="6"/>
  <c r="D458" i="6" s="1"/>
  <c r="B458" i="6"/>
  <c r="G457" i="6"/>
  <c r="C457" i="6"/>
  <c r="D457" i="6" s="1"/>
  <c r="B457" i="6"/>
  <c r="G456" i="6"/>
  <c r="C456" i="6"/>
  <c r="D456" i="6" s="1"/>
  <c r="B456" i="6"/>
  <c r="G455" i="6"/>
  <c r="C455" i="6"/>
  <c r="D455" i="6" s="1"/>
  <c r="B455" i="6"/>
  <c r="G454" i="6"/>
  <c r="C454" i="6"/>
  <c r="D454" i="6" s="1"/>
  <c r="B454" i="6"/>
  <c r="G453" i="6"/>
  <c r="C453" i="6"/>
  <c r="D453" i="6" s="1"/>
  <c r="B453" i="6"/>
  <c r="G452" i="6"/>
  <c r="C452" i="6"/>
  <c r="D452" i="6" s="1"/>
  <c r="B452" i="6"/>
  <c r="G451" i="6"/>
  <c r="C451" i="6"/>
  <c r="D451" i="6" s="1"/>
  <c r="B451" i="6"/>
  <c r="G450" i="6"/>
  <c r="C450" i="6"/>
  <c r="D450" i="6" s="1"/>
  <c r="B450" i="6"/>
  <c r="G449" i="6"/>
  <c r="C449" i="6"/>
  <c r="D449" i="6" s="1"/>
  <c r="B449" i="6"/>
  <c r="G448" i="6"/>
  <c r="C448" i="6"/>
  <c r="D448" i="6" s="1"/>
  <c r="B448" i="6"/>
  <c r="G447" i="6"/>
  <c r="C447" i="6"/>
  <c r="D447" i="6" s="1"/>
  <c r="B447" i="6"/>
  <c r="G446" i="6"/>
  <c r="C446" i="6"/>
  <c r="D446" i="6" s="1"/>
  <c r="B446" i="6"/>
  <c r="G445" i="6"/>
  <c r="C445" i="6"/>
  <c r="D445" i="6" s="1"/>
  <c r="B445" i="6"/>
  <c r="G444" i="6"/>
  <c r="C444" i="6"/>
  <c r="D444" i="6" s="1"/>
  <c r="B444" i="6"/>
  <c r="G443" i="6"/>
  <c r="C443" i="6"/>
  <c r="D443" i="6" s="1"/>
  <c r="B443" i="6"/>
  <c r="G442" i="6"/>
  <c r="C442" i="6"/>
  <c r="D442" i="6" s="1"/>
  <c r="B442" i="6"/>
  <c r="G441" i="6"/>
  <c r="C441" i="6"/>
  <c r="D441" i="6" s="1"/>
  <c r="B441" i="6"/>
  <c r="G440" i="6"/>
  <c r="C440" i="6"/>
  <c r="D440" i="6" s="1"/>
  <c r="B440" i="6"/>
  <c r="G439" i="6"/>
  <c r="C439" i="6"/>
  <c r="D439" i="6" s="1"/>
  <c r="B439" i="6"/>
  <c r="G438" i="6"/>
  <c r="C438" i="6"/>
  <c r="D438" i="6" s="1"/>
  <c r="B438" i="6"/>
  <c r="G437" i="6"/>
  <c r="C437" i="6"/>
  <c r="D437" i="6" s="1"/>
  <c r="B437" i="6"/>
  <c r="C436" i="6"/>
  <c r="D436" i="6" s="1"/>
  <c r="B436" i="6"/>
  <c r="G435" i="6"/>
  <c r="C435" i="6"/>
  <c r="D435" i="6" s="1"/>
  <c r="B435" i="6"/>
  <c r="G434" i="6"/>
  <c r="C434" i="6"/>
  <c r="D434" i="6" s="1"/>
  <c r="B434" i="6"/>
  <c r="G433" i="6"/>
  <c r="C433" i="6"/>
  <c r="D433" i="6" s="1"/>
  <c r="B433" i="6"/>
  <c r="G432" i="6"/>
  <c r="C432" i="6"/>
  <c r="D432" i="6" s="1"/>
  <c r="B432" i="6"/>
  <c r="G431" i="6"/>
  <c r="C431" i="6"/>
  <c r="D431" i="6" s="1"/>
  <c r="B431" i="6"/>
  <c r="G430" i="6"/>
  <c r="C430" i="6"/>
  <c r="D430" i="6" s="1"/>
  <c r="B430" i="6"/>
  <c r="G429" i="6"/>
  <c r="C429" i="6"/>
  <c r="D429" i="6" s="1"/>
  <c r="B429" i="6"/>
  <c r="G428" i="6"/>
  <c r="C428" i="6"/>
  <c r="D428" i="6" s="1"/>
  <c r="B428" i="6"/>
  <c r="G427" i="6"/>
  <c r="C427" i="6"/>
  <c r="D427" i="6" s="1"/>
  <c r="B427" i="6"/>
  <c r="G426" i="6"/>
  <c r="C426" i="6"/>
  <c r="D426" i="6" s="1"/>
  <c r="B426" i="6"/>
  <c r="G425" i="6"/>
  <c r="C425" i="6"/>
  <c r="B425" i="6"/>
  <c r="AC145" i="1" s="1"/>
  <c r="G424" i="6"/>
  <c r="C424" i="6"/>
  <c r="D424" i="6" s="1"/>
  <c r="B424" i="6"/>
  <c r="G423" i="6"/>
  <c r="C423" i="6"/>
  <c r="D423" i="6" s="1"/>
  <c r="B423" i="6"/>
  <c r="G422" i="6"/>
  <c r="C422" i="6"/>
  <c r="D422" i="6" s="1"/>
  <c r="B422" i="6"/>
  <c r="G421" i="6"/>
  <c r="C421" i="6"/>
  <c r="D421" i="6" s="1"/>
  <c r="B421" i="6"/>
  <c r="G420" i="6"/>
  <c r="C420" i="6"/>
  <c r="D420" i="6" s="1"/>
  <c r="B420" i="6"/>
  <c r="G419" i="6"/>
  <c r="C419" i="6"/>
  <c r="D419" i="6" s="1"/>
  <c r="B419" i="6"/>
  <c r="G418" i="6"/>
  <c r="C418" i="6"/>
  <c r="D418" i="6" s="1"/>
  <c r="B418" i="6"/>
  <c r="G417" i="6"/>
  <c r="C417" i="6"/>
  <c r="D417" i="6" s="1"/>
  <c r="B417" i="6"/>
  <c r="G416" i="6"/>
  <c r="C416" i="6"/>
  <c r="D416" i="6" s="1"/>
  <c r="B416" i="6"/>
  <c r="G415" i="6"/>
  <c r="C415" i="6"/>
  <c r="D415" i="6" s="1"/>
  <c r="B415" i="6"/>
  <c r="G414" i="6"/>
  <c r="C414" i="6"/>
  <c r="D414" i="6" s="1"/>
  <c r="B414" i="6"/>
  <c r="G413" i="6"/>
  <c r="C413" i="6"/>
  <c r="D413" i="6" s="1"/>
  <c r="B413" i="6"/>
  <c r="G412" i="6"/>
  <c r="C412" i="6"/>
  <c r="D412" i="6" s="1"/>
  <c r="B412" i="6"/>
  <c r="G411" i="6"/>
  <c r="C411" i="6"/>
  <c r="D411" i="6" s="1"/>
  <c r="B411" i="6"/>
  <c r="G410" i="6"/>
  <c r="C410" i="6"/>
  <c r="D410" i="6" s="1"/>
  <c r="B410" i="6"/>
  <c r="G409" i="6"/>
  <c r="C409" i="6"/>
  <c r="D409" i="6" s="1"/>
  <c r="B409" i="6"/>
  <c r="G408" i="6"/>
  <c r="C408" i="6"/>
  <c r="D408" i="6" s="1"/>
  <c r="B408" i="6"/>
  <c r="G407" i="6"/>
  <c r="C407" i="6"/>
  <c r="D407" i="6" s="1"/>
  <c r="B407" i="6"/>
  <c r="G406" i="6"/>
  <c r="C406" i="6"/>
  <c r="D406" i="6" s="1"/>
  <c r="B406" i="6"/>
  <c r="G405" i="6"/>
  <c r="C405" i="6"/>
  <c r="D405" i="6" s="1"/>
  <c r="B405" i="6"/>
  <c r="G404" i="6"/>
  <c r="C404" i="6"/>
  <c r="D404" i="6" s="1"/>
  <c r="B404" i="6"/>
  <c r="G403" i="6"/>
  <c r="C403" i="6"/>
  <c r="D403" i="6" s="1"/>
  <c r="B403" i="6"/>
  <c r="G402" i="6"/>
  <c r="C402" i="6"/>
  <c r="D402" i="6" s="1"/>
  <c r="B402" i="6"/>
  <c r="G401" i="6"/>
  <c r="C401" i="6"/>
  <c r="D401" i="6" s="1"/>
  <c r="B401" i="6"/>
  <c r="G400" i="6"/>
  <c r="C400" i="6"/>
  <c r="D400" i="6" s="1"/>
  <c r="B400" i="6"/>
  <c r="G399" i="6"/>
  <c r="C399" i="6"/>
  <c r="D399" i="6" s="1"/>
  <c r="B399" i="6"/>
  <c r="G398" i="6"/>
  <c r="C398" i="6"/>
  <c r="D398" i="6" s="1"/>
  <c r="B398" i="6"/>
  <c r="G397" i="6"/>
  <c r="C397" i="6"/>
  <c r="D397" i="6" s="1"/>
  <c r="B397" i="6"/>
  <c r="G396" i="6"/>
  <c r="C396" i="6"/>
  <c r="D396" i="6" s="1"/>
  <c r="B396" i="6"/>
  <c r="G395" i="6"/>
  <c r="C395" i="6"/>
  <c r="D395" i="6" s="1"/>
  <c r="B395" i="6"/>
  <c r="G394" i="6"/>
  <c r="C394" i="6"/>
  <c r="D394" i="6" s="1"/>
  <c r="B394" i="6"/>
  <c r="G393" i="6"/>
  <c r="C393" i="6"/>
  <c r="D393" i="6" s="1"/>
  <c r="B393" i="6"/>
  <c r="G392" i="6"/>
  <c r="C392" i="6"/>
  <c r="D392" i="6" s="1"/>
  <c r="B392" i="6"/>
  <c r="G391" i="6"/>
  <c r="C391" i="6"/>
  <c r="D391" i="6" s="1"/>
  <c r="B391" i="6"/>
  <c r="G390" i="6"/>
  <c r="C390" i="6"/>
  <c r="D390" i="6" s="1"/>
  <c r="B390" i="6"/>
  <c r="G389" i="6"/>
  <c r="C389" i="6"/>
  <c r="D389" i="6" s="1"/>
  <c r="B389" i="6"/>
  <c r="G388" i="6"/>
  <c r="C388" i="6"/>
  <c r="D388" i="6" s="1"/>
  <c r="B388" i="6"/>
  <c r="G387" i="6"/>
  <c r="C387" i="6"/>
  <c r="D387" i="6" s="1"/>
  <c r="B387" i="6"/>
  <c r="G386" i="6"/>
  <c r="C386" i="6"/>
  <c r="D386" i="6" s="1"/>
  <c r="B386" i="6"/>
  <c r="G385" i="6"/>
  <c r="C385" i="6"/>
  <c r="D385" i="6" s="1"/>
  <c r="B385" i="6"/>
  <c r="G384" i="6"/>
  <c r="C384" i="6"/>
  <c r="D384" i="6" s="1"/>
  <c r="B384" i="6"/>
  <c r="G383" i="6"/>
  <c r="C383" i="6"/>
  <c r="D383" i="6" s="1"/>
  <c r="B383" i="6"/>
  <c r="G382" i="6"/>
  <c r="C382" i="6"/>
  <c r="D382" i="6" s="1"/>
  <c r="B382" i="6"/>
  <c r="G381" i="6"/>
  <c r="C381" i="6"/>
  <c r="D381" i="6" s="1"/>
  <c r="B381" i="6"/>
  <c r="G380" i="6"/>
  <c r="C380" i="6"/>
  <c r="D380" i="6" s="1"/>
  <c r="B380" i="6"/>
  <c r="G379" i="6"/>
  <c r="C379" i="6"/>
  <c r="D379" i="6" s="1"/>
  <c r="B379" i="6"/>
  <c r="G378" i="6"/>
  <c r="C378" i="6"/>
  <c r="D378" i="6" s="1"/>
  <c r="B378" i="6"/>
  <c r="G377" i="6"/>
  <c r="C377" i="6"/>
  <c r="D377" i="6" s="1"/>
  <c r="B377" i="6"/>
  <c r="G376" i="6"/>
  <c r="C376" i="6"/>
  <c r="D376" i="6" s="1"/>
  <c r="B376" i="6"/>
  <c r="G375" i="6"/>
  <c r="C375" i="6"/>
  <c r="D375" i="6" s="1"/>
  <c r="B375" i="6"/>
  <c r="G374" i="6"/>
  <c r="C374" i="6"/>
  <c r="B374" i="6"/>
  <c r="AC473" i="1" s="1"/>
  <c r="G373" i="6"/>
  <c r="C373" i="6"/>
  <c r="D373" i="6" s="1"/>
  <c r="B373" i="6"/>
  <c r="G372" i="6"/>
  <c r="C372" i="6"/>
  <c r="D372" i="6" s="1"/>
  <c r="B372" i="6"/>
  <c r="G371" i="6"/>
  <c r="C371" i="6"/>
  <c r="D371" i="6" s="1"/>
  <c r="B371" i="6"/>
  <c r="G370" i="6"/>
  <c r="C370" i="6"/>
  <c r="D370" i="6" s="1"/>
  <c r="B370" i="6"/>
  <c r="G369" i="6"/>
  <c r="C369" i="6"/>
  <c r="D369" i="6" s="1"/>
  <c r="B369" i="6"/>
  <c r="G368" i="6"/>
  <c r="C368" i="6"/>
  <c r="D368" i="6" s="1"/>
  <c r="B368" i="6"/>
  <c r="G367" i="6"/>
  <c r="C367" i="6"/>
  <c r="D367" i="6" s="1"/>
  <c r="B367" i="6"/>
  <c r="G366" i="6"/>
  <c r="C366" i="6"/>
  <c r="D366" i="6" s="1"/>
  <c r="B366" i="6"/>
  <c r="G365" i="6"/>
  <c r="C365" i="6"/>
  <c r="D365" i="6" s="1"/>
  <c r="B365" i="6"/>
  <c r="G364" i="6"/>
  <c r="C364" i="6"/>
  <c r="D364" i="6" s="1"/>
  <c r="B364" i="6"/>
  <c r="G363" i="6"/>
  <c r="C363" i="6"/>
  <c r="D363" i="6" s="1"/>
  <c r="B363" i="6"/>
  <c r="G362" i="6"/>
  <c r="C362" i="6"/>
  <c r="D362" i="6" s="1"/>
  <c r="B362" i="6"/>
  <c r="G361" i="6"/>
  <c r="C361" i="6"/>
  <c r="D361" i="6" s="1"/>
  <c r="B361" i="6"/>
  <c r="G360" i="6"/>
  <c r="C360" i="6"/>
  <c r="D360" i="6" s="1"/>
  <c r="B360" i="6"/>
  <c r="G359" i="6"/>
  <c r="C359" i="6"/>
  <c r="D359" i="6" s="1"/>
  <c r="B359" i="6"/>
  <c r="G358" i="6"/>
  <c r="C358" i="6"/>
  <c r="D358" i="6" s="1"/>
  <c r="B358" i="6"/>
  <c r="G357" i="6"/>
  <c r="C357" i="6"/>
  <c r="D357" i="6" s="1"/>
  <c r="B357" i="6"/>
  <c r="G356" i="6"/>
  <c r="C356" i="6"/>
  <c r="D356" i="6" s="1"/>
  <c r="B356" i="6"/>
  <c r="G355" i="6"/>
  <c r="C355" i="6"/>
  <c r="D355" i="6" s="1"/>
  <c r="B355" i="6"/>
  <c r="G354" i="6"/>
  <c r="C354" i="6"/>
  <c r="D354" i="6" s="1"/>
  <c r="B354" i="6"/>
  <c r="G353" i="6"/>
  <c r="C353" i="6"/>
  <c r="D353" i="6" s="1"/>
  <c r="B353" i="6"/>
  <c r="G352" i="6"/>
  <c r="C352" i="6"/>
  <c r="D352" i="6" s="1"/>
  <c r="B352" i="6"/>
  <c r="G351" i="6"/>
  <c r="C351" i="6"/>
  <c r="D351" i="6" s="1"/>
  <c r="B351" i="6"/>
  <c r="G350" i="6"/>
  <c r="C350" i="6"/>
  <c r="D350" i="6" s="1"/>
  <c r="B350" i="6"/>
  <c r="G349" i="6"/>
  <c r="C349" i="6"/>
  <c r="D349" i="6" s="1"/>
  <c r="B349" i="6"/>
  <c r="G348" i="6"/>
  <c r="C348" i="6"/>
  <c r="D348" i="6" s="1"/>
  <c r="B348" i="6"/>
  <c r="G347" i="6"/>
  <c r="C347" i="6"/>
  <c r="D347" i="6" s="1"/>
  <c r="B347" i="6"/>
  <c r="G346" i="6"/>
  <c r="C346" i="6"/>
  <c r="D346" i="6" s="1"/>
  <c r="B346" i="6"/>
  <c r="G345" i="6"/>
  <c r="C345" i="6"/>
  <c r="D345" i="6" s="1"/>
  <c r="B345" i="6"/>
  <c r="G344" i="6"/>
  <c r="C344" i="6"/>
  <c r="D344" i="6" s="1"/>
  <c r="B344" i="6"/>
  <c r="G343" i="6"/>
  <c r="C343" i="6"/>
  <c r="D343" i="6" s="1"/>
  <c r="B343" i="6"/>
  <c r="G342" i="6"/>
  <c r="C342" i="6"/>
  <c r="D342" i="6" s="1"/>
  <c r="B342" i="6"/>
  <c r="G341" i="6"/>
  <c r="C341" i="6"/>
  <c r="D341" i="6" s="1"/>
  <c r="B341" i="6"/>
  <c r="G340" i="6"/>
  <c r="C340" i="6"/>
  <c r="D340" i="6" s="1"/>
  <c r="B340" i="6"/>
  <c r="G339" i="6"/>
  <c r="C339" i="6"/>
  <c r="D339" i="6" s="1"/>
  <c r="B339" i="6"/>
  <c r="G338" i="6"/>
  <c r="C338" i="6"/>
  <c r="D338" i="6" s="1"/>
  <c r="B338" i="6"/>
  <c r="G337" i="6"/>
  <c r="C337" i="6"/>
  <c r="D337" i="6" s="1"/>
  <c r="B337" i="6"/>
  <c r="G336" i="6"/>
  <c r="C336" i="6"/>
  <c r="D336" i="6" s="1"/>
  <c r="B336" i="6"/>
  <c r="G335" i="6"/>
  <c r="C335" i="6"/>
  <c r="D335" i="6" s="1"/>
  <c r="B335" i="6"/>
  <c r="G334" i="6"/>
  <c r="C334" i="6"/>
  <c r="D334" i="6" s="1"/>
  <c r="B334" i="6"/>
  <c r="G333" i="6"/>
  <c r="C333" i="6"/>
  <c r="D333" i="6" s="1"/>
  <c r="B333" i="6"/>
  <c r="G332" i="6"/>
  <c r="C332" i="6"/>
  <c r="D332" i="6" s="1"/>
  <c r="B332" i="6"/>
  <c r="G331" i="6"/>
  <c r="C331" i="6"/>
  <c r="D331" i="6" s="1"/>
  <c r="B331" i="6"/>
  <c r="G330" i="6"/>
  <c r="C330" i="6"/>
  <c r="D330" i="6" s="1"/>
  <c r="B330" i="6"/>
  <c r="G329" i="6"/>
  <c r="C329" i="6"/>
  <c r="D329" i="6" s="1"/>
  <c r="B329" i="6"/>
  <c r="G328" i="6"/>
  <c r="C328" i="6"/>
  <c r="D328" i="6" s="1"/>
  <c r="B328" i="6"/>
  <c r="G327" i="6"/>
  <c r="C327" i="6"/>
  <c r="D327" i="6" s="1"/>
  <c r="B327" i="6"/>
  <c r="G326" i="6"/>
  <c r="C326" i="6"/>
  <c r="D326" i="6" s="1"/>
  <c r="B326" i="6"/>
  <c r="G325" i="6"/>
  <c r="C325" i="6"/>
  <c r="D325" i="6" s="1"/>
  <c r="B325" i="6"/>
  <c r="G324" i="6"/>
  <c r="C324" i="6"/>
  <c r="D324" i="6" s="1"/>
  <c r="B324" i="6"/>
  <c r="G323" i="6"/>
  <c r="C323" i="6"/>
  <c r="D323" i="6" s="1"/>
  <c r="B323" i="6"/>
  <c r="G322" i="6"/>
  <c r="C322" i="6"/>
  <c r="D322" i="6" s="1"/>
  <c r="B322" i="6"/>
  <c r="G321" i="6"/>
  <c r="C321" i="6"/>
  <c r="D321" i="6" s="1"/>
  <c r="B321" i="6"/>
  <c r="G320" i="6"/>
  <c r="C320" i="6"/>
  <c r="D320" i="6" s="1"/>
  <c r="B320" i="6"/>
  <c r="G319" i="6"/>
  <c r="C319" i="6"/>
  <c r="D319" i="6" s="1"/>
  <c r="B319" i="6"/>
  <c r="G318" i="6"/>
  <c r="C318" i="6"/>
  <c r="D318" i="6" s="1"/>
  <c r="B318" i="6"/>
  <c r="G317" i="6"/>
  <c r="C317" i="6"/>
  <c r="D317" i="6" s="1"/>
  <c r="B317" i="6"/>
  <c r="G316" i="6"/>
  <c r="C316" i="6"/>
  <c r="D316" i="6" s="1"/>
  <c r="B316" i="6"/>
  <c r="G315" i="6"/>
  <c r="C315" i="6"/>
  <c r="D315" i="6" s="1"/>
  <c r="B315" i="6"/>
  <c r="G314" i="6"/>
  <c r="C314" i="6"/>
  <c r="D314" i="6" s="1"/>
  <c r="B314" i="6"/>
  <c r="G313" i="6"/>
  <c r="C313" i="6"/>
  <c r="D313" i="6" s="1"/>
  <c r="B313" i="6"/>
  <c r="G312" i="6"/>
  <c r="C312" i="6"/>
  <c r="D312" i="6" s="1"/>
  <c r="B312" i="6"/>
  <c r="G311" i="6"/>
  <c r="C311" i="6"/>
  <c r="D311" i="6" s="1"/>
  <c r="B311" i="6"/>
  <c r="G310" i="6"/>
  <c r="C310" i="6"/>
  <c r="D310" i="6" s="1"/>
  <c r="B310" i="6"/>
  <c r="G309" i="6"/>
  <c r="C309" i="6"/>
  <c r="D309" i="6" s="1"/>
  <c r="B309" i="6"/>
  <c r="G308" i="6"/>
  <c r="C308" i="6"/>
  <c r="D308" i="6" s="1"/>
  <c r="B308" i="6"/>
  <c r="G307" i="6"/>
  <c r="C307" i="6"/>
  <c r="D307" i="6" s="1"/>
  <c r="B307" i="6"/>
  <c r="G306" i="6"/>
  <c r="C306" i="6"/>
  <c r="D306" i="6" s="1"/>
  <c r="B306" i="6"/>
  <c r="G305" i="6"/>
  <c r="C305" i="6"/>
  <c r="D305" i="6" s="1"/>
  <c r="B305" i="6"/>
  <c r="G304" i="6"/>
  <c r="C304" i="6"/>
  <c r="D304" i="6" s="1"/>
  <c r="B304" i="6"/>
  <c r="G303" i="6"/>
  <c r="C303" i="6"/>
  <c r="D303" i="6" s="1"/>
  <c r="B303" i="6"/>
  <c r="G302" i="6"/>
  <c r="C302" i="6"/>
  <c r="D302" i="6" s="1"/>
  <c r="B302" i="6"/>
  <c r="G301" i="6"/>
  <c r="C301" i="6"/>
  <c r="D301" i="6" s="1"/>
  <c r="B301" i="6"/>
  <c r="G300" i="6"/>
  <c r="C300" i="6"/>
  <c r="D300" i="6" s="1"/>
  <c r="B300" i="6"/>
  <c r="G299" i="6"/>
  <c r="C299" i="6"/>
  <c r="D299" i="6" s="1"/>
  <c r="B299" i="6"/>
  <c r="G298" i="6"/>
  <c r="C298" i="6"/>
  <c r="D298" i="6" s="1"/>
  <c r="B298" i="6"/>
  <c r="G297" i="6"/>
  <c r="C297" i="6"/>
  <c r="D297" i="6" s="1"/>
  <c r="B297" i="6"/>
  <c r="G296" i="6"/>
  <c r="C296" i="6"/>
  <c r="D296" i="6" s="1"/>
  <c r="B296" i="6"/>
  <c r="G295" i="6"/>
  <c r="C295" i="6"/>
  <c r="D295" i="6" s="1"/>
  <c r="B295" i="6"/>
  <c r="G294" i="6"/>
  <c r="C294" i="6"/>
  <c r="D294" i="6" s="1"/>
  <c r="B294" i="6"/>
  <c r="G293" i="6"/>
  <c r="C293" i="6"/>
  <c r="D293" i="6" s="1"/>
  <c r="B293" i="6"/>
  <c r="G292" i="6"/>
  <c r="C292" i="6"/>
  <c r="D292" i="6" s="1"/>
  <c r="B292" i="6"/>
  <c r="G291" i="6"/>
  <c r="C291" i="6"/>
  <c r="D291" i="6" s="1"/>
  <c r="B291" i="6"/>
  <c r="G290" i="6"/>
  <c r="C290" i="6"/>
  <c r="D290" i="6" s="1"/>
  <c r="B290" i="6"/>
  <c r="G289" i="6"/>
  <c r="C289" i="6"/>
  <c r="D289" i="6" s="1"/>
  <c r="B289" i="6"/>
  <c r="G288" i="6"/>
  <c r="C288" i="6"/>
  <c r="D288" i="6" s="1"/>
  <c r="B288" i="6"/>
  <c r="G287" i="6"/>
  <c r="C287" i="6"/>
  <c r="D287" i="6" s="1"/>
  <c r="B287" i="6"/>
  <c r="G286" i="6"/>
  <c r="C286" i="6"/>
  <c r="D286" i="6" s="1"/>
  <c r="B286" i="6"/>
  <c r="G285" i="6"/>
  <c r="C285" i="6"/>
  <c r="D285" i="6" s="1"/>
  <c r="B285" i="6"/>
  <c r="G284" i="6"/>
  <c r="C284" i="6"/>
  <c r="D284" i="6" s="1"/>
  <c r="B284" i="6"/>
  <c r="G283" i="6"/>
  <c r="C283" i="6"/>
  <c r="D283" i="6" s="1"/>
  <c r="B283" i="6"/>
  <c r="G282" i="6"/>
  <c r="C282" i="6"/>
  <c r="D282" i="6" s="1"/>
  <c r="B282" i="6"/>
  <c r="G281" i="6"/>
  <c r="C281" i="6"/>
  <c r="D281" i="6" s="1"/>
  <c r="B281" i="6"/>
  <c r="G280" i="6"/>
  <c r="C280" i="6"/>
  <c r="D280" i="6" s="1"/>
  <c r="B280" i="6"/>
  <c r="G279" i="6"/>
  <c r="C279" i="6"/>
  <c r="D279" i="6" s="1"/>
  <c r="B279" i="6"/>
  <c r="G278" i="6"/>
  <c r="C278" i="6"/>
  <c r="D278" i="6" s="1"/>
  <c r="B278" i="6"/>
  <c r="G277" i="6"/>
  <c r="C277" i="6"/>
  <c r="D277" i="6" s="1"/>
  <c r="B277" i="6"/>
  <c r="G276" i="6"/>
  <c r="C276" i="6"/>
  <c r="D276" i="6" s="1"/>
  <c r="B276" i="6"/>
  <c r="G275" i="6"/>
  <c r="C275" i="6"/>
  <c r="D275" i="6" s="1"/>
  <c r="B275" i="6"/>
  <c r="G274" i="6"/>
  <c r="C274" i="6"/>
  <c r="D274" i="6" s="1"/>
  <c r="B274" i="6"/>
  <c r="G273" i="6"/>
  <c r="C273" i="6"/>
  <c r="D273" i="6" s="1"/>
  <c r="B273" i="6"/>
  <c r="G272" i="6"/>
  <c r="C272" i="6"/>
  <c r="D272" i="6" s="1"/>
  <c r="B272" i="6"/>
  <c r="G271" i="6"/>
  <c r="C271" i="6"/>
  <c r="D271" i="6" s="1"/>
  <c r="B271" i="6"/>
  <c r="G270" i="6"/>
  <c r="C270" i="6"/>
  <c r="D270" i="6" s="1"/>
  <c r="B270" i="6"/>
  <c r="G269" i="6"/>
  <c r="C269" i="6"/>
  <c r="D269" i="6" s="1"/>
  <c r="B269" i="6"/>
  <c r="G268" i="6"/>
  <c r="C268" i="6"/>
  <c r="D268" i="6" s="1"/>
  <c r="B268" i="6"/>
  <c r="G267" i="6"/>
  <c r="C267" i="6"/>
  <c r="D267" i="6" s="1"/>
  <c r="B267" i="6"/>
  <c r="G266" i="6"/>
  <c r="C266" i="6"/>
  <c r="D266" i="6" s="1"/>
  <c r="B266" i="6"/>
  <c r="G265" i="6"/>
  <c r="C265" i="6"/>
  <c r="D265" i="6" s="1"/>
  <c r="B265" i="6"/>
  <c r="G264" i="6"/>
  <c r="C264" i="6"/>
  <c r="B264" i="6"/>
  <c r="AC146" i="1" s="1"/>
  <c r="G263" i="6"/>
  <c r="C263" i="6"/>
  <c r="D263" i="6" s="1"/>
  <c r="B263" i="6"/>
  <c r="G262" i="6"/>
  <c r="C262" i="6"/>
  <c r="D262" i="6" s="1"/>
  <c r="B262" i="6"/>
  <c r="G261" i="6"/>
  <c r="C261" i="6"/>
  <c r="D261" i="6" s="1"/>
  <c r="B261" i="6"/>
  <c r="G260" i="6"/>
  <c r="C260" i="6"/>
  <c r="D260" i="6" s="1"/>
  <c r="B260" i="6"/>
  <c r="G259" i="6"/>
  <c r="C259" i="6"/>
  <c r="D259" i="6" s="1"/>
  <c r="B259" i="6"/>
  <c r="G258" i="6"/>
  <c r="C258" i="6"/>
  <c r="D258" i="6" s="1"/>
  <c r="B258" i="6"/>
  <c r="G257" i="6"/>
  <c r="C257" i="6"/>
  <c r="D257" i="6" s="1"/>
  <c r="B257" i="6"/>
  <c r="G256" i="6"/>
  <c r="C256" i="6"/>
  <c r="D256" i="6" s="1"/>
  <c r="B256" i="6"/>
  <c r="G255" i="6"/>
  <c r="C255" i="6"/>
  <c r="D255" i="6" s="1"/>
  <c r="B255" i="6"/>
  <c r="G254" i="6"/>
  <c r="C254" i="6"/>
  <c r="D254" i="6" s="1"/>
  <c r="B254" i="6"/>
  <c r="G253" i="6"/>
  <c r="C253" i="6"/>
  <c r="D253" i="6" s="1"/>
  <c r="B253" i="6"/>
  <c r="G252" i="6"/>
  <c r="C252" i="6"/>
  <c r="D252" i="6" s="1"/>
  <c r="B252" i="6"/>
  <c r="G251" i="6"/>
  <c r="C251" i="6"/>
  <c r="D251" i="6" s="1"/>
  <c r="B251" i="6"/>
  <c r="G250" i="6"/>
  <c r="C250" i="6"/>
  <c r="D250" i="6" s="1"/>
  <c r="B250" i="6"/>
  <c r="G249" i="6"/>
  <c r="C249" i="6"/>
  <c r="D249" i="6" s="1"/>
  <c r="B249" i="6"/>
  <c r="G248" i="6"/>
  <c r="C248" i="6"/>
  <c r="D248" i="6" s="1"/>
  <c r="B248" i="6"/>
  <c r="G247" i="6"/>
  <c r="C247" i="6"/>
  <c r="D247" i="6" s="1"/>
  <c r="B247" i="6"/>
  <c r="G246" i="6"/>
  <c r="C246" i="6"/>
  <c r="D246" i="6" s="1"/>
  <c r="B246" i="6"/>
  <c r="G245" i="6"/>
  <c r="C245" i="6"/>
  <c r="D245" i="6" s="1"/>
  <c r="B245" i="6"/>
  <c r="G244" i="6"/>
  <c r="C244" i="6"/>
  <c r="D244" i="6" s="1"/>
  <c r="B244" i="6"/>
  <c r="G243" i="6"/>
  <c r="C243" i="6"/>
  <c r="D243" i="6" s="1"/>
  <c r="B243" i="6"/>
  <c r="G242" i="6"/>
  <c r="C242" i="6"/>
  <c r="D242" i="6" s="1"/>
  <c r="B242" i="6"/>
  <c r="G241" i="6"/>
  <c r="C241" i="6"/>
  <c r="D241" i="6" s="1"/>
  <c r="B241" i="6"/>
  <c r="G240" i="6"/>
  <c r="C240" i="6"/>
  <c r="D240" i="6" s="1"/>
  <c r="B240" i="6"/>
  <c r="G239" i="6"/>
  <c r="C239" i="6"/>
  <c r="D239" i="6" s="1"/>
  <c r="B239" i="6"/>
  <c r="G238" i="6"/>
  <c r="C238" i="6"/>
  <c r="D238" i="6" s="1"/>
  <c r="B238" i="6"/>
  <c r="G237" i="6"/>
  <c r="C237" i="6"/>
  <c r="D237" i="6" s="1"/>
  <c r="B237" i="6"/>
  <c r="G236" i="6"/>
  <c r="C236" i="6"/>
  <c r="D236" i="6" s="1"/>
  <c r="B236" i="6"/>
  <c r="G235" i="6"/>
  <c r="C235" i="6"/>
  <c r="D235" i="6" s="1"/>
  <c r="B235" i="6"/>
  <c r="G234" i="6"/>
  <c r="C234" i="6"/>
  <c r="D234" i="6" s="1"/>
  <c r="B234" i="6"/>
  <c r="G233" i="6"/>
  <c r="C233" i="6"/>
  <c r="B233" i="6"/>
  <c r="AC379" i="1" s="1"/>
  <c r="G232" i="6"/>
  <c r="C232" i="6"/>
  <c r="D232" i="6" s="1"/>
  <c r="B232" i="6"/>
  <c r="G231" i="6"/>
  <c r="C231" i="6"/>
  <c r="D231" i="6" s="1"/>
  <c r="B231" i="6"/>
  <c r="G230" i="6"/>
  <c r="C230" i="6"/>
  <c r="D230" i="6" s="1"/>
  <c r="B230" i="6"/>
  <c r="G229" i="6"/>
  <c r="C229" i="6"/>
  <c r="D229" i="6" s="1"/>
  <c r="B229" i="6"/>
  <c r="G228" i="6"/>
  <c r="C228" i="6"/>
  <c r="D228" i="6" s="1"/>
  <c r="B228" i="6"/>
  <c r="G227" i="6"/>
  <c r="C227" i="6"/>
  <c r="D227" i="6" s="1"/>
  <c r="B227" i="6"/>
  <c r="G226" i="6"/>
  <c r="C226" i="6"/>
  <c r="D226" i="6" s="1"/>
  <c r="B226" i="6"/>
  <c r="G225" i="6"/>
  <c r="C225" i="6"/>
  <c r="D225" i="6" s="1"/>
  <c r="B225" i="6"/>
  <c r="G224" i="6"/>
  <c r="C224" i="6"/>
  <c r="D224" i="6" s="1"/>
  <c r="B224" i="6"/>
  <c r="G223" i="6"/>
  <c r="C223" i="6"/>
  <c r="D223" i="6" s="1"/>
  <c r="B223" i="6"/>
  <c r="G222" i="6"/>
  <c r="C222" i="6"/>
  <c r="D222" i="6" s="1"/>
  <c r="B222" i="6"/>
  <c r="G221" i="6"/>
  <c r="C221" i="6"/>
  <c r="D221" i="6" s="1"/>
  <c r="B221" i="6"/>
  <c r="G220" i="6"/>
  <c r="C220" i="6"/>
  <c r="D220" i="6" s="1"/>
  <c r="B220" i="6"/>
  <c r="G219" i="6"/>
  <c r="C219" i="6"/>
  <c r="D219" i="6" s="1"/>
  <c r="B219" i="6"/>
  <c r="G218" i="6"/>
  <c r="C218" i="6"/>
  <c r="D218" i="6" s="1"/>
  <c r="B218" i="6"/>
  <c r="G217" i="6"/>
  <c r="C217" i="6"/>
  <c r="D217" i="6" s="1"/>
  <c r="B217" i="6"/>
  <c r="G216" i="6"/>
  <c r="C216" i="6"/>
  <c r="D216" i="6" s="1"/>
  <c r="B216" i="6"/>
  <c r="G215" i="6"/>
  <c r="C215" i="6"/>
  <c r="D215" i="6" s="1"/>
  <c r="B215" i="6"/>
  <c r="G214" i="6"/>
  <c r="C214" i="6"/>
  <c r="D214" i="6" s="1"/>
  <c r="B214" i="6"/>
  <c r="G213" i="6"/>
  <c r="C213" i="6"/>
  <c r="B213" i="6"/>
  <c r="AC99" i="1" s="1"/>
  <c r="G212" i="6"/>
  <c r="C212" i="6"/>
  <c r="D212" i="6" s="1"/>
  <c r="B212" i="6"/>
  <c r="G211" i="6"/>
  <c r="C211" i="6"/>
  <c r="B211" i="6"/>
  <c r="AC426" i="1" s="1"/>
  <c r="G210" i="6"/>
  <c r="C210" i="6"/>
  <c r="D210" i="6" s="1"/>
  <c r="B210" i="6"/>
  <c r="G209" i="6"/>
  <c r="C209" i="6"/>
  <c r="D209" i="6" s="1"/>
  <c r="B209" i="6"/>
  <c r="G208" i="6"/>
  <c r="C208" i="6"/>
  <c r="B208" i="6"/>
  <c r="AC286" i="1" s="1"/>
  <c r="G207" i="6"/>
  <c r="C207" i="6"/>
  <c r="D207" i="6" s="1"/>
  <c r="B207" i="6"/>
  <c r="G206" i="6"/>
  <c r="C206" i="6"/>
  <c r="D206" i="6" s="1"/>
  <c r="B206" i="6"/>
  <c r="G205" i="6"/>
  <c r="C205" i="6"/>
  <c r="D205" i="6" s="1"/>
  <c r="B205" i="6"/>
  <c r="G204" i="6"/>
  <c r="C204" i="6"/>
  <c r="D204" i="6" s="1"/>
  <c r="B204" i="6"/>
  <c r="G203" i="6"/>
  <c r="C203" i="6"/>
  <c r="D203" i="6" s="1"/>
  <c r="B203" i="6"/>
  <c r="G202" i="6"/>
  <c r="C202" i="6"/>
  <c r="D202" i="6" s="1"/>
  <c r="B202" i="6"/>
  <c r="G201" i="6"/>
  <c r="C201" i="6"/>
  <c r="D201" i="6" s="1"/>
  <c r="B201" i="6"/>
  <c r="G200" i="6"/>
  <c r="C200" i="6"/>
  <c r="D200" i="6" s="1"/>
  <c r="B200" i="6"/>
  <c r="G199" i="6"/>
  <c r="C199" i="6"/>
  <c r="D199" i="6" s="1"/>
  <c r="B199" i="6"/>
  <c r="G198" i="6"/>
  <c r="C198" i="6"/>
  <c r="D198" i="6" s="1"/>
  <c r="B198" i="6"/>
  <c r="G197" i="6"/>
  <c r="C197" i="6"/>
  <c r="D197" i="6" s="1"/>
  <c r="B197" i="6"/>
  <c r="G196" i="6"/>
  <c r="C196" i="6"/>
  <c r="D196" i="6" s="1"/>
  <c r="B196" i="6"/>
  <c r="G195" i="6"/>
  <c r="C195" i="6"/>
  <c r="D195" i="6" s="1"/>
  <c r="B195" i="6"/>
  <c r="G194" i="6"/>
  <c r="C194" i="6"/>
  <c r="D194" i="6" s="1"/>
  <c r="B194" i="6"/>
  <c r="G193" i="6"/>
  <c r="C193" i="6"/>
  <c r="D193" i="6" s="1"/>
  <c r="B193" i="6"/>
  <c r="G192" i="6"/>
  <c r="C192" i="6"/>
  <c r="D192" i="6" s="1"/>
  <c r="B192" i="6"/>
  <c r="G191" i="6"/>
  <c r="C191" i="6"/>
  <c r="D191" i="6" s="1"/>
  <c r="B191" i="6"/>
  <c r="G190" i="6"/>
  <c r="C190" i="6"/>
  <c r="D190" i="6" s="1"/>
  <c r="B190" i="6"/>
  <c r="G189" i="6"/>
  <c r="C189" i="6"/>
  <c r="D189" i="6" s="1"/>
  <c r="B189" i="6"/>
  <c r="G188" i="6"/>
  <c r="C188" i="6"/>
  <c r="D188" i="6" s="1"/>
  <c r="B188" i="6"/>
  <c r="G187" i="6"/>
  <c r="C187" i="6"/>
  <c r="D187" i="6" s="1"/>
  <c r="B187" i="6"/>
  <c r="G186" i="6"/>
  <c r="C186" i="6"/>
  <c r="D186" i="6" s="1"/>
  <c r="B186" i="6"/>
  <c r="G185" i="6"/>
  <c r="C185" i="6"/>
  <c r="D185" i="6" s="1"/>
  <c r="B185" i="6"/>
  <c r="G184" i="6"/>
  <c r="C184" i="6"/>
  <c r="D184" i="6" s="1"/>
  <c r="B184" i="6"/>
  <c r="G183" i="6"/>
  <c r="C183" i="6"/>
  <c r="D183" i="6" s="1"/>
  <c r="B183" i="6"/>
  <c r="G182" i="6"/>
  <c r="C182" i="6"/>
  <c r="D182" i="6" s="1"/>
  <c r="B182" i="6"/>
  <c r="G181" i="6"/>
  <c r="C181" i="6"/>
  <c r="D181" i="6" s="1"/>
  <c r="B181" i="6"/>
  <c r="G180" i="6"/>
  <c r="C180" i="6"/>
  <c r="D180" i="6" s="1"/>
  <c r="B180" i="6"/>
  <c r="G179" i="6"/>
  <c r="C179" i="6"/>
  <c r="D179" i="6" s="1"/>
  <c r="B179" i="6"/>
  <c r="G178" i="6"/>
  <c r="C178" i="6"/>
  <c r="D178" i="6" s="1"/>
  <c r="B178" i="6"/>
  <c r="G177" i="6"/>
  <c r="C177" i="6"/>
  <c r="D177" i="6" s="1"/>
  <c r="B177" i="6"/>
  <c r="G176" i="6"/>
  <c r="C176" i="6"/>
  <c r="D176" i="6" s="1"/>
  <c r="B176" i="6"/>
  <c r="G175" i="6"/>
  <c r="C175" i="6"/>
  <c r="D175" i="6" s="1"/>
  <c r="B175" i="6"/>
  <c r="G174" i="6"/>
  <c r="C174" i="6"/>
  <c r="D174" i="6" s="1"/>
  <c r="B174" i="6"/>
  <c r="G173" i="6"/>
  <c r="C173" i="6"/>
  <c r="D173" i="6" s="1"/>
  <c r="B173" i="6"/>
  <c r="G172" i="6"/>
  <c r="C172" i="6"/>
  <c r="D172" i="6" s="1"/>
  <c r="B172" i="6"/>
  <c r="G171" i="6"/>
  <c r="C171" i="6"/>
  <c r="D171" i="6" s="1"/>
  <c r="B171" i="6"/>
  <c r="G170" i="6"/>
  <c r="C170" i="6"/>
  <c r="D170" i="6" s="1"/>
  <c r="B170" i="6"/>
  <c r="G169" i="6"/>
  <c r="C169" i="6"/>
  <c r="D169" i="6" s="1"/>
  <c r="B169" i="6"/>
  <c r="G168" i="6"/>
  <c r="C168" i="6"/>
  <c r="D168" i="6" s="1"/>
  <c r="B168" i="6"/>
  <c r="G167" i="6"/>
  <c r="C167" i="6"/>
  <c r="D167" i="6" s="1"/>
  <c r="B167" i="6"/>
  <c r="G166" i="6"/>
  <c r="C166" i="6"/>
  <c r="D166" i="6" s="1"/>
  <c r="B166" i="6"/>
  <c r="G165" i="6"/>
  <c r="C165" i="6"/>
  <c r="D165" i="6" s="1"/>
  <c r="B165" i="6"/>
  <c r="G164" i="6"/>
  <c r="C164" i="6"/>
  <c r="D164" i="6" s="1"/>
  <c r="B164" i="6"/>
  <c r="G163" i="6"/>
  <c r="C163" i="6"/>
  <c r="D163" i="6" s="1"/>
  <c r="B163" i="6"/>
  <c r="G162" i="6"/>
  <c r="C162" i="6"/>
  <c r="D162" i="6" s="1"/>
  <c r="B162" i="6"/>
  <c r="G161" i="6"/>
  <c r="C161" i="6"/>
  <c r="D161" i="6" s="1"/>
  <c r="B161" i="6"/>
  <c r="G160" i="6"/>
  <c r="C160" i="6"/>
  <c r="D160" i="6" s="1"/>
  <c r="B160" i="6"/>
  <c r="G159" i="6"/>
  <c r="C159" i="6"/>
  <c r="D159" i="6" s="1"/>
  <c r="B159" i="6"/>
  <c r="G158" i="6"/>
  <c r="C158" i="6"/>
  <c r="D158" i="6" s="1"/>
  <c r="B158" i="6"/>
  <c r="G157" i="6"/>
  <c r="C157" i="6"/>
  <c r="D157" i="6" s="1"/>
  <c r="B157" i="6"/>
  <c r="G156" i="6"/>
  <c r="C156" i="6"/>
  <c r="D156" i="6" s="1"/>
  <c r="B156" i="6"/>
  <c r="G155" i="6"/>
  <c r="C155" i="6"/>
  <c r="D155" i="6" s="1"/>
  <c r="B155" i="6"/>
  <c r="G154" i="6"/>
  <c r="C154" i="6"/>
  <c r="D154" i="6" s="1"/>
  <c r="B154" i="6"/>
  <c r="G153" i="6"/>
  <c r="C153" i="6"/>
  <c r="D153" i="6" s="1"/>
  <c r="B153" i="6"/>
  <c r="G152" i="6"/>
  <c r="C152" i="6"/>
  <c r="D152" i="6" s="1"/>
  <c r="B152" i="6"/>
  <c r="G151" i="6"/>
  <c r="C151" i="6"/>
  <c r="D151" i="6" s="1"/>
  <c r="B151" i="6"/>
  <c r="G150" i="6"/>
  <c r="C150" i="6"/>
  <c r="D150" i="6" s="1"/>
  <c r="B150" i="6"/>
  <c r="G149" i="6"/>
  <c r="C149" i="6"/>
  <c r="D149" i="6" s="1"/>
  <c r="B149" i="6"/>
  <c r="G148" i="6"/>
  <c r="C148" i="6"/>
  <c r="D148" i="6" s="1"/>
  <c r="B148" i="6"/>
  <c r="G147" i="6"/>
  <c r="C147" i="6"/>
  <c r="D147" i="6" s="1"/>
  <c r="B147" i="6"/>
  <c r="G146" i="6"/>
  <c r="C146" i="6"/>
  <c r="D146" i="6" s="1"/>
  <c r="B146" i="6"/>
  <c r="G145" i="6"/>
  <c r="C145" i="6"/>
  <c r="D145" i="6" s="1"/>
  <c r="B145" i="6"/>
  <c r="G144" i="6"/>
  <c r="C144" i="6"/>
  <c r="D144" i="6" s="1"/>
  <c r="B144" i="6"/>
  <c r="G143" i="6"/>
  <c r="C143" i="6"/>
  <c r="D143" i="6" s="1"/>
  <c r="B143" i="6"/>
  <c r="G142" i="6"/>
  <c r="C142" i="6"/>
  <c r="D142" i="6" s="1"/>
  <c r="B142" i="6"/>
  <c r="G141" i="6"/>
  <c r="C141" i="6"/>
  <c r="D141" i="6" s="1"/>
  <c r="B141" i="6"/>
  <c r="G140" i="6"/>
  <c r="C140" i="6"/>
  <c r="D140" i="6" s="1"/>
  <c r="B140" i="6"/>
  <c r="G139" i="6"/>
  <c r="C139" i="6"/>
  <c r="D139" i="6" s="1"/>
  <c r="B139" i="6"/>
  <c r="G138" i="6"/>
  <c r="C138" i="6"/>
  <c r="D138" i="6" s="1"/>
  <c r="B138" i="6"/>
  <c r="G137" i="6"/>
  <c r="C137" i="6"/>
  <c r="D137" i="6" s="1"/>
  <c r="B137" i="6"/>
  <c r="G136" i="6"/>
  <c r="C136" i="6"/>
  <c r="D136" i="6" s="1"/>
  <c r="B136" i="6"/>
  <c r="G135" i="6"/>
  <c r="C135" i="6"/>
  <c r="D135" i="6" s="1"/>
  <c r="B135" i="6"/>
  <c r="G134" i="6"/>
  <c r="C134" i="6"/>
  <c r="B134" i="6"/>
  <c r="AC378" i="1" s="1"/>
  <c r="G133" i="6"/>
  <c r="C133" i="6"/>
  <c r="D133" i="6" s="1"/>
  <c r="B133" i="6"/>
  <c r="G132" i="6"/>
  <c r="C132" i="6"/>
  <c r="D132" i="6" s="1"/>
  <c r="B132" i="6"/>
  <c r="G131" i="6"/>
  <c r="C131" i="6"/>
  <c r="D131" i="6" s="1"/>
  <c r="B131" i="6"/>
  <c r="G130" i="6"/>
  <c r="C130" i="6"/>
  <c r="D130" i="6" s="1"/>
  <c r="B130" i="6"/>
  <c r="G129" i="6"/>
  <c r="C129" i="6"/>
  <c r="D129" i="6" s="1"/>
  <c r="B129" i="6"/>
  <c r="G128" i="6"/>
  <c r="C128" i="6"/>
  <c r="D128" i="6" s="1"/>
  <c r="B128" i="6"/>
  <c r="G127" i="6"/>
  <c r="C127" i="6"/>
  <c r="D127" i="6" s="1"/>
  <c r="B127" i="6"/>
  <c r="G126" i="6"/>
  <c r="C126" i="6"/>
  <c r="D126" i="6" s="1"/>
  <c r="B126" i="6"/>
  <c r="G125" i="6"/>
  <c r="C125" i="6"/>
  <c r="D125" i="6" s="1"/>
  <c r="B125" i="6"/>
  <c r="G124" i="6"/>
  <c r="C124" i="6"/>
  <c r="D124" i="6" s="1"/>
  <c r="B124" i="6"/>
  <c r="G123" i="6"/>
  <c r="C123" i="6"/>
  <c r="D123" i="6" s="1"/>
  <c r="B123" i="6"/>
  <c r="G122" i="6"/>
  <c r="C122" i="6"/>
  <c r="D122" i="6" s="1"/>
  <c r="B122" i="6"/>
  <c r="G121" i="6"/>
  <c r="C121" i="6"/>
  <c r="D121" i="6" s="1"/>
  <c r="B121" i="6"/>
  <c r="G120" i="6"/>
  <c r="C120" i="6"/>
  <c r="D120" i="6" s="1"/>
  <c r="B120" i="6"/>
  <c r="G119" i="6"/>
  <c r="C119" i="6"/>
  <c r="D119" i="6" s="1"/>
  <c r="B119" i="6"/>
  <c r="G118" i="6"/>
  <c r="C118" i="6"/>
  <c r="D118" i="6" s="1"/>
  <c r="B118" i="6"/>
  <c r="G117" i="6"/>
  <c r="C117" i="6"/>
  <c r="D117" i="6" s="1"/>
  <c r="B117" i="6"/>
  <c r="G116" i="6"/>
  <c r="C116" i="6"/>
  <c r="D116" i="6" s="1"/>
  <c r="B116" i="6"/>
  <c r="G115" i="6"/>
  <c r="C115" i="6"/>
  <c r="D115" i="6" s="1"/>
  <c r="B115" i="6"/>
  <c r="G114" i="6"/>
  <c r="C114" i="6"/>
  <c r="D114" i="6" s="1"/>
  <c r="B114" i="6"/>
  <c r="G113" i="6"/>
  <c r="C113" i="6"/>
  <c r="D113" i="6" s="1"/>
  <c r="B113" i="6"/>
  <c r="G112" i="6"/>
  <c r="C112" i="6"/>
  <c r="D112" i="6" s="1"/>
  <c r="B112" i="6"/>
  <c r="G111" i="6"/>
  <c r="C111" i="6"/>
  <c r="D111" i="6" s="1"/>
  <c r="B111" i="6"/>
  <c r="G110" i="6"/>
  <c r="C110" i="6"/>
  <c r="D110" i="6" s="1"/>
  <c r="B110" i="6"/>
  <c r="G109" i="6"/>
  <c r="C109" i="6"/>
  <c r="D109" i="6" s="1"/>
  <c r="B109" i="6"/>
  <c r="G108" i="6"/>
  <c r="C108" i="6"/>
  <c r="D108" i="6" s="1"/>
  <c r="B108" i="6"/>
  <c r="G107" i="6"/>
  <c r="C107" i="6"/>
  <c r="D107" i="6" s="1"/>
  <c r="B107" i="6"/>
  <c r="G106" i="6"/>
  <c r="C106" i="6"/>
  <c r="D106" i="6" s="1"/>
  <c r="B106" i="6"/>
  <c r="G105" i="6"/>
  <c r="C105" i="6"/>
  <c r="D105" i="6" s="1"/>
  <c r="B105" i="6"/>
  <c r="G104" i="6"/>
  <c r="C104" i="6"/>
  <c r="D104" i="6" s="1"/>
  <c r="B104" i="6"/>
  <c r="G103" i="6"/>
  <c r="C103" i="6"/>
  <c r="D103" i="6" s="1"/>
  <c r="B103" i="6"/>
  <c r="G102" i="6"/>
  <c r="C102" i="6"/>
  <c r="D102" i="6" s="1"/>
  <c r="B102" i="6"/>
  <c r="G101" i="6"/>
  <c r="C101" i="6"/>
  <c r="D101" i="6" s="1"/>
  <c r="B101" i="6"/>
  <c r="G100" i="6"/>
  <c r="C100" i="6"/>
  <c r="D100" i="6" s="1"/>
  <c r="B100" i="6"/>
  <c r="G99" i="6"/>
  <c r="C99" i="6"/>
  <c r="D99" i="6" s="1"/>
  <c r="B99" i="6"/>
  <c r="G98" i="6"/>
  <c r="C98" i="6"/>
  <c r="D98" i="6" s="1"/>
  <c r="B98" i="6"/>
  <c r="G97" i="6"/>
  <c r="C97" i="6"/>
  <c r="D97" i="6" s="1"/>
  <c r="B97" i="6"/>
  <c r="G96" i="6"/>
  <c r="C96" i="6"/>
  <c r="D96" i="6" s="1"/>
  <c r="B96" i="6"/>
  <c r="G95" i="6"/>
  <c r="C95" i="6"/>
  <c r="D95" i="6" s="1"/>
  <c r="B95" i="6"/>
  <c r="G94" i="6"/>
  <c r="C94" i="6"/>
  <c r="D94" i="6" s="1"/>
  <c r="B94" i="6"/>
  <c r="G93" i="6"/>
  <c r="C93" i="6"/>
  <c r="D93" i="6" s="1"/>
  <c r="B93" i="6"/>
  <c r="G92" i="6"/>
  <c r="C92" i="6"/>
  <c r="D92" i="6" s="1"/>
  <c r="B92" i="6"/>
  <c r="G91" i="6"/>
  <c r="C91" i="6"/>
  <c r="D91" i="6" s="1"/>
  <c r="B91" i="6"/>
  <c r="G90" i="6"/>
  <c r="C90" i="6"/>
  <c r="D90" i="6" s="1"/>
  <c r="B90" i="6"/>
  <c r="G89" i="6"/>
  <c r="C89" i="6"/>
  <c r="D89" i="6" s="1"/>
  <c r="B89" i="6"/>
  <c r="G88" i="6"/>
  <c r="C88" i="6"/>
  <c r="D88" i="6" s="1"/>
  <c r="B88" i="6"/>
  <c r="G87" i="6"/>
  <c r="C87" i="6"/>
  <c r="D87" i="6" s="1"/>
  <c r="B87" i="6"/>
  <c r="G86" i="6"/>
  <c r="C86" i="6"/>
  <c r="D86" i="6" s="1"/>
  <c r="B86" i="6"/>
  <c r="G85" i="6"/>
  <c r="C85" i="6"/>
  <c r="D85" i="6" s="1"/>
  <c r="B85" i="6"/>
  <c r="G84" i="6"/>
  <c r="C84" i="6"/>
  <c r="D84" i="6" s="1"/>
  <c r="B84" i="6"/>
  <c r="G83" i="6"/>
  <c r="C83" i="6"/>
  <c r="D83" i="6" s="1"/>
  <c r="B83" i="6"/>
  <c r="G82" i="6"/>
  <c r="C82" i="6"/>
  <c r="D82" i="6" s="1"/>
  <c r="B82" i="6"/>
  <c r="G81" i="6"/>
  <c r="C81" i="6"/>
  <c r="D81" i="6" s="1"/>
  <c r="B81" i="6"/>
  <c r="G80" i="6"/>
  <c r="C80" i="6"/>
  <c r="D80" i="6" s="1"/>
  <c r="B80" i="6"/>
  <c r="G79" i="6"/>
  <c r="C79" i="6"/>
  <c r="D79" i="6" s="1"/>
  <c r="B79" i="6"/>
  <c r="G78" i="6"/>
  <c r="C78" i="6"/>
  <c r="D78" i="6" s="1"/>
  <c r="B78" i="6"/>
  <c r="G77" i="6"/>
  <c r="C77" i="6"/>
  <c r="D77" i="6" s="1"/>
  <c r="B77" i="6"/>
  <c r="G76" i="6"/>
  <c r="C76" i="6"/>
  <c r="D76" i="6" s="1"/>
  <c r="B76" i="6"/>
  <c r="G75" i="6"/>
  <c r="C75" i="6"/>
  <c r="D75" i="6" s="1"/>
  <c r="B75" i="6"/>
  <c r="G74" i="6"/>
  <c r="C74" i="6"/>
  <c r="D74" i="6" s="1"/>
  <c r="B74" i="6"/>
  <c r="G73" i="6"/>
  <c r="C73" i="6"/>
  <c r="D73" i="6" s="1"/>
  <c r="B73" i="6"/>
  <c r="G72" i="6"/>
  <c r="C72" i="6"/>
  <c r="D72" i="6" s="1"/>
  <c r="B72" i="6"/>
  <c r="G71" i="6"/>
  <c r="C71" i="6"/>
  <c r="D71" i="6" s="1"/>
  <c r="B71" i="6"/>
  <c r="G70" i="6"/>
  <c r="C70" i="6"/>
  <c r="D70" i="6" s="1"/>
  <c r="B70" i="6"/>
  <c r="G69" i="6"/>
  <c r="C69" i="6"/>
  <c r="D69" i="6" s="1"/>
  <c r="B69" i="6"/>
  <c r="G68" i="6"/>
  <c r="C68" i="6"/>
  <c r="D68" i="6" s="1"/>
  <c r="B68" i="6"/>
  <c r="G67" i="6"/>
  <c r="C67" i="6"/>
  <c r="B67" i="6"/>
  <c r="AC192" i="1" s="1"/>
  <c r="G66" i="6"/>
  <c r="C66" i="6"/>
  <c r="D66" i="6" s="1"/>
  <c r="B66" i="6"/>
  <c r="G65" i="6"/>
  <c r="C65" i="6"/>
  <c r="D65" i="6" s="1"/>
  <c r="B65" i="6"/>
  <c r="G64" i="6"/>
  <c r="C64" i="6"/>
  <c r="D64" i="6" s="1"/>
  <c r="B64" i="6"/>
  <c r="G63" i="6"/>
  <c r="C63" i="6"/>
  <c r="D63" i="6" s="1"/>
  <c r="B63" i="6"/>
  <c r="G62" i="6"/>
  <c r="C62" i="6"/>
  <c r="D62" i="6" s="1"/>
  <c r="B62" i="6"/>
  <c r="G61" i="6"/>
  <c r="C61" i="6"/>
  <c r="D61" i="6" s="1"/>
  <c r="B61" i="6"/>
  <c r="G60" i="6"/>
  <c r="C60" i="6"/>
  <c r="D60" i="6" s="1"/>
  <c r="B60" i="6"/>
  <c r="G59" i="6"/>
  <c r="C59" i="6"/>
  <c r="D59" i="6" s="1"/>
  <c r="B59" i="6"/>
  <c r="G58" i="6"/>
  <c r="C58" i="6"/>
  <c r="D58" i="6" s="1"/>
  <c r="B58" i="6"/>
  <c r="G57" i="6"/>
  <c r="C57" i="6"/>
  <c r="B57" i="6"/>
  <c r="AC472" i="1" s="1"/>
  <c r="G56" i="6"/>
  <c r="C56" i="6"/>
  <c r="D56" i="6" s="1"/>
  <c r="B56" i="6"/>
  <c r="G55" i="6"/>
  <c r="C55" i="6"/>
  <c r="D55" i="6" s="1"/>
  <c r="B55" i="6"/>
  <c r="G54" i="6"/>
  <c r="C54" i="6"/>
  <c r="D54" i="6" s="1"/>
  <c r="B54" i="6"/>
  <c r="G53" i="6"/>
  <c r="C53" i="6"/>
  <c r="D53" i="6" s="1"/>
  <c r="B53" i="6"/>
  <c r="G52" i="6"/>
  <c r="C52" i="6"/>
  <c r="D52" i="6" s="1"/>
  <c r="B52" i="6"/>
  <c r="G51" i="6"/>
  <c r="C51" i="6"/>
  <c r="D51" i="6" s="1"/>
  <c r="B51" i="6"/>
  <c r="G50" i="6"/>
  <c r="C50" i="6"/>
  <c r="D50" i="6" s="1"/>
  <c r="B50" i="6"/>
  <c r="G49" i="6"/>
  <c r="C49" i="6"/>
  <c r="D49" i="6" s="1"/>
  <c r="B49" i="6"/>
  <c r="G48" i="6"/>
  <c r="C48" i="6"/>
  <c r="D48" i="6" s="1"/>
  <c r="B48" i="6"/>
  <c r="G47" i="6"/>
  <c r="C47" i="6"/>
  <c r="D47" i="6" s="1"/>
  <c r="B47" i="6"/>
  <c r="G46" i="6"/>
  <c r="C46" i="6"/>
  <c r="D46" i="6" s="1"/>
  <c r="B46" i="6"/>
  <c r="G45" i="6"/>
  <c r="C45" i="6"/>
  <c r="D45" i="6" s="1"/>
  <c r="B45" i="6"/>
  <c r="G44" i="6"/>
  <c r="C44" i="6"/>
  <c r="D44" i="6" s="1"/>
  <c r="B44" i="6"/>
  <c r="G43" i="6"/>
  <c r="C43" i="6"/>
  <c r="D43" i="6" s="1"/>
  <c r="B43" i="6"/>
  <c r="G42" i="6"/>
  <c r="C42" i="6"/>
  <c r="D42" i="6" s="1"/>
  <c r="B42" i="6"/>
  <c r="G41" i="6"/>
  <c r="C41" i="6"/>
  <c r="D41" i="6" s="1"/>
  <c r="B41" i="6"/>
  <c r="G40" i="6"/>
  <c r="C40" i="6"/>
  <c r="D40" i="6" s="1"/>
  <c r="B40" i="6"/>
  <c r="G39" i="6"/>
  <c r="C39" i="6"/>
  <c r="D39" i="6" s="1"/>
  <c r="B39" i="6"/>
  <c r="G38" i="6"/>
  <c r="C38" i="6"/>
  <c r="D38" i="6" s="1"/>
  <c r="B38" i="6"/>
  <c r="G37" i="6"/>
  <c r="C37" i="6"/>
  <c r="D37" i="6" s="1"/>
  <c r="B37" i="6"/>
  <c r="G36" i="6"/>
  <c r="C36" i="6"/>
  <c r="D36" i="6" s="1"/>
  <c r="B36" i="6"/>
  <c r="G35" i="6"/>
  <c r="C35" i="6"/>
  <c r="D35" i="6" s="1"/>
  <c r="B35" i="6"/>
  <c r="G34" i="6"/>
  <c r="C34" i="6"/>
  <c r="D34" i="6" s="1"/>
  <c r="B34" i="6"/>
  <c r="G33" i="6"/>
  <c r="C33" i="6"/>
  <c r="D33" i="6" s="1"/>
  <c r="B33" i="6"/>
  <c r="G32" i="6"/>
  <c r="C32" i="6"/>
  <c r="D32" i="6" s="1"/>
  <c r="B32" i="6"/>
  <c r="G31" i="6"/>
  <c r="C31" i="6"/>
  <c r="D31" i="6" s="1"/>
  <c r="B31" i="6"/>
  <c r="G30" i="6"/>
  <c r="C30" i="6"/>
  <c r="D30" i="6" s="1"/>
  <c r="B30" i="6"/>
  <c r="G29" i="6"/>
  <c r="C29" i="6"/>
  <c r="D29" i="6" s="1"/>
  <c r="B29" i="6"/>
  <c r="G28" i="6"/>
  <c r="C28" i="6"/>
  <c r="D28" i="6" s="1"/>
  <c r="B28" i="6"/>
  <c r="G27" i="6"/>
  <c r="C27" i="6"/>
  <c r="D27" i="6" s="1"/>
  <c r="B27" i="6"/>
  <c r="G26" i="6"/>
  <c r="C26" i="6"/>
  <c r="D26" i="6" s="1"/>
  <c r="B26" i="6"/>
  <c r="G25" i="6"/>
  <c r="C25" i="6"/>
  <c r="D25" i="6" s="1"/>
  <c r="B25" i="6"/>
  <c r="G24" i="6"/>
  <c r="C24" i="6"/>
  <c r="D24" i="6" s="1"/>
  <c r="B24" i="6"/>
  <c r="G23" i="6"/>
  <c r="C23" i="6"/>
  <c r="D23" i="6" s="1"/>
  <c r="B23" i="6"/>
  <c r="G22" i="6"/>
  <c r="C22" i="6"/>
  <c r="D22" i="6" s="1"/>
  <c r="B22" i="6"/>
  <c r="G21" i="6"/>
  <c r="C21" i="6"/>
  <c r="D21" i="6" s="1"/>
  <c r="B21" i="6"/>
  <c r="G20" i="6"/>
  <c r="C20" i="6"/>
  <c r="D20" i="6" s="1"/>
  <c r="B20" i="6"/>
  <c r="G19" i="6"/>
  <c r="C19" i="6"/>
  <c r="D19" i="6" s="1"/>
  <c r="B19" i="6"/>
  <c r="G18" i="6"/>
  <c r="C18" i="6"/>
  <c r="D18" i="6" s="1"/>
  <c r="B18" i="6"/>
  <c r="G17" i="6"/>
  <c r="C17" i="6"/>
  <c r="D17" i="6" s="1"/>
  <c r="B17" i="6"/>
  <c r="G16" i="6"/>
  <c r="C16" i="6"/>
  <c r="D16" i="6" s="1"/>
  <c r="B16" i="6"/>
  <c r="G15" i="6"/>
  <c r="C15" i="6"/>
  <c r="D15" i="6" s="1"/>
  <c r="B15" i="6"/>
  <c r="G14" i="6"/>
  <c r="C14" i="6"/>
  <c r="B14" i="6"/>
  <c r="G13" i="6"/>
  <c r="C13" i="6"/>
  <c r="D13" i="6" s="1"/>
  <c r="B13" i="6"/>
  <c r="G12" i="6"/>
  <c r="C12" i="6"/>
  <c r="D12" i="6" s="1"/>
  <c r="B12" i="6"/>
  <c r="G11" i="6"/>
  <c r="C11" i="6"/>
  <c r="D11" i="6" s="1"/>
  <c r="B11" i="6"/>
  <c r="G10" i="6"/>
  <c r="C10" i="6"/>
  <c r="D10" i="6" s="1"/>
  <c r="B10" i="6"/>
  <c r="G9" i="6"/>
  <c r="C9" i="6"/>
  <c r="D9" i="6" s="1"/>
  <c r="B9" i="6"/>
  <c r="G8" i="6"/>
  <c r="C8" i="6"/>
  <c r="D8" i="6" s="1"/>
  <c r="B8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F6" i="6"/>
  <c r="E6" i="6"/>
  <c r="R592" i="3"/>
  <c r="O592" i="3"/>
  <c r="S592" i="3" s="1"/>
  <c r="D592" i="3" s="1"/>
  <c r="J592" i="3"/>
  <c r="F592" i="3"/>
  <c r="G592" i="3" s="1"/>
  <c r="R591" i="3"/>
  <c r="O591" i="3"/>
  <c r="S591" i="3" s="1"/>
  <c r="D591" i="3" s="1"/>
  <c r="J591" i="3"/>
  <c r="F591" i="3"/>
  <c r="G591" i="3" s="1"/>
  <c r="R590" i="3"/>
  <c r="O590" i="3"/>
  <c r="S590" i="3" s="1"/>
  <c r="D590" i="3" s="1"/>
  <c r="J590" i="3"/>
  <c r="F590" i="3"/>
  <c r="G590" i="3" s="1"/>
  <c r="R589" i="3"/>
  <c r="O589" i="3"/>
  <c r="S589" i="3" s="1"/>
  <c r="D589" i="3" s="1"/>
  <c r="J589" i="3"/>
  <c r="F589" i="3"/>
  <c r="G589" i="3" s="1"/>
  <c r="R588" i="3"/>
  <c r="O588" i="3"/>
  <c r="S588" i="3" s="1"/>
  <c r="D588" i="3" s="1"/>
  <c r="J588" i="3"/>
  <c r="F588" i="3"/>
  <c r="G588" i="3" s="1"/>
  <c r="R587" i="3"/>
  <c r="O587" i="3"/>
  <c r="S587" i="3" s="1"/>
  <c r="D587" i="3" s="1"/>
  <c r="J587" i="3"/>
  <c r="F587" i="3"/>
  <c r="G587" i="3" s="1"/>
  <c r="R586" i="3"/>
  <c r="O586" i="3"/>
  <c r="J586" i="3"/>
  <c r="F586" i="3"/>
  <c r="G586" i="3" s="1"/>
  <c r="R585" i="3"/>
  <c r="O585" i="3"/>
  <c r="S585" i="3" s="1"/>
  <c r="D585" i="3" s="1"/>
  <c r="J585" i="3"/>
  <c r="F585" i="3"/>
  <c r="G585" i="3" s="1"/>
  <c r="R584" i="3"/>
  <c r="O584" i="3"/>
  <c r="S584" i="3" s="1"/>
  <c r="D584" i="3" s="1"/>
  <c r="J584" i="3"/>
  <c r="F584" i="3"/>
  <c r="G584" i="3" s="1"/>
  <c r="R583" i="3"/>
  <c r="O583" i="3"/>
  <c r="S583" i="3" s="1"/>
  <c r="D583" i="3" s="1"/>
  <c r="J583" i="3"/>
  <c r="F583" i="3"/>
  <c r="G583" i="3" s="1"/>
  <c r="R582" i="3"/>
  <c r="O582" i="3"/>
  <c r="S582" i="3" s="1"/>
  <c r="D582" i="3" s="1"/>
  <c r="J582" i="3"/>
  <c r="F582" i="3"/>
  <c r="G582" i="3" s="1"/>
  <c r="R581" i="3"/>
  <c r="O581" i="3"/>
  <c r="S581" i="3" s="1"/>
  <c r="D581" i="3" s="1"/>
  <c r="J581" i="3"/>
  <c r="F581" i="3"/>
  <c r="G581" i="3" s="1"/>
  <c r="R580" i="3"/>
  <c r="O580" i="3"/>
  <c r="S580" i="3" s="1"/>
  <c r="D580" i="3" s="1"/>
  <c r="J580" i="3"/>
  <c r="F580" i="3"/>
  <c r="G580" i="3" s="1"/>
  <c r="R579" i="3"/>
  <c r="O579" i="3"/>
  <c r="S579" i="3" s="1"/>
  <c r="D579" i="3" s="1"/>
  <c r="J579" i="3"/>
  <c r="F579" i="3"/>
  <c r="G579" i="3" s="1"/>
  <c r="R578" i="3"/>
  <c r="O578" i="3"/>
  <c r="S578" i="3" s="1"/>
  <c r="D578" i="3" s="1"/>
  <c r="J578" i="3"/>
  <c r="F578" i="3"/>
  <c r="G578" i="3" s="1"/>
  <c r="R577" i="3"/>
  <c r="O577" i="3"/>
  <c r="J577" i="3"/>
  <c r="F577" i="3"/>
  <c r="G577" i="3" s="1"/>
  <c r="R576" i="3"/>
  <c r="O576" i="3"/>
  <c r="S576" i="3" s="1"/>
  <c r="D576" i="3" s="1"/>
  <c r="J576" i="3"/>
  <c r="F576" i="3"/>
  <c r="G576" i="3" s="1"/>
  <c r="R575" i="3"/>
  <c r="O575" i="3"/>
  <c r="S575" i="3" s="1"/>
  <c r="D575" i="3" s="1"/>
  <c r="J575" i="3"/>
  <c r="F575" i="3"/>
  <c r="G575" i="3" s="1"/>
  <c r="T574" i="3"/>
  <c r="R574" i="3"/>
  <c r="O574" i="3"/>
  <c r="S574" i="3" s="1"/>
  <c r="D574" i="3" s="1"/>
  <c r="J574" i="3"/>
  <c r="F574" i="3"/>
  <c r="G574" i="3" s="1"/>
  <c r="T573" i="3"/>
  <c r="R573" i="3"/>
  <c r="O573" i="3"/>
  <c r="S573" i="3" s="1"/>
  <c r="D573" i="3" s="1"/>
  <c r="J573" i="3"/>
  <c r="F573" i="3"/>
  <c r="G573" i="3" s="1"/>
  <c r="R572" i="3"/>
  <c r="O572" i="3"/>
  <c r="S572" i="3" s="1"/>
  <c r="D572" i="3" s="1"/>
  <c r="J572" i="3"/>
  <c r="F572" i="3"/>
  <c r="G572" i="3" s="1"/>
  <c r="R571" i="3"/>
  <c r="O571" i="3"/>
  <c r="S571" i="3" s="1"/>
  <c r="D571" i="3" s="1"/>
  <c r="J571" i="3"/>
  <c r="F571" i="3"/>
  <c r="G571" i="3" s="1"/>
  <c r="R570" i="3"/>
  <c r="O570" i="3"/>
  <c r="S570" i="3" s="1"/>
  <c r="D570" i="3" s="1"/>
  <c r="J570" i="3"/>
  <c r="F570" i="3"/>
  <c r="G570" i="3" s="1"/>
  <c r="R569" i="3"/>
  <c r="O569" i="3"/>
  <c r="S569" i="3" s="1"/>
  <c r="D569" i="3" s="1"/>
  <c r="J569" i="3"/>
  <c r="F569" i="3"/>
  <c r="G569" i="3" s="1"/>
  <c r="R568" i="3"/>
  <c r="O568" i="3"/>
  <c r="S568" i="3" s="1"/>
  <c r="D568" i="3" s="1"/>
  <c r="J568" i="3"/>
  <c r="F568" i="3"/>
  <c r="G568" i="3" s="1"/>
  <c r="R567" i="3"/>
  <c r="O567" i="3"/>
  <c r="S567" i="3" s="1"/>
  <c r="D567" i="3" s="1"/>
  <c r="J567" i="3"/>
  <c r="F567" i="3"/>
  <c r="G567" i="3" s="1"/>
  <c r="R566" i="3"/>
  <c r="O566" i="3"/>
  <c r="S566" i="3" s="1"/>
  <c r="D566" i="3" s="1"/>
  <c r="J566" i="3"/>
  <c r="F566" i="3"/>
  <c r="G566" i="3" s="1"/>
  <c r="R565" i="3"/>
  <c r="O565" i="3"/>
  <c r="S565" i="3" s="1"/>
  <c r="D565" i="3" s="1"/>
  <c r="J565" i="3"/>
  <c r="F565" i="3"/>
  <c r="G565" i="3" s="1"/>
  <c r="R564" i="3"/>
  <c r="O564" i="3"/>
  <c r="S564" i="3" s="1"/>
  <c r="D564" i="3" s="1"/>
  <c r="J564" i="3"/>
  <c r="F564" i="3"/>
  <c r="G564" i="3" s="1"/>
  <c r="R563" i="3"/>
  <c r="O563" i="3"/>
  <c r="S563" i="3" s="1"/>
  <c r="D563" i="3" s="1"/>
  <c r="J563" i="3"/>
  <c r="F563" i="3"/>
  <c r="G563" i="3" s="1"/>
  <c r="R562" i="3"/>
  <c r="O562" i="3"/>
  <c r="S562" i="3" s="1"/>
  <c r="D562" i="3" s="1"/>
  <c r="J562" i="3"/>
  <c r="F562" i="3"/>
  <c r="G562" i="3" s="1"/>
  <c r="R561" i="3"/>
  <c r="O561" i="3"/>
  <c r="S561" i="3" s="1"/>
  <c r="D561" i="3" s="1"/>
  <c r="J561" i="3"/>
  <c r="F561" i="3"/>
  <c r="G561" i="3" s="1"/>
  <c r="R560" i="3"/>
  <c r="O560" i="3"/>
  <c r="S560" i="3" s="1"/>
  <c r="D560" i="3" s="1"/>
  <c r="J560" i="3"/>
  <c r="F560" i="3"/>
  <c r="G560" i="3" s="1"/>
  <c r="R559" i="3"/>
  <c r="O559" i="3"/>
  <c r="S559" i="3" s="1"/>
  <c r="D559" i="3" s="1"/>
  <c r="J559" i="3"/>
  <c r="F559" i="3"/>
  <c r="G559" i="3" s="1"/>
  <c r="R558" i="3"/>
  <c r="O558" i="3"/>
  <c r="S558" i="3" s="1"/>
  <c r="D558" i="3" s="1"/>
  <c r="J558" i="3"/>
  <c r="F558" i="3"/>
  <c r="G558" i="3" s="1"/>
  <c r="R557" i="3"/>
  <c r="O557" i="3"/>
  <c r="S557" i="3" s="1"/>
  <c r="D557" i="3" s="1"/>
  <c r="J557" i="3"/>
  <c r="F557" i="3"/>
  <c r="G557" i="3" s="1"/>
  <c r="R556" i="3"/>
  <c r="O556" i="3"/>
  <c r="S556" i="3" s="1"/>
  <c r="D556" i="3" s="1"/>
  <c r="J556" i="3"/>
  <c r="F556" i="3"/>
  <c r="G556" i="3" s="1"/>
  <c r="R555" i="3"/>
  <c r="O555" i="3"/>
  <c r="S555" i="3" s="1"/>
  <c r="D555" i="3" s="1"/>
  <c r="J555" i="3"/>
  <c r="F555" i="3"/>
  <c r="G555" i="3" s="1"/>
  <c r="R554" i="3"/>
  <c r="O554" i="3"/>
  <c r="S554" i="3" s="1"/>
  <c r="D554" i="3" s="1"/>
  <c r="J554" i="3"/>
  <c r="F554" i="3"/>
  <c r="G554" i="3" s="1"/>
  <c r="R553" i="3"/>
  <c r="O553" i="3"/>
  <c r="S553" i="3" s="1"/>
  <c r="D553" i="3" s="1"/>
  <c r="J553" i="3"/>
  <c r="F553" i="3"/>
  <c r="G553" i="3" s="1"/>
  <c r="R552" i="3"/>
  <c r="O552" i="3"/>
  <c r="S552" i="3" s="1"/>
  <c r="D552" i="3" s="1"/>
  <c r="J552" i="3"/>
  <c r="F552" i="3"/>
  <c r="G552" i="3" s="1"/>
  <c r="R551" i="3"/>
  <c r="O551" i="3"/>
  <c r="S551" i="3" s="1"/>
  <c r="D551" i="3" s="1"/>
  <c r="J551" i="3"/>
  <c r="F551" i="3"/>
  <c r="G551" i="3" s="1"/>
  <c r="R550" i="3"/>
  <c r="O550" i="3"/>
  <c r="S550" i="3" s="1"/>
  <c r="D550" i="3" s="1"/>
  <c r="J550" i="3"/>
  <c r="F550" i="3"/>
  <c r="G550" i="3" s="1"/>
  <c r="R549" i="3"/>
  <c r="O549" i="3"/>
  <c r="S549" i="3" s="1"/>
  <c r="D549" i="3" s="1"/>
  <c r="J549" i="3"/>
  <c r="F549" i="3"/>
  <c r="G549" i="3" s="1"/>
  <c r="R548" i="3"/>
  <c r="O548" i="3"/>
  <c r="S548" i="3" s="1"/>
  <c r="D548" i="3" s="1"/>
  <c r="J548" i="3"/>
  <c r="F548" i="3"/>
  <c r="G548" i="3" s="1"/>
  <c r="R547" i="3"/>
  <c r="O547" i="3"/>
  <c r="S547" i="3" s="1"/>
  <c r="D547" i="3" s="1"/>
  <c r="J547" i="3"/>
  <c r="F547" i="3"/>
  <c r="G547" i="3" s="1"/>
  <c r="R546" i="3"/>
  <c r="O546" i="3"/>
  <c r="S546" i="3" s="1"/>
  <c r="D546" i="3" s="1"/>
  <c r="J546" i="3"/>
  <c r="F546" i="3"/>
  <c r="G546" i="3" s="1"/>
  <c r="R545" i="3"/>
  <c r="O545" i="3"/>
  <c r="S545" i="3" s="1"/>
  <c r="D545" i="3" s="1"/>
  <c r="J545" i="3"/>
  <c r="F545" i="3"/>
  <c r="G545" i="3" s="1"/>
  <c r="R544" i="3"/>
  <c r="O544" i="3"/>
  <c r="S544" i="3" s="1"/>
  <c r="D544" i="3" s="1"/>
  <c r="J544" i="3"/>
  <c r="F544" i="3"/>
  <c r="G544" i="3" s="1"/>
  <c r="R543" i="3"/>
  <c r="O543" i="3"/>
  <c r="S543" i="3" s="1"/>
  <c r="D543" i="3" s="1"/>
  <c r="J543" i="3"/>
  <c r="F543" i="3"/>
  <c r="G543" i="3" s="1"/>
  <c r="R542" i="3"/>
  <c r="O542" i="3"/>
  <c r="S542" i="3" s="1"/>
  <c r="D542" i="3" s="1"/>
  <c r="J542" i="3"/>
  <c r="F542" i="3"/>
  <c r="G542" i="3" s="1"/>
  <c r="R541" i="3"/>
  <c r="O541" i="3"/>
  <c r="S541" i="3" s="1"/>
  <c r="D541" i="3" s="1"/>
  <c r="J541" i="3"/>
  <c r="F541" i="3"/>
  <c r="G541" i="3" s="1"/>
  <c r="R540" i="3"/>
  <c r="O540" i="3"/>
  <c r="S540" i="3" s="1"/>
  <c r="D540" i="3" s="1"/>
  <c r="J540" i="3"/>
  <c r="F540" i="3"/>
  <c r="G540" i="3" s="1"/>
  <c r="R539" i="3"/>
  <c r="O539" i="3"/>
  <c r="S539" i="3" s="1"/>
  <c r="D539" i="3" s="1"/>
  <c r="J539" i="3"/>
  <c r="F539" i="3"/>
  <c r="G539" i="3" s="1"/>
  <c r="R538" i="3"/>
  <c r="O538" i="3"/>
  <c r="S538" i="3" s="1"/>
  <c r="D538" i="3" s="1"/>
  <c r="J538" i="3"/>
  <c r="F538" i="3"/>
  <c r="G538" i="3" s="1"/>
  <c r="R537" i="3"/>
  <c r="O537" i="3"/>
  <c r="S537" i="3" s="1"/>
  <c r="D537" i="3" s="1"/>
  <c r="J537" i="3"/>
  <c r="F537" i="3"/>
  <c r="G537" i="3" s="1"/>
  <c r="R536" i="3"/>
  <c r="O536" i="3"/>
  <c r="S536" i="3" s="1"/>
  <c r="D536" i="3" s="1"/>
  <c r="J536" i="3"/>
  <c r="F536" i="3"/>
  <c r="G536" i="3" s="1"/>
  <c r="R535" i="3"/>
  <c r="O535" i="3"/>
  <c r="S535" i="3" s="1"/>
  <c r="D535" i="3" s="1"/>
  <c r="J535" i="3"/>
  <c r="F535" i="3"/>
  <c r="G535" i="3" s="1"/>
  <c r="R534" i="3"/>
  <c r="O534" i="3"/>
  <c r="S534" i="3" s="1"/>
  <c r="D534" i="3" s="1"/>
  <c r="J534" i="3"/>
  <c r="F534" i="3"/>
  <c r="G534" i="3" s="1"/>
  <c r="R533" i="3"/>
  <c r="O533" i="3"/>
  <c r="S533" i="3" s="1"/>
  <c r="D533" i="3" s="1"/>
  <c r="J533" i="3"/>
  <c r="F533" i="3"/>
  <c r="G533" i="3" s="1"/>
  <c r="R532" i="3"/>
  <c r="O532" i="3"/>
  <c r="S532" i="3" s="1"/>
  <c r="D532" i="3" s="1"/>
  <c r="J532" i="3"/>
  <c r="F532" i="3"/>
  <c r="G532" i="3" s="1"/>
  <c r="R531" i="3"/>
  <c r="O531" i="3"/>
  <c r="S531" i="3" s="1"/>
  <c r="D531" i="3" s="1"/>
  <c r="J531" i="3"/>
  <c r="F531" i="3"/>
  <c r="G531" i="3" s="1"/>
  <c r="R530" i="3"/>
  <c r="O530" i="3"/>
  <c r="S530" i="3" s="1"/>
  <c r="D530" i="3" s="1"/>
  <c r="J530" i="3"/>
  <c r="F530" i="3"/>
  <c r="G530" i="3" s="1"/>
  <c r="R529" i="3"/>
  <c r="O529" i="3"/>
  <c r="S529" i="3" s="1"/>
  <c r="D529" i="3" s="1"/>
  <c r="J529" i="3"/>
  <c r="F529" i="3"/>
  <c r="G529" i="3" s="1"/>
  <c r="R528" i="3"/>
  <c r="O528" i="3"/>
  <c r="S528" i="3" s="1"/>
  <c r="D528" i="3" s="1"/>
  <c r="J528" i="3"/>
  <c r="F528" i="3"/>
  <c r="G528" i="3" s="1"/>
  <c r="R527" i="3"/>
  <c r="O527" i="3"/>
  <c r="S527" i="3" s="1"/>
  <c r="D527" i="3" s="1"/>
  <c r="J527" i="3"/>
  <c r="F527" i="3"/>
  <c r="G527" i="3" s="1"/>
  <c r="R526" i="3"/>
  <c r="O526" i="3"/>
  <c r="S526" i="3" s="1"/>
  <c r="D526" i="3" s="1"/>
  <c r="J526" i="3"/>
  <c r="F526" i="3"/>
  <c r="G526" i="3" s="1"/>
  <c r="R525" i="3"/>
  <c r="O525" i="3"/>
  <c r="S525" i="3" s="1"/>
  <c r="D525" i="3" s="1"/>
  <c r="J525" i="3"/>
  <c r="F525" i="3"/>
  <c r="G525" i="3" s="1"/>
  <c r="R524" i="3"/>
  <c r="O524" i="3"/>
  <c r="S524" i="3" s="1"/>
  <c r="D524" i="3" s="1"/>
  <c r="J524" i="3"/>
  <c r="F524" i="3"/>
  <c r="G524" i="3" s="1"/>
  <c r="R523" i="3"/>
  <c r="O523" i="3"/>
  <c r="S523" i="3" s="1"/>
  <c r="D523" i="3" s="1"/>
  <c r="J523" i="3"/>
  <c r="F523" i="3"/>
  <c r="G523" i="3" s="1"/>
  <c r="R522" i="3"/>
  <c r="O522" i="3"/>
  <c r="S522" i="3" s="1"/>
  <c r="D522" i="3" s="1"/>
  <c r="J522" i="3"/>
  <c r="F522" i="3"/>
  <c r="G522" i="3" s="1"/>
  <c r="R521" i="3"/>
  <c r="O521" i="3"/>
  <c r="S521" i="3" s="1"/>
  <c r="D521" i="3" s="1"/>
  <c r="J521" i="3"/>
  <c r="F521" i="3"/>
  <c r="G521" i="3" s="1"/>
  <c r="R520" i="3"/>
  <c r="O520" i="3"/>
  <c r="S520" i="3" s="1"/>
  <c r="D520" i="3" s="1"/>
  <c r="J520" i="3"/>
  <c r="F520" i="3"/>
  <c r="G520" i="3" s="1"/>
  <c r="R519" i="3"/>
  <c r="O519" i="3"/>
  <c r="S519" i="3" s="1"/>
  <c r="D519" i="3" s="1"/>
  <c r="J519" i="3"/>
  <c r="F519" i="3"/>
  <c r="G519" i="3" s="1"/>
  <c r="R518" i="3"/>
  <c r="O518" i="3"/>
  <c r="S518" i="3" s="1"/>
  <c r="D518" i="3" s="1"/>
  <c r="J518" i="3"/>
  <c r="F518" i="3"/>
  <c r="G518" i="3" s="1"/>
  <c r="R517" i="3"/>
  <c r="O517" i="3"/>
  <c r="S517" i="3" s="1"/>
  <c r="D517" i="3" s="1"/>
  <c r="J517" i="3"/>
  <c r="F517" i="3"/>
  <c r="G517" i="3" s="1"/>
  <c r="R516" i="3"/>
  <c r="O516" i="3"/>
  <c r="S516" i="3" s="1"/>
  <c r="D516" i="3" s="1"/>
  <c r="J516" i="3"/>
  <c r="F516" i="3"/>
  <c r="G516" i="3" s="1"/>
  <c r="R515" i="3"/>
  <c r="O515" i="3"/>
  <c r="S515" i="3" s="1"/>
  <c r="D515" i="3" s="1"/>
  <c r="J515" i="3"/>
  <c r="F515" i="3"/>
  <c r="G515" i="3" s="1"/>
  <c r="R514" i="3"/>
  <c r="O514" i="3"/>
  <c r="S514" i="3" s="1"/>
  <c r="D514" i="3" s="1"/>
  <c r="J514" i="3"/>
  <c r="F514" i="3"/>
  <c r="G514" i="3" s="1"/>
  <c r="R513" i="3"/>
  <c r="O513" i="3"/>
  <c r="S513" i="3" s="1"/>
  <c r="D513" i="3" s="1"/>
  <c r="J513" i="3"/>
  <c r="F513" i="3"/>
  <c r="G513" i="3" s="1"/>
  <c r="R512" i="3"/>
  <c r="O512" i="3"/>
  <c r="S512" i="3" s="1"/>
  <c r="D512" i="3" s="1"/>
  <c r="J512" i="3"/>
  <c r="F512" i="3"/>
  <c r="G512" i="3" s="1"/>
  <c r="R511" i="3"/>
  <c r="O511" i="3"/>
  <c r="S511" i="3" s="1"/>
  <c r="D511" i="3" s="1"/>
  <c r="J511" i="3"/>
  <c r="F511" i="3"/>
  <c r="G511" i="3" s="1"/>
  <c r="R510" i="3"/>
  <c r="O510" i="3"/>
  <c r="S510" i="3" s="1"/>
  <c r="D510" i="3" s="1"/>
  <c r="J510" i="3"/>
  <c r="F510" i="3"/>
  <c r="G510" i="3" s="1"/>
  <c r="R509" i="3"/>
  <c r="O509" i="3"/>
  <c r="S509" i="3" s="1"/>
  <c r="D509" i="3" s="1"/>
  <c r="J509" i="3"/>
  <c r="F509" i="3"/>
  <c r="G509" i="3" s="1"/>
  <c r="R508" i="3"/>
  <c r="O508" i="3"/>
  <c r="S508" i="3" s="1"/>
  <c r="D508" i="3" s="1"/>
  <c r="J508" i="3"/>
  <c r="F508" i="3"/>
  <c r="G508" i="3" s="1"/>
  <c r="R507" i="3"/>
  <c r="O507" i="3"/>
  <c r="S507" i="3" s="1"/>
  <c r="D507" i="3" s="1"/>
  <c r="J507" i="3"/>
  <c r="F507" i="3"/>
  <c r="G507" i="3" s="1"/>
  <c r="R506" i="3"/>
  <c r="O506" i="3"/>
  <c r="S506" i="3" s="1"/>
  <c r="D506" i="3" s="1"/>
  <c r="J506" i="3"/>
  <c r="F506" i="3"/>
  <c r="G506" i="3" s="1"/>
  <c r="R505" i="3"/>
  <c r="O505" i="3"/>
  <c r="S505" i="3" s="1"/>
  <c r="D505" i="3" s="1"/>
  <c r="J505" i="3"/>
  <c r="F505" i="3"/>
  <c r="G505" i="3" s="1"/>
  <c r="R504" i="3"/>
  <c r="O504" i="3"/>
  <c r="S504" i="3" s="1"/>
  <c r="D504" i="3" s="1"/>
  <c r="J504" i="3"/>
  <c r="F504" i="3"/>
  <c r="G504" i="3" s="1"/>
  <c r="R503" i="3"/>
  <c r="O503" i="3"/>
  <c r="J503" i="3"/>
  <c r="F503" i="3"/>
  <c r="G503" i="3" s="1"/>
  <c r="R502" i="3"/>
  <c r="O502" i="3"/>
  <c r="J502" i="3"/>
  <c r="F502" i="3"/>
  <c r="G502" i="3" s="1"/>
  <c r="R501" i="3"/>
  <c r="O501" i="3"/>
  <c r="S501" i="3" s="1"/>
  <c r="D501" i="3" s="1"/>
  <c r="J501" i="3"/>
  <c r="F501" i="3"/>
  <c r="G501" i="3" s="1"/>
  <c r="R500" i="3"/>
  <c r="O500" i="3"/>
  <c r="J500" i="3"/>
  <c r="F500" i="3"/>
  <c r="G500" i="3" s="1"/>
  <c r="T499" i="3"/>
  <c r="R499" i="3"/>
  <c r="O499" i="3"/>
  <c r="J499" i="3"/>
  <c r="F499" i="3"/>
  <c r="G499" i="3" s="1"/>
  <c r="R498" i="3"/>
  <c r="O498" i="3"/>
  <c r="S498" i="3" s="1"/>
  <c r="D498" i="3" s="1"/>
  <c r="J498" i="3"/>
  <c r="F498" i="3"/>
  <c r="G498" i="3" s="1"/>
  <c r="R497" i="3"/>
  <c r="O497" i="3"/>
  <c r="J497" i="3"/>
  <c r="F497" i="3"/>
  <c r="G497" i="3" s="1"/>
  <c r="R496" i="3"/>
  <c r="O496" i="3"/>
  <c r="S496" i="3" s="1"/>
  <c r="D496" i="3" s="1"/>
  <c r="J496" i="3"/>
  <c r="F496" i="3"/>
  <c r="G496" i="3" s="1"/>
  <c r="R495" i="3"/>
  <c r="O495" i="3"/>
  <c r="J495" i="3"/>
  <c r="F495" i="3"/>
  <c r="G495" i="3" s="1"/>
  <c r="R494" i="3"/>
  <c r="O494" i="3"/>
  <c r="J494" i="3"/>
  <c r="F494" i="3"/>
  <c r="G494" i="3" s="1"/>
  <c r="R493" i="3"/>
  <c r="O493" i="3"/>
  <c r="J493" i="3"/>
  <c r="F493" i="3"/>
  <c r="G493" i="3" s="1"/>
  <c r="R492" i="3"/>
  <c r="O492" i="3"/>
  <c r="S492" i="3" s="1"/>
  <c r="D492" i="3" s="1"/>
  <c r="J492" i="3"/>
  <c r="F492" i="3"/>
  <c r="G492" i="3" s="1"/>
  <c r="R491" i="3"/>
  <c r="O491" i="3"/>
  <c r="J491" i="3"/>
  <c r="F491" i="3"/>
  <c r="G491" i="3" s="1"/>
  <c r="R490" i="3"/>
  <c r="O490" i="3"/>
  <c r="J490" i="3"/>
  <c r="F490" i="3"/>
  <c r="G490" i="3" s="1"/>
  <c r="R489" i="3"/>
  <c r="O489" i="3"/>
  <c r="J489" i="3"/>
  <c r="F489" i="3"/>
  <c r="G489" i="3" s="1"/>
  <c r="R488" i="3"/>
  <c r="O488" i="3"/>
  <c r="J488" i="3"/>
  <c r="F488" i="3"/>
  <c r="G488" i="3" s="1"/>
  <c r="R487" i="3"/>
  <c r="O487" i="3"/>
  <c r="S487" i="3" s="1"/>
  <c r="D487" i="3" s="1"/>
  <c r="J487" i="3"/>
  <c r="F487" i="3"/>
  <c r="G487" i="3" s="1"/>
  <c r="R486" i="3"/>
  <c r="O486" i="3"/>
  <c r="S486" i="3" s="1"/>
  <c r="D486" i="3" s="1"/>
  <c r="J486" i="3"/>
  <c r="F486" i="3"/>
  <c r="G486" i="3" s="1"/>
  <c r="R485" i="3"/>
  <c r="O485" i="3"/>
  <c r="S485" i="3" s="1"/>
  <c r="D485" i="3" s="1"/>
  <c r="J485" i="3"/>
  <c r="F485" i="3"/>
  <c r="G485" i="3" s="1"/>
  <c r="R484" i="3"/>
  <c r="O484" i="3"/>
  <c r="S484" i="3" s="1"/>
  <c r="D484" i="3" s="1"/>
  <c r="J484" i="3"/>
  <c r="F484" i="3"/>
  <c r="G484" i="3" s="1"/>
  <c r="R483" i="3"/>
  <c r="O483" i="3"/>
  <c r="S483" i="3" s="1"/>
  <c r="D483" i="3" s="1"/>
  <c r="J483" i="3"/>
  <c r="F483" i="3"/>
  <c r="G483" i="3" s="1"/>
  <c r="R482" i="3"/>
  <c r="O482" i="3"/>
  <c r="S482" i="3" s="1"/>
  <c r="D482" i="3" s="1"/>
  <c r="J482" i="3"/>
  <c r="F482" i="3"/>
  <c r="G482" i="3" s="1"/>
  <c r="R481" i="3"/>
  <c r="O481" i="3"/>
  <c r="S481" i="3" s="1"/>
  <c r="D481" i="3" s="1"/>
  <c r="J481" i="3"/>
  <c r="F481" i="3"/>
  <c r="G481" i="3" s="1"/>
  <c r="R480" i="3"/>
  <c r="O480" i="3"/>
  <c r="S480" i="3" s="1"/>
  <c r="D480" i="3" s="1"/>
  <c r="J480" i="3"/>
  <c r="F480" i="3"/>
  <c r="G480" i="3" s="1"/>
  <c r="R479" i="3"/>
  <c r="O479" i="3"/>
  <c r="S479" i="3" s="1"/>
  <c r="D479" i="3" s="1"/>
  <c r="J479" i="3"/>
  <c r="F479" i="3"/>
  <c r="G479" i="3" s="1"/>
  <c r="R478" i="3"/>
  <c r="O478" i="3"/>
  <c r="S478" i="3" s="1"/>
  <c r="D478" i="3" s="1"/>
  <c r="J478" i="3"/>
  <c r="F478" i="3"/>
  <c r="G478" i="3" s="1"/>
  <c r="R477" i="3"/>
  <c r="O477" i="3"/>
  <c r="S477" i="3" s="1"/>
  <c r="D477" i="3" s="1"/>
  <c r="J477" i="3"/>
  <c r="F477" i="3"/>
  <c r="G477" i="3" s="1"/>
  <c r="R476" i="3"/>
  <c r="O476" i="3"/>
  <c r="S476" i="3" s="1"/>
  <c r="D476" i="3" s="1"/>
  <c r="J476" i="3"/>
  <c r="F476" i="3"/>
  <c r="G476" i="3" s="1"/>
  <c r="R475" i="3"/>
  <c r="O475" i="3"/>
  <c r="S475" i="3" s="1"/>
  <c r="D475" i="3" s="1"/>
  <c r="J475" i="3"/>
  <c r="F475" i="3"/>
  <c r="G475" i="3" s="1"/>
  <c r="R474" i="3"/>
  <c r="O474" i="3"/>
  <c r="S474" i="3" s="1"/>
  <c r="D474" i="3" s="1"/>
  <c r="J474" i="3"/>
  <c r="F474" i="3"/>
  <c r="G474" i="3" s="1"/>
  <c r="R473" i="3"/>
  <c r="O473" i="3"/>
  <c r="S473" i="3" s="1"/>
  <c r="D473" i="3" s="1"/>
  <c r="J473" i="3"/>
  <c r="F473" i="3"/>
  <c r="G473" i="3" s="1"/>
  <c r="R472" i="3"/>
  <c r="O472" i="3"/>
  <c r="S472" i="3" s="1"/>
  <c r="D472" i="3" s="1"/>
  <c r="J472" i="3"/>
  <c r="F472" i="3"/>
  <c r="G472" i="3" s="1"/>
  <c r="R471" i="3"/>
  <c r="O471" i="3"/>
  <c r="S471" i="3" s="1"/>
  <c r="D471" i="3" s="1"/>
  <c r="J471" i="3"/>
  <c r="F471" i="3"/>
  <c r="G471" i="3" s="1"/>
  <c r="R470" i="3"/>
  <c r="O470" i="3"/>
  <c r="S470" i="3" s="1"/>
  <c r="D470" i="3" s="1"/>
  <c r="J470" i="3"/>
  <c r="F470" i="3"/>
  <c r="G470" i="3" s="1"/>
  <c r="R469" i="3"/>
  <c r="O469" i="3"/>
  <c r="S469" i="3" s="1"/>
  <c r="D469" i="3" s="1"/>
  <c r="J469" i="3"/>
  <c r="F469" i="3"/>
  <c r="G469" i="3" s="1"/>
  <c r="R468" i="3"/>
  <c r="O468" i="3"/>
  <c r="S468" i="3" s="1"/>
  <c r="D468" i="3" s="1"/>
  <c r="J468" i="3"/>
  <c r="F468" i="3"/>
  <c r="G468" i="3" s="1"/>
  <c r="R467" i="3"/>
  <c r="O467" i="3"/>
  <c r="J467" i="3"/>
  <c r="F467" i="3"/>
  <c r="G467" i="3" s="1"/>
  <c r="R466" i="3"/>
  <c r="O466" i="3"/>
  <c r="S466" i="3" s="1"/>
  <c r="D466" i="3" s="1"/>
  <c r="J466" i="3"/>
  <c r="F466" i="3"/>
  <c r="G466" i="3" s="1"/>
  <c r="R465" i="3"/>
  <c r="O465" i="3"/>
  <c r="S465" i="3" s="1"/>
  <c r="D465" i="3" s="1"/>
  <c r="J465" i="3"/>
  <c r="F465" i="3"/>
  <c r="G465" i="3" s="1"/>
  <c r="R464" i="3"/>
  <c r="O464" i="3"/>
  <c r="S464" i="3" s="1"/>
  <c r="D464" i="3" s="1"/>
  <c r="J464" i="3"/>
  <c r="F464" i="3"/>
  <c r="G464" i="3" s="1"/>
  <c r="R463" i="3"/>
  <c r="O463" i="3"/>
  <c r="S463" i="3" s="1"/>
  <c r="D463" i="3" s="1"/>
  <c r="J463" i="3"/>
  <c r="F463" i="3"/>
  <c r="G463" i="3" s="1"/>
  <c r="R462" i="3"/>
  <c r="O462" i="3"/>
  <c r="S462" i="3" s="1"/>
  <c r="D462" i="3" s="1"/>
  <c r="J462" i="3"/>
  <c r="F462" i="3"/>
  <c r="G462" i="3" s="1"/>
  <c r="R461" i="3"/>
  <c r="O461" i="3"/>
  <c r="S461" i="3" s="1"/>
  <c r="D461" i="3" s="1"/>
  <c r="J461" i="3"/>
  <c r="F461" i="3"/>
  <c r="G461" i="3" s="1"/>
  <c r="R460" i="3"/>
  <c r="O460" i="3"/>
  <c r="S460" i="3" s="1"/>
  <c r="D460" i="3" s="1"/>
  <c r="J460" i="3"/>
  <c r="F460" i="3"/>
  <c r="G460" i="3" s="1"/>
  <c r="R459" i="3"/>
  <c r="O459" i="3"/>
  <c r="S459" i="3" s="1"/>
  <c r="D459" i="3" s="1"/>
  <c r="J459" i="3"/>
  <c r="F459" i="3"/>
  <c r="G459" i="3" s="1"/>
  <c r="R458" i="3"/>
  <c r="O458" i="3"/>
  <c r="S458" i="3" s="1"/>
  <c r="D458" i="3" s="1"/>
  <c r="J458" i="3"/>
  <c r="F458" i="3"/>
  <c r="G458" i="3" s="1"/>
  <c r="R457" i="3"/>
  <c r="O457" i="3"/>
  <c r="S457" i="3" s="1"/>
  <c r="D457" i="3" s="1"/>
  <c r="J457" i="3"/>
  <c r="F457" i="3"/>
  <c r="G457" i="3" s="1"/>
  <c r="R456" i="3"/>
  <c r="O456" i="3"/>
  <c r="S456" i="3" s="1"/>
  <c r="D456" i="3" s="1"/>
  <c r="J456" i="3"/>
  <c r="F456" i="3"/>
  <c r="G456" i="3" s="1"/>
  <c r="R455" i="3"/>
  <c r="O455" i="3"/>
  <c r="S455" i="3" s="1"/>
  <c r="D455" i="3" s="1"/>
  <c r="J455" i="3"/>
  <c r="F455" i="3"/>
  <c r="G455" i="3" s="1"/>
  <c r="R454" i="3"/>
  <c r="O454" i="3"/>
  <c r="S454" i="3" s="1"/>
  <c r="D454" i="3" s="1"/>
  <c r="J454" i="3"/>
  <c r="F454" i="3"/>
  <c r="G454" i="3" s="1"/>
  <c r="R453" i="3"/>
  <c r="O453" i="3"/>
  <c r="S453" i="3" s="1"/>
  <c r="D453" i="3" s="1"/>
  <c r="J453" i="3"/>
  <c r="F453" i="3"/>
  <c r="G453" i="3" s="1"/>
  <c r="R452" i="3"/>
  <c r="O452" i="3"/>
  <c r="S452" i="3" s="1"/>
  <c r="D452" i="3" s="1"/>
  <c r="J452" i="3"/>
  <c r="F452" i="3"/>
  <c r="G452" i="3" s="1"/>
  <c r="R451" i="3"/>
  <c r="O451" i="3"/>
  <c r="S451" i="3" s="1"/>
  <c r="D451" i="3" s="1"/>
  <c r="J451" i="3"/>
  <c r="F451" i="3"/>
  <c r="G451" i="3" s="1"/>
  <c r="R450" i="3"/>
  <c r="O450" i="3"/>
  <c r="S450" i="3" s="1"/>
  <c r="D450" i="3" s="1"/>
  <c r="J450" i="3"/>
  <c r="F450" i="3"/>
  <c r="G450" i="3" s="1"/>
  <c r="R449" i="3"/>
  <c r="O449" i="3"/>
  <c r="S449" i="3" s="1"/>
  <c r="D449" i="3" s="1"/>
  <c r="J449" i="3"/>
  <c r="F449" i="3"/>
  <c r="G449" i="3" s="1"/>
  <c r="R448" i="3"/>
  <c r="O448" i="3"/>
  <c r="S448" i="3" s="1"/>
  <c r="D448" i="3" s="1"/>
  <c r="J448" i="3"/>
  <c r="F448" i="3"/>
  <c r="G448" i="3" s="1"/>
  <c r="R447" i="3"/>
  <c r="O447" i="3"/>
  <c r="S447" i="3" s="1"/>
  <c r="D447" i="3" s="1"/>
  <c r="J447" i="3"/>
  <c r="F447" i="3"/>
  <c r="G447" i="3" s="1"/>
  <c r="R446" i="3"/>
  <c r="O446" i="3"/>
  <c r="S446" i="3" s="1"/>
  <c r="D446" i="3" s="1"/>
  <c r="J446" i="3"/>
  <c r="F446" i="3"/>
  <c r="G446" i="3" s="1"/>
  <c r="R445" i="3"/>
  <c r="O445" i="3"/>
  <c r="J445" i="3"/>
  <c r="F445" i="3"/>
  <c r="G445" i="3" s="1"/>
  <c r="R444" i="3"/>
  <c r="O444" i="3"/>
  <c r="S444" i="3" s="1"/>
  <c r="D444" i="3" s="1"/>
  <c r="J444" i="3"/>
  <c r="F444" i="3"/>
  <c r="G444" i="3" s="1"/>
  <c r="R443" i="3"/>
  <c r="O443" i="3"/>
  <c r="J443" i="3"/>
  <c r="F443" i="3"/>
  <c r="G443" i="3" s="1"/>
  <c r="R442" i="3"/>
  <c r="O442" i="3"/>
  <c r="J442" i="3"/>
  <c r="F442" i="3"/>
  <c r="G442" i="3" s="1"/>
  <c r="R441" i="3"/>
  <c r="O441" i="3"/>
  <c r="J441" i="3"/>
  <c r="F441" i="3"/>
  <c r="G441" i="3" s="1"/>
  <c r="R440" i="3"/>
  <c r="O440" i="3"/>
  <c r="J440" i="3"/>
  <c r="F440" i="3"/>
  <c r="G440" i="3" s="1"/>
  <c r="R439" i="3"/>
  <c r="O439" i="3"/>
  <c r="J439" i="3"/>
  <c r="F439" i="3"/>
  <c r="G439" i="3" s="1"/>
  <c r="R438" i="3"/>
  <c r="O438" i="3"/>
  <c r="J438" i="3"/>
  <c r="F438" i="3"/>
  <c r="G438" i="3" s="1"/>
  <c r="R437" i="3"/>
  <c r="O437" i="3"/>
  <c r="J437" i="3"/>
  <c r="F437" i="3"/>
  <c r="G437" i="3" s="1"/>
  <c r="R436" i="3"/>
  <c r="O436" i="3"/>
  <c r="J436" i="3"/>
  <c r="F436" i="3"/>
  <c r="G436" i="3" s="1"/>
  <c r="R435" i="3"/>
  <c r="O435" i="3"/>
  <c r="J435" i="3"/>
  <c r="F435" i="3"/>
  <c r="G435" i="3" s="1"/>
  <c r="R434" i="3"/>
  <c r="O434" i="3"/>
  <c r="J434" i="3"/>
  <c r="F434" i="3"/>
  <c r="G434" i="3" s="1"/>
  <c r="R433" i="3"/>
  <c r="O433" i="3"/>
  <c r="J433" i="3"/>
  <c r="F433" i="3"/>
  <c r="G433" i="3" s="1"/>
  <c r="R432" i="3"/>
  <c r="O432" i="3"/>
  <c r="J432" i="3"/>
  <c r="F432" i="3"/>
  <c r="G432" i="3" s="1"/>
  <c r="R431" i="3"/>
  <c r="O431" i="3"/>
  <c r="J431" i="3"/>
  <c r="F431" i="3"/>
  <c r="G431" i="3" s="1"/>
  <c r="R430" i="3"/>
  <c r="O430" i="3"/>
  <c r="J430" i="3"/>
  <c r="F430" i="3"/>
  <c r="G430" i="3" s="1"/>
  <c r="R429" i="3"/>
  <c r="O429" i="3"/>
  <c r="J429" i="3"/>
  <c r="F429" i="3"/>
  <c r="G429" i="3" s="1"/>
  <c r="R428" i="3"/>
  <c r="O428" i="3"/>
  <c r="J428" i="3"/>
  <c r="F428" i="3"/>
  <c r="G428" i="3" s="1"/>
  <c r="R427" i="3"/>
  <c r="O427" i="3"/>
  <c r="J427" i="3"/>
  <c r="F427" i="3"/>
  <c r="G427" i="3" s="1"/>
  <c r="R426" i="3"/>
  <c r="O426" i="3"/>
  <c r="J426" i="3"/>
  <c r="F426" i="3"/>
  <c r="G426" i="3" s="1"/>
  <c r="R425" i="3"/>
  <c r="O425" i="3"/>
  <c r="S425" i="3" s="1"/>
  <c r="D425" i="3" s="1"/>
  <c r="J425" i="3"/>
  <c r="F425" i="3"/>
  <c r="G425" i="3" s="1"/>
  <c r="R424" i="3"/>
  <c r="O424" i="3"/>
  <c r="S424" i="3" s="1"/>
  <c r="J424" i="3"/>
  <c r="F424" i="3"/>
  <c r="G424" i="3" s="1"/>
  <c r="R423" i="3"/>
  <c r="O423" i="3"/>
  <c r="J423" i="3"/>
  <c r="F423" i="3"/>
  <c r="G423" i="3" s="1"/>
  <c r="R422" i="3"/>
  <c r="O422" i="3"/>
  <c r="J422" i="3"/>
  <c r="F422" i="3"/>
  <c r="G422" i="3" s="1"/>
  <c r="R421" i="3"/>
  <c r="O421" i="3"/>
  <c r="J421" i="3"/>
  <c r="F421" i="3"/>
  <c r="G421" i="3" s="1"/>
  <c r="R420" i="3"/>
  <c r="O420" i="3"/>
  <c r="S420" i="3" s="1"/>
  <c r="D420" i="3" s="1"/>
  <c r="J420" i="3"/>
  <c r="F420" i="3"/>
  <c r="G420" i="3" s="1"/>
  <c r="R419" i="3"/>
  <c r="O419" i="3"/>
  <c r="S419" i="3" s="1"/>
  <c r="D419" i="3" s="1"/>
  <c r="J419" i="3"/>
  <c r="F419" i="3"/>
  <c r="G419" i="3" s="1"/>
  <c r="R418" i="3"/>
  <c r="O418" i="3"/>
  <c r="S418" i="3" s="1"/>
  <c r="D418" i="3" s="1"/>
  <c r="J418" i="3"/>
  <c r="F418" i="3"/>
  <c r="G418" i="3" s="1"/>
  <c r="R417" i="3"/>
  <c r="O417" i="3"/>
  <c r="S417" i="3" s="1"/>
  <c r="D417" i="3" s="1"/>
  <c r="J417" i="3"/>
  <c r="F417" i="3"/>
  <c r="G417" i="3" s="1"/>
  <c r="R416" i="3"/>
  <c r="O416" i="3"/>
  <c r="S416" i="3" s="1"/>
  <c r="D416" i="3" s="1"/>
  <c r="J416" i="3"/>
  <c r="F416" i="3"/>
  <c r="G416" i="3" s="1"/>
  <c r="R415" i="3"/>
  <c r="O415" i="3"/>
  <c r="S415" i="3" s="1"/>
  <c r="D415" i="3" s="1"/>
  <c r="J415" i="3"/>
  <c r="F415" i="3"/>
  <c r="G415" i="3" s="1"/>
  <c r="R414" i="3"/>
  <c r="O414" i="3"/>
  <c r="S414" i="3" s="1"/>
  <c r="D414" i="3" s="1"/>
  <c r="J414" i="3"/>
  <c r="F414" i="3"/>
  <c r="G414" i="3" s="1"/>
  <c r="R413" i="3"/>
  <c r="O413" i="3"/>
  <c r="S413" i="3" s="1"/>
  <c r="D413" i="3" s="1"/>
  <c r="J413" i="3"/>
  <c r="F413" i="3"/>
  <c r="G413" i="3" s="1"/>
  <c r="R412" i="3"/>
  <c r="O412" i="3"/>
  <c r="S412" i="3" s="1"/>
  <c r="D412" i="3" s="1"/>
  <c r="J412" i="3"/>
  <c r="F412" i="3"/>
  <c r="G412" i="3" s="1"/>
  <c r="R411" i="3"/>
  <c r="O411" i="3"/>
  <c r="S411" i="3" s="1"/>
  <c r="D411" i="3" s="1"/>
  <c r="J411" i="3"/>
  <c r="F411" i="3"/>
  <c r="G411" i="3" s="1"/>
  <c r="R410" i="3"/>
  <c r="O410" i="3"/>
  <c r="S410" i="3" s="1"/>
  <c r="D410" i="3" s="1"/>
  <c r="J410" i="3"/>
  <c r="F410" i="3"/>
  <c r="G410" i="3" s="1"/>
  <c r="R409" i="3"/>
  <c r="O409" i="3"/>
  <c r="S409" i="3" s="1"/>
  <c r="D409" i="3" s="1"/>
  <c r="J409" i="3"/>
  <c r="F409" i="3"/>
  <c r="G409" i="3" s="1"/>
  <c r="R408" i="3"/>
  <c r="O408" i="3"/>
  <c r="S408" i="3" s="1"/>
  <c r="D408" i="3" s="1"/>
  <c r="J408" i="3"/>
  <c r="F408" i="3"/>
  <c r="G408" i="3" s="1"/>
  <c r="R407" i="3"/>
  <c r="O407" i="3"/>
  <c r="S407" i="3" s="1"/>
  <c r="D407" i="3" s="1"/>
  <c r="J407" i="3"/>
  <c r="F407" i="3"/>
  <c r="G407" i="3" s="1"/>
  <c r="R406" i="3"/>
  <c r="O406" i="3"/>
  <c r="S406" i="3" s="1"/>
  <c r="D406" i="3" s="1"/>
  <c r="J406" i="3"/>
  <c r="F406" i="3"/>
  <c r="G406" i="3" s="1"/>
  <c r="R405" i="3"/>
  <c r="O405" i="3"/>
  <c r="S405" i="3" s="1"/>
  <c r="D405" i="3" s="1"/>
  <c r="J405" i="3"/>
  <c r="F405" i="3"/>
  <c r="G405" i="3" s="1"/>
  <c r="R404" i="3"/>
  <c r="O404" i="3"/>
  <c r="S404" i="3" s="1"/>
  <c r="D404" i="3" s="1"/>
  <c r="J404" i="3"/>
  <c r="F404" i="3"/>
  <c r="G404" i="3" s="1"/>
  <c r="R403" i="3"/>
  <c r="O403" i="3"/>
  <c r="S403" i="3" s="1"/>
  <c r="D403" i="3" s="1"/>
  <c r="J403" i="3"/>
  <c r="F403" i="3"/>
  <c r="G403" i="3" s="1"/>
  <c r="R402" i="3"/>
  <c r="O402" i="3"/>
  <c r="S402" i="3" s="1"/>
  <c r="D402" i="3" s="1"/>
  <c r="J402" i="3"/>
  <c r="F402" i="3"/>
  <c r="G402" i="3" s="1"/>
  <c r="R401" i="3"/>
  <c r="O401" i="3"/>
  <c r="S401" i="3" s="1"/>
  <c r="D401" i="3" s="1"/>
  <c r="J401" i="3"/>
  <c r="F401" i="3"/>
  <c r="G401" i="3" s="1"/>
  <c r="R400" i="3"/>
  <c r="O400" i="3"/>
  <c r="J400" i="3"/>
  <c r="F400" i="3"/>
  <c r="G400" i="3" s="1"/>
  <c r="R399" i="3"/>
  <c r="O399" i="3"/>
  <c r="S399" i="3" s="1"/>
  <c r="D399" i="3" s="1"/>
  <c r="J399" i="3"/>
  <c r="F399" i="3"/>
  <c r="G399" i="3" s="1"/>
  <c r="R398" i="3"/>
  <c r="O398" i="3"/>
  <c r="S398" i="3" s="1"/>
  <c r="D398" i="3" s="1"/>
  <c r="J398" i="3"/>
  <c r="F398" i="3"/>
  <c r="G398" i="3" s="1"/>
  <c r="R397" i="3"/>
  <c r="O397" i="3"/>
  <c r="S397" i="3" s="1"/>
  <c r="D397" i="3" s="1"/>
  <c r="J397" i="3"/>
  <c r="F397" i="3"/>
  <c r="G397" i="3" s="1"/>
  <c r="R396" i="3"/>
  <c r="O396" i="3"/>
  <c r="S396" i="3" s="1"/>
  <c r="D396" i="3" s="1"/>
  <c r="J396" i="3"/>
  <c r="F396" i="3"/>
  <c r="G396" i="3" s="1"/>
  <c r="R395" i="3"/>
  <c r="O395" i="3"/>
  <c r="S395" i="3" s="1"/>
  <c r="D395" i="3" s="1"/>
  <c r="J395" i="3"/>
  <c r="F395" i="3"/>
  <c r="G395" i="3" s="1"/>
  <c r="R394" i="3"/>
  <c r="O394" i="3"/>
  <c r="S394" i="3" s="1"/>
  <c r="D394" i="3" s="1"/>
  <c r="J394" i="3"/>
  <c r="F394" i="3"/>
  <c r="G394" i="3" s="1"/>
  <c r="R393" i="3"/>
  <c r="O393" i="3"/>
  <c r="S393" i="3" s="1"/>
  <c r="D393" i="3" s="1"/>
  <c r="J393" i="3"/>
  <c r="F393" i="3"/>
  <c r="G393" i="3" s="1"/>
  <c r="R392" i="3"/>
  <c r="O392" i="3"/>
  <c r="S392" i="3" s="1"/>
  <c r="D392" i="3" s="1"/>
  <c r="J392" i="3"/>
  <c r="F392" i="3"/>
  <c r="G392" i="3" s="1"/>
  <c r="R391" i="3"/>
  <c r="O391" i="3"/>
  <c r="S391" i="3" s="1"/>
  <c r="D391" i="3" s="1"/>
  <c r="J391" i="3"/>
  <c r="F391" i="3"/>
  <c r="G391" i="3" s="1"/>
  <c r="R390" i="3"/>
  <c r="O390" i="3"/>
  <c r="S390" i="3" s="1"/>
  <c r="D390" i="3" s="1"/>
  <c r="J390" i="3"/>
  <c r="F390" i="3"/>
  <c r="G390" i="3" s="1"/>
  <c r="R389" i="3"/>
  <c r="O389" i="3"/>
  <c r="S389" i="3" s="1"/>
  <c r="D389" i="3" s="1"/>
  <c r="J389" i="3"/>
  <c r="F389" i="3"/>
  <c r="G389" i="3" s="1"/>
  <c r="R388" i="3"/>
  <c r="O388" i="3"/>
  <c r="S388" i="3" s="1"/>
  <c r="D388" i="3" s="1"/>
  <c r="J388" i="3"/>
  <c r="F388" i="3"/>
  <c r="G388" i="3" s="1"/>
  <c r="R387" i="3"/>
  <c r="O387" i="3"/>
  <c r="S387" i="3" s="1"/>
  <c r="D387" i="3" s="1"/>
  <c r="J387" i="3"/>
  <c r="F387" i="3"/>
  <c r="G387" i="3" s="1"/>
  <c r="R386" i="3"/>
  <c r="O386" i="3"/>
  <c r="S386" i="3" s="1"/>
  <c r="D386" i="3" s="1"/>
  <c r="J386" i="3"/>
  <c r="F386" i="3"/>
  <c r="G386" i="3" s="1"/>
  <c r="R385" i="3"/>
  <c r="O385" i="3"/>
  <c r="S385" i="3" s="1"/>
  <c r="D385" i="3" s="1"/>
  <c r="J385" i="3"/>
  <c r="F385" i="3"/>
  <c r="G385" i="3" s="1"/>
  <c r="R384" i="3"/>
  <c r="O384" i="3"/>
  <c r="S384" i="3" s="1"/>
  <c r="D384" i="3" s="1"/>
  <c r="J384" i="3"/>
  <c r="F384" i="3"/>
  <c r="G384" i="3" s="1"/>
  <c r="R383" i="3"/>
  <c r="O383" i="3"/>
  <c r="S383" i="3" s="1"/>
  <c r="D383" i="3" s="1"/>
  <c r="J383" i="3"/>
  <c r="F383" i="3"/>
  <c r="G383" i="3" s="1"/>
  <c r="R382" i="3"/>
  <c r="O382" i="3"/>
  <c r="S382" i="3" s="1"/>
  <c r="D382" i="3" s="1"/>
  <c r="J382" i="3"/>
  <c r="F382" i="3"/>
  <c r="G382" i="3" s="1"/>
  <c r="R381" i="3"/>
  <c r="O381" i="3"/>
  <c r="J381" i="3"/>
  <c r="F381" i="3"/>
  <c r="G381" i="3" s="1"/>
  <c r="R380" i="3"/>
  <c r="O380" i="3"/>
  <c r="S380" i="3" s="1"/>
  <c r="D380" i="3" s="1"/>
  <c r="J380" i="3"/>
  <c r="F380" i="3"/>
  <c r="G380" i="3" s="1"/>
  <c r="R379" i="3"/>
  <c r="O379" i="3"/>
  <c r="S379" i="3" s="1"/>
  <c r="D379" i="3" s="1"/>
  <c r="J379" i="3"/>
  <c r="F379" i="3"/>
  <c r="G379" i="3" s="1"/>
  <c r="R378" i="3"/>
  <c r="O378" i="3"/>
  <c r="J378" i="3"/>
  <c r="F378" i="3"/>
  <c r="G378" i="3" s="1"/>
  <c r="R377" i="3"/>
  <c r="O377" i="3"/>
  <c r="J377" i="3"/>
  <c r="F377" i="3"/>
  <c r="G377" i="3" s="1"/>
  <c r="R376" i="3"/>
  <c r="O376" i="3"/>
  <c r="J376" i="3"/>
  <c r="F376" i="3"/>
  <c r="G376" i="3" s="1"/>
  <c r="R375" i="3"/>
  <c r="O375" i="3"/>
  <c r="J375" i="3"/>
  <c r="F375" i="3"/>
  <c r="G375" i="3" s="1"/>
  <c r="R374" i="3"/>
  <c r="O374" i="3"/>
  <c r="J374" i="3"/>
  <c r="F374" i="3"/>
  <c r="G374" i="3" s="1"/>
  <c r="R373" i="3"/>
  <c r="O373" i="3"/>
  <c r="J373" i="3"/>
  <c r="F373" i="3"/>
  <c r="G373" i="3" s="1"/>
  <c r="R372" i="3"/>
  <c r="O372" i="3"/>
  <c r="J372" i="3"/>
  <c r="F372" i="3"/>
  <c r="G372" i="3" s="1"/>
  <c r="R371" i="3"/>
  <c r="O371" i="3"/>
  <c r="J371" i="3"/>
  <c r="F371" i="3"/>
  <c r="G371" i="3" s="1"/>
  <c r="R370" i="3"/>
  <c r="O370" i="3"/>
  <c r="J370" i="3"/>
  <c r="F370" i="3"/>
  <c r="G370" i="3" s="1"/>
  <c r="R369" i="3"/>
  <c r="O369" i="3"/>
  <c r="J369" i="3"/>
  <c r="F369" i="3"/>
  <c r="G369" i="3" s="1"/>
  <c r="R368" i="3"/>
  <c r="O368" i="3"/>
  <c r="J368" i="3"/>
  <c r="F368" i="3"/>
  <c r="G368" i="3" s="1"/>
  <c r="R367" i="3"/>
  <c r="O367" i="3"/>
  <c r="J367" i="3"/>
  <c r="F367" i="3"/>
  <c r="G367" i="3" s="1"/>
  <c r="R366" i="3"/>
  <c r="O366" i="3"/>
  <c r="S366" i="3" s="1"/>
  <c r="D366" i="3" s="1"/>
  <c r="J366" i="3"/>
  <c r="F366" i="3"/>
  <c r="G366" i="3" s="1"/>
  <c r="R365" i="3"/>
  <c r="O365" i="3"/>
  <c r="J365" i="3"/>
  <c r="F365" i="3"/>
  <c r="G365" i="3" s="1"/>
  <c r="R364" i="3"/>
  <c r="O364" i="3"/>
  <c r="S364" i="3" s="1"/>
  <c r="D364" i="3" s="1"/>
  <c r="J364" i="3"/>
  <c r="F364" i="3"/>
  <c r="G364" i="3" s="1"/>
  <c r="R363" i="3"/>
  <c r="O363" i="3"/>
  <c r="J363" i="3"/>
  <c r="F363" i="3"/>
  <c r="G363" i="3" s="1"/>
  <c r="R362" i="3"/>
  <c r="O362" i="3"/>
  <c r="J362" i="3"/>
  <c r="F362" i="3"/>
  <c r="G362" i="3" s="1"/>
  <c r="R361" i="3"/>
  <c r="O361" i="3"/>
  <c r="J361" i="3"/>
  <c r="F361" i="3"/>
  <c r="G361" i="3" s="1"/>
  <c r="R360" i="3"/>
  <c r="O360" i="3"/>
  <c r="J360" i="3"/>
  <c r="F360" i="3"/>
  <c r="G360" i="3" s="1"/>
  <c r="R359" i="3"/>
  <c r="O359" i="3"/>
  <c r="J359" i="3"/>
  <c r="F359" i="3"/>
  <c r="G359" i="3" s="1"/>
  <c r="R358" i="3"/>
  <c r="O358" i="3"/>
  <c r="J358" i="3"/>
  <c r="F358" i="3"/>
  <c r="G358" i="3" s="1"/>
  <c r="R357" i="3"/>
  <c r="O357" i="3"/>
  <c r="J357" i="3"/>
  <c r="F357" i="3"/>
  <c r="G357" i="3" s="1"/>
  <c r="R356" i="3"/>
  <c r="O356" i="3"/>
  <c r="J356" i="3"/>
  <c r="F356" i="3"/>
  <c r="G356" i="3" s="1"/>
  <c r="R355" i="3"/>
  <c r="O355" i="3"/>
  <c r="J355" i="3"/>
  <c r="F355" i="3"/>
  <c r="G355" i="3" s="1"/>
  <c r="R354" i="3"/>
  <c r="O354" i="3"/>
  <c r="J354" i="3"/>
  <c r="F354" i="3"/>
  <c r="G354" i="3" s="1"/>
  <c r="R353" i="3"/>
  <c r="O353" i="3"/>
  <c r="S353" i="3" s="1"/>
  <c r="D353" i="3" s="1"/>
  <c r="J353" i="3"/>
  <c r="F353" i="3"/>
  <c r="G353" i="3" s="1"/>
  <c r="R352" i="3"/>
  <c r="O352" i="3"/>
  <c r="S352" i="3" s="1"/>
  <c r="D352" i="3" s="1"/>
  <c r="J352" i="3"/>
  <c r="F352" i="3"/>
  <c r="G352" i="3" s="1"/>
  <c r="R351" i="3"/>
  <c r="O351" i="3"/>
  <c r="S351" i="3" s="1"/>
  <c r="D351" i="3" s="1"/>
  <c r="J351" i="3"/>
  <c r="F351" i="3"/>
  <c r="G351" i="3" s="1"/>
  <c r="R350" i="3"/>
  <c r="O350" i="3"/>
  <c r="S350" i="3" s="1"/>
  <c r="D350" i="3" s="1"/>
  <c r="J350" i="3"/>
  <c r="F350" i="3"/>
  <c r="G350" i="3" s="1"/>
  <c r="R349" i="3"/>
  <c r="O349" i="3"/>
  <c r="S349" i="3" s="1"/>
  <c r="D349" i="3" s="1"/>
  <c r="J349" i="3"/>
  <c r="F349" i="3"/>
  <c r="G349" i="3" s="1"/>
  <c r="R348" i="3"/>
  <c r="O348" i="3"/>
  <c r="S348" i="3" s="1"/>
  <c r="D348" i="3" s="1"/>
  <c r="J348" i="3"/>
  <c r="F348" i="3"/>
  <c r="G348" i="3" s="1"/>
  <c r="R347" i="3"/>
  <c r="O347" i="3"/>
  <c r="S347" i="3" s="1"/>
  <c r="D347" i="3" s="1"/>
  <c r="J347" i="3"/>
  <c r="F347" i="3"/>
  <c r="G347" i="3" s="1"/>
  <c r="R346" i="3"/>
  <c r="O346" i="3"/>
  <c r="S346" i="3" s="1"/>
  <c r="D346" i="3" s="1"/>
  <c r="J346" i="3"/>
  <c r="F346" i="3"/>
  <c r="G346" i="3" s="1"/>
  <c r="R345" i="3"/>
  <c r="O345" i="3"/>
  <c r="S345" i="3" s="1"/>
  <c r="D345" i="3" s="1"/>
  <c r="J345" i="3"/>
  <c r="F345" i="3"/>
  <c r="G345" i="3" s="1"/>
  <c r="R344" i="3"/>
  <c r="O344" i="3"/>
  <c r="S344" i="3" s="1"/>
  <c r="D344" i="3" s="1"/>
  <c r="J344" i="3"/>
  <c r="F344" i="3"/>
  <c r="G344" i="3" s="1"/>
  <c r="R343" i="3"/>
  <c r="O343" i="3"/>
  <c r="J343" i="3"/>
  <c r="F343" i="3"/>
  <c r="G343" i="3" s="1"/>
  <c r="R342" i="3"/>
  <c r="O342" i="3"/>
  <c r="S342" i="3" s="1"/>
  <c r="D342" i="3" s="1"/>
  <c r="J342" i="3"/>
  <c r="F342" i="3"/>
  <c r="G342" i="3" s="1"/>
  <c r="R341" i="3"/>
  <c r="O341" i="3"/>
  <c r="S341" i="3" s="1"/>
  <c r="D341" i="3" s="1"/>
  <c r="J341" i="3"/>
  <c r="F341" i="3"/>
  <c r="G341" i="3" s="1"/>
  <c r="R340" i="3"/>
  <c r="O340" i="3"/>
  <c r="S340" i="3" s="1"/>
  <c r="D340" i="3" s="1"/>
  <c r="J340" i="3"/>
  <c r="F340" i="3"/>
  <c r="G340" i="3" s="1"/>
  <c r="R339" i="3"/>
  <c r="O339" i="3"/>
  <c r="S339" i="3" s="1"/>
  <c r="D339" i="3" s="1"/>
  <c r="J339" i="3"/>
  <c r="F339" i="3"/>
  <c r="G339" i="3" s="1"/>
  <c r="R338" i="3"/>
  <c r="O338" i="3"/>
  <c r="S338" i="3" s="1"/>
  <c r="D338" i="3" s="1"/>
  <c r="J338" i="3"/>
  <c r="F338" i="3"/>
  <c r="G338" i="3" s="1"/>
  <c r="R337" i="3"/>
  <c r="O337" i="3"/>
  <c r="S337" i="3" s="1"/>
  <c r="D337" i="3" s="1"/>
  <c r="J337" i="3"/>
  <c r="F337" i="3"/>
  <c r="G337" i="3" s="1"/>
  <c r="R336" i="3"/>
  <c r="O336" i="3"/>
  <c r="S336" i="3" s="1"/>
  <c r="D336" i="3" s="1"/>
  <c r="J336" i="3"/>
  <c r="F336" i="3"/>
  <c r="G336" i="3" s="1"/>
  <c r="R335" i="3"/>
  <c r="O335" i="3"/>
  <c r="S335" i="3" s="1"/>
  <c r="D335" i="3" s="1"/>
  <c r="J335" i="3"/>
  <c r="F335" i="3"/>
  <c r="G335" i="3" s="1"/>
  <c r="R334" i="3"/>
  <c r="O334" i="3"/>
  <c r="S334" i="3" s="1"/>
  <c r="D334" i="3" s="1"/>
  <c r="J334" i="3"/>
  <c r="F334" i="3"/>
  <c r="G334" i="3" s="1"/>
  <c r="R333" i="3"/>
  <c r="O333" i="3"/>
  <c r="S333" i="3" s="1"/>
  <c r="D333" i="3" s="1"/>
  <c r="J333" i="3"/>
  <c r="F333" i="3"/>
  <c r="G333" i="3" s="1"/>
  <c r="R332" i="3"/>
  <c r="O332" i="3"/>
  <c r="S332" i="3" s="1"/>
  <c r="D332" i="3" s="1"/>
  <c r="J332" i="3"/>
  <c r="F332" i="3"/>
  <c r="G332" i="3" s="1"/>
  <c r="R331" i="3"/>
  <c r="O331" i="3"/>
  <c r="S331" i="3" s="1"/>
  <c r="D331" i="3" s="1"/>
  <c r="J331" i="3"/>
  <c r="F331" i="3"/>
  <c r="G331" i="3" s="1"/>
  <c r="R330" i="3"/>
  <c r="O330" i="3"/>
  <c r="S330" i="3" s="1"/>
  <c r="D330" i="3" s="1"/>
  <c r="J330" i="3"/>
  <c r="F330" i="3"/>
  <c r="G330" i="3" s="1"/>
  <c r="R329" i="3"/>
  <c r="O329" i="3"/>
  <c r="S329" i="3" s="1"/>
  <c r="D329" i="3" s="1"/>
  <c r="J329" i="3"/>
  <c r="F329" i="3"/>
  <c r="G329" i="3" s="1"/>
  <c r="R328" i="3"/>
  <c r="O328" i="3"/>
  <c r="J328" i="3"/>
  <c r="F328" i="3"/>
  <c r="G328" i="3" s="1"/>
  <c r="R327" i="3"/>
  <c r="O327" i="3"/>
  <c r="S327" i="3" s="1"/>
  <c r="D327" i="3" s="1"/>
  <c r="J327" i="3"/>
  <c r="F327" i="3"/>
  <c r="G327" i="3" s="1"/>
  <c r="R326" i="3"/>
  <c r="O326" i="3"/>
  <c r="J326" i="3"/>
  <c r="F326" i="3"/>
  <c r="G326" i="3" s="1"/>
  <c r="R325" i="3"/>
  <c r="O325" i="3"/>
  <c r="J325" i="3"/>
  <c r="F325" i="3"/>
  <c r="G325" i="3" s="1"/>
  <c r="R324" i="3"/>
  <c r="O324" i="3"/>
  <c r="J324" i="3"/>
  <c r="F324" i="3"/>
  <c r="G324" i="3" s="1"/>
  <c r="R323" i="3"/>
  <c r="O323" i="3"/>
  <c r="J323" i="3"/>
  <c r="F323" i="3"/>
  <c r="G323" i="3" s="1"/>
  <c r="R322" i="3"/>
  <c r="O322" i="3"/>
  <c r="J322" i="3"/>
  <c r="F322" i="3"/>
  <c r="G322" i="3" s="1"/>
  <c r="R321" i="3"/>
  <c r="O321" i="3"/>
  <c r="J321" i="3"/>
  <c r="F321" i="3"/>
  <c r="G321" i="3" s="1"/>
  <c r="R320" i="3"/>
  <c r="O320" i="3"/>
  <c r="J320" i="3"/>
  <c r="F320" i="3"/>
  <c r="G320" i="3" s="1"/>
  <c r="R319" i="3"/>
  <c r="O319" i="3"/>
  <c r="J319" i="3"/>
  <c r="F319" i="3"/>
  <c r="G319" i="3" s="1"/>
  <c r="R318" i="3"/>
  <c r="O318" i="3"/>
  <c r="J318" i="3"/>
  <c r="F318" i="3"/>
  <c r="G318" i="3" s="1"/>
  <c r="R317" i="3"/>
  <c r="O317" i="3"/>
  <c r="J317" i="3"/>
  <c r="F317" i="3"/>
  <c r="G317" i="3" s="1"/>
  <c r="R316" i="3"/>
  <c r="O316" i="3"/>
  <c r="J316" i="3"/>
  <c r="F316" i="3"/>
  <c r="G316" i="3" s="1"/>
  <c r="R315" i="3"/>
  <c r="O315" i="3"/>
  <c r="J315" i="3"/>
  <c r="F315" i="3"/>
  <c r="G315" i="3" s="1"/>
  <c r="R314" i="3"/>
  <c r="O314" i="3"/>
  <c r="J314" i="3"/>
  <c r="F314" i="3"/>
  <c r="G314" i="3" s="1"/>
  <c r="R313" i="3"/>
  <c r="O313" i="3"/>
  <c r="J313" i="3"/>
  <c r="F313" i="3"/>
  <c r="G313" i="3" s="1"/>
  <c r="R312" i="3"/>
  <c r="O312" i="3"/>
  <c r="J312" i="3"/>
  <c r="F312" i="3"/>
  <c r="G312" i="3" s="1"/>
  <c r="R311" i="3"/>
  <c r="O311" i="3"/>
  <c r="J311" i="3"/>
  <c r="F311" i="3"/>
  <c r="G311" i="3" s="1"/>
  <c r="R310" i="3"/>
  <c r="O310" i="3"/>
  <c r="J310" i="3"/>
  <c r="F310" i="3"/>
  <c r="G310" i="3" s="1"/>
  <c r="R309" i="3"/>
  <c r="O309" i="3"/>
  <c r="J309" i="3"/>
  <c r="F309" i="3"/>
  <c r="G309" i="3" s="1"/>
  <c r="R308" i="3"/>
  <c r="O308" i="3"/>
  <c r="J308" i="3"/>
  <c r="F308" i="3"/>
  <c r="G308" i="3" s="1"/>
  <c r="R307" i="3"/>
  <c r="O307" i="3"/>
  <c r="S307" i="3" s="1"/>
  <c r="D307" i="3" s="1"/>
  <c r="J307" i="3"/>
  <c r="F307" i="3"/>
  <c r="G307" i="3" s="1"/>
  <c r="R306" i="3"/>
  <c r="O306" i="3"/>
  <c r="J306" i="3"/>
  <c r="F306" i="3"/>
  <c r="G306" i="3" s="1"/>
  <c r="R305" i="3"/>
  <c r="O305" i="3"/>
  <c r="J305" i="3"/>
  <c r="F305" i="3"/>
  <c r="G305" i="3" s="1"/>
  <c r="R304" i="3"/>
  <c r="O304" i="3"/>
  <c r="J304" i="3"/>
  <c r="F304" i="3"/>
  <c r="G304" i="3" s="1"/>
  <c r="R303" i="3"/>
  <c r="O303" i="3"/>
  <c r="J303" i="3"/>
  <c r="F303" i="3"/>
  <c r="G303" i="3" s="1"/>
  <c r="R302" i="3"/>
  <c r="O302" i="3"/>
  <c r="J302" i="3"/>
  <c r="F302" i="3"/>
  <c r="G302" i="3" s="1"/>
  <c r="R301" i="3"/>
  <c r="O301" i="3"/>
  <c r="J301" i="3"/>
  <c r="F301" i="3"/>
  <c r="G301" i="3" s="1"/>
  <c r="R300" i="3"/>
  <c r="O300" i="3"/>
  <c r="S300" i="3" s="1"/>
  <c r="D300" i="3" s="1"/>
  <c r="J300" i="3"/>
  <c r="F300" i="3"/>
  <c r="G300" i="3" s="1"/>
  <c r="R299" i="3"/>
  <c r="O299" i="3"/>
  <c r="J299" i="3"/>
  <c r="F299" i="3"/>
  <c r="G299" i="3" s="1"/>
  <c r="R298" i="3"/>
  <c r="O298" i="3"/>
  <c r="J298" i="3"/>
  <c r="F298" i="3"/>
  <c r="G298" i="3" s="1"/>
  <c r="R297" i="3"/>
  <c r="O297" i="3"/>
  <c r="J297" i="3"/>
  <c r="F297" i="3"/>
  <c r="G297" i="3" s="1"/>
  <c r="R296" i="3"/>
  <c r="O296" i="3"/>
  <c r="J296" i="3"/>
  <c r="F296" i="3"/>
  <c r="G296" i="3" s="1"/>
  <c r="R295" i="3"/>
  <c r="O295" i="3"/>
  <c r="J295" i="3"/>
  <c r="F295" i="3"/>
  <c r="G295" i="3" s="1"/>
  <c r="R294" i="3"/>
  <c r="O294" i="3"/>
  <c r="J294" i="3"/>
  <c r="F294" i="3"/>
  <c r="G294" i="3" s="1"/>
  <c r="R293" i="3"/>
  <c r="O293" i="3"/>
  <c r="J293" i="3"/>
  <c r="F293" i="3"/>
  <c r="G293" i="3" s="1"/>
  <c r="R292" i="3"/>
  <c r="O292" i="3"/>
  <c r="J292" i="3"/>
  <c r="F292" i="3"/>
  <c r="G292" i="3" s="1"/>
  <c r="R291" i="3"/>
  <c r="O291" i="3"/>
  <c r="J291" i="3"/>
  <c r="F291" i="3"/>
  <c r="G291" i="3" s="1"/>
  <c r="R290" i="3"/>
  <c r="O290" i="3"/>
  <c r="S290" i="3" s="1"/>
  <c r="D290" i="3" s="1"/>
  <c r="J290" i="3"/>
  <c r="F290" i="3"/>
  <c r="G290" i="3" s="1"/>
  <c r="R289" i="3"/>
  <c r="O289" i="3"/>
  <c r="J289" i="3"/>
  <c r="F289" i="3"/>
  <c r="G289" i="3" s="1"/>
  <c r="R288" i="3"/>
  <c r="O288" i="3"/>
  <c r="J288" i="3"/>
  <c r="F288" i="3"/>
  <c r="G288" i="3" s="1"/>
  <c r="R287" i="3"/>
  <c r="O287" i="3"/>
  <c r="J287" i="3"/>
  <c r="F287" i="3"/>
  <c r="G287" i="3" s="1"/>
  <c r="R286" i="3"/>
  <c r="O286" i="3"/>
  <c r="J286" i="3"/>
  <c r="F286" i="3"/>
  <c r="G286" i="3" s="1"/>
  <c r="R285" i="3"/>
  <c r="O285" i="3"/>
  <c r="J285" i="3"/>
  <c r="F285" i="3"/>
  <c r="G285" i="3" s="1"/>
  <c r="R284" i="3"/>
  <c r="O284" i="3"/>
  <c r="J284" i="3"/>
  <c r="F284" i="3"/>
  <c r="G284" i="3" s="1"/>
  <c r="R283" i="3"/>
  <c r="O283" i="3"/>
  <c r="J283" i="3"/>
  <c r="F283" i="3"/>
  <c r="G283" i="3" s="1"/>
  <c r="R282" i="3"/>
  <c r="O282" i="3"/>
  <c r="J282" i="3"/>
  <c r="F282" i="3"/>
  <c r="G282" i="3" s="1"/>
  <c r="R281" i="3"/>
  <c r="O281" i="3"/>
  <c r="J281" i="3"/>
  <c r="F281" i="3"/>
  <c r="G281" i="3" s="1"/>
  <c r="R280" i="3"/>
  <c r="O280" i="3"/>
  <c r="J280" i="3"/>
  <c r="F280" i="3"/>
  <c r="G280" i="3" s="1"/>
  <c r="R279" i="3"/>
  <c r="O279" i="3"/>
  <c r="J279" i="3"/>
  <c r="F279" i="3"/>
  <c r="G279" i="3" s="1"/>
  <c r="R278" i="3"/>
  <c r="O278" i="3"/>
  <c r="J278" i="3"/>
  <c r="F278" i="3"/>
  <c r="G278" i="3" s="1"/>
  <c r="R277" i="3"/>
  <c r="O277" i="3"/>
  <c r="J277" i="3"/>
  <c r="F277" i="3"/>
  <c r="G277" i="3" s="1"/>
  <c r="R276" i="3"/>
  <c r="O276" i="3"/>
  <c r="J276" i="3"/>
  <c r="F276" i="3"/>
  <c r="G276" i="3" s="1"/>
  <c r="R275" i="3"/>
  <c r="O275" i="3"/>
  <c r="J275" i="3"/>
  <c r="F275" i="3"/>
  <c r="G275" i="3" s="1"/>
  <c r="R274" i="3"/>
  <c r="O274" i="3"/>
  <c r="J274" i="3"/>
  <c r="F274" i="3"/>
  <c r="G274" i="3" s="1"/>
  <c r="R273" i="3"/>
  <c r="O273" i="3"/>
  <c r="J273" i="3"/>
  <c r="F273" i="3"/>
  <c r="G273" i="3" s="1"/>
  <c r="R272" i="3"/>
  <c r="O272" i="3"/>
  <c r="J272" i="3"/>
  <c r="F272" i="3"/>
  <c r="G272" i="3" s="1"/>
  <c r="R271" i="3"/>
  <c r="O271" i="3"/>
  <c r="J271" i="3"/>
  <c r="F271" i="3"/>
  <c r="G271" i="3" s="1"/>
  <c r="R270" i="3"/>
  <c r="O270" i="3"/>
  <c r="S270" i="3" s="1"/>
  <c r="D270" i="3" s="1"/>
  <c r="J270" i="3"/>
  <c r="F270" i="3"/>
  <c r="G270" i="3" s="1"/>
  <c r="R269" i="3"/>
  <c r="O269" i="3"/>
  <c r="J269" i="3"/>
  <c r="F269" i="3"/>
  <c r="G269" i="3" s="1"/>
  <c r="R268" i="3"/>
  <c r="O268" i="3"/>
  <c r="J268" i="3"/>
  <c r="F268" i="3"/>
  <c r="G268" i="3" s="1"/>
  <c r="R267" i="3"/>
  <c r="O267" i="3"/>
  <c r="J267" i="3"/>
  <c r="F267" i="3"/>
  <c r="G267" i="3" s="1"/>
  <c r="R266" i="3"/>
  <c r="O266" i="3"/>
  <c r="J266" i="3"/>
  <c r="F266" i="3"/>
  <c r="G266" i="3" s="1"/>
  <c r="R265" i="3"/>
  <c r="O265" i="3"/>
  <c r="J265" i="3"/>
  <c r="F265" i="3"/>
  <c r="G265" i="3" s="1"/>
  <c r="R264" i="3"/>
  <c r="O264" i="3"/>
  <c r="J264" i="3"/>
  <c r="F264" i="3"/>
  <c r="G264" i="3" s="1"/>
  <c r="R263" i="3"/>
  <c r="O263" i="3"/>
  <c r="J263" i="3"/>
  <c r="F263" i="3"/>
  <c r="G263" i="3" s="1"/>
  <c r="R262" i="3"/>
  <c r="O262" i="3"/>
  <c r="S262" i="3" s="1"/>
  <c r="D262" i="3" s="1"/>
  <c r="J262" i="3"/>
  <c r="F262" i="3"/>
  <c r="G262" i="3" s="1"/>
  <c r="R261" i="3"/>
  <c r="O261" i="3"/>
  <c r="J261" i="3"/>
  <c r="F261" i="3"/>
  <c r="G261" i="3" s="1"/>
  <c r="R260" i="3"/>
  <c r="O260" i="3"/>
  <c r="J260" i="3"/>
  <c r="F260" i="3"/>
  <c r="G260" i="3" s="1"/>
  <c r="R259" i="3"/>
  <c r="O259" i="3"/>
  <c r="J259" i="3"/>
  <c r="F259" i="3"/>
  <c r="G259" i="3" s="1"/>
  <c r="R258" i="3"/>
  <c r="O258" i="3"/>
  <c r="J258" i="3"/>
  <c r="F258" i="3"/>
  <c r="G258" i="3" s="1"/>
  <c r="R257" i="3"/>
  <c r="O257" i="3"/>
  <c r="J257" i="3"/>
  <c r="F257" i="3"/>
  <c r="G257" i="3" s="1"/>
  <c r="R256" i="3"/>
  <c r="O256" i="3"/>
  <c r="J256" i="3"/>
  <c r="F256" i="3"/>
  <c r="G256" i="3" s="1"/>
  <c r="R255" i="3"/>
  <c r="O255" i="3"/>
  <c r="J255" i="3"/>
  <c r="F255" i="3"/>
  <c r="G255" i="3" s="1"/>
  <c r="R254" i="3"/>
  <c r="O254" i="3"/>
  <c r="J254" i="3"/>
  <c r="F254" i="3"/>
  <c r="G254" i="3" s="1"/>
  <c r="R253" i="3"/>
  <c r="O253" i="3"/>
  <c r="J253" i="3"/>
  <c r="F253" i="3"/>
  <c r="G253" i="3" s="1"/>
  <c r="R252" i="3"/>
  <c r="O252" i="3"/>
  <c r="J252" i="3"/>
  <c r="F252" i="3"/>
  <c r="G252" i="3" s="1"/>
  <c r="R251" i="3"/>
  <c r="O251" i="3"/>
  <c r="J251" i="3"/>
  <c r="F251" i="3"/>
  <c r="G251" i="3" s="1"/>
  <c r="R250" i="3"/>
  <c r="O250" i="3"/>
  <c r="J250" i="3"/>
  <c r="F250" i="3"/>
  <c r="G250" i="3" s="1"/>
  <c r="R249" i="3"/>
  <c r="O249" i="3"/>
  <c r="S249" i="3" s="1"/>
  <c r="D249" i="3" s="1"/>
  <c r="J249" i="3"/>
  <c r="F249" i="3"/>
  <c r="G249" i="3" s="1"/>
  <c r="R248" i="3"/>
  <c r="O248" i="3"/>
  <c r="J248" i="3"/>
  <c r="F248" i="3"/>
  <c r="G248" i="3" s="1"/>
  <c r="R247" i="3"/>
  <c r="O247" i="3"/>
  <c r="J247" i="3"/>
  <c r="F247" i="3"/>
  <c r="G247" i="3" s="1"/>
  <c r="R246" i="3"/>
  <c r="O246" i="3"/>
  <c r="J246" i="3"/>
  <c r="F246" i="3"/>
  <c r="G246" i="3" s="1"/>
  <c r="R245" i="3"/>
  <c r="O245" i="3"/>
  <c r="J245" i="3"/>
  <c r="F245" i="3"/>
  <c r="G245" i="3" s="1"/>
  <c r="R244" i="3"/>
  <c r="O244" i="3"/>
  <c r="J244" i="3"/>
  <c r="F244" i="3"/>
  <c r="G244" i="3" s="1"/>
  <c r="R243" i="3"/>
  <c r="O243" i="3"/>
  <c r="J243" i="3"/>
  <c r="F243" i="3"/>
  <c r="G243" i="3" s="1"/>
  <c r="R242" i="3"/>
  <c r="O242" i="3"/>
  <c r="J242" i="3"/>
  <c r="F242" i="3"/>
  <c r="G242" i="3" s="1"/>
  <c r="R241" i="3"/>
  <c r="O241" i="3"/>
  <c r="J241" i="3"/>
  <c r="F241" i="3"/>
  <c r="G241" i="3" s="1"/>
  <c r="R240" i="3"/>
  <c r="O240" i="3"/>
  <c r="J240" i="3"/>
  <c r="F240" i="3"/>
  <c r="G240" i="3" s="1"/>
  <c r="R239" i="3"/>
  <c r="O239" i="3"/>
  <c r="S239" i="3" s="1"/>
  <c r="J239" i="3"/>
  <c r="F239" i="3"/>
  <c r="G239" i="3" s="1"/>
  <c r="R238" i="3"/>
  <c r="O238" i="3"/>
  <c r="S238" i="3" s="1"/>
  <c r="D238" i="3" s="1"/>
  <c r="J238" i="3"/>
  <c r="F238" i="3"/>
  <c r="G238" i="3" s="1"/>
  <c r="R237" i="3"/>
  <c r="O237" i="3"/>
  <c r="S237" i="3" s="1"/>
  <c r="D237" i="3" s="1"/>
  <c r="J237" i="3"/>
  <c r="F237" i="3"/>
  <c r="G237" i="3" s="1"/>
  <c r="R236" i="3"/>
  <c r="O236" i="3"/>
  <c r="S236" i="3" s="1"/>
  <c r="D236" i="3" s="1"/>
  <c r="J236" i="3"/>
  <c r="F236" i="3"/>
  <c r="G236" i="3" s="1"/>
  <c r="R235" i="3"/>
  <c r="O235" i="3"/>
  <c r="S235" i="3" s="1"/>
  <c r="D235" i="3" s="1"/>
  <c r="J235" i="3"/>
  <c r="F235" i="3"/>
  <c r="G235" i="3" s="1"/>
  <c r="R234" i="3"/>
  <c r="O234" i="3"/>
  <c r="S234" i="3" s="1"/>
  <c r="D234" i="3" s="1"/>
  <c r="J234" i="3"/>
  <c r="F234" i="3"/>
  <c r="G234" i="3" s="1"/>
  <c r="R233" i="3"/>
  <c r="O233" i="3"/>
  <c r="S233" i="3" s="1"/>
  <c r="D233" i="3" s="1"/>
  <c r="J233" i="3"/>
  <c r="F233" i="3"/>
  <c r="G233" i="3" s="1"/>
  <c r="R232" i="3"/>
  <c r="O232" i="3"/>
  <c r="S232" i="3" s="1"/>
  <c r="D232" i="3" s="1"/>
  <c r="J232" i="3"/>
  <c r="F232" i="3"/>
  <c r="G232" i="3" s="1"/>
  <c r="R231" i="3"/>
  <c r="O231" i="3"/>
  <c r="S231" i="3" s="1"/>
  <c r="D231" i="3" s="1"/>
  <c r="J231" i="3"/>
  <c r="F231" i="3"/>
  <c r="G231" i="3" s="1"/>
  <c r="R230" i="3"/>
  <c r="O230" i="3"/>
  <c r="S230" i="3" s="1"/>
  <c r="D230" i="3" s="1"/>
  <c r="J230" i="3"/>
  <c r="F230" i="3"/>
  <c r="G230" i="3" s="1"/>
  <c r="R229" i="3"/>
  <c r="O229" i="3"/>
  <c r="S229" i="3" s="1"/>
  <c r="D229" i="3" s="1"/>
  <c r="J229" i="3"/>
  <c r="F229" i="3"/>
  <c r="G229" i="3" s="1"/>
  <c r="R228" i="3"/>
  <c r="O228" i="3"/>
  <c r="S228" i="3" s="1"/>
  <c r="D228" i="3" s="1"/>
  <c r="J228" i="3"/>
  <c r="F228" i="3"/>
  <c r="G228" i="3" s="1"/>
  <c r="T227" i="3"/>
  <c r="R227" i="3"/>
  <c r="O227" i="3"/>
  <c r="J227" i="3"/>
  <c r="F227" i="3"/>
  <c r="G227" i="3" s="1"/>
  <c r="R226" i="3"/>
  <c r="O226" i="3"/>
  <c r="S226" i="3" s="1"/>
  <c r="D226" i="3" s="1"/>
  <c r="J226" i="3"/>
  <c r="F226" i="3"/>
  <c r="G226" i="3" s="1"/>
  <c r="R225" i="3"/>
  <c r="O225" i="3"/>
  <c r="S225" i="3" s="1"/>
  <c r="D225" i="3" s="1"/>
  <c r="J225" i="3"/>
  <c r="F225" i="3"/>
  <c r="G225" i="3" s="1"/>
  <c r="R224" i="3"/>
  <c r="O224" i="3"/>
  <c r="S224" i="3" s="1"/>
  <c r="D224" i="3" s="1"/>
  <c r="J224" i="3"/>
  <c r="F224" i="3"/>
  <c r="G224" i="3" s="1"/>
  <c r="R223" i="3"/>
  <c r="O223" i="3"/>
  <c r="S223" i="3" s="1"/>
  <c r="D223" i="3" s="1"/>
  <c r="J223" i="3"/>
  <c r="F223" i="3"/>
  <c r="G223" i="3" s="1"/>
  <c r="R222" i="3"/>
  <c r="O222" i="3"/>
  <c r="J222" i="3"/>
  <c r="F222" i="3"/>
  <c r="G222" i="3" s="1"/>
  <c r="R221" i="3"/>
  <c r="O221" i="3"/>
  <c r="J221" i="3"/>
  <c r="F221" i="3"/>
  <c r="G221" i="3" s="1"/>
  <c r="R220" i="3"/>
  <c r="O220" i="3"/>
  <c r="S220" i="3" s="1"/>
  <c r="D220" i="3" s="1"/>
  <c r="J220" i="3"/>
  <c r="F220" i="3"/>
  <c r="G220" i="3" s="1"/>
  <c r="R219" i="3"/>
  <c r="O219" i="3"/>
  <c r="S219" i="3" s="1"/>
  <c r="D219" i="3" s="1"/>
  <c r="J219" i="3"/>
  <c r="F219" i="3"/>
  <c r="G219" i="3" s="1"/>
  <c r="R218" i="3"/>
  <c r="O218" i="3"/>
  <c r="S218" i="3" s="1"/>
  <c r="D218" i="3" s="1"/>
  <c r="J218" i="3"/>
  <c r="F218" i="3"/>
  <c r="G218" i="3" s="1"/>
  <c r="R217" i="3"/>
  <c r="O217" i="3"/>
  <c r="S217" i="3" s="1"/>
  <c r="D217" i="3" s="1"/>
  <c r="J217" i="3"/>
  <c r="F217" i="3"/>
  <c r="G217" i="3" s="1"/>
  <c r="R216" i="3"/>
  <c r="O216" i="3"/>
  <c r="S216" i="3" s="1"/>
  <c r="D216" i="3" s="1"/>
  <c r="J216" i="3"/>
  <c r="F216" i="3"/>
  <c r="G216" i="3" s="1"/>
  <c r="R215" i="3"/>
  <c r="O215" i="3"/>
  <c r="S215" i="3" s="1"/>
  <c r="D215" i="3" s="1"/>
  <c r="J215" i="3"/>
  <c r="F215" i="3"/>
  <c r="G215" i="3" s="1"/>
  <c r="R214" i="3"/>
  <c r="O214" i="3"/>
  <c r="S214" i="3" s="1"/>
  <c r="D214" i="3" s="1"/>
  <c r="J214" i="3"/>
  <c r="F214" i="3"/>
  <c r="G214" i="3" s="1"/>
  <c r="R213" i="3"/>
  <c r="O213" i="3"/>
  <c r="S213" i="3" s="1"/>
  <c r="D213" i="3" s="1"/>
  <c r="J213" i="3"/>
  <c r="F213" i="3"/>
  <c r="G213" i="3" s="1"/>
  <c r="R212" i="3"/>
  <c r="O212" i="3"/>
  <c r="S212" i="3" s="1"/>
  <c r="D212" i="3" s="1"/>
  <c r="J212" i="3"/>
  <c r="F212" i="3"/>
  <c r="G212" i="3" s="1"/>
  <c r="R211" i="3"/>
  <c r="O211" i="3"/>
  <c r="S211" i="3" s="1"/>
  <c r="D211" i="3" s="1"/>
  <c r="J211" i="3"/>
  <c r="F211" i="3"/>
  <c r="G211" i="3" s="1"/>
  <c r="R210" i="3"/>
  <c r="O210" i="3"/>
  <c r="S210" i="3" s="1"/>
  <c r="D210" i="3" s="1"/>
  <c r="J210" i="3"/>
  <c r="F210" i="3"/>
  <c r="G210" i="3" s="1"/>
  <c r="R209" i="3"/>
  <c r="O209" i="3"/>
  <c r="S209" i="3" s="1"/>
  <c r="D209" i="3" s="1"/>
  <c r="J209" i="3"/>
  <c r="F209" i="3"/>
  <c r="G209" i="3" s="1"/>
  <c r="R208" i="3"/>
  <c r="O208" i="3"/>
  <c r="S208" i="3" s="1"/>
  <c r="D208" i="3" s="1"/>
  <c r="J208" i="3"/>
  <c r="F208" i="3"/>
  <c r="G208" i="3" s="1"/>
  <c r="R207" i="3"/>
  <c r="O207" i="3"/>
  <c r="S207" i="3" s="1"/>
  <c r="D207" i="3" s="1"/>
  <c r="J207" i="3"/>
  <c r="F207" i="3"/>
  <c r="G207" i="3" s="1"/>
  <c r="R206" i="3"/>
  <c r="O206" i="3"/>
  <c r="S206" i="3" s="1"/>
  <c r="D206" i="3" s="1"/>
  <c r="J206" i="3"/>
  <c r="F206" i="3"/>
  <c r="G206" i="3" s="1"/>
  <c r="R205" i="3"/>
  <c r="O205" i="3"/>
  <c r="S205" i="3" s="1"/>
  <c r="D205" i="3" s="1"/>
  <c r="J205" i="3"/>
  <c r="F205" i="3"/>
  <c r="G205" i="3" s="1"/>
  <c r="R204" i="3"/>
  <c r="O204" i="3"/>
  <c r="S204" i="3" s="1"/>
  <c r="D204" i="3" s="1"/>
  <c r="J204" i="3"/>
  <c r="F204" i="3"/>
  <c r="G204" i="3" s="1"/>
  <c r="R203" i="3"/>
  <c r="O203" i="3"/>
  <c r="S203" i="3" s="1"/>
  <c r="D203" i="3" s="1"/>
  <c r="J203" i="3"/>
  <c r="F203" i="3"/>
  <c r="G203" i="3" s="1"/>
  <c r="R202" i="3"/>
  <c r="O202" i="3"/>
  <c r="S202" i="3" s="1"/>
  <c r="D202" i="3" s="1"/>
  <c r="J202" i="3"/>
  <c r="F202" i="3"/>
  <c r="G202" i="3" s="1"/>
  <c r="R201" i="3"/>
  <c r="O201" i="3"/>
  <c r="S201" i="3" s="1"/>
  <c r="D201" i="3" s="1"/>
  <c r="J201" i="3"/>
  <c r="F201" i="3"/>
  <c r="G201" i="3" s="1"/>
  <c r="R200" i="3"/>
  <c r="O200" i="3"/>
  <c r="S200" i="3" s="1"/>
  <c r="D200" i="3" s="1"/>
  <c r="J200" i="3"/>
  <c r="F200" i="3"/>
  <c r="G200" i="3" s="1"/>
  <c r="R199" i="3"/>
  <c r="O199" i="3"/>
  <c r="S199" i="3" s="1"/>
  <c r="D199" i="3" s="1"/>
  <c r="J199" i="3"/>
  <c r="F199" i="3"/>
  <c r="G199" i="3" s="1"/>
  <c r="R198" i="3"/>
  <c r="O198" i="3"/>
  <c r="S198" i="3" s="1"/>
  <c r="D198" i="3" s="1"/>
  <c r="J198" i="3"/>
  <c r="F198" i="3"/>
  <c r="G198" i="3" s="1"/>
  <c r="R197" i="3"/>
  <c r="O197" i="3"/>
  <c r="S197" i="3" s="1"/>
  <c r="D197" i="3" s="1"/>
  <c r="J197" i="3"/>
  <c r="F197" i="3"/>
  <c r="G197" i="3" s="1"/>
  <c r="R196" i="3"/>
  <c r="O196" i="3"/>
  <c r="S196" i="3" s="1"/>
  <c r="D196" i="3" s="1"/>
  <c r="J196" i="3"/>
  <c r="F196" i="3"/>
  <c r="G196" i="3" s="1"/>
  <c r="R195" i="3"/>
  <c r="O195" i="3"/>
  <c r="S195" i="3" s="1"/>
  <c r="D195" i="3" s="1"/>
  <c r="J195" i="3"/>
  <c r="F195" i="3"/>
  <c r="G195" i="3" s="1"/>
  <c r="R194" i="3"/>
  <c r="O194" i="3"/>
  <c r="S194" i="3" s="1"/>
  <c r="D194" i="3" s="1"/>
  <c r="J194" i="3"/>
  <c r="F194" i="3"/>
  <c r="G194" i="3" s="1"/>
  <c r="R193" i="3"/>
  <c r="O193" i="3"/>
  <c r="S193" i="3" s="1"/>
  <c r="D193" i="3" s="1"/>
  <c r="J193" i="3"/>
  <c r="F193" i="3"/>
  <c r="G193" i="3" s="1"/>
  <c r="R192" i="3"/>
  <c r="O192" i="3"/>
  <c r="S192" i="3" s="1"/>
  <c r="D192" i="3" s="1"/>
  <c r="J192" i="3"/>
  <c r="F192" i="3"/>
  <c r="G192" i="3" s="1"/>
  <c r="R191" i="3"/>
  <c r="O191" i="3"/>
  <c r="S191" i="3" s="1"/>
  <c r="D191" i="3" s="1"/>
  <c r="J191" i="3"/>
  <c r="F191" i="3"/>
  <c r="G191" i="3" s="1"/>
  <c r="R190" i="3"/>
  <c r="O190" i="3"/>
  <c r="S190" i="3" s="1"/>
  <c r="D190" i="3" s="1"/>
  <c r="J190" i="3"/>
  <c r="F190" i="3"/>
  <c r="G190" i="3" s="1"/>
  <c r="R189" i="3"/>
  <c r="O189" i="3"/>
  <c r="S189" i="3" s="1"/>
  <c r="D189" i="3" s="1"/>
  <c r="J189" i="3"/>
  <c r="F189" i="3"/>
  <c r="G189" i="3" s="1"/>
  <c r="R188" i="3"/>
  <c r="O188" i="3"/>
  <c r="S188" i="3" s="1"/>
  <c r="D188" i="3" s="1"/>
  <c r="J188" i="3"/>
  <c r="F188" i="3"/>
  <c r="G188" i="3" s="1"/>
  <c r="R187" i="3"/>
  <c r="O187" i="3"/>
  <c r="S187" i="3" s="1"/>
  <c r="D187" i="3" s="1"/>
  <c r="J187" i="3"/>
  <c r="F187" i="3"/>
  <c r="G187" i="3" s="1"/>
  <c r="R186" i="3"/>
  <c r="O186" i="3"/>
  <c r="S186" i="3" s="1"/>
  <c r="D186" i="3" s="1"/>
  <c r="J186" i="3"/>
  <c r="F186" i="3"/>
  <c r="G186" i="3" s="1"/>
  <c r="R185" i="3"/>
  <c r="O185" i="3"/>
  <c r="S185" i="3" s="1"/>
  <c r="D185" i="3" s="1"/>
  <c r="J185" i="3"/>
  <c r="F185" i="3"/>
  <c r="G185" i="3" s="1"/>
  <c r="R184" i="3"/>
  <c r="O184" i="3"/>
  <c r="S184" i="3" s="1"/>
  <c r="D184" i="3" s="1"/>
  <c r="J184" i="3"/>
  <c r="F184" i="3"/>
  <c r="G184" i="3" s="1"/>
  <c r="R183" i="3"/>
  <c r="O183" i="3"/>
  <c r="S183" i="3" s="1"/>
  <c r="D183" i="3" s="1"/>
  <c r="J183" i="3"/>
  <c r="F183" i="3"/>
  <c r="G183" i="3" s="1"/>
  <c r="R182" i="3"/>
  <c r="O182" i="3"/>
  <c r="S182" i="3" s="1"/>
  <c r="D182" i="3" s="1"/>
  <c r="J182" i="3"/>
  <c r="F182" i="3"/>
  <c r="G182" i="3" s="1"/>
  <c r="R181" i="3"/>
  <c r="O181" i="3"/>
  <c r="S181" i="3" s="1"/>
  <c r="D181" i="3" s="1"/>
  <c r="J181" i="3"/>
  <c r="F181" i="3"/>
  <c r="G181" i="3" s="1"/>
  <c r="R180" i="3"/>
  <c r="O180" i="3"/>
  <c r="S180" i="3" s="1"/>
  <c r="D180" i="3" s="1"/>
  <c r="J180" i="3"/>
  <c r="F180" i="3"/>
  <c r="G180" i="3" s="1"/>
  <c r="R179" i="3"/>
  <c r="O179" i="3"/>
  <c r="S179" i="3" s="1"/>
  <c r="D179" i="3" s="1"/>
  <c r="J179" i="3"/>
  <c r="F179" i="3"/>
  <c r="G179" i="3" s="1"/>
  <c r="R178" i="3"/>
  <c r="O178" i="3"/>
  <c r="S178" i="3" s="1"/>
  <c r="D178" i="3" s="1"/>
  <c r="J178" i="3"/>
  <c r="F178" i="3"/>
  <c r="G178" i="3" s="1"/>
  <c r="R177" i="3"/>
  <c r="O177" i="3"/>
  <c r="S177" i="3" s="1"/>
  <c r="D177" i="3" s="1"/>
  <c r="J177" i="3"/>
  <c r="F177" i="3"/>
  <c r="G177" i="3" s="1"/>
  <c r="R176" i="3"/>
  <c r="O176" i="3"/>
  <c r="S176" i="3" s="1"/>
  <c r="D176" i="3" s="1"/>
  <c r="J176" i="3"/>
  <c r="F176" i="3"/>
  <c r="G176" i="3" s="1"/>
  <c r="R175" i="3"/>
  <c r="O175" i="3"/>
  <c r="S175" i="3" s="1"/>
  <c r="D175" i="3" s="1"/>
  <c r="J175" i="3"/>
  <c r="F175" i="3"/>
  <c r="G175" i="3" s="1"/>
  <c r="R174" i="3"/>
  <c r="O174" i="3"/>
  <c r="S174" i="3" s="1"/>
  <c r="D174" i="3" s="1"/>
  <c r="J174" i="3"/>
  <c r="F174" i="3"/>
  <c r="G174" i="3" s="1"/>
  <c r="R173" i="3"/>
  <c r="O173" i="3"/>
  <c r="S173" i="3" s="1"/>
  <c r="D173" i="3" s="1"/>
  <c r="J173" i="3"/>
  <c r="F173" i="3"/>
  <c r="G173" i="3" s="1"/>
  <c r="R172" i="3"/>
  <c r="O172" i="3"/>
  <c r="S172" i="3" s="1"/>
  <c r="D172" i="3" s="1"/>
  <c r="J172" i="3"/>
  <c r="F172" i="3"/>
  <c r="G172" i="3" s="1"/>
  <c r="R171" i="3"/>
  <c r="O171" i="3"/>
  <c r="S171" i="3" s="1"/>
  <c r="D171" i="3" s="1"/>
  <c r="J171" i="3"/>
  <c r="F171" i="3"/>
  <c r="G171" i="3" s="1"/>
  <c r="R170" i="3"/>
  <c r="O170" i="3"/>
  <c r="S170" i="3" s="1"/>
  <c r="D170" i="3" s="1"/>
  <c r="J170" i="3"/>
  <c r="F170" i="3"/>
  <c r="G170" i="3" s="1"/>
  <c r="R169" i="3"/>
  <c r="O169" i="3"/>
  <c r="S169" i="3" s="1"/>
  <c r="D169" i="3" s="1"/>
  <c r="J169" i="3"/>
  <c r="F169" i="3"/>
  <c r="G169" i="3" s="1"/>
  <c r="R168" i="3"/>
  <c r="O168" i="3"/>
  <c r="S168" i="3" s="1"/>
  <c r="D168" i="3" s="1"/>
  <c r="J168" i="3"/>
  <c r="F168" i="3"/>
  <c r="G168" i="3" s="1"/>
  <c r="R167" i="3"/>
  <c r="O167" i="3"/>
  <c r="J167" i="3"/>
  <c r="F167" i="3"/>
  <c r="G167" i="3" s="1"/>
  <c r="R166" i="3"/>
  <c r="O166" i="3"/>
  <c r="J166" i="3"/>
  <c r="F166" i="3"/>
  <c r="G166" i="3" s="1"/>
  <c r="R165" i="3"/>
  <c r="O165" i="3"/>
  <c r="J165" i="3"/>
  <c r="F165" i="3"/>
  <c r="G165" i="3" s="1"/>
  <c r="R164" i="3"/>
  <c r="O164" i="3"/>
  <c r="J164" i="3"/>
  <c r="F164" i="3"/>
  <c r="G164" i="3" s="1"/>
  <c r="R163" i="3"/>
  <c r="O163" i="3"/>
  <c r="J163" i="3"/>
  <c r="F163" i="3"/>
  <c r="G163" i="3" s="1"/>
  <c r="R162" i="3"/>
  <c r="O162" i="3"/>
  <c r="S162" i="3" s="1"/>
  <c r="D162" i="3" s="1"/>
  <c r="J162" i="3"/>
  <c r="F162" i="3"/>
  <c r="G162" i="3" s="1"/>
  <c r="R161" i="3"/>
  <c r="O161" i="3"/>
  <c r="S161" i="3" s="1"/>
  <c r="D161" i="3" s="1"/>
  <c r="J161" i="3"/>
  <c r="F161" i="3"/>
  <c r="G161" i="3" s="1"/>
  <c r="R160" i="3"/>
  <c r="O160" i="3"/>
  <c r="S160" i="3" s="1"/>
  <c r="D160" i="3" s="1"/>
  <c r="J160" i="3"/>
  <c r="F160" i="3"/>
  <c r="G160" i="3" s="1"/>
  <c r="R159" i="3"/>
  <c r="O159" i="3"/>
  <c r="J159" i="3"/>
  <c r="F159" i="3"/>
  <c r="G159" i="3" s="1"/>
  <c r="R158" i="3"/>
  <c r="O158" i="3"/>
  <c r="S158" i="3" s="1"/>
  <c r="D158" i="3" s="1"/>
  <c r="J158" i="3"/>
  <c r="F158" i="3"/>
  <c r="G158" i="3" s="1"/>
  <c r="R157" i="3"/>
  <c r="O157" i="3"/>
  <c r="S157" i="3" s="1"/>
  <c r="D157" i="3" s="1"/>
  <c r="J157" i="3"/>
  <c r="F157" i="3"/>
  <c r="G157" i="3" s="1"/>
  <c r="R156" i="3"/>
  <c r="O156" i="3"/>
  <c r="S156" i="3" s="1"/>
  <c r="D156" i="3" s="1"/>
  <c r="J156" i="3"/>
  <c r="F156" i="3"/>
  <c r="G156" i="3" s="1"/>
  <c r="R155" i="3"/>
  <c r="O155" i="3"/>
  <c r="S155" i="3" s="1"/>
  <c r="D155" i="3" s="1"/>
  <c r="J155" i="3"/>
  <c r="F155" i="3"/>
  <c r="G155" i="3" s="1"/>
  <c r="R154" i="3"/>
  <c r="O154" i="3"/>
  <c r="S154" i="3" s="1"/>
  <c r="D154" i="3" s="1"/>
  <c r="J154" i="3"/>
  <c r="F154" i="3"/>
  <c r="G154" i="3" s="1"/>
  <c r="R153" i="3"/>
  <c r="O153" i="3"/>
  <c r="S153" i="3" s="1"/>
  <c r="D153" i="3" s="1"/>
  <c r="J153" i="3"/>
  <c r="F153" i="3"/>
  <c r="G153" i="3" s="1"/>
  <c r="R152" i="3"/>
  <c r="O152" i="3"/>
  <c r="S152" i="3" s="1"/>
  <c r="D152" i="3" s="1"/>
  <c r="J152" i="3"/>
  <c r="F152" i="3"/>
  <c r="G152" i="3" s="1"/>
  <c r="R151" i="3"/>
  <c r="O151" i="3"/>
  <c r="S151" i="3" s="1"/>
  <c r="D151" i="3" s="1"/>
  <c r="J151" i="3"/>
  <c r="F151" i="3"/>
  <c r="G151" i="3" s="1"/>
  <c r="R150" i="3"/>
  <c r="O150" i="3"/>
  <c r="S150" i="3" s="1"/>
  <c r="D150" i="3" s="1"/>
  <c r="J150" i="3"/>
  <c r="F150" i="3"/>
  <c r="G150" i="3" s="1"/>
  <c r="R149" i="3"/>
  <c r="O149" i="3"/>
  <c r="S149" i="3" s="1"/>
  <c r="D149" i="3" s="1"/>
  <c r="J149" i="3"/>
  <c r="F149" i="3"/>
  <c r="G149" i="3" s="1"/>
  <c r="R148" i="3"/>
  <c r="O148" i="3"/>
  <c r="S148" i="3" s="1"/>
  <c r="D148" i="3" s="1"/>
  <c r="J148" i="3"/>
  <c r="F148" i="3"/>
  <c r="G148" i="3" s="1"/>
  <c r="R147" i="3"/>
  <c r="O147" i="3"/>
  <c r="S147" i="3" s="1"/>
  <c r="D147" i="3" s="1"/>
  <c r="J147" i="3"/>
  <c r="F147" i="3"/>
  <c r="G147" i="3" s="1"/>
  <c r="R146" i="3"/>
  <c r="O146" i="3"/>
  <c r="S146" i="3" s="1"/>
  <c r="D146" i="3" s="1"/>
  <c r="J146" i="3"/>
  <c r="F146" i="3"/>
  <c r="G146" i="3" s="1"/>
  <c r="R145" i="3"/>
  <c r="O145" i="3"/>
  <c r="S145" i="3" s="1"/>
  <c r="D145" i="3" s="1"/>
  <c r="J145" i="3"/>
  <c r="F145" i="3"/>
  <c r="G145" i="3" s="1"/>
  <c r="R144" i="3"/>
  <c r="O144" i="3"/>
  <c r="S144" i="3" s="1"/>
  <c r="D144" i="3" s="1"/>
  <c r="J144" i="3"/>
  <c r="F144" i="3"/>
  <c r="G144" i="3" s="1"/>
  <c r="R143" i="3"/>
  <c r="O143" i="3"/>
  <c r="S143" i="3" s="1"/>
  <c r="D143" i="3" s="1"/>
  <c r="J143" i="3"/>
  <c r="F143" i="3"/>
  <c r="G143" i="3" s="1"/>
  <c r="R142" i="3"/>
  <c r="O142" i="3"/>
  <c r="S142" i="3" s="1"/>
  <c r="D142" i="3" s="1"/>
  <c r="J142" i="3"/>
  <c r="F142" i="3"/>
  <c r="G142" i="3" s="1"/>
  <c r="R141" i="3"/>
  <c r="O141" i="3"/>
  <c r="S141" i="3" s="1"/>
  <c r="D141" i="3" s="1"/>
  <c r="J141" i="3"/>
  <c r="F141" i="3"/>
  <c r="G141" i="3" s="1"/>
  <c r="R140" i="3"/>
  <c r="O140" i="3"/>
  <c r="S140" i="3" s="1"/>
  <c r="D140" i="3" s="1"/>
  <c r="J140" i="3"/>
  <c r="F140" i="3"/>
  <c r="G140" i="3" s="1"/>
  <c r="R139" i="3"/>
  <c r="O139" i="3"/>
  <c r="S139" i="3" s="1"/>
  <c r="D139" i="3" s="1"/>
  <c r="J139" i="3"/>
  <c r="F139" i="3"/>
  <c r="G139" i="3" s="1"/>
  <c r="R138" i="3"/>
  <c r="O138" i="3"/>
  <c r="S138" i="3" s="1"/>
  <c r="D138" i="3" s="1"/>
  <c r="J138" i="3"/>
  <c r="F138" i="3"/>
  <c r="G138" i="3" s="1"/>
  <c r="R137" i="3"/>
  <c r="O137" i="3"/>
  <c r="S137" i="3" s="1"/>
  <c r="D137" i="3" s="1"/>
  <c r="J137" i="3"/>
  <c r="F137" i="3"/>
  <c r="G137" i="3" s="1"/>
  <c r="R136" i="3"/>
  <c r="O136" i="3"/>
  <c r="S136" i="3" s="1"/>
  <c r="D136" i="3" s="1"/>
  <c r="J136" i="3"/>
  <c r="F136" i="3"/>
  <c r="G136" i="3" s="1"/>
  <c r="R135" i="3"/>
  <c r="O135" i="3"/>
  <c r="S135" i="3" s="1"/>
  <c r="D135" i="3" s="1"/>
  <c r="J135" i="3"/>
  <c r="F135" i="3"/>
  <c r="G135" i="3" s="1"/>
  <c r="R134" i="3"/>
  <c r="O134" i="3"/>
  <c r="S134" i="3" s="1"/>
  <c r="D134" i="3" s="1"/>
  <c r="J134" i="3"/>
  <c r="F134" i="3"/>
  <c r="G134" i="3" s="1"/>
  <c r="R133" i="3"/>
  <c r="O133" i="3"/>
  <c r="S133" i="3" s="1"/>
  <c r="D133" i="3" s="1"/>
  <c r="J133" i="3"/>
  <c r="F133" i="3"/>
  <c r="G133" i="3" s="1"/>
  <c r="R132" i="3"/>
  <c r="O132" i="3"/>
  <c r="S132" i="3" s="1"/>
  <c r="D132" i="3" s="1"/>
  <c r="J132" i="3"/>
  <c r="F132" i="3"/>
  <c r="G132" i="3" s="1"/>
  <c r="R131" i="3"/>
  <c r="O131" i="3"/>
  <c r="S131" i="3" s="1"/>
  <c r="D131" i="3" s="1"/>
  <c r="J131" i="3"/>
  <c r="F131" i="3"/>
  <c r="G131" i="3" s="1"/>
  <c r="R130" i="3"/>
  <c r="O130" i="3"/>
  <c r="S130" i="3" s="1"/>
  <c r="D130" i="3" s="1"/>
  <c r="J130" i="3"/>
  <c r="F130" i="3"/>
  <c r="G130" i="3" s="1"/>
  <c r="R129" i="3"/>
  <c r="O129" i="3"/>
  <c r="J129" i="3"/>
  <c r="F129" i="3"/>
  <c r="G129" i="3" s="1"/>
  <c r="R128" i="3"/>
  <c r="O128" i="3"/>
  <c r="J128" i="3"/>
  <c r="F128" i="3"/>
  <c r="G128" i="3" s="1"/>
  <c r="R127" i="3"/>
  <c r="O127" i="3"/>
  <c r="S127" i="3" s="1"/>
  <c r="D127" i="3" s="1"/>
  <c r="J127" i="3"/>
  <c r="F127" i="3"/>
  <c r="G127" i="3" s="1"/>
  <c r="R126" i="3"/>
  <c r="O126" i="3"/>
  <c r="S126" i="3" s="1"/>
  <c r="D126" i="3" s="1"/>
  <c r="J126" i="3"/>
  <c r="F126" i="3"/>
  <c r="G126" i="3" s="1"/>
  <c r="R125" i="3"/>
  <c r="O125" i="3"/>
  <c r="S125" i="3" s="1"/>
  <c r="D125" i="3" s="1"/>
  <c r="J125" i="3"/>
  <c r="F125" i="3"/>
  <c r="G125" i="3" s="1"/>
  <c r="T124" i="3"/>
  <c r="R124" i="3"/>
  <c r="O124" i="3"/>
  <c r="S124" i="3" s="1"/>
  <c r="D124" i="3" s="1"/>
  <c r="J124" i="3"/>
  <c r="F124" i="3"/>
  <c r="G124" i="3" s="1"/>
  <c r="R123" i="3"/>
  <c r="O123" i="3"/>
  <c r="S123" i="3" s="1"/>
  <c r="D123" i="3" s="1"/>
  <c r="J123" i="3"/>
  <c r="F123" i="3"/>
  <c r="G123" i="3" s="1"/>
  <c r="R122" i="3"/>
  <c r="O122" i="3"/>
  <c r="S122" i="3" s="1"/>
  <c r="D122" i="3" s="1"/>
  <c r="J122" i="3"/>
  <c r="F122" i="3"/>
  <c r="G122" i="3" s="1"/>
  <c r="R121" i="3"/>
  <c r="O121" i="3"/>
  <c r="S121" i="3" s="1"/>
  <c r="D121" i="3" s="1"/>
  <c r="J121" i="3"/>
  <c r="F121" i="3"/>
  <c r="G121" i="3" s="1"/>
  <c r="R120" i="3"/>
  <c r="O120" i="3"/>
  <c r="S120" i="3" s="1"/>
  <c r="D120" i="3" s="1"/>
  <c r="J120" i="3"/>
  <c r="F120" i="3"/>
  <c r="G120" i="3" s="1"/>
  <c r="R119" i="3"/>
  <c r="O119" i="3"/>
  <c r="S119" i="3" s="1"/>
  <c r="D119" i="3" s="1"/>
  <c r="J119" i="3"/>
  <c r="F119" i="3"/>
  <c r="G119" i="3" s="1"/>
  <c r="R118" i="3"/>
  <c r="O118" i="3"/>
  <c r="S118" i="3" s="1"/>
  <c r="D118" i="3" s="1"/>
  <c r="J118" i="3"/>
  <c r="F118" i="3"/>
  <c r="G118" i="3" s="1"/>
  <c r="R117" i="3"/>
  <c r="O117" i="3"/>
  <c r="S117" i="3" s="1"/>
  <c r="D117" i="3" s="1"/>
  <c r="J117" i="3"/>
  <c r="F117" i="3"/>
  <c r="G117" i="3" s="1"/>
  <c r="R116" i="3"/>
  <c r="O116" i="3"/>
  <c r="S116" i="3" s="1"/>
  <c r="D116" i="3" s="1"/>
  <c r="J116" i="3"/>
  <c r="F116" i="3"/>
  <c r="G116" i="3" s="1"/>
  <c r="R115" i="3"/>
  <c r="O115" i="3"/>
  <c r="S115" i="3" s="1"/>
  <c r="D115" i="3" s="1"/>
  <c r="J115" i="3"/>
  <c r="F115" i="3"/>
  <c r="G115" i="3" s="1"/>
  <c r="R114" i="3"/>
  <c r="O114" i="3"/>
  <c r="S114" i="3" s="1"/>
  <c r="D114" i="3" s="1"/>
  <c r="J114" i="3"/>
  <c r="F114" i="3"/>
  <c r="G114" i="3" s="1"/>
  <c r="R113" i="3"/>
  <c r="O113" i="3"/>
  <c r="S113" i="3" s="1"/>
  <c r="D113" i="3" s="1"/>
  <c r="J113" i="3"/>
  <c r="F113" i="3"/>
  <c r="G113" i="3" s="1"/>
  <c r="R112" i="3"/>
  <c r="O112" i="3"/>
  <c r="S112" i="3" s="1"/>
  <c r="D112" i="3" s="1"/>
  <c r="J112" i="3"/>
  <c r="F112" i="3"/>
  <c r="G112" i="3" s="1"/>
  <c r="R111" i="3"/>
  <c r="O111" i="3"/>
  <c r="S111" i="3" s="1"/>
  <c r="D111" i="3" s="1"/>
  <c r="J111" i="3"/>
  <c r="F111" i="3"/>
  <c r="G111" i="3" s="1"/>
  <c r="R110" i="3"/>
  <c r="O110" i="3"/>
  <c r="S110" i="3" s="1"/>
  <c r="D110" i="3" s="1"/>
  <c r="J110" i="3"/>
  <c r="F110" i="3"/>
  <c r="G110" i="3" s="1"/>
  <c r="R109" i="3"/>
  <c r="O109" i="3"/>
  <c r="S109" i="3" s="1"/>
  <c r="D109" i="3" s="1"/>
  <c r="J109" i="3"/>
  <c r="F109" i="3"/>
  <c r="G109" i="3" s="1"/>
  <c r="R108" i="3"/>
  <c r="O108" i="3"/>
  <c r="S108" i="3" s="1"/>
  <c r="D108" i="3" s="1"/>
  <c r="J108" i="3"/>
  <c r="F108" i="3"/>
  <c r="G108" i="3" s="1"/>
  <c r="R107" i="3"/>
  <c r="O107" i="3"/>
  <c r="J107" i="3"/>
  <c r="F107" i="3"/>
  <c r="G107" i="3" s="1"/>
  <c r="R106" i="3"/>
  <c r="O106" i="3"/>
  <c r="J106" i="3"/>
  <c r="F106" i="3"/>
  <c r="G106" i="3" s="1"/>
  <c r="R105" i="3"/>
  <c r="O105" i="3"/>
  <c r="J105" i="3"/>
  <c r="F105" i="3"/>
  <c r="G105" i="3" s="1"/>
  <c r="R104" i="3"/>
  <c r="O104" i="3"/>
  <c r="J104" i="3"/>
  <c r="F104" i="3"/>
  <c r="G104" i="3" s="1"/>
  <c r="R103" i="3"/>
  <c r="O103" i="3"/>
  <c r="J103" i="3"/>
  <c r="F103" i="3"/>
  <c r="G103" i="3" s="1"/>
  <c r="R102" i="3"/>
  <c r="O102" i="3"/>
  <c r="J102" i="3"/>
  <c r="F102" i="3"/>
  <c r="G102" i="3" s="1"/>
  <c r="R101" i="3"/>
  <c r="O101" i="3"/>
  <c r="J101" i="3"/>
  <c r="F101" i="3"/>
  <c r="G101" i="3" s="1"/>
  <c r="R100" i="3"/>
  <c r="O100" i="3"/>
  <c r="S100" i="3" s="1"/>
  <c r="D100" i="3" s="1"/>
  <c r="J100" i="3"/>
  <c r="F100" i="3"/>
  <c r="G100" i="3" s="1"/>
  <c r="R99" i="3"/>
  <c r="O99" i="3"/>
  <c r="S99" i="3" s="1"/>
  <c r="D99" i="3" s="1"/>
  <c r="J99" i="3"/>
  <c r="F99" i="3"/>
  <c r="G99" i="3" s="1"/>
  <c r="R98" i="3"/>
  <c r="O98" i="3"/>
  <c r="J98" i="3"/>
  <c r="F98" i="3"/>
  <c r="G98" i="3" s="1"/>
  <c r="R97" i="3"/>
  <c r="O97" i="3"/>
  <c r="J97" i="3"/>
  <c r="F97" i="3"/>
  <c r="G97" i="3" s="1"/>
  <c r="R96" i="3"/>
  <c r="O96" i="3"/>
  <c r="S96" i="3" s="1"/>
  <c r="D96" i="3" s="1"/>
  <c r="J96" i="3"/>
  <c r="F96" i="3"/>
  <c r="G96" i="3" s="1"/>
  <c r="R95" i="3"/>
  <c r="O95" i="3"/>
  <c r="J95" i="3"/>
  <c r="F95" i="3"/>
  <c r="G95" i="3" s="1"/>
  <c r="R94" i="3"/>
  <c r="O94" i="3"/>
  <c r="J94" i="3"/>
  <c r="F94" i="3"/>
  <c r="G94" i="3" s="1"/>
  <c r="R93" i="3"/>
  <c r="O93" i="3"/>
  <c r="J93" i="3"/>
  <c r="F93" i="3"/>
  <c r="G93" i="3" s="1"/>
  <c r="R92" i="3"/>
  <c r="O92" i="3"/>
  <c r="S92" i="3" s="1"/>
  <c r="D92" i="3" s="1"/>
  <c r="J92" i="3"/>
  <c r="F92" i="3"/>
  <c r="G92" i="3" s="1"/>
  <c r="R91" i="3"/>
  <c r="O91" i="3"/>
  <c r="J91" i="3"/>
  <c r="F91" i="3"/>
  <c r="G91" i="3" s="1"/>
  <c r="R90" i="3"/>
  <c r="O90" i="3"/>
  <c r="J90" i="3"/>
  <c r="F90" i="3"/>
  <c r="G90" i="3" s="1"/>
  <c r="R89" i="3"/>
  <c r="O89" i="3"/>
  <c r="J89" i="3"/>
  <c r="F89" i="3"/>
  <c r="G89" i="3" s="1"/>
  <c r="R88" i="3"/>
  <c r="O88" i="3"/>
  <c r="J88" i="3"/>
  <c r="F88" i="3"/>
  <c r="G88" i="3" s="1"/>
  <c r="R87" i="3"/>
  <c r="O87" i="3"/>
  <c r="J87" i="3"/>
  <c r="F87" i="3"/>
  <c r="G87" i="3" s="1"/>
  <c r="R86" i="3"/>
  <c r="O86" i="3"/>
  <c r="J86" i="3"/>
  <c r="F86" i="3"/>
  <c r="G86" i="3" s="1"/>
  <c r="R85" i="3"/>
  <c r="O85" i="3"/>
  <c r="S85" i="3" s="1"/>
  <c r="D85" i="3" s="1"/>
  <c r="J85" i="3"/>
  <c r="F85" i="3"/>
  <c r="G85" i="3" s="1"/>
  <c r="R84" i="3"/>
  <c r="O84" i="3"/>
  <c r="J84" i="3"/>
  <c r="F84" i="3"/>
  <c r="G84" i="3" s="1"/>
  <c r="R83" i="3"/>
  <c r="O83" i="3"/>
  <c r="J83" i="3"/>
  <c r="F83" i="3"/>
  <c r="G83" i="3" s="1"/>
  <c r="R82" i="3"/>
  <c r="O82" i="3"/>
  <c r="J82" i="3"/>
  <c r="F82" i="3"/>
  <c r="G82" i="3" s="1"/>
  <c r="R81" i="3"/>
  <c r="O81" i="3"/>
  <c r="S81" i="3" s="1"/>
  <c r="D81" i="3" s="1"/>
  <c r="J81" i="3"/>
  <c r="F81" i="3"/>
  <c r="G81" i="3" s="1"/>
  <c r="R80" i="3"/>
  <c r="O80" i="3"/>
  <c r="J80" i="3"/>
  <c r="F80" i="3"/>
  <c r="G80" i="3" s="1"/>
  <c r="R79" i="3"/>
  <c r="O79" i="3"/>
  <c r="S79" i="3" s="1"/>
  <c r="D79" i="3" s="1"/>
  <c r="J79" i="3"/>
  <c r="F79" i="3"/>
  <c r="G79" i="3" s="1"/>
  <c r="R78" i="3"/>
  <c r="O78" i="3"/>
  <c r="S78" i="3" s="1"/>
  <c r="D78" i="3" s="1"/>
  <c r="J78" i="3"/>
  <c r="F78" i="3"/>
  <c r="G78" i="3" s="1"/>
  <c r="R77" i="3"/>
  <c r="O77" i="3"/>
  <c r="S77" i="3" s="1"/>
  <c r="D77" i="3" s="1"/>
  <c r="J77" i="3"/>
  <c r="F77" i="3"/>
  <c r="G77" i="3" s="1"/>
  <c r="R76" i="3"/>
  <c r="O76" i="3"/>
  <c r="S76" i="3" s="1"/>
  <c r="D76" i="3" s="1"/>
  <c r="J76" i="3"/>
  <c r="F76" i="3"/>
  <c r="G76" i="3" s="1"/>
  <c r="R75" i="3"/>
  <c r="O75" i="3"/>
  <c r="S75" i="3" s="1"/>
  <c r="D75" i="3" s="1"/>
  <c r="J75" i="3"/>
  <c r="F75" i="3"/>
  <c r="G75" i="3" s="1"/>
  <c r="R74" i="3"/>
  <c r="O74" i="3"/>
  <c r="S74" i="3" s="1"/>
  <c r="D74" i="3" s="1"/>
  <c r="J74" i="3"/>
  <c r="F74" i="3"/>
  <c r="G74" i="3" s="1"/>
  <c r="R73" i="3"/>
  <c r="O73" i="3"/>
  <c r="S73" i="3" s="1"/>
  <c r="D73" i="3" s="1"/>
  <c r="J73" i="3"/>
  <c r="F73" i="3"/>
  <c r="G73" i="3" s="1"/>
  <c r="R72" i="3"/>
  <c r="O72" i="3"/>
  <c r="S72" i="3" s="1"/>
  <c r="D72" i="3" s="1"/>
  <c r="J72" i="3"/>
  <c r="F72" i="3"/>
  <c r="G72" i="3" s="1"/>
  <c r="R71" i="3"/>
  <c r="O71" i="3"/>
  <c r="S71" i="3" s="1"/>
  <c r="D71" i="3" s="1"/>
  <c r="J71" i="3"/>
  <c r="F71" i="3"/>
  <c r="G71" i="3" s="1"/>
  <c r="R70" i="3"/>
  <c r="O70" i="3"/>
  <c r="S70" i="3" s="1"/>
  <c r="D70" i="3" s="1"/>
  <c r="J70" i="3"/>
  <c r="F70" i="3"/>
  <c r="G70" i="3" s="1"/>
  <c r="R69" i="3"/>
  <c r="O69" i="3"/>
  <c r="S69" i="3" s="1"/>
  <c r="D69" i="3" s="1"/>
  <c r="J69" i="3"/>
  <c r="F69" i="3"/>
  <c r="G69" i="3" s="1"/>
  <c r="R68" i="3"/>
  <c r="O68" i="3"/>
  <c r="S68" i="3" s="1"/>
  <c r="D68" i="3" s="1"/>
  <c r="J68" i="3"/>
  <c r="F68" i="3"/>
  <c r="G68" i="3" s="1"/>
  <c r="R67" i="3"/>
  <c r="O67" i="3"/>
  <c r="S67" i="3" s="1"/>
  <c r="D67" i="3" s="1"/>
  <c r="J67" i="3"/>
  <c r="F67" i="3"/>
  <c r="G67" i="3" s="1"/>
  <c r="R66" i="3"/>
  <c r="O66" i="3"/>
  <c r="S66" i="3" s="1"/>
  <c r="D66" i="3" s="1"/>
  <c r="J66" i="3"/>
  <c r="F66" i="3"/>
  <c r="G66" i="3" s="1"/>
  <c r="R65" i="3"/>
  <c r="O65" i="3"/>
  <c r="S65" i="3" s="1"/>
  <c r="D65" i="3" s="1"/>
  <c r="J65" i="3"/>
  <c r="F65" i="3"/>
  <c r="G65" i="3" s="1"/>
  <c r="R64" i="3"/>
  <c r="O64" i="3"/>
  <c r="S64" i="3" s="1"/>
  <c r="D64" i="3" s="1"/>
  <c r="J64" i="3"/>
  <c r="F64" i="3"/>
  <c r="G64" i="3" s="1"/>
  <c r="R63" i="3"/>
  <c r="O63" i="3"/>
  <c r="S63" i="3" s="1"/>
  <c r="D63" i="3" s="1"/>
  <c r="J63" i="3"/>
  <c r="F63" i="3"/>
  <c r="G63" i="3" s="1"/>
  <c r="R62" i="3"/>
  <c r="O62" i="3"/>
  <c r="S62" i="3" s="1"/>
  <c r="D62" i="3" s="1"/>
  <c r="J62" i="3"/>
  <c r="F62" i="3"/>
  <c r="G62" i="3" s="1"/>
  <c r="R61" i="3"/>
  <c r="O61" i="3"/>
  <c r="S61" i="3" s="1"/>
  <c r="D61" i="3" s="1"/>
  <c r="J61" i="3"/>
  <c r="F61" i="3"/>
  <c r="G61" i="3" s="1"/>
  <c r="R60" i="3"/>
  <c r="O60" i="3"/>
  <c r="S60" i="3" s="1"/>
  <c r="D60" i="3" s="1"/>
  <c r="J60" i="3"/>
  <c r="F60" i="3"/>
  <c r="G60" i="3" s="1"/>
  <c r="R59" i="3"/>
  <c r="O59" i="3"/>
  <c r="J59" i="3"/>
  <c r="F59" i="3"/>
  <c r="R58" i="3"/>
  <c r="O58" i="3"/>
  <c r="S58" i="3" s="1"/>
  <c r="D58" i="3" s="1"/>
  <c r="J58" i="3"/>
  <c r="F58" i="3"/>
  <c r="G58" i="3" s="1"/>
  <c r="R57" i="3"/>
  <c r="O57" i="3"/>
  <c r="S57" i="3" s="1"/>
  <c r="D57" i="3" s="1"/>
  <c r="J57" i="3"/>
  <c r="F57" i="3"/>
  <c r="G57" i="3" s="1"/>
  <c r="R56" i="3"/>
  <c r="O56" i="3"/>
  <c r="S56" i="3" s="1"/>
  <c r="D56" i="3" s="1"/>
  <c r="J56" i="3"/>
  <c r="F56" i="3"/>
  <c r="G56" i="3" s="1"/>
  <c r="R55" i="3"/>
  <c r="O55" i="3"/>
  <c r="S55" i="3" s="1"/>
  <c r="D55" i="3" s="1"/>
  <c r="J55" i="3"/>
  <c r="F55" i="3"/>
  <c r="G55" i="3" s="1"/>
  <c r="R54" i="3"/>
  <c r="O54" i="3"/>
  <c r="S54" i="3" s="1"/>
  <c r="D54" i="3" s="1"/>
  <c r="J54" i="3"/>
  <c r="F54" i="3"/>
  <c r="G54" i="3" s="1"/>
  <c r="R53" i="3"/>
  <c r="O53" i="3"/>
  <c r="S53" i="3" s="1"/>
  <c r="D53" i="3" s="1"/>
  <c r="J53" i="3"/>
  <c r="F53" i="3"/>
  <c r="G53" i="3" s="1"/>
  <c r="R52" i="3"/>
  <c r="O52" i="3"/>
  <c r="S52" i="3" s="1"/>
  <c r="D52" i="3" s="1"/>
  <c r="J52" i="3"/>
  <c r="F52" i="3"/>
  <c r="G52" i="3" s="1"/>
  <c r="R51" i="3"/>
  <c r="O51" i="3"/>
  <c r="S51" i="3" s="1"/>
  <c r="D51" i="3" s="1"/>
  <c r="J51" i="3"/>
  <c r="F51" i="3"/>
  <c r="G51" i="3" s="1"/>
  <c r="R50" i="3"/>
  <c r="O50" i="3"/>
  <c r="S50" i="3" s="1"/>
  <c r="D50" i="3" s="1"/>
  <c r="J50" i="3"/>
  <c r="F50" i="3"/>
  <c r="G50" i="3" s="1"/>
  <c r="R49" i="3"/>
  <c r="O49" i="3"/>
  <c r="S49" i="3" s="1"/>
  <c r="D49" i="3" s="1"/>
  <c r="J49" i="3"/>
  <c r="F49" i="3"/>
  <c r="G49" i="3" s="1"/>
  <c r="R48" i="3"/>
  <c r="O48" i="3"/>
  <c r="S48" i="3" s="1"/>
  <c r="D48" i="3" s="1"/>
  <c r="J48" i="3"/>
  <c r="F48" i="3"/>
  <c r="G48" i="3" s="1"/>
  <c r="R47" i="3"/>
  <c r="O47" i="3"/>
  <c r="S47" i="3" s="1"/>
  <c r="D47" i="3" s="1"/>
  <c r="J47" i="3"/>
  <c r="F47" i="3"/>
  <c r="G47" i="3" s="1"/>
  <c r="R46" i="3"/>
  <c r="O46" i="3"/>
  <c r="S46" i="3" s="1"/>
  <c r="D46" i="3" s="1"/>
  <c r="J46" i="3"/>
  <c r="F46" i="3"/>
  <c r="G46" i="3" s="1"/>
  <c r="R45" i="3"/>
  <c r="O45" i="3"/>
  <c r="S45" i="3" s="1"/>
  <c r="D45" i="3" s="1"/>
  <c r="J45" i="3"/>
  <c r="F45" i="3"/>
  <c r="G45" i="3" s="1"/>
  <c r="R44" i="3"/>
  <c r="O44" i="3"/>
  <c r="S44" i="3" s="1"/>
  <c r="D44" i="3" s="1"/>
  <c r="J44" i="3"/>
  <c r="F44" i="3"/>
  <c r="G44" i="3" s="1"/>
  <c r="R43" i="3"/>
  <c r="O43" i="3"/>
  <c r="S43" i="3" s="1"/>
  <c r="D43" i="3" s="1"/>
  <c r="J43" i="3"/>
  <c r="F43" i="3"/>
  <c r="G43" i="3" s="1"/>
  <c r="R42" i="3"/>
  <c r="O42" i="3"/>
  <c r="S42" i="3" s="1"/>
  <c r="D42" i="3" s="1"/>
  <c r="J42" i="3"/>
  <c r="F42" i="3"/>
  <c r="G42" i="3" s="1"/>
  <c r="R41" i="3"/>
  <c r="O41" i="3"/>
  <c r="S41" i="3" s="1"/>
  <c r="D41" i="3" s="1"/>
  <c r="J41" i="3"/>
  <c r="F41" i="3"/>
  <c r="G41" i="3" s="1"/>
  <c r="R40" i="3"/>
  <c r="O40" i="3"/>
  <c r="S40" i="3" s="1"/>
  <c r="D40" i="3" s="1"/>
  <c r="J40" i="3"/>
  <c r="F40" i="3"/>
  <c r="G40" i="3" s="1"/>
  <c r="R39" i="3"/>
  <c r="O39" i="3"/>
  <c r="S39" i="3" s="1"/>
  <c r="D39" i="3" s="1"/>
  <c r="J39" i="3"/>
  <c r="F39" i="3"/>
  <c r="G39" i="3" s="1"/>
  <c r="R38" i="3"/>
  <c r="O38" i="3"/>
  <c r="S38" i="3" s="1"/>
  <c r="D38" i="3" s="1"/>
  <c r="J38" i="3"/>
  <c r="F38" i="3"/>
  <c r="G38" i="3" s="1"/>
  <c r="R37" i="3"/>
  <c r="O37" i="3"/>
  <c r="S37" i="3" s="1"/>
  <c r="D37" i="3" s="1"/>
  <c r="J37" i="3"/>
  <c r="F37" i="3"/>
  <c r="G37" i="3" s="1"/>
  <c r="R36" i="3"/>
  <c r="O36" i="3"/>
  <c r="S36" i="3" s="1"/>
  <c r="D36" i="3" s="1"/>
  <c r="J36" i="3"/>
  <c r="F36" i="3"/>
  <c r="G36" i="3" s="1"/>
  <c r="R35" i="3"/>
  <c r="O35" i="3"/>
  <c r="S35" i="3" s="1"/>
  <c r="D35" i="3" s="1"/>
  <c r="J35" i="3"/>
  <c r="F35" i="3"/>
  <c r="G35" i="3" s="1"/>
  <c r="R34" i="3"/>
  <c r="O34" i="3"/>
  <c r="S34" i="3" s="1"/>
  <c r="D34" i="3" s="1"/>
  <c r="J34" i="3"/>
  <c r="F34" i="3"/>
  <c r="G34" i="3" s="1"/>
  <c r="R33" i="3"/>
  <c r="O33" i="3"/>
  <c r="S33" i="3" s="1"/>
  <c r="D33" i="3" s="1"/>
  <c r="J33" i="3"/>
  <c r="F33" i="3"/>
  <c r="G33" i="3" s="1"/>
  <c r="R32" i="3"/>
  <c r="O32" i="3"/>
  <c r="S32" i="3" s="1"/>
  <c r="D32" i="3" s="1"/>
  <c r="J32" i="3"/>
  <c r="F32" i="3"/>
  <c r="G32" i="3" s="1"/>
  <c r="R31" i="3"/>
  <c r="O31" i="3"/>
  <c r="S31" i="3" s="1"/>
  <c r="D31" i="3" s="1"/>
  <c r="J31" i="3"/>
  <c r="F31" i="3"/>
  <c r="G31" i="3" s="1"/>
  <c r="R30" i="3"/>
  <c r="O30" i="3"/>
  <c r="S30" i="3" s="1"/>
  <c r="D30" i="3" s="1"/>
  <c r="J30" i="3"/>
  <c r="F30" i="3"/>
  <c r="G30" i="3" s="1"/>
  <c r="R29" i="3"/>
  <c r="O29" i="3"/>
  <c r="S29" i="3" s="1"/>
  <c r="D29" i="3" s="1"/>
  <c r="J29" i="3"/>
  <c r="F29" i="3"/>
  <c r="G29" i="3" s="1"/>
  <c r="R28" i="3"/>
  <c r="O28" i="3"/>
  <c r="S28" i="3" s="1"/>
  <c r="D28" i="3" s="1"/>
  <c r="J28" i="3"/>
  <c r="F28" i="3"/>
  <c r="G28" i="3" s="1"/>
  <c r="R27" i="3"/>
  <c r="O27" i="3"/>
  <c r="S27" i="3" s="1"/>
  <c r="D27" i="3" s="1"/>
  <c r="J27" i="3"/>
  <c r="F27" i="3"/>
  <c r="G27" i="3" s="1"/>
  <c r="R26" i="3"/>
  <c r="O26" i="3"/>
  <c r="S26" i="3" s="1"/>
  <c r="D26" i="3" s="1"/>
  <c r="J26" i="3"/>
  <c r="F26" i="3"/>
  <c r="G26" i="3" s="1"/>
  <c r="R25" i="3"/>
  <c r="O25" i="3"/>
  <c r="S25" i="3" s="1"/>
  <c r="D25" i="3" s="1"/>
  <c r="J25" i="3"/>
  <c r="F25" i="3"/>
  <c r="G25" i="3" s="1"/>
  <c r="R24" i="3"/>
  <c r="O24" i="3"/>
  <c r="S24" i="3" s="1"/>
  <c r="D24" i="3" s="1"/>
  <c r="J24" i="3"/>
  <c r="F24" i="3"/>
  <c r="G24" i="3" s="1"/>
  <c r="R23" i="3"/>
  <c r="O23" i="3"/>
  <c r="S23" i="3" s="1"/>
  <c r="D23" i="3" s="1"/>
  <c r="J23" i="3"/>
  <c r="F23" i="3"/>
  <c r="G23" i="3" s="1"/>
  <c r="R22" i="3"/>
  <c r="O22" i="3"/>
  <c r="S22" i="3" s="1"/>
  <c r="D22" i="3" s="1"/>
  <c r="J22" i="3"/>
  <c r="F22" i="3"/>
  <c r="G22" i="3" s="1"/>
  <c r="R21" i="3"/>
  <c r="O21" i="3"/>
  <c r="S21" i="3" s="1"/>
  <c r="D21" i="3" s="1"/>
  <c r="J21" i="3"/>
  <c r="F21" i="3"/>
  <c r="G21" i="3" s="1"/>
  <c r="R20" i="3"/>
  <c r="O20" i="3"/>
  <c r="S20" i="3" s="1"/>
  <c r="D20" i="3" s="1"/>
  <c r="J20" i="3"/>
  <c r="F20" i="3"/>
  <c r="G20" i="3" s="1"/>
  <c r="R19" i="3"/>
  <c r="O19" i="3"/>
  <c r="S19" i="3" s="1"/>
  <c r="D19" i="3" s="1"/>
  <c r="J19" i="3"/>
  <c r="F19" i="3"/>
  <c r="G19" i="3" s="1"/>
  <c r="R18" i="3"/>
  <c r="O18" i="3"/>
  <c r="S18" i="3" s="1"/>
  <c r="D18" i="3" s="1"/>
  <c r="J18" i="3"/>
  <c r="F18" i="3"/>
  <c r="G18" i="3" s="1"/>
  <c r="R17" i="3"/>
  <c r="O17" i="3"/>
  <c r="S17" i="3" s="1"/>
  <c r="D17" i="3" s="1"/>
  <c r="J17" i="3"/>
  <c r="F17" i="3"/>
  <c r="G17" i="3" s="1"/>
  <c r="R16" i="3"/>
  <c r="O16" i="3"/>
  <c r="S16" i="3" s="1"/>
  <c r="D16" i="3" s="1"/>
  <c r="J16" i="3"/>
  <c r="F16" i="3"/>
  <c r="G16" i="3" s="1"/>
  <c r="R15" i="3"/>
  <c r="O15" i="3"/>
  <c r="S15" i="3" s="1"/>
  <c r="D15" i="3" s="1"/>
  <c r="J15" i="3"/>
  <c r="F15" i="3"/>
  <c r="G15" i="3" s="1"/>
  <c r="R14" i="3"/>
  <c r="O14" i="3"/>
  <c r="S14" i="3" s="1"/>
  <c r="D14" i="3" s="1"/>
  <c r="J14" i="3"/>
  <c r="F14" i="3"/>
  <c r="G14" i="3" s="1"/>
  <c r="R13" i="3"/>
  <c r="O13" i="3"/>
  <c r="S13" i="3" s="1"/>
  <c r="D13" i="3" s="1"/>
  <c r="J13" i="3"/>
  <c r="F13" i="3"/>
  <c r="G13" i="3" s="1"/>
  <c r="R12" i="3"/>
  <c r="O12" i="3"/>
  <c r="S12" i="3" s="1"/>
  <c r="D12" i="3" s="1"/>
  <c r="J12" i="3"/>
  <c r="F12" i="3"/>
  <c r="G12" i="3" s="1"/>
  <c r="R11" i="3"/>
  <c r="O11" i="3"/>
  <c r="S11" i="3" s="1"/>
  <c r="D11" i="3" s="1"/>
  <c r="J11" i="3"/>
  <c r="F11" i="3"/>
  <c r="G11" i="3" s="1"/>
  <c r="R10" i="3"/>
  <c r="O10" i="3"/>
  <c r="S10" i="3" s="1"/>
  <c r="D10" i="3" s="1"/>
  <c r="J10" i="3"/>
  <c r="F10" i="3"/>
  <c r="G10" i="3" s="1"/>
  <c r="R9" i="3"/>
  <c r="O9" i="3"/>
  <c r="S9" i="3" s="1"/>
  <c r="D9" i="3" s="1"/>
  <c r="J9" i="3"/>
  <c r="F9" i="3"/>
  <c r="G9" i="3" s="1"/>
  <c r="R8" i="3"/>
  <c r="O8" i="3"/>
  <c r="S8" i="3" s="1"/>
  <c r="D8" i="3" s="1"/>
  <c r="J8" i="3"/>
  <c r="F8" i="3"/>
  <c r="G8" i="3" s="1"/>
  <c r="N6" i="3"/>
  <c r="M6" i="3"/>
  <c r="I6" i="3"/>
  <c r="E6" i="3"/>
  <c r="B119" i="2"/>
  <c r="J113" i="2"/>
  <c r="G113" i="2"/>
  <c r="F113" i="2"/>
  <c r="E113" i="2"/>
  <c r="B113" i="2"/>
  <c r="J112" i="2"/>
  <c r="G112" i="2"/>
  <c r="F112" i="2"/>
  <c r="E112" i="2"/>
  <c r="B112" i="2"/>
  <c r="J111" i="2"/>
  <c r="G111" i="2"/>
  <c r="F111" i="2"/>
  <c r="E111" i="2"/>
  <c r="B111" i="2"/>
  <c r="J110" i="2"/>
  <c r="G110" i="2"/>
  <c r="F110" i="2"/>
  <c r="E110" i="2"/>
  <c r="B110" i="2"/>
  <c r="J109" i="2"/>
  <c r="G109" i="2"/>
  <c r="F109" i="2"/>
  <c r="E109" i="2"/>
  <c r="B109" i="2"/>
  <c r="J108" i="2"/>
  <c r="G108" i="2"/>
  <c r="F108" i="2"/>
  <c r="E108" i="2"/>
  <c r="B108" i="2"/>
  <c r="J107" i="2"/>
  <c r="G107" i="2"/>
  <c r="F107" i="2"/>
  <c r="E107" i="2"/>
  <c r="B107" i="2"/>
  <c r="J106" i="2"/>
  <c r="G106" i="2"/>
  <c r="F106" i="2"/>
  <c r="E106" i="2"/>
  <c r="B106" i="2"/>
  <c r="J105" i="2"/>
  <c r="G105" i="2"/>
  <c r="F105" i="2"/>
  <c r="E105" i="2"/>
  <c r="B105" i="2"/>
  <c r="J104" i="2"/>
  <c r="G104" i="2"/>
  <c r="F104" i="2"/>
  <c r="E104" i="2"/>
  <c r="B104" i="2"/>
  <c r="J103" i="2"/>
  <c r="L103" i="2" s="1"/>
  <c r="G103" i="2"/>
  <c r="F103" i="2"/>
  <c r="E103" i="2"/>
  <c r="B103" i="2"/>
  <c r="J102" i="2"/>
  <c r="G102" i="2"/>
  <c r="F102" i="2"/>
  <c r="E102" i="2"/>
  <c r="B102" i="2"/>
  <c r="J101" i="2"/>
  <c r="G101" i="2"/>
  <c r="F101" i="2"/>
  <c r="E101" i="2"/>
  <c r="B101" i="2"/>
  <c r="J100" i="2"/>
  <c r="G100" i="2"/>
  <c r="F100" i="2"/>
  <c r="E100" i="2"/>
  <c r="B100" i="2"/>
  <c r="J99" i="2"/>
  <c r="G99" i="2"/>
  <c r="F99" i="2"/>
  <c r="E99" i="2"/>
  <c r="B99" i="2"/>
  <c r="J98" i="2"/>
  <c r="G98" i="2"/>
  <c r="F98" i="2"/>
  <c r="E98" i="2"/>
  <c r="B98" i="2"/>
  <c r="J97" i="2"/>
  <c r="G97" i="2"/>
  <c r="F97" i="2"/>
  <c r="E97" i="2"/>
  <c r="B97" i="2"/>
  <c r="J96" i="2"/>
  <c r="G96" i="2"/>
  <c r="F96" i="2"/>
  <c r="E96" i="2"/>
  <c r="B96" i="2"/>
  <c r="J95" i="2"/>
  <c r="G95" i="2"/>
  <c r="F95" i="2"/>
  <c r="E95" i="2"/>
  <c r="B95" i="2"/>
  <c r="J94" i="2"/>
  <c r="G94" i="2"/>
  <c r="F94" i="2"/>
  <c r="E94" i="2"/>
  <c r="B94" i="2"/>
  <c r="J93" i="2"/>
  <c r="G93" i="2"/>
  <c r="F93" i="2"/>
  <c r="E93" i="2"/>
  <c r="B93" i="2"/>
  <c r="J92" i="2"/>
  <c r="G92" i="2"/>
  <c r="F92" i="2"/>
  <c r="E92" i="2"/>
  <c r="B92" i="2"/>
  <c r="J91" i="2"/>
  <c r="G91" i="2"/>
  <c r="F91" i="2"/>
  <c r="E91" i="2"/>
  <c r="B91" i="2"/>
  <c r="J90" i="2"/>
  <c r="G90" i="2"/>
  <c r="F90" i="2"/>
  <c r="E90" i="2"/>
  <c r="B90" i="2"/>
  <c r="J89" i="2"/>
  <c r="G89" i="2"/>
  <c r="F89" i="2"/>
  <c r="E89" i="2"/>
  <c r="B89" i="2"/>
  <c r="J88" i="2"/>
  <c r="G88" i="2"/>
  <c r="F88" i="2"/>
  <c r="E88" i="2"/>
  <c r="B88" i="2"/>
  <c r="J87" i="2"/>
  <c r="G87" i="2"/>
  <c r="F87" i="2"/>
  <c r="E87" i="2"/>
  <c r="B87" i="2"/>
  <c r="J86" i="2"/>
  <c r="G86" i="2"/>
  <c r="F86" i="2"/>
  <c r="E86" i="2"/>
  <c r="B86" i="2"/>
  <c r="J85" i="2"/>
  <c r="G85" i="2"/>
  <c r="F85" i="2"/>
  <c r="E85" i="2"/>
  <c r="B85" i="2"/>
  <c r="J84" i="2"/>
  <c r="G84" i="2"/>
  <c r="F84" i="2"/>
  <c r="E84" i="2"/>
  <c r="B84" i="2"/>
  <c r="J83" i="2"/>
  <c r="G83" i="2"/>
  <c r="F83" i="2"/>
  <c r="E83" i="2"/>
  <c r="B83" i="2"/>
  <c r="J82" i="2"/>
  <c r="G82" i="2"/>
  <c r="F82" i="2"/>
  <c r="E82" i="2"/>
  <c r="B82" i="2"/>
  <c r="J81" i="2"/>
  <c r="G81" i="2"/>
  <c r="F81" i="2"/>
  <c r="E81" i="2"/>
  <c r="B81" i="2"/>
  <c r="J80" i="2"/>
  <c r="G80" i="2"/>
  <c r="F80" i="2"/>
  <c r="E80" i="2"/>
  <c r="B80" i="2"/>
  <c r="J79" i="2"/>
  <c r="G79" i="2"/>
  <c r="F79" i="2"/>
  <c r="E79" i="2"/>
  <c r="B79" i="2"/>
  <c r="J78" i="2"/>
  <c r="G78" i="2"/>
  <c r="F78" i="2"/>
  <c r="E78" i="2"/>
  <c r="B78" i="2"/>
  <c r="J77" i="2"/>
  <c r="G77" i="2"/>
  <c r="F77" i="2"/>
  <c r="E77" i="2"/>
  <c r="B77" i="2"/>
  <c r="J76" i="2"/>
  <c r="G76" i="2"/>
  <c r="F76" i="2"/>
  <c r="E76" i="2"/>
  <c r="B76" i="2"/>
  <c r="J75" i="2"/>
  <c r="G75" i="2"/>
  <c r="G114" i="2" s="1"/>
  <c r="F75" i="2"/>
  <c r="F114" i="2" s="1"/>
  <c r="E75" i="2"/>
  <c r="E114" i="2" s="1"/>
  <c r="B75" i="2"/>
  <c r="B114" i="2" s="1"/>
  <c r="J70" i="2"/>
  <c r="G70" i="2"/>
  <c r="F70" i="2"/>
  <c r="E70" i="2"/>
  <c r="B70" i="2"/>
  <c r="J69" i="2"/>
  <c r="G69" i="2"/>
  <c r="F69" i="2"/>
  <c r="E69" i="2"/>
  <c r="B69" i="2"/>
  <c r="J68" i="2"/>
  <c r="G68" i="2"/>
  <c r="F68" i="2"/>
  <c r="E68" i="2"/>
  <c r="B68" i="2"/>
  <c r="J67" i="2"/>
  <c r="G67" i="2"/>
  <c r="F67" i="2"/>
  <c r="E67" i="2"/>
  <c r="B67" i="2"/>
  <c r="J66" i="2"/>
  <c r="G66" i="2"/>
  <c r="F66" i="2"/>
  <c r="E66" i="2"/>
  <c r="B66" i="2"/>
  <c r="J65" i="2"/>
  <c r="G65" i="2"/>
  <c r="F65" i="2"/>
  <c r="E65" i="2"/>
  <c r="B65" i="2"/>
  <c r="J64" i="2"/>
  <c r="G64" i="2"/>
  <c r="F64" i="2"/>
  <c r="E64" i="2"/>
  <c r="B64" i="2"/>
  <c r="J63" i="2"/>
  <c r="I63" i="2"/>
  <c r="H63" i="2"/>
  <c r="G63" i="2"/>
  <c r="F63" i="2"/>
  <c r="E63" i="2"/>
  <c r="D63" i="2"/>
  <c r="C63" i="2"/>
  <c r="B63" i="2"/>
  <c r="J62" i="2"/>
  <c r="G62" i="2"/>
  <c r="F62" i="2"/>
  <c r="E62" i="2"/>
  <c r="B62" i="2"/>
  <c r="J61" i="2"/>
  <c r="G61" i="2"/>
  <c r="F61" i="2"/>
  <c r="E61" i="2"/>
  <c r="B61" i="2"/>
  <c r="J60" i="2"/>
  <c r="G60" i="2"/>
  <c r="F60" i="2"/>
  <c r="E60" i="2"/>
  <c r="B60" i="2"/>
  <c r="J59" i="2"/>
  <c r="G59" i="2"/>
  <c r="F59" i="2"/>
  <c r="E59" i="2"/>
  <c r="B59" i="2"/>
  <c r="J58" i="2"/>
  <c r="G58" i="2"/>
  <c r="F58" i="2"/>
  <c r="E58" i="2"/>
  <c r="B58" i="2"/>
  <c r="J57" i="2"/>
  <c r="G57" i="2"/>
  <c r="F57" i="2"/>
  <c r="E57" i="2"/>
  <c r="B57" i="2"/>
  <c r="J56" i="2"/>
  <c r="G56" i="2"/>
  <c r="F56" i="2"/>
  <c r="E56" i="2"/>
  <c r="B56" i="2"/>
  <c r="J55" i="2"/>
  <c r="G55" i="2"/>
  <c r="F55" i="2"/>
  <c r="E55" i="2"/>
  <c r="B55" i="2"/>
  <c r="J54" i="2"/>
  <c r="G54" i="2"/>
  <c r="F54" i="2"/>
  <c r="E54" i="2"/>
  <c r="B54" i="2"/>
  <c r="J53" i="2"/>
  <c r="G53" i="2"/>
  <c r="F53" i="2"/>
  <c r="E53" i="2"/>
  <c r="B53" i="2"/>
  <c r="J52" i="2"/>
  <c r="G52" i="2"/>
  <c r="F52" i="2"/>
  <c r="E52" i="2"/>
  <c r="B52" i="2"/>
  <c r="J51" i="2"/>
  <c r="G51" i="2"/>
  <c r="F51" i="2"/>
  <c r="E51" i="2"/>
  <c r="B51" i="2"/>
  <c r="J50" i="2"/>
  <c r="G50" i="2"/>
  <c r="F50" i="2"/>
  <c r="E50" i="2"/>
  <c r="B50" i="2"/>
  <c r="J49" i="2"/>
  <c r="G49" i="2"/>
  <c r="F49" i="2"/>
  <c r="E49" i="2"/>
  <c r="B49" i="2"/>
  <c r="J48" i="2"/>
  <c r="G48" i="2"/>
  <c r="F48" i="2"/>
  <c r="E48" i="2"/>
  <c r="B48" i="2"/>
  <c r="J47" i="2"/>
  <c r="G47" i="2"/>
  <c r="F47" i="2"/>
  <c r="E47" i="2"/>
  <c r="B47" i="2"/>
  <c r="J46" i="2"/>
  <c r="G46" i="2"/>
  <c r="F46" i="2"/>
  <c r="E46" i="2"/>
  <c r="B46" i="2"/>
  <c r="J45" i="2"/>
  <c r="G45" i="2"/>
  <c r="F45" i="2"/>
  <c r="E45" i="2"/>
  <c r="B45" i="2"/>
  <c r="J44" i="2"/>
  <c r="G44" i="2"/>
  <c r="F44" i="2"/>
  <c r="E44" i="2"/>
  <c r="B44" i="2"/>
  <c r="J43" i="2"/>
  <c r="G43" i="2"/>
  <c r="F43" i="2"/>
  <c r="E43" i="2"/>
  <c r="B43" i="2"/>
  <c r="J42" i="2"/>
  <c r="G42" i="2"/>
  <c r="F42" i="2"/>
  <c r="E42" i="2"/>
  <c r="B42" i="2"/>
  <c r="J41" i="2"/>
  <c r="G41" i="2"/>
  <c r="F41" i="2"/>
  <c r="E41" i="2"/>
  <c r="B41" i="2"/>
  <c r="J40" i="2"/>
  <c r="G40" i="2"/>
  <c r="F40" i="2"/>
  <c r="E40" i="2"/>
  <c r="B40" i="2"/>
  <c r="J39" i="2"/>
  <c r="G39" i="2"/>
  <c r="F39" i="2"/>
  <c r="E39" i="2"/>
  <c r="B39" i="2"/>
  <c r="J38" i="2"/>
  <c r="G38" i="2"/>
  <c r="G71" i="2" s="1"/>
  <c r="F38" i="2"/>
  <c r="F71" i="2" s="1"/>
  <c r="E38" i="2"/>
  <c r="E71" i="2" s="1"/>
  <c r="B38" i="2"/>
  <c r="B71" i="2" s="1"/>
  <c r="B34" i="2"/>
  <c r="AV474" i="1"/>
  <c r="AT474" i="1"/>
  <c r="AN474" i="1"/>
  <c r="AE474" i="1"/>
  <c r="AF474" i="1" s="1"/>
  <c r="AD474" i="1"/>
  <c r="AC474" i="1"/>
  <c r="N474" i="1"/>
  <c r="M474" i="1"/>
  <c r="L474" i="1"/>
  <c r="G474" i="1"/>
  <c r="E474" i="1"/>
  <c r="AV473" i="1"/>
  <c r="AT473" i="1"/>
  <c r="AN473" i="1"/>
  <c r="N473" i="1"/>
  <c r="M473" i="1"/>
  <c r="AU473" i="1" s="1"/>
  <c r="AW473" i="1" s="1"/>
  <c r="G473" i="1"/>
  <c r="E473" i="1"/>
  <c r="AV472" i="1"/>
  <c r="AT472" i="1"/>
  <c r="AN472" i="1"/>
  <c r="AD472" i="1"/>
  <c r="AJ472" i="1" s="1"/>
  <c r="N472" i="1"/>
  <c r="M472" i="1"/>
  <c r="G472" i="1"/>
  <c r="E472" i="1"/>
  <c r="AV471" i="1"/>
  <c r="AT471" i="1"/>
  <c r="AN471" i="1"/>
  <c r="AE471" i="1"/>
  <c r="AF471" i="1" s="1"/>
  <c r="AD471" i="1"/>
  <c r="AJ471" i="1" s="1"/>
  <c r="AC471" i="1"/>
  <c r="N471" i="1"/>
  <c r="M471" i="1"/>
  <c r="L471" i="1"/>
  <c r="G471" i="1"/>
  <c r="E471" i="1"/>
  <c r="AV470" i="1"/>
  <c r="AT470" i="1"/>
  <c r="AN470" i="1"/>
  <c r="AE470" i="1"/>
  <c r="AF470" i="1" s="1"/>
  <c r="AD470" i="1"/>
  <c r="AJ470" i="1" s="1"/>
  <c r="AC470" i="1"/>
  <c r="N470" i="1"/>
  <c r="M470" i="1"/>
  <c r="L470" i="1"/>
  <c r="G470" i="1"/>
  <c r="F470" i="1" s="1"/>
  <c r="Q470" i="1" s="1"/>
  <c r="E470" i="1"/>
  <c r="AE469" i="1"/>
  <c r="AF469" i="1" s="1"/>
  <c r="AD469" i="1"/>
  <c r="AC469" i="1"/>
  <c r="N469" i="1"/>
  <c r="M469" i="1"/>
  <c r="L469" i="1"/>
  <c r="G469" i="1"/>
  <c r="E469" i="1"/>
  <c r="AE468" i="1"/>
  <c r="AF468" i="1" s="1"/>
  <c r="AD468" i="1"/>
  <c r="AC468" i="1"/>
  <c r="N468" i="1"/>
  <c r="M468" i="1"/>
  <c r="L468" i="1"/>
  <c r="G468" i="1"/>
  <c r="E468" i="1"/>
  <c r="AV467" i="1"/>
  <c r="AT467" i="1"/>
  <c r="AN467" i="1"/>
  <c r="AE467" i="1"/>
  <c r="AF467" i="1" s="1"/>
  <c r="AD467" i="1"/>
  <c r="AC467" i="1"/>
  <c r="N467" i="1"/>
  <c r="M467" i="1"/>
  <c r="L467" i="1"/>
  <c r="G467" i="1"/>
  <c r="E467" i="1"/>
  <c r="AV466" i="1"/>
  <c r="AT466" i="1"/>
  <c r="AN466" i="1"/>
  <c r="AE466" i="1"/>
  <c r="AF466" i="1" s="1"/>
  <c r="AD466" i="1"/>
  <c r="AJ466" i="1" s="1"/>
  <c r="AC466" i="1"/>
  <c r="N466" i="1"/>
  <c r="M466" i="1"/>
  <c r="L466" i="1"/>
  <c r="G466" i="1"/>
  <c r="E466" i="1"/>
  <c r="AV465" i="1"/>
  <c r="AT465" i="1"/>
  <c r="AN465" i="1"/>
  <c r="AE465" i="1"/>
  <c r="AF465" i="1" s="1"/>
  <c r="AD465" i="1"/>
  <c r="AJ465" i="1" s="1"/>
  <c r="AC465" i="1"/>
  <c r="N465" i="1"/>
  <c r="M465" i="1"/>
  <c r="L465" i="1"/>
  <c r="G465" i="1"/>
  <c r="E465" i="1"/>
  <c r="AV464" i="1"/>
  <c r="AT464" i="1"/>
  <c r="AN464" i="1"/>
  <c r="AE464" i="1"/>
  <c r="AF464" i="1" s="1"/>
  <c r="AD464" i="1"/>
  <c r="AJ464" i="1" s="1"/>
  <c r="AC464" i="1"/>
  <c r="N464" i="1"/>
  <c r="M464" i="1"/>
  <c r="L464" i="1"/>
  <c r="G464" i="1"/>
  <c r="E464" i="1"/>
  <c r="AV463" i="1"/>
  <c r="AT463" i="1"/>
  <c r="AN463" i="1"/>
  <c r="AE463" i="1"/>
  <c r="AF463" i="1" s="1"/>
  <c r="AD463" i="1"/>
  <c r="AJ463" i="1" s="1"/>
  <c r="AC463" i="1"/>
  <c r="N463" i="1"/>
  <c r="M463" i="1"/>
  <c r="L463" i="1"/>
  <c r="G463" i="1"/>
  <c r="E463" i="1"/>
  <c r="AV462" i="1"/>
  <c r="AT462" i="1"/>
  <c r="AN462" i="1"/>
  <c r="AE462" i="1"/>
  <c r="AF462" i="1" s="1"/>
  <c r="AD462" i="1"/>
  <c r="AJ462" i="1" s="1"/>
  <c r="AC462" i="1"/>
  <c r="N462" i="1"/>
  <c r="M462" i="1"/>
  <c r="L462" i="1"/>
  <c r="G462" i="1"/>
  <c r="E462" i="1"/>
  <c r="AV461" i="1"/>
  <c r="AT461" i="1"/>
  <c r="AN461" i="1"/>
  <c r="AE461" i="1"/>
  <c r="AF461" i="1" s="1"/>
  <c r="AD461" i="1"/>
  <c r="AJ461" i="1" s="1"/>
  <c r="AC461" i="1"/>
  <c r="N461" i="1"/>
  <c r="M461" i="1"/>
  <c r="L461" i="1"/>
  <c r="G461" i="1"/>
  <c r="E461" i="1"/>
  <c r="AV460" i="1"/>
  <c r="AT460" i="1"/>
  <c r="AN460" i="1"/>
  <c r="AE460" i="1"/>
  <c r="AF460" i="1" s="1"/>
  <c r="AD460" i="1"/>
  <c r="AJ460" i="1" s="1"/>
  <c r="AC460" i="1"/>
  <c r="N460" i="1"/>
  <c r="M460" i="1"/>
  <c r="L460" i="1"/>
  <c r="G460" i="1"/>
  <c r="E460" i="1"/>
  <c r="AV459" i="1"/>
  <c r="AT459" i="1"/>
  <c r="AN459" i="1"/>
  <c r="AE459" i="1"/>
  <c r="AF459" i="1" s="1"/>
  <c r="AC459" i="1"/>
  <c r="N459" i="1"/>
  <c r="M459" i="1"/>
  <c r="L459" i="1"/>
  <c r="P459" i="1" s="1"/>
  <c r="G459" i="1"/>
  <c r="F459" i="1"/>
  <c r="Q459" i="1" s="1"/>
  <c r="E459" i="1"/>
  <c r="AV458" i="1"/>
  <c r="AT458" i="1"/>
  <c r="AN458" i="1"/>
  <c r="AE458" i="1"/>
  <c r="AF458" i="1" s="1"/>
  <c r="AD458" i="1"/>
  <c r="AC458" i="1"/>
  <c r="N458" i="1"/>
  <c r="M458" i="1"/>
  <c r="L458" i="1"/>
  <c r="P458" i="1" s="1"/>
  <c r="G458" i="1"/>
  <c r="F458" i="1"/>
  <c r="Q458" i="1" s="1"/>
  <c r="E458" i="1"/>
  <c r="AV457" i="1"/>
  <c r="AT457" i="1"/>
  <c r="AN457" i="1"/>
  <c r="AE457" i="1"/>
  <c r="AF457" i="1" s="1"/>
  <c r="AD457" i="1"/>
  <c r="AC457" i="1"/>
  <c r="N457" i="1"/>
  <c r="M457" i="1"/>
  <c r="L457" i="1"/>
  <c r="P457" i="1" s="1"/>
  <c r="G457" i="1"/>
  <c r="F457" i="1"/>
  <c r="Q457" i="1" s="1"/>
  <c r="E457" i="1"/>
  <c r="AV456" i="1"/>
  <c r="AT456" i="1"/>
  <c r="AN456" i="1"/>
  <c r="AE456" i="1"/>
  <c r="AF456" i="1" s="1"/>
  <c r="AD456" i="1"/>
  <c r="AJ456" i="1" s="1"/>
  <c r="AC456" i="1"/>
  <c r="N456" i="1"/>
  <c r="M456" i="1"/>
  <c r="L456" i="1"/>
  <c r="G456" i="1"/>
  <c r="E456" i="1"/>
  <c r="AV455" i="1"/>
  <c r="AT455" i="1"/>
  <c r="AN455" i="1"/>
  <c r="AE455" i="1"/>
  <c r="AF455" i="1" s="1"/>
  <c r="AD455" i="1"/>
  <c r="AJ455" i="1" s="1"/>
  <c r="AC455" i="1"/>
  <c r="N455" i="1"/>
  <c r="M455" i="1"/>
  <c r="L455" i="1"/>
  <c r="P455" i="1" s="1"/>
  <c r="G455" i="1"/>
  <c r="F455" i="1" s="1"/>
  <c r="Q455" i="1" s="1"/>
  <c r="E455" i="1"/>
  <c r="AV454" i="1"/>
  <c r="AT454" i="1"/>
  <c r="AN454" i="1"/>
  <c r="AE454" i="1"/>
  <c r="AF454" i="1" s="1"/>
  <c r="AD454" i="1"/>
  <c r="AJ454" i="1" s="1"/>
  <c r="AC454" i="1"/>
  <c r="N454" i="1"/>
  <c r="M454" i="1"/>
  <c r="L454" i="1"/>
  <c r="P454" i="1" s="1"/>
  <c r="G454" i="1"/>
  <c r="F454" i="1" s="1"/>
  <c r="Q454" i="1" s="1"/>
  <c r="E454" i="1"/>
  <c r="AV453" i="1"/>
  <c r="AT453" i="1"/>
  <c r="AN453" i="1"/>
  <c r="AE453" i="1"/>
  <c r="AF453" i="1" s="1"/>
  <c r="AD453" i="1"/>
  <c r="AJ453" i="1" s="1"/>
  <c r="AC453" i="1"/>
  <c r="N453" i="1"/>
  <c r="M453" i="1"/>
  <c r="C69" i="2" s="1"/>
  <c r="L453" i="1"/>
  <c r="G453" i="1"/>
  <c r="D69" i="2" s="1"/>
  <c r="E453" i="1"/>
  <c r="AV452" i="1"/>
  <c r="AT452" i="1"/>
  <c r="AN452" i="1"/>
  <c r="AE452" i="1"/>
  <c r="AF452" i="1" s="1"/>
  <c r="AD452" i="1"/>
  <c r="AJ452" i="1" s="1"/>
  <c r="AC452" i="1"/>
  <c r="N452" i="1"/>
  <c r="M452" i="1"/>
  <c r="L452" i="1"/>
  <c r="G452" i="1"/>
  <c r="E452" i="1"/>
  <c r="AV451" i="1"/>
  <c r="AT451" i="1"/>
  <c r="AN451" i="1"/>
  <c r="AE451" i="1"/>
  <c r="AF451" i="1" s="1"/>
  <c r="AD451" i="1"/>
  <c r="AC451" i="1"/>
  <c r="N451" i="1"/>
  <c r="M451" i="1"/>
  <c r="L451" i="1"/>
  <c r="G451" i="1"/>
  <c r="E451" i="1"/>
  <c r="AV450" i="1"/>
  <c r="AT450" i="1"/>
  <c r="AN450" i="1"/>
  <c r="AE450" i="1"/>
  <c r="AF450" i="1" s="1"/>
  <c r="AD450" i="1"/>
  <c r="AJ450" i="1" s="1"/>
  <c r="AC450" i="1"/>
  <c r="N450" i="1"/>
  <c r="M450" i="1"/>
  <c r="L450" i="1"/>
  <c r="G450" i="1"/>
  <c r="E450" i="1"/>
  <c r="AV449" i="1"/>
  <c r="AT449" i="1"/>
  <c r="AN449" i="1"/>
  <c r="AE449" i="1"/>
  <c r="AF449" i="1" s="1"/>
  <c r="AD449" i="1"/>
  <c r="AJ449" i="1" s="1"/>
  <c r="AC449" i="1"/>
  <c r="N449" i="1"/>
  <c r="M449" i="1"/>
  <c r="L449" i="1"/>
  <c r="G449" i="1"/>
  <c r="E449" i="1"/>
  <c r="AV448" i="1"/>
  <c r="AT448" i="1"/>
  <c r="AN448" i="1"/>
  <c r="AE448" i="1"/>
  <c r="AF448" i="1" s="1"/>
  <c r="AD448" i="1"/>
  <c r="AJ448" i="1" s="1"/>
  <c r="AC448" i="1"/>
  <c r="N448" i="1"/>
  <c r="M448" i="1"/>
  <c r="L448" i="1"/>
  <c r="G448" i="1"/>
  <c r="E448" i="1"/>
  <c r="AV447" i="1"/>
  <c r="AT447" i="1"/>
  <c r="AN447" i="1"/>
  <c r="AE447" i="1"/>
  <c r="AF447" i="1" s="1"/>
  <c r="AD447" i="1"/>
  <c r="AC447" i="1"/>
  <c r="H68" i="2" s="1"/>
  <c r="N447" i="1"/>
  <c r="M447" i="1"/>
  <c r="C68" i="2" s="1"/>
  <c r="L447" i="1"/>
  <c r="P447" i="1" s="1"/>
  <c r="G447" i="1"/>
  <c r="E447" i="1"/>
  <c r="AV446" i="1"/>
  <c r="AT446" i="1"/>
  <c r="AN446" i="1"/>
  <c r="AE446" i="1"/>
  <c r="AF446" i="1" s="1"/>
  <c r="AD446" i="1"/>
  <c r="I70" i="2" s="1"/>
  <c r="AC446" i="1"/>
  <c r="H70" i="2" s="1"/>
  <c r="N446" i="1"/>
  <c r="M446" i="1"/>
  <c r="C70" i="2" s="1"/>
  <c r="L446" i="1"/>
  <c r="G446" i="1"/>
  <c r="D70" i="2" s="1"/>
  <c r="E446" i="1"/>
  <c r="AV445" i="1"/>
  <c r="AT445" i="1"/>
  <c r="AN445" i="1"/>
  <c r="AE445" i="1"/>
  <c r="AF445" i="1" s="1"/>
  <c r="AD445" i="1"/>
  <c r="AC445" i="1"/>
  <c r="N445" i="1"/>
  <c r="M445" i="1"/>
  <c r="L445" i="1"/>
  <c r="G445" i="1"/>
  <c r="E445" i="1"/>
  <c r="AV444" i="1"/>
  <c r="AT444" i="1"/>
  <c r="AN444" i="1"/>
  <c r="AE444" i="1"/>
  <c r="AF444" i="1" s="1"/>
  <c r="AD444" i="1"/>
  <c r="AJ444" i="1" s="1"/>
  <c r="AC444" i="1"/>
  <c r="N444" i="1"/>
  <c r="M444" i="1"/>
  <c r="L444" i="1"/>
  <c r="G444" i="1"/>
  <c r="E444" i="1"/>
  <c r="AV443" i="1"/>
  <c r="AT443" i="1"/>
  <c r="AN443" i="1"/>
  <c r="AE443" i="1"/>
  <c r="AF443" i="1" s="1"/>
  <c r="AD443" i="1"/>
  <c r="AJ443" i="1" s="1"/>
  <c r="AC443" i="1"/>
  <c r="N443" i="1"/>
  <c r="M443" i="1"/>
  <c r="L443" i="1"/>
  <c r="G443" i="1"/>
  <c r="E443" i="1"/>
  <c r="AV442" i="1"/>
  <c r="AT442" i="1"/>
  <c r="AN442" i="1"/>
  <c r="AE442" i="1"/>
  <c r="AF442" i="1" s="1"/>
  <c r="AD442" i="1"/>
  <c r="AJ442" i="1" s="1"/>
  <c r="AC442" i="1"/>
  <c r="N442" i="1"/>
  <c r="M442" i="1"/>
  <c r="L442" i="1"/>
  <c r="G442" i="1"/>
  <c r="E442" i="1"/>
  <c r="AV441" i="1"/>
  <c r="AT441" i="1"/>
  <c r="AN441" i="1"/>
  <c r="AE441" i="1"/>
  <c r="AF441" i="1" s="1"/>
  <c r="AD441" i="1"/>
  <c r="AJ441" i="1" s="1"/>
  <c r="AC441" i="1"/>
  <c r="N441" i="1"/>
  <c r="M441" i="1"/>
  <c r="L441" i="1"/>
  <c r="P441" i="1" s="1"/>
  <c r="G441" i="1"/>
  <c r="F441" i="1" s="1"/>
  <c r="Q441" i="1" s="1"/>
  <c r="E441" i="1"/>
  <c r="AV440" i="1"/>
  <c r="AT440" i="1"/>
  <c r="AN440" i="1"/>
  <c r="AE440" i="1"/>
  <c r="AF440" i="1" s="1"/>
  <c r="AD440" i="1"/>
  <c r="AJ440" i="1" s="1"/>
  <c r="AC440" i="1"/>
  <c r="N440" i="1"/>
  <c r="M440" i="1"/>
  <c r="L440" i="1"/>
  <c r="G440" i="1"/>
  <c r="E440" i="1"/>
  <c r="AV439" i="1"/>
  <c r="AT439" i="1"/>
  <c r="AN439" i="1"/>
  <c r="AE439" i="1"/>
  <c r="AF439" i="1" s="1"/>
  <c r="AD439" i="1"/>
  <c r="AJ439" i="1" s="1"/>
  <c r="AC439" i="1"/>
  <c r="N439" i="1"/>
  <c r="M439" i="1"/>
  <c r="L439" i="1"/>
  <c r="G439" i="1"/>
  <c r="E439" i="1"/>
  <c r="AV438" i="1"/>
  <c r="AT438" i="1"/>
  <c r="AN438" i="1"/>
  <c r="AE438" i="1"/>
  <c r="AF438" i="1" s="1"/>
  <c r="AD438" i="1"/>
  <c r="AJ438" i="1" s="1"/>
  <c r="AC438" i="1"/>
  <c r="N438" i="1"/>
  <c r="M438" i="1"/>
  <c r="L438" i="1"/>
  <c r="G438" i="1"/>
  <c r="E438" i="1"/>
  <c r="AV437" i="1"/>
  <c r="AT437" i="1"/>
  <c r="AN437" i="1"/>
  <c r="AE437" i="1"/>
  <c r="AF437" i="1" s="1"/>
  <c r="AD437" i="1"/>
  <c r="AJ437" i="1" s="1"/>
  <c r="AC437" i="1"/>
  <c r="N437" i="1"/>
  <c r="M437" i="1"/>
  <c r="L437" i="1"/>
  <c r="G437" i="1"/>
  <c r="E437" i="1"/>
  <c r="AV436" i="1"/>
  <c r="AT436" i="1"/>
  <c r="AN436" i="1"/>
  <c r="AE436" i="1"/>
  <c r="AF436" i="1" s="1"/>
  <c r="AD436" i="1"/>
  <c r="AJ436" i="1" s="1"/>
  <c r="AC436" i="1"/>
  <c r="N436" i="1"/>
  <c r="M436" i="1"/>
  <c r="L436" i="1"/>
  <c r="G436" i="1"/>
  <c r="E436" i="1"/>
  <c r="AV435" i="1"/>
  <c r="AT435" i="1"/>
  <c r="AN435" i="1"/>
  <c r="AE435" i="1"/>
  <c r="AF435" i="1" s="1"/>
  <c r="AD435" i="1"/>
  <c r="AC435" i="1"/>
  <c r="N435" i="1"/>
  <c r="M435" i="1"/>
  <c r="L435" i="1"/>
  <c r="G435" i="1"/>
  <c r="E435" i="1"/>
  <c r="AV434" i="1"/>
  <c r="AT434" i="1"/>
  <c r="AN434" i="1"/>
  <c r="AE434" i="1"/>
  <c r="AF434" i="1" s="1"/>
  <c r="AD434" i="1"/>
  <c r="AJ434" i="1" s="1"/>
  <c r="AC434" i="1"/>
  <c r="N434" i="1"/>
  <c r="M434" i="1"/>
  <c r="L434" i="1"/>
  <c r="G434" i="1"/>
  <c r="E434" i="1"/>
  <c r="AV433" i="1"/>
  <c r="AT433" i="1"/>
  <c r="AN433" i="1"/>
  <c r="AE433" i="1"/>
  <c r="AF433" i="1" s="1"/>
  <c r="AD433" i="1"/>
  <c r="AJ433" i="1" s="1"/>
  <c r="AC433" i="1"/>
  <c r="N433" i="1"/>
  <c r="M433" i="1"/>
  <c r="L433" i="1"/>
  <c r="G433" i="1"/>
  <c r="E433" i="1"/>
  <c r="AV432" i="1"/>
  <c r="AT432" i="1"/>
  <c r="AN432" i="1"/>
  <c r="AE432" i="1"/>
  <c r="AF432" i="1" s="1"/>
  <c r="AD432" i="1"/>
  <c r="AJ432" i="1" s="1"/>
  <c r="AC432" i="1"/>
  <c r="N432" i="1"/>
  <c r="M432" i="1"/>
  <c r="L432" i="1"/>
  <c r="G432" i="1"/>
  <c r="E432" i="1"/>
  <c r="AV431" i="1"/>
  <c r="AT431" i="1"/>
  <c r="AN431" i="1"/>
  <c r="AE431" i="1"/>
  <c r="AF431" i="1" s="1"/>
  <c r="AD431" i="1"/>
  <c r="AC431" i="1"/>
  <c r="H56" i="2" s="1"/>
  <c r="N431" i="1"/>
  <c r="M431" i="1"/>
  <c r="C56" i="2" s="1"/>
  <c r="L431" i="1"/>
  <c r="G431" i="1"/>
  <c r="D56" i="2" s="1"/>
  <c r="E431" i="1"/>
  <c r="AV430" i="1"/>
  <c r="AT430" i="1"/>
  <c r="AN430" i="1"/>
  <c r="AE430" i="1"/>
  <c r="AF430" i="1" s="1"/>
  <c r="AD430" i="1"/>
  <c r="AJ430" i="1" s="1"/>
  <c r="AC430" i="1"/>
  <c r="N430" i="1"/>
  <c r="M430" i="1"/>
  <c r="L430" i="1"/>
  <c r="G430" i="1"/>
  <c r="E430" i="1"/>
  <c r="AV429" i="1"/>
  <c r="AT429" i="1"/>
  <c r="AN429" i="1"/>
  <c r="AE429" i="1"/>
  <c r="AF429" i="1" s="1"/>
  <c r="AD429" i="1"/>
  <c r="AJ429" i="1" s="1"/>
  <c r="AC429" i="1"/>
  <c r="N429" i="1"/>
  <c r="M429" i="1"/>
  <c r="L429" i="1"/>
  <c r="G429" i="1"/>
  <c r="E429" i="1"/>
  <c r="AV428" i="1"/>
  <c r="AT428" i="1"/>
  <c r="AN428" i="1"/>
  <c r="AE428" i="1"/>
  <c r="AF428" i="1" s="1"/>
  <c r="AD428" i="1"/>
  <c r="AJ428" i="1" s="1"/>
  <c r="AC428" i="1"/>
  <c r="N428" i="1"/>
  <c r="M428" i="1"/>
  <c r="L428" i="1"/>
  <c r="G428" i="1"/>
  <c r="E428" i="1"/>
  <c r="AV427" i="1"/>
  <c r="AT427" i="1"/>
  <c r="AN427" i="1"/>
  <c r="AE427" i="1"/>
  <c r="AF427" i="1" s="1"/>
  <c r="AD427" i="1"/>
  <c r="AC427" i="1"/>
  <c r="N427" i="1"/>
  <c r="M427" i="1"/>
  <c r="L427" i="1"/>
  <c r="G427" i="1"/>
  <c r="E427" i="1"/>
  <c r="AV426" i="1"/>
  <c r="AT426" i="1"/>
  <c r="AN426" i="1"/>
  <c r="N426" i="1"/>
  <c r="M426" i="1"/>
  <c r="G426" i="1"/>
  <c r="E426" i="1"/>
  <c r="AV425" i="1"/>
  <c r="AT425" i="1"/>
  <c r="AN425" i="1"/>
  <c r="AE425" i="1"/>
  <c r="AF425" i="1" s="1"/>
  <c r="AD425" i="1"/>
  <c r="AJ425" i="1" s="1"/>
  <c r="AC425" i="1"/>
  <c r="U502" i="3" s="1"/>
  <c r="N425" i="1"/>
  <c r="M425" i="1"/>
  <c r="G425" i="1"/>
  <c r="E425" i="1"/>
  <c r="AV424" i="1"/>
  <c r="AT424" i="1"/>
  <c r="AN424" i="1"/>
  <c r="AE424" i="1"/>
  <c r="AF424" i="1" s="1"/>
  <c r="AD424" i="1"/>
  <c r="AJ424" i="1" s="1"/>
  <c r="AC424" i="1"/>
  <c r="U500" i="3" s="1"/>
  <c r="N424" i="1"/>
  <c r="M424" i="1"/>
  <c r="G424" i="1"/>
  <c r="E424" i="1"/>
  <c r="AE423" i="1"/>
  <c r="AF423" i="1" s="1"/>
  <c r="AD423" i="1"/>
  <c r="I61" i="2" s="1"/>
  <c r="AC423" i="1"/>
  <c r="N423" i="1"/>
  <c r="M423" i="1"/>
  <c r="C61" i="2" s="1"/>
  <c r="G423" i="1"/>
  <c r="D61" i="2" s="1"/>
  <c r="E423" i="1"/>
  <c r="AV422" i="1"/>
  <c r="AT422" i="1"/>
  <c r="AN422" i="1"/>
  <c r="AE422" i="1"/>
  <c r="AF422" i="1" s="1"/>
  <c r="AD422" i="1"/>
  <c r="AJ422" i="1" s="1"/>
  <c r="AC422" i="1"/>
  <c r="U497" i="3" s="1"/>
  <c r="N422" i="1"/>
  <c r="M422" i="1"/>
  <c r="G422" i="1"/>
  <c r="E422" i="1"/>
  <c r="AV421" i="1"/>
  <c r="AT421" i="1"/>
  <c r="AN421" i="1"/>
  <c r="AE421" i="1"/>
  <c r="AF421" i="1" s="1"/>
  <c r="AD421" i="1"/>
  <c r="AJ421" i="1" s="1"/>
  <c r="AC421" i="1"/>
  <c r="U495" i="3" s="1"/>
  <c r="N421" i="1"/>
  <c r="M421" i="1"/>
  <c r="G421" i="1"/>
  <c r="E421" i="1"/>
  <c r="AV420" i="1"/>
  <c r="AT420" i="1"/>
  <c r="AN420" i="1"/>
  <c r="AE420" i="1"/>
  <c r="AF420" i="1" s="1"/>
  <c r="AD420" i="1"/>
  <c r="AJ420" i="1" s="1"/>
  <c r="AC420" i="1"/>
  <c r="U494" i="3" s="1"/>
  <c r="N420" i="1"/>
  <c r="M420" i="1"/>
  <c r="G420" i="1"/>
  <c r="E420" i="1"/>
  <c r="AV419" i="1"/>
  <c r="AT419" i="1"/>
  <c r="AN419" i="1"/>
  <c r="AE419" i="1"/>
  <c r="AF419" i="1" s="1"/>
  <c r="AD419" i="1"/>
  <c r="AJ419" i="1" s="1"/>
  <c r="AC419" i="1"/>
  <c r="U493" i="3" s="1"/>
  <c r="N419" i="1"/>
  <c r="M419" i="1"/>
  <c r="G419" i="1"/>
  <c r="E419" i="1"/>
  <c r="AV418" i="1"/>
  <c r="AT418" i="1"/>
  <c r="AN418" i="1"/>
  <c r="AE418" i="1"/>
  <c r="AF418" i="1" s="1"/>
  <c r="AD418" i="1"/>
  <c r="AJ418" i="1" s="1"/>
  <c r="AC418" i="1"/>
  <c r="U491" i="3" s="1"/>
  <c r="N418" i="1"/>
  <c r="M418" i="1"/>
  <c r="G418" i="1"/>
  <c r="E418" i="1"/>
  <c r="AV417" i="1"/>
  <c r="AT417" i="1"/>
  <c r="AN417" i="1"/>
  <c r="AE417" i="1"/>
  <c r="AF417" i="1" s="1"/>
  <c r="AD417" i="1"/>
  <c r="AJ417" i="1" s="1"/>
  <c r="AC417" i="1"/>
  <c r="U490" i="3" s="1"/>
  <c r="N417" i="1"/>
  <c r="M417" i="1"/>
  <c r="G417" i="1"/>
  <c r="E417" i="1"/>
  <c r="AV416" i="1"/>
  <c r="AT416" i="1"/>
  <c r="AN416" i="1"/>
  <c r="AE416" i="1"/>
  <c r="AF416" i="1" s="1"/>
  <c r="AD416" i="1"/>
  <c r="AC416" i="1"/>
  <c r="U489" i="3" s="1"/>
  <c r="N416" i="1"/>
  <c r="M416" i="1"/>
  <c r="G416" i="1"/>
  <c r="E416" i="1"/>
  <c r="AV415" i="1"/>
  <c r="AT415" i="1"/>
  <c r="AN415" i="1"/>
  <c r="AE415" i="1"/>
  <c r="AF415" i="1" s="1"/>
  <c r="AD415" i="1"/>
  <c r="AJ415" i="1" s="1"/>
  <c r="AC415" i="1"/>
  <c r="U488" i="3" s="1"/>
  <c r="N415" i="1"/>
  <c r="M415" i="1"/>
  <c r="G415" i="1"/>
  <c r="E415" i="1"/>
  <c r="AV414" i="1"/>
  <c r="AT414" i="1"/>
  <c r="AN414" i="1"/>
  <c r="AE414" i="1"/>
  <c r="AF414" i="1" s="1"/>
  <c r="AD414" i="1"/>
  <c r="AJ414" i="1" s="1"/>
  <c r="AC414" i="1"/>
  <c r="U487" i="3" s="1"/>
  <c r="N414" i="1"/>
  <c r="M414" i="1"/>
  <c r="L414" i="1"/>
  <c r="G414" i="1"/>
  <c r="E414" i="1"/>
  <c r="AV413" i="1"/>
  <c r="AT413" i="1"/>
  <c r="AN413" i="1"/>
  <c r="AE413" i="1"/>
  <c r="AF413" i="1" s="1"/>
  <c r="AD413" i="1"/>
  <c r="I67" i="2" s="1"/>
  <c r="AC413" i="1"/>
  <c r="H67" i="2" s="1"/>
  <c r="N413" i="1"/>
  <c r="M413" i="1"/>
  <c r="C67" i="2" s="1"/>
  <c r="L413" i="1"/>
  <c r="G413" i="1"/>
  <c r="D67" i="2" s="1"/>
  <c r="E413" i="1"/>
  <c r="AV412" i="1"/>
  <c r="AT412" i="1"/>
  <c r="AN412" i="1"/>
  <c r="AE412" i="1"/>
  <c r="AF412" i="1" s="1"/>
  <c r="AD412" i="1"/>
  <c r="AC412" i="1"/>
  <c r="N412" i="1"/>
  <c r="M412" i="1"/>
  <c r="L412" i="1"/>
  <c r="P412" i="1" s="1"/>
  <c r="G412" i="1"/>
  <c r="F412" i="1"/>
  <c r="Q412" i="1" s="1"/>
  <c r="E412" i="1"/>
  <c r="AV411" i="1"/>
  <c r="AT411" i="1"/>
  <c r="AN411" i="1"/>
  <c r="AE411" i="1"/>
  <c r="AF411" i="1" s="1"/>
  <c r="AD411" i="1"/>
  <c r="AJ411" i="1" s="1"/>
  <c r="AC411" i="1"/>
  <c r="N411" i="1"/>
  <c r="M411" i="1"/>
  <c r="L411" i="1"/>
  <c r="G411" i="1"/>
  <c r="E411" i="1"/>
  <c r="AV410" i="1"/>
  <c r="AT410" i="1"/>
  <c r="AN410" i="1"/>
  <c r="AE410" i="1"/>
  <c r="AF410" i="1" s="1"/>
  <c r="AD410" i="1"/>
  <c r="AJ410" i="1" s="1"/>
  <c r="AC410" i="1"/>
  <c r="N410" i="1"/>
  <c r="M410" i="1"/>
  <c r="L410" i="1"/>
  <c r="G410" i="1"/>
  <c r="E410" i="1"/>
  <c r="AV409" i="1"/>
  <c r="AT409" i="1"/>
  <c r="AN409" i="1"/>
  <c r="AE409" i="1"/>
  <c r="AF409" i="1" s="1"/>
  <c r="AD409" i="1"/>
  <c r="AJ409" i="1" s="1"/>
  <c r="AC409" i="1"/>
  <c r="N409" i="1"/>
  <c r="M409" i="1"/>
  <c r="L409" i="1"/>
  <c r="G409" i="1"/>
  <c r="E409" i="1"/>
  <c r="AV408" i="1"/>
  <c r="AT408" i="1"/>
  <c r="AN408" i="1"/>
  <c r="AE408" i="1"/>
  <c r="AF408" i="1" s="1"/>
  <c r="AD408" i="1"/>
  <c r="AJ408" i="1" s="1"/>
  <c r="AC408" i="1"/>
  <c r="N408" i="1"/>
  <c r="M408" i="1"/>
  <c r="L408" i="1"/>
  <c r="G408" i="1"/>
  <c r="E408" i="1"/>
  <c r="AV407" i="1"/>
  <c r="AT407" i="1"/>
  <c r="AN407" i="1"/>
  <c r="AE407" i="1"/>
  <c r="AF407" i="1" s="1"/>
  <c r="AD407" i="1"/>
  <c r="AC407" i="1"/>
  <c r="H60" i="2" s="1"/>
  <c r="N407" i="1"/>
  <c r="M407" i="1"/>
  <c r="C60" i="2" s="1"/>
  <c r="L407" i="1"/>
  <c r="P407" i="1" s="1"/>
  <c r="G407" i="1"/>
  <c r="E407" i="1"/>
  <c r="AV406" i="1"/>
  <c r="AT406" i="1"/>
  <c r="AN406" i="1"/>
  <c r="AE406" i="1"/>
  <c r="AF406" i="1" s="1"/>
  <c r="AD406" i="1"/>
  <c r="AC406" i="1"/>
  <c r="N406" i="1"/>
  <c r="M406" i="1"/>
  <c r="L406" i="1"/>
  <c r="G406" i="1"/>
  <c r="E406" i="1"/>
  <c r="AV405" i="1"/>
  <c r="AT405" i="1"/>
  <c r="AN405" i="1"/>
  <c r="AE405" i="1"/>
  <c r="AF405" i="1" s="1"/>
  <c r="AD405" i="1"/>
  <c r="AJ405" i="1" s="1"/>
  <c r="AC405" i="1"/>
  <c r="N405" i="1"/>
  <c r="M405" i="1"/>
  <c r="L405" i="1"/>
  <c r="G405" i="1"/>
  <c r="E405" i="1"/>
  <c r="AV404" i="1"/>
  <c r="AT404" i="1"/>
  <c r="AN404" i="1"/>
  <c r="AE404" i="1"/>
  <c r="AF404" i="1" s="1"/>
  <c r="AD404" i="1"/>
  <c r="AC404" i="1"/>
  <c r="N404" i="1"/>
  <c r="M404" i="1"/>
  <c r="L404" i="1"/>
  <c r="G404" i="1"/>
  <c r="E404" i="1"/>
  <c r="AV403" i="1"/>
  <c r="AT403" i="1"/>
  <c r="AN403" i="1"/>
  <c r="AE403" i="1"/>
  <c r="AF403" i="1" s="1"/>
  <c r="AD403" i="1"/>
  <c r="AJ403" i="1" s="1"/>
  <c r="AC403" i="1"/>
  <c r="N403" i="1"/>
  <c r="M403" i="1"/>
  <c r="L403" i="1"/>
  <c r="G403" i="1"/>
  <c r="E403" i="1"/>
  <c r="AV402" i="1"/>
  <c r="AT402" i="1"/>
  <c r="AN402" i="1"/>
  <c r="AE402" i="1"/>
  <c r="AF402" i="1" s="1"/>
  <c r="AD402" i="1"/>
  <c r="AJ402" i="1" s="1"/>
  <c r="AC402" i="1"/>
  <c r="N402" i="1"/>
  <c r="M402" i="1"/>
  <c r="L402" i="1"/>
  <c r="G402" i="1"/>
  <c r="E402" i="1"/>
  <c r="AV401" i="1"/>
  <c r="AT401" i="1"/>
  <c r="AN401" i="1"/>
  <c r="AE401" i="1"/>
  <c r="AF401" i="1" s="1"/>
  <c r="AD401" i="1"/>
  <c r="AJ401" i="1" s="1"/>
  <c r="AC401" i="1"/>
  <c r="N401" i="1"/>
  <c r="M401" i="1"/>
  <c r="L401" i="1"/>
  <c r="G401" i="1"/>
  <c r="E401" i="1"/>
  <c r="AV400" i="1"/>
  <c r="AT400" i="1"/>
  <c r="AN400" i="1"/>
  <c r="AE400" i="1"/>
  <c r="AF400" i="1" s="1"/>
  <c r="AD400" i="1"/>
  <c r="AJ400" i="1" s="1"/>
  <c r="AC400" i="1"/>
  <c r="N400" i="1"/>
  <c r="M400" i="1"/>
  <c r="L400" i="1"/>
  <c r="G400" i="1"/>
  <c r="E400" i="1"/>
  <c r="AV399" i="1"/>
  <c r="AT399" i="1"/>
  <c r="AN399" i="1"/>
  <c r="AE399" i="1"/>
  <c r="AF399" i="1" s="1"/>
  <c r="AD399" i="1"/>
  <c r="AC399" i="1"/>
  <c r="N399" i="1"/>
  <c r="M399" i="1"/>
  <c r="G399" i="1"/>
  <c r="E399" i="1"/>
  <c r="AV398" i="1"/>
  <c r="AT398" i="1"/>
  <c r="AN398" i="1"/>
  <c r="AE398" i="1"/>
  <c r="AF398" i="1" s="1"/>
  <c r="AD398" i="1"/>
  <c r="AC398" i="1"/>
  <c r="N398" i="1"/>
  <c r="M398" i="1"/>
  <c r="L398" i="1"/>
  <c r="P398" i="1" s="1"/>
  <c r="G398" i="1"/>
  <c r="F398" i="1"/>
  <c r="Q398" i="1" s="1"/>
  <c r="E398" i="1"/>
  <c r="AV397" i="1"/>
  <c r="AT397" i="1"/>
  <c r="AN397" i="1"/>
  <c r="AE397" i="1"/>
  <c r="AF397" i="1" s="1"/>
  <c r="AD397" i="1"/>
  <c r="AC397" i="1"/>
  <c r="N397" i="1"/>
  <c r="M397" i="1"/>
  <c r="L397" i="1"/>
  <c r="P397" i="1" s="1"/>
  <c r="G397" i="1"/>
  <c r="F397" i="1"/>
  <c r="Q397" i="1" s="1"/>
  <c r="E397" i="1"/>
  <c r="AV396" i="1"/>
  <c r="AT396" i="1"/>
  <c r="AN396" i="1"/>
  <c r="AE396" i="1"/>
  <c r="AF396" i="1" s="1"/>
  <c r="AD396" i="1"/>
  <c r="AC396" i="1"/>
  <c r="N396" i="1"/>
  <c r="M396" i="1"/>
  <c r="L396" i="1"/>
  <c r="P396" i="1" s="1"/>
  <c r="G396" i="1"/>
  <c r="F396" i="1"/>
  <c r="Q396" i="1" s="1"/>
  <c r="E396" i="1"/>
  <c r="AV395" i="1"/>
  <c r="AT395" i="1"/>
  <c r="AN395" i="1"/>
  <c r="AE395" i="1"/>
  <c r="AF395" i="1" s="1"/>
  <c r="AD395" i="1"/>
  <c r="AC395" i="1"/>
  <c r="N395" i="1"/>
  <c r="M395" i="1"/>
  <c r="L395" i="1"/>
  <c r="P395" i="1" s="1"/>
  <c r="G395" i="1"/>
  <c r="F395" i="1"/>
  <c r="Q395" i="1" s="1"/>
  <c r="E395" i="1"/>
  <c r="AV394" i="1"/>
  <c r="AT394" i="1"/>
  <c r="AN394" i="1"/>
  <c r="AE394" i="1"/>
  <c r="AF394" i="1" s="1"/>
  <c r="AD394" i="1"/>
  <c r="AC394" i="1"/>
  <c r="N394" i="1"/>
  <c r="M394" i="1"/>
  <c r="L394" i="1"/>
  <c r="P394" i="1" s="1"/>
  <c r="G394" i="1"/>
  <c r="F394" i="1"/>
  <c r="Q394" i="1" s="1"/>
  <c r="E394" i="1"/>
  <c r="AV393" i="1"/>
  <c r="AT393" i="1"/>
  <c r="AN393" i="1"/>
  <c r="AE393" i="1"/>
  <c r="AF393" i="1" s="1"/>
  <c r="AD393" i="1"/>
  <c r="AC393" i="1"/>
  <c r="N393" i="1"/>
  <c r="M393" i="1"/>
  <c r="L393" i="1"/>
  <c r="P393" i="1" s="1"/>
  <c r="G393" i="1"/>
  <c r="F393" i="1"/>
  <c r="Q393" i="1" s="1"/>
  <c r="E393" i="1"/>
  <c r="AV392" i="1"/>
  <c r="AT392" i="1"/>
  <c r="AN392" i="1"/>
  <c r="AE392" i="1"/>
  <c r="AF392" i="1" s="1"/>
  <c r="AD392" i="1"/>
  <c r="AC392" i="1"/>
  <c r="N392" i="1"/>
  <c r="M392" i="1"/>
  <c r="L392" i="1"/>
  <c r="P392" i="1" s="1"/>
  <c r="G392" i="1"/>
  <c r="E392" i="1"/>
  <c r="AV391" i="1"/>
  <c r="AT391" i="1"/>
  <c r="AN391" i="1"/>
  <c r="AE391" i="1"/>
  <c r="AF391" i="1" s="1"/>
  <c r="AD391" i="1"/>
  <c r="AC391" i="1"/>
  <c r="N391" i="1"/>
  <c r="M391" i="1"/>
  <c r="L391" i="1"/>
  <c r="P391" i="1" s="1"/>
  <c r="G391" i="1"/>
  <c r="E391" i="1"/>
  <c r="AV390" i="1"/>
  <c r="AT390" i="1"/>
  <c r="AN390" i="1"/>
  <c r="AE390" i="1"/>
  <c r="AF390" i="1" s="1"/>
  <c r="AD390" i="1"/>
  <c r="AC390" i="1"/>
  <c r="N390" i="1"/>
  <c r="M390" i="1"/>
  <c r="L390" i="1"/>
  <c r="P390" i="1" s="1"/>
  <c r="G390" i="1"/>
  <c r="F390" i="1"/>
  <c r="Q390" i="1" s="1"/>
  <c r="E390" i="1"/>
  <c r="AV389" i="1"/>
  <c r="AT389" i="1"/>
  <c r="AN389" i="1"/>
  <c r="AE389" i="1"/>
  <c r="AF389" i="1" s="1"/>
  <c r="AD389" i="1"/>
  <c r="AC389" i="1"/>
  <c r="N389" i="1"/>
  <c r="M389" i="1"/>
  <c r="L389" i="1"/>
  <c r="P389" i="1" s="1"/>
  <c r="G389" i="1"/>
  <c r="E389" i="1"/>
  <c r="AV388" i="1"/>
  <c r="AT388" i="1"/>
  <c r="AN388" i="1"/>
  <c r="AE388" i="1"/>
  <c r="AF388" i="1" s="1"/>
  <c r="AD388" i="1"/>
  <c r="AC388" i="1"/>
  <c r="N388" i="1"/>
  <c r="M388" i="1"/>
  <c r="L388" i="1"/>
  <c r="P388" i="1" s="1"/>
  <c r="G388" i="1"/>
  <c r="E388" i="1"/>
  <c r="AV387" i="1"/>
  <c r="AT387" i="1"/>
  <c r="AN387" i="1"/>
  <c r="AE387" i="1"/>
  <c r="AF387" i="1" s="1"/>
  <c r="AD387" i="1"/>
  <c r="AC387" i="1"/>
  <c r="N387" i="1"/>
  <c r="M387" i="1"/>
  <c r="L387" i="1"/>
  <c r="P387" i="1" s="1"/>
  <c r="G387" i="1"/>
  <c r="E387" i="1"/>
  <c r="AV386" i="1"/>
  <c r="AT386" i="1"/>
  <c r="AN386" i="1"/>
  <c r="AE386" i="1"/>
  <c r="AF386" i="1" s="1"/>
  <c r="AD386" i="1"/>
  <c r="AC386" i="1"/>
  <c r="N386" i="1"/>
  <c r="M386" i="1"/>
  <c r="L386" i="1"/>
  <c r="P386" i="1" s="1"/>
  <c r="G386" i="1"/>
  <c r="E386" i="1"/>
  <c r="AV385" i="1"/>
  <c r="AT385" i="1"/>
  <c r="AN385" i="1"/>
  <c r="AE385" i="1"/>
  <c r="AF385" i="1" s="1"/>
  <c r="AD385" i="1"/>
  <c r="I65" i="2" s="1"/>
  <c r="AC385" i="1"/>
  <c r="H65" i="2" s="1"/>
  <c r="N385" i="1"/>
  <c r="M385" i="1"/>
  <c r="C65" i="2" s="1"/>
  <c r="L385" i="1"/>
  <c r="P385" i="1" s="1"/>
  <c r="G385" i="1"/>
  <c r="D65" i="2" s="1"/>
  <c r="F385" i="1"/>
  <c r="Q385" i="1" s="1"/>
  <c r="E385" i="1"/>
  <c r="AV384" i="1"/>
  <c r="AT384" i="1"/>
  <c r="AN384" i="1"/>
  <c r="AE384" i="1"/>
  <c r="AF384" i="1" s="1"/>
  <c r="AD384" i="1"/>
  <c r="AC384" i="1"/>
  <c r="N384" i="1"/>
  <c r="M384" i="1"/>
  <c r="L384" i="1"/>
  <c r="P384" i="1" s="1"/>
  <c r="G384" i="1"/>
  <c r="F384" i="1"/>
  <c r="Q384" i="1" s="1"/>
  <c r="E384" i="1"/>
  <c r="AV383" i="1"/>
  <c r="AT383" i="1"/>
  <c r="AN383" i="1"/>
  <c r="AE383" i="1"/>
  <c r="AF383" i="1" s="1"/>
  <c r="AD383" i="1"/>
  <c r="AC383" i="1"/>
  <c r="N383" i="1"/>
  <c r="M383" i="1"/>
  <c r="L383" i="1"/>
  <c r="P383" i="1" s="1"/>
  <c r="G383" i="1"/>
  <c r="F383" i="1"/>
  <c r="Q383" i="1" s="1"/>
  <c r="E383" i="1"/>
  <c r="AV382" i="1"/>
  <c r="AT382" i="1"/>
  <c r="AN382" i="1"/>
  <c r="AE382" i="1"/>
  <c r="AF382" i="1" s="1"/>
  <c r="AD382" i="1"/>
  <c r="AC382" i="1"/>
  <c r="N382" i="1"/>
  <c r="M382" i="1"/>
  <c r="L382" i="1"/>
  <c r="P382" i="1" s="1"/>
  <c r="G382" i="1"/>
  <c r="E382" i="1"/>
  <c r="AV381" i="1"/>
  <c r="AT381" i="1"/>
  <c r="AN381" i="1"/>
  <c r="AE381" i="1"/>
  <c r="AF381" i="1" s="1"/>
  <c r="AD381" i="1"/>
  <c r="AC381" i="1"/>
  <c r="N381" i="1"/>
  <c r="M381" i="1"/>
  <c r="L381" i="1"/>
  <c r="P381" i="1" s="1"/>
  <c r="G381" i="1"/>
  <c r="E381" i="1"/>
  <c r="AV380" i="1"/>
  <c r="AT380" i="1"/>
  <c r="AN380" i="1"/>
  <c r="AE380" i="1"/>
  <c r="AF380" i="1" s="1"/>
  <c r="AD380" i="1"/>
  <c r="AC380" i="1"/>
  <c r="N380" i="1"/>
  <c r="M380" i="1"/>
  <c r="L380" i="1"/>
  <c r="P380" i="1" s="1"/>
  <c r="G380" i="1"/>
  <c r="F380" i="1"/>
  <c r="Q380" i="1" s="1"/>
  <c r="E380" i="1"/>
  <c r="AV379" i="1"/>
  <c r="AT379" i="1"/>
  <c r="AN379" i="1"/>
  <c r="N379" i="1"/>
  <c r="M379" i="1"/>
  <c r="G379" i="1"/>
  <c r="E379" i="1"/>
  <c r="AV378" i="1"/>
  <c r="AT378" i="1"/>
  <c r="AN378" i="1"/>
  <c r="AD378" i="1"/>
  <c r="N378" i="1"/>
  <c r="M378" i="1"/>
  <c r="G378" i="1"/>
  <c r="E378" i="1"/>
  <c r="AV377" i="1"/>
  <c r="AT377" i="1"/>
  <c r="AN377" i="1"/>
  <c r="AE377" i="1"/>
  <c r="AF377" i="1" s="1"/>
  <c r="AD377" i="1"/>
  <c r="AC377" i="1"/>
  <c r="U440" i="3" s="1"/>
  <c r="N377" i="1"/>
  <c r="M377" i="1"/>
  <c r="G377" i="1"/>
  <c r="E377" i="1"/>
  <c r="AV376" i="1"/>
  <c r="AT376" i="1"/>
  <c r="AN376" i="1"/>
  <c r="AE376" i="1"/>
  <c r="AF376" i="1" s="1"/>
  <c r="AD376" i="1"/>
  <c r="AC376" i="1"/>
  <c r="U439" i="3" s="1"/>
  <c r="N376" i="1"/>
  <c r="M376" i="1"/>
  <c r="G376" i="1"/>
  <c r="E376" i="1"/>
  <c r="AV375" i="1"/>
  <c r="AT375" i="1"/>
  <c r="AN375" i="1"/>
  <c r="AE375" i="1"/>
  <c r="AF375" i="1" s="1"/>
  <c r="AD375" i="1"/>
  <c r="AJ375" i="1" s="1"/>
  <c r="AC375" i="1"/>
  <c r="U438" i="3" s="1"/>
  <c r="N375" i="1"/>
  <c r="M375" i="1"/>
  <c r="G375" i="1"/>
  <c r="E375" i="1"/>
  <c r="AV374" i="1"/>
  <c r="AT374" i="1"/>
  <c r="AN374" i="1"/>
  <c r="AE374" i="1"/>
  <c r="AF374" i="1" s="1"/>
  <c r="AD374" i="1"/>
  <c r="AC374" i="1"/>
  <c r="N374" i="1"/>
  <c r="M374" i="1"/>
  <c r="C106" i="2" s="1"/>
  <c r="G374" i="1"/>
  <c r="D106" i="2" s="1"/>
  <c r="E374" i="1"/>
  <c r="AV373" i="1"/>
  <c r="AT373" i="1"/>
  <c r="AN373" i="1"/>
  <c r="AE373" i="1"/>
  <c r="AF373" i="1" s="1"/>
  <c r="AD373" i="1"/>
  <c r="AJ373" i="1" s="1"/>
  <c r="AC373" i="1"/>
  <c r="U436" i="3" s="1"/>
  <c r="N373" i="1"/>
  <c r="M373" i="1"/>
  <c r="G373" i="1"/>
  <c r="E373" i="1"/>
  <c r="AV372" i="1"/>
  <c r="AT372" i="1"/>
  <c r="AN372" i="1"/>
  <c r="AE372" i="1"/>
  <c r="AF372" i="1" s="1"/>
  <c r="AD372" i="1"/>
  <c r="AJ372" i="1" s="1"/>
  <c r="AC372" i="1"/>
  <c r="U435" i="3" s="1"/>
  <c r="N372" i="1"/>
  <c r="M372" i="1"/>
  <c r="G372" i="1"/>
  <c r="E372" i="1"/>
  <c r="AV371" i="1"/>
  <c r="AT371" i="1"/>
  <c r="AN371" i="1"/>
  <c r="AE371" i="1"/>
  <c r="AF371" i="1" s="1"/>
  <c r="AD371" i="1"/>
  <c r="AJ371" i="1" s="1"/>
  <c r="AC371" i="1"/>
  <c r="U434" i="3" s="1"/>
  <c r="N371" i="1"/>
  <c r="M371" i="1"/>
  <c r="G371" i="1"/>
  <c r="E371" i="1"/>
  <c r="AV370" i="1"/>
  <c r="AT370" i="1"/>
  <c r="AN370" i="1"/>
  <c r="AE370" i="1"/>
  <c r="AF370" i="1" s="1"/>
  <c r="AD370" i="1"/>
  <c r="AJ370" i="1" s="1"/>
  <c r="AC370" i="1"/>
  <c r="U433" i="3" s="1"/>
  <c r="N370" i="1"/>
  <c r="M370" i="1"/>
  <c r="G370" i="1"/>
  <c r="E370" i="1"/>
  <c r="AV369" i="1"/>
  <c r="AT369" i="1"/>
  <c r="AN369" i="1"/>
  <c r="AE369" i="1"/>
  <c r="AF369" i="1" s="1"/>
  <c r="AD369" i="1"/>
  <c r="AC369" i="1"/>
  <c r="U432" i="3" s="1"/>
  <c r="N369" i="1"/>
  <c r="M369" i="1"/>
  <c r="G369" i="1"/>
  <c r="E369" i="1"/>
  <c r="AV368" i="1"/>
  <c r="AT368" i="1"/>
  <c r="AN368" i="1"/>
  <c r="AE368" i="1"/>
  <c r="AF368" i="1" s="1"/>
  <c r="AD368" i="1"/>
  <c r="AJ368" i="1" s="1"/>
  <c r="AC368" i="1"/>
  <c r="U431" i="3" s="1"/>
  <c r="N368" i="1"/>
  <c r="M368" i="1"/>
  <c r="G368" i="1"/>
  <c r="E368" i="1"/>
  <c r="AV367" i="1"/>
  <c r="AT367" i="1"/>
  <c r="AN367" i="1"/>
  <c r="AE367" i="1"/>
  <c r="AF367" i="1" s="1"/>
  <c r="AD367" i="1"/>
  <c r="AJ367" i="1" s="1"/>
  <c r="AC367" i="1"/>
  <c r="U430" i="3" s="1"/>
  <c r="N367" i="1"/>
  <c r="M367" i="1"/>
  <c r="G367" i="1"/>
  <c r="E367" i="1"/>
  <c r="AV366" i="1"/>
  <c r="AT366" i="1"/>
  <c r="AN366" i="1"/>
  <c r="AE366" i="1"/>
  <c r="AF366" i="1" s="1"/>
  <c r="AD366" i="1"/>
  <c r="AJ366" i="1" s="1"/>
  <c r="AC366" i="1"/>
  <c r="U429" i="3" s="1"/>
  <c r="N366" i="1"/>
  <c r="M366" i="1"/>
  <c r="G366" i="1"/>
  <c r="E366" i="1"/>
  <c r="AV365" i="1"/>
  <c r="AT365" i="1"/>
  <c r="AN365" i="1"/>
  <c r="AE365" i="1"/>
  <c r="AF365" i="1" s="1"/>
  <c r="AD365" i="1"/>
  <c r="AC365" i="1"/>
  <c r="N365" i="1"/>
  <c r="M365" i="1"/>
  <c r="C59" i="2" s="1"/>
  <c r="G365" i="1"/>
  <c r="D59" i="2" s="1"/>
  <c r="E365" i="1"/>
  <c r="AV364" i="1"/>
  <c r="AT364" i="1"/>
  <c r="AN364" i="1"/>
  <c r="AE364" i="1"/>
  <c r="AF364" i="1" s="1"/>
  <c r="AD364" i="1"/>
  <c r="AJ364" i="1" s="1"/>
  <c r="AC364" i="1"/>
  <c r="U427" i="3" s="1"/>
  <c r="N364" i="1"/>
  <c r="M364" i="1"/>
  <c r="G364" i="1"/>
  <c r="E364" i="1"/>
  <c r="AV363" i="1"/>
  <c r="AT363" i="1"/>
  <c r="AN363" i="1"/>
  <c r="AE363" i="1"/>
  <c r="AF363" i="1" s="1"/>
  <c r="AD363" i="1"/>
  <c r="AJ363" i="1" s="1"/>
  <c r="AC363" i="1"/>
  <c r="U426" i="3" s="1"/>
  <c r="N363" i="1"/>
  <c r="M363" i="1"/>
  <c r="G363" i="1"/>
  <c r="E363" i="1"/>
  <c r="AV362" i="1"/>
  <c r="AT362" i="1"/>
  <c r="AN362" i="1"/>
  <c r="AE362" i="1"/>
  <c r="AF362" i="1" s="1"/>
  <c r="AD362" i="1"/>
  <c r="AC362" i="1"/>
  <c r="U423" i="3" s="1"/>
  <c r="N362" i="1"/>
  <c r="M362" i="1"/>
  <c r="G362" i="1"/>
  <c r="E362" i="1"/>
  <c r="AV361" i="1"/>
  <c r="AT361" i="1"/>
  <c r="AN361" i="1"/>
  <c r="AE361" i="1"/>
  <c r="AF361" i="1" s="1"/>
  <c r="AD361" i="1"/>
  <c r="AC361" i="1"/>
  <c r="U422" i="3" s="1"/>
  <c r="N361" i="1"/>
  <c r="M361" i="1"/>
  <c r="G361" i="1"/>
  <c r="E361" i="1"/>
  <c r="AV360" i="1"/>
  <c r="AT360" i="1"/>
  <c r="AN360" i="1"/>
  <c r="AE360" i="1"/>
  <c r="AF360" i="1" s="1"/>
  <c r="AD360" i="1"/>
  <c r="AJ360" i="1" s="1"/>
  <c r="AC360" i="1"/>
  <c r="U421" i="3" s="1"/>
  <c r="N360" i="1"/>
  <c r="M360" i="1"/>
  <c r="G360" i="1"/>
  <c r="E360" i="1"/>
  <c r="AV359" i="1"/>
  <c r="AT359" i="1"/>
  <c r="AN359" i="1"/>
  <c r="AE359" i="1"/>
  <c r="AF359" i="1" s="1"/>
  <c r="AD359" i="1"/>
  <c r="AJ359" i="1" s="1"/>
  <c r="AC359" i="1"/>
  <c r="N359" i="1"/>
  <c r="M359" i="1"/>
  <c r="L359" i="1"/>
  <c r="P359" i="1" s="1"/>
  <c r="G359" i="1"/>
  <c r="F359" i="1"/>
  <c r="Q359" i="1" s="1"/>
  <c r="E359" i="1"/>
  <c r="AV358" i="1"/>
  <c r="AT358" i="1"/>
  <c r="AN358" i="1"/>
  <c r="AE358" i="1"/>
  <c r="AF358" i="1" s="1"/>
  <c r="AD358" i="1"/>
  <c r="AJ358" i="1" s="1"/>
  <c r="AC358" i="1"/>
  <c r="N358" i="1"/>
  <c r="M358" i="1"/>
  <c r="L358" i="1"/>
  <c r="P358" i="1" s="1"/>
  <c r="G358" i="1"/>
  <c r="F358" i="1" s="1"/>
  <c r="Q358" i="1" s="1"/>
  <c r="E358" i="1"/>
  <c r="AV357" i="1"/>
  <c r="AT357" i="1"/>
  <c r="AN357" i="1"/>
  <c r="AE357" i="1"/>
  <c r="AF357" i="1" s="1"/>
  <c r="AD357" i="1"/>
  <c r="AC357" i="1"/>
  <c r="N357" i="1"/>
  <c r="M357" i="1"/>
  <c r="L357" i="1"/>
  <c r="G357" i="1"/>
  <c r="E357" i="1"/>
  <c r="AV356" i="1"/>
  <c r="AT356" i="1"/>
  <c r="AN356" i="1"/>
  <c r="AE356" i="1"/>
  <c r="AF356" i="1" s="1"/>
  <c r="AD356" i="1"/>
  <c r="AJ356" i="1" s="1"/>
  <c r="AC356" i="1"/>
  <c r="N356" i="1"/>
  <c r="M356" i="1"/>
  <c r="L356" i="1"/>
  <c r="G356" i="1"/>
  <c r="E356" i="1"/>
  <c r="AV355" i="1"/>
  <c r="AT355" i="1"/>
  <c r="AN355" i="1"/>
  <c r="AE355" i="1"/>
  <c r="AF355" i="1" s="1"/>
  <c r="AD355" i="1"/>
  <c r="AJ355" i="1" s="1"/>
  <c r="AC355" i="1"/>
  <c r="N355" i="1"/>
  <c r="M355" i="1"/>
  <c r="L355" i="1"/>
  <c r="P355" i="1" s="1"/>
  <c r="G355" i="1"/>
  <c r="F355" i="1" s="1"/>
  <c r="Q355" i="1" s="1"/>
  <c r="E355" i="1"/>
  <c r="AV354" i="1"/>
  <c r="AT354" i="1"/>
  <c r="AN354" i="1"/>
  <c r="AE354" i="1"/>
  <c r="AF354" i="1" s="1"/>
  <c r="AD354" i="1"/>
  <c r="AJ354" i="1" s="1"/>
  <c r="AC354" i="1"/>
  <c r="N354" i="1"/>
  <c r="M354" i="1"/>
  <c r="L354" i="1"/>
  <c r="G354" i="1"/>
  <c r="E354" i="1"/>
  <c r="AV353" i="1"/>
  <c r="AT353" i="1"/>
  <c r="AN353" i="1"/>
  <c r="AE353" i="1"/>
  <c r="AF353" i="1" s="1"/>
  <c r="AD353" i="1"/>
  <c r="AC353" i="1"/>
  <c r="N353" i="1"/>
  <c r="M353" i="1"/>
  <c r="L353" i="1"/>
  <c r="G353" i="1"/>
  <c r="E353" i="1"/>
  <c r="AV352" i="1"/>
  <c r="AT352" i="1"/>
  <c r="AN352" i="1"/>
  <c r="AE352" i="1"/>
  <c r="AF352" i="1" s="1"/>
  <c r="AD352" i="1"/>
  <c r="AJ352" i="1" s="1"/>
  <c r="AC352" i="1"/>
  <c r="N352" i="1"/>
  <c r="M352" i="1"/>
  <c r="L352" i="1"/>
  <c r="P352" i="1" s="1"/>
  <c r="G352" i="1"/>
  <c r="F352" i="1" s="1"/>
  <c r="Q352" i="1" s="1"/>
  <c r="E352" i="1"/>
  <c r="AV351" i="1"/>
  <c r="AT351" i="1"/>
  <c r="AN351" i="1"/>
  <c r="AE351" i="1"/>
  <c r="AF351" i="1" s="1"/>
  <c r="AD351" i="1"/>
  <c r="AJ351" i="1" s="1"/>
  <c r="AC351" i="1"/>
  <c r="N351" i="1"/>
  <c r="M351" i="1"/>
  <c r="L351" i="1"/>
  <c r="G351" i="1"/>
  <c r="E351" i="1"/>
  <c r="AV350" i="1"/>
  <c r="AT350" i="1"/>
  <c r="AN350" i="1"/>
  <c r="AE350" i="1"/>
  <c r="AF350" i="1" s="1"/>
  <c r="AD350" i="1"/>
  <c r="AC350" i="1"/>
  <c r="N350" i="1"/>
  <c r="M350" i="1"/>
  <c r="L350" i="1"/>
  <c r="G350" i="1"/>
  <c r="E350" i="1"/>
  <c r="AV349" i="1"/>
  <c r="AT349" i="1"/>
  <c r="AN349" i="1"/>
  <c r="AE349" i="1"/>
  <c r="AF349" i="1" s="1"/>
  <c r="AD349" i="1"/>
  <c r="AJ349" i="1" s="1"/>
  <c r="AC349" i="1"/>
  <c r="N349" i="1"/>
  <c r="M349" i="1"/>
  <c r="L349" i="1"/>
  <c r="G349" i="1"/>
  <c r="E349" i="1"/>
  <c r="AV348" i="1"/>
  <c r="AT348" i="1"/>
  <c r="AN348" i="1"/>
  <c r="AE348" i="1"/>
  <c r="AF348" i="1" s="1"/>
  <c r="AD348" i="1"/>
  <c r="AC348" i="1"/>
  <c r="N348" i="1"/>
  <c r="M348" i="1"/>
  <c r="L348" i="1"/>
  <c r="G348" i="1"/>
  <c r="E348" i="1"/>
  <c r="AV347" i="1"/>
  <c r="AT347" i="1"/>
  <c r="AN347" i="1"/>
  <c r="AE347" i="1"/>
  <c r="AF347" i="1" s="1"/>
  <c r="AD347" i="1"/>
  <c r="AJ347" i="1" s="1"/>
  <c r="AC347" i="1"/>
  <c r="N347" i="1"/>
  <c r="M347" i="1"/>
  <c r="L347" i="1"/>
  <c r="P347" i="1" s="1"/>
  <c r="G347" i="1"/>
  <c r="F347" i="1"/>
  <c r="Q347" i="1" s="1"/>
  <c r="E347" i="1"/>
  <c r="AV346" i="1"/>
  <c r="AT346" i="1"/>
  <c r="AN346" i="1"/>
  <c r="AE346" i="1"/>
  <c r="AF346" i="1" s="1"/>
  <c r="AD346" i="1"/>
  <c r="AC346" i="1"/>
  <c r="N346" i="1"/>
  <c r="M346" i="1"/>
  <c r="L346" i="1"/>
  <c r="P346" i="1" s="1"/>
  <c r="G346" i="1"/>
  <c r="F346" i="1"/>
  <c r="Q346" i="1" s="1"/>
  <c r="E346" i="1"/>
  <c r="AV345" i="1"/>
  <c r="AT345" i="1"/>
  <c r="AN345" i="1"/>
  <c r="AE345" i="1"/>
  <c r="AF345" i="1" s="1"/>
  <c r="AD345" i="1"/>
  <c r="AC345" i="1"/>
  <c r="N345" i="1"/>
  <c r="M345" i="1"/>
  <c r="L345" i="1"/>
  <c r="P345" i="1" s="1"/>
  <c r="G345" i="1"/>
  <c r="F345" i="1" s="1"/>
  <c r="Q345" i="1" s="1"/>
  <c r="E345" i="1"/>
  <c r="AV344" i="1"/>
  <c r="AT344" i="1"/>
  <c r="AN344" i="1"/>
  <c r="AE344" i="1"/>
  <c r="AF344" i="1" s="1"/>
  <c r="AD344" i="1"/>
  <c r="AJ344" i="1" s="1"/>
  <c r="AC344" i="1"/>
  <c r="N344" i="1"/>
  <c r="M344" i="1"/>
  <c r="L344" i="1"/>
  <c r="P344" i="1" s="1"/>
  <c r="G344" i="1"/>
  <c r="F344" i="1"/>
  <c r="Q344" i="1" s="1"/>
  <c r="E344" i="1"/>
  <c r="AV343" i="1"/>
  <c r="AT343" i="1"/>
  <c r="AN343" i="1"/>
  <c r="AE343" i="1"/>
  <c r="AF343" i="1" s="1"/>
  <c r="AD343" i="1"/>
  <c r="AJ343" i="1" s="1"/>
  <c r="AC343" i="1"/>
  <c r="N343" i="1"/>
  <c r="M343" i="1"/>
  <c r="L343" i="1"/>
  <c r="P343" i="1" s="1"/>
  <c r="G343" i="1"/>
  <c r="E343" i="1"/>
  <c r="AV342" i="1"/>
  <c r="AT342" i="1"/>
  <c r="AN342" i="1"/>
  <c r="AE342" i="1"/>
  <c r="AF342" i="1" s="1"/>
  <c r="AD342" i="1"/>
  <c r="AJ342" i="1" s="1"/>
  <c r="AC342" i="1"/>
  <c r="N342" i="1"/>
  <c r="M342" i="1"/>
  <c r="L342" i="1"/>
  <c r="P342" i="1" s="1"/>
  <c r="G342" i="1"/>
  <c r="E342" i="1"/>
  <c r="AV341" i="1"/>
  <c r="AT341" i="1"/>
  <c r="AN341" i="1"/>
  <c r="AE341" i="1"/>
  <c r="AF341" i="1" s="1"/>
  <c r="AD341" i="1"/>
  <c r="AC341" i="1"/>
  <c r="N341" i="1"/>
  <c r="M341" i="1"/>
  <c r="L341" i="1"/>
  <c r="P341" i="1" s="1"/>
  <c r="G341" i="1"/>
  <c r="E341" i="1"/>
  <c r="AV340" i="1"/>
  <c r="AT340" i="1"/>
  <c r="AN340" i="1"/>
  <c r="AE340" i="1"/>
  <c r="AF340" i="1" s="1"/>
  <c r="AD340" i="1"/>
  <c r="I62" i="2" s="1"/>
  <c r="AC340" i="1"/>
  <c r="H62" i="2" s="1"/>
  <c r="N340" i="1"/>
  <c r="M340" i="1"/>
  <c r="C62" i="2" s="1"/>
  <c r="L340" i="1"/>
  <c r="P340" i="1" s="1"/>
  <c r="G340" i="1"/>
  <c r="D62" i="2" s="1"/>
  <c r="E340" i="1"/>
  <c r="AV339" i="1"/>
  <c r="AT339" i="1"/>
  <c r="AN339" i="1"/>
  <c r="AE339" i="1"/>
  <c r="AF339" i="1" s="1"/>
  <c r="AD339" i="1"/>
  <c r="AC339" i="1"/>
  <c r="N339" i="1"/>
  <c r="M339" i="1"/>
  <c r="L339" i="1"/>
  <c r="G339" i="1"/>
  <c r="E339" i="1"/>
  <c r="AV338" i="1"/>
  <c r="AT338" i="1"/>
  <c r="AN338" i="1"/>
  <c r="AE338" i="1"/>
  <c r="AF338" i="1" s="1"/>
  <c r="AD338" i="1"/>
  <c r="AC338" i="1"/>
  <c r="N338" i="1"/>
  <c r="M338" i="1"/>
  <c r="L338" i="1"/>
  <c r="P338" i="1" s="1"/>
  <c r="G338" i="1"/>
  <c r="E338" i="1"/>
  <c r="AV337" i="1"/>
  <c r="AT337" i="1"/>
  <c r="AN337" i="1"/>
  <c r="AE337" i="1"/>
  <c r="AF337" i="1" s="1"/>
  <c r="AD337" i="1"/>
  <c r="AJ337" i="1" s="1"/>
  <c r="AC337" i="1"/>
  <c r="N337" i="1"/>
  <c r="M337" i="1"/>
  <c r="L337" i="1"/>
  <c r="P337" i="1" s="1"/>
  <c r="G337" i="1"/>
  <c r="E337" i="1"/>
  <c r="AV336" i="1"/>
  <c r="AT336" i="1"/>
  <c r="AN336" i="1"/>
  <c r="AE336" i="1"/>
  <c r="AF336" i="1" s="1"/>
  <c r="AD336" i="1"/>
  <c r="AJ336" i="1" s="1"/>
  <c r="AC336" i="1"/>
  <c r="N336" i="1"/>
  <c r="M336" i="1"/>
  <c r="G336" i="1"/>
  <c r="E336" i="1"/>
  <c r="AV335" i="1"/>
  <c r="AT335" i="1"/>
  <c r="AN335" i="1"/>
  <c r="AE335" i="1"/>
  <c r="AF335" i="1" s="1"/>
  <c r="AD335" i="1"/>
  <c r="AC335" i="1"/>
  <c r="N335" i="1"/>
  <c r="M335" i="1"/>
  <c r="L335" i="1"/>
  <c r="P335" i="1" s="1"/>
  <c r="G335" i="1"/>
  <c r="E335" i="1"/>
  <c r="AV334" i="1"/>
  <c r="AT334" i="1"/>
  <c r="AN334" i="1"/>
  <c r="AE334" i="1"/>
  <c r="AF334" i="1" s="1"/>
  <c r="AD334" i="1"/>
  <c r="AC334" i="1"/>
  <c r="N334" i="1"/>
  <c r="M334" i="1"/>
  <c r="L334" i="1"/>
  <c r="P334" i="1" s="1"/>
  <c r="G334" i="1"/>
  <c r="E334" i="1"/>
  <c r="AV333" i="1"/>
  <c r="AT333" i="1"/>
  <c r="AN333" i="1"/>
  <c r="AE333" i="1"/>
  <c r="AF333" i="1" s="1"/>
  <c r="AD333" i="1"/>
  <c r="AC333" i="1"/>
  <c r="N333" i="1"/>
  <c r="M333" i="1"/>
  <c r="G333" i="1"/>
  <c r="E333" i="1"/>
  <c r="AV332" i="1"/>
  <c r="AT332" i="1"/>
  <c r="AN332" i="1"/>
  <c r="AE332" i="1"/>
  <c r="AF332" i="1" s="1"/>
  <c r="AD332" i="1"/>
  <c r="AC332" i="1"/>
  <c r="U377" i="3" s="1"/>
  <c r="N332" i="1"/>
  <c r="M332" i="1"/>
  <c r="G332" i="1"/>
  <c r="E332" i="1"/>
  <c r="AV331" i="1"/>
  <c r="AT331" i="1"/>
  <c r="AN331" i="1"/>
  <c r="AE331" i="1"/>
  <c r="AF331" i="1" s="1"/>
  <c r="AD331" i="1"/>
  <c r="AC331" i="1"/>
  <c r="U376" i="3" s="1"/>
  <c r="N331" i="1"/>
  <c r="M331" i="1"/>
  <c r="G331" i="1"/>
  <c r="E331" i="1"/>
  <c r="AV330" i="1"/>
  <c r="AT330" i="1"/>
  <c r="AN330" i="1"/>
  <c r="AE330" i="1"/>
  <c r="AF330" i="1" s="1"/>
  <c r="AD330" i="1"/>
  <c r="AC330" i="1"/>
  <c r="U375" i="3" s="1"/>
  <c r="N330" i="1"/>
  <c r="M330" i="1"/>
  <c r="G330" i="1"/>
  <c r="E330" i="1"/>
  <c r="AV329" i="1"/>
  <c r="AT329" i="1"/>
  <c r="AN329" i="1"/>
  <c r="AE329" i="1"/>
  <c r="AF329" i="1" s="1"/>
  <c r="AD329" i="1"/>
  <c r="AC329" i="1"/>
  <c r="U374" i="3" s="1"/>
  <c r="N329" i="1"/>
  <c r="M329" i="1"/>
  <c r="G329" i="1"/>
  <c r="E329" i="1"/>
  <c r="AV328" i="1"/>
  <c r="AT328" i="1"/>
  <c r="AN328" i="1"/>
  <c r="AE328" i="1"/>
  <c r="AF328" i="1" s="1"/>
  <c r="AD328" i="1"/>
  <c r="AC328" i="1"/>
  <c r="U373" i="3" s="1"/>
  <c r="N328" i="1"/>
  <c r="M328" i="1"/>
  <c r="G328" i="1"/>
  <c r="E328" i="1"/>
  <c r="AV327" i="1"/>
  <c r="AT327" i="1"/>
  <c r="AN327" i="1"/>
  <c r="AE327" i="1"/>
  <c r="AF327" i="1" s="1"/>
  <c r="AD327" i="1"/>
  <c r="AC327" i="1"/>
  <c r="U372" i="3" s="1"/>
  <c r="N327" i="1"/>
  <c r="M327" i="1"/>
  <c r="G327" i="1"/>
  <c r="E327" i="1"/>
  <c r="AV326" i="1"/>
  <c r="AT326" i="1"/>
  <c r="AN326" i="1"/>
  <c r="AE326" i="1"/>
  <c r="AF326" i="1" s="1"/>
  <c r="AD326" i="1"/>
  <c r="I58" i="2" s="1"/>
  <c r="AC326" i="1"/>
  <c r="N326" i="1"/>
  <c r="M326" i="1"/>
  <c r="C58" i="2" s="1"/>
  <c r="G326" i="1"/>
  <c r="D58" i="2" s="1"/>
  <c r="E326" i="1"/>
  <c r="AV325" i="1"/>
  <c r="AT325" i="1"/>
  <c r="AN325" i="1"/>
  <c r="AE325" i="1"/>
  <c r="AF325" i="1" s="1"/>
  <c r="AD325" i="1"/>
  <c r="AC325" i="1"/>
  <c r="U370" i="3" s="1"/>
  <c r="N325" i="1"/>
  <c r="M325" i="1"/>
  <c r="G325" i="1"/>
  <c r="E325" i="1"/>
  <c r="AV324" i="1"/>
  <c r="AT324" i="1"/>
  <c r="AN324" i="1"/>
  <c r="AE324" i="1"/>
  <c r="AF324" i="1" s="1"/>
  <c r="AD324" i="1"/>
  <c r="AC324" i="1"/>
  <c r="U369" i="3" s="1"/>
  <c r="N324" i="1"/>
  <c r="M324" i="1"/>
  <c r="G324" i="1"/>
  <c r="E324" i="1"/>
  <c r="AV323" i="1"/>
  <c r="AT323" i="1"/>
  <c r="AN323" i="1"/>
  <c r="AE323" i="1"/>
  <c r="AF323" i="1" s="1"/>
  <c r="AD323" i="1"/>
  <c r="AC323" i="1"/>
  <c r="U368" i="3" s="1"/>
  <c r="N323" i="1"/>
  <c r="M323" i="1"/>
  <c r="G323" i="1"/>
  <c r="E323" i="1"/>
  <c r="AV322" i="1"/>
  <c r="AT322" i="1"/>
  <c r="AN322" i="1"/>
  <c r="AE322" i="1"/>
  <c r="AF322" i="1" s="1"/>
  <c r="AD322" i="1"/>
  <c r="AC322" i="1"/>
  <c r="U367" i="3" s="1"/>
  <c r="N322" i="1"/>
  <c r="M322" i="1"/>
  <c r="G322" i="1"/>
  <c r="E322" i="1"/>
  <c r="AV321" i="1"/>
  <c r="AT321" i="1"/>
  <c r="AN321" i="1"/>
  <c r="AE321" i="1"/>
  <c r="AF321" i="1" s="1"/>
  <c r="AD321" i="1"/>
  <c r="AC321" i="1"/>
  <c r="U365" i="3" s="1"/>
  <c r="N321" i="1"/>
  <c r="M321" i="1"/>
  <c r="G321" i="1"/>
  <c r="E321" i="1"/>
  <c r="AV320" i="1"/>
  <c r="AT320" i="1"/>
  <c r="AN320" i="1"/>
  <c r="AE320" i="1"/>
  <c r="AF320" i="1" s="1"/>
  <c r="AD320" i="1"/>
  <c r="AJ320" i="1" s="1"/>
  <c r="AC320" i="1"/>
  <c r="U363" i="3" s="1"/>
  <c r="N320" i="1"/>
  <c r="M320" i="1"/>
  <c r="G320" i="1"/>
  <c r="E320" i="1"/>
  <c r="AV319" i="1"/>
  <c r="AT319" i="1"/>
  <c r="AN319" i="1"/>
  <c r="AE319" i="1"/>
  <c r="AF319" i="1" s="1"/>
  <c r="AD319" i="1"/>
  <c r="AJ319" i="1" s="1"/>
  <c r="AC319" i="1"/>
  <c r="U362" i="3" s="1"/>
  <c r="N319" i="1"/>
  <c r="M319" i="1"/>
  <c r="G319" i="1"/>
  <c r="E319" i="1"/>
  <c r="AV318" i="1"/>
  <c r="AT318" i="1"/>
  <c r="AN318" i="1"/>
  <c r="AE318" i="1"/>
  <c r="AF318" i="1" s="1"/>
  <c r="AD318" i="1"/>
  <c r="AJ318" i="1" s="1"/>
  <c r="AC318" i="1"/>
  <c r="U361" i="3" s="1"/>
  <c r="N318" i="1"/>
  <c r="M318" i="1"/>
  <c r="G318" i="1"/>
  <c r="E318" i="1"/>
  <c r="AV317" i="1"/>
  <c r="AT317" i="1"/>
  <c r="AN317" i="1"/>
  <c r="AE317" i="1"/>
  <c r="AF317" i="1" s="1"/>
  <c r="AD317" i="1"/>
  <c r="AJ317" i="1" s="1"/>
  <c r="AC317" i="1"/>
  <c r="U360" i="3" s="1"/>
  <c r="N317" i="1"/>
  <c r="M317" i="1"/>
  <c r="G317" i="1"/>
  <c r="E317" i="1"/>
  <c r="AV316" i="1"/>
  <c r="AT316" i="1"/>
  <c r="AN316" i="1"/>
  <c r="AE316" i="1"/>
  <c r="AF316" i="1" s="1"/>
  <c r="AD316" i="1"/>
  <c r="AJ316" i="1" s="1"/>
  <c r="AC316" i="1"/>
  <c r="U359" i="3" s="1"/>
  <c r="N316" i="1"/>
  <c r="M316" i="1"/>
  <c r="G316" i="1"/>
  <c r="E316" i="1"/>
  <c r="AV315" i="1"/>
  <c r="AT315" i="1"/>
  <c r="AN315" i="1"/>
  <c r="AE315" i="1"/>
  <c r="AF315" i="1" s="1"/>
  <c r="AD315" i="1"/>
  <c r="AC315" i="1"/>
  <c r="U358" i="3" s="1"/>
  <c r="N315" i="1"/>
  <c r="M315" i="1"/>
  <c r="G315" i="1"/>
  <c r="E315" i="1"/>
  <c r="AV314" i="1"/>
  <c r="AT314" i="1"/>
  <c r="AN314" i="1"/>
  <c r="AE314" i="1"/>
  <c r="AF314" i="1" s="1"/>
  <c r="AD314" i="1"/>
  <c r="AC314" i="1"/>
  <c r="U357" i="3" s="1"/>
  <c r="N314" i="1"/>
  <c r="M314" i="1"/>
  <c r="G314" i="1"/>
  <c r="E314" i="1"/>
  <c r="AV313" i="1"/>
  <c r="AT313" i="1"/>
  <c r="AN313" i="1"/>
  <c r="AE313" i="1"/>
  <c r="AF313" i="1" s="1"/>
  <c r="AD313" i="1"/>
  <c r="AJ313" i="1" s="1"/>
  <c r="AC313" i="1"/>
  <c r="U356" i="3" s="1"/>
  <c r="N313" i="1"/>
  <c r="M313" i="1"/>
  <c r="G313" i="1"/>
  <c r="E313" i="1"/>
  <c r="AV312" i="1"/>
  <c r="AT312" i="1"/>
  <c r="AN312" i="1"/>
  <c r="AE312" i="1"/>
  <c r="AF312" i="1" s="1"/>
  <c r="AD312" i="1"/>
  <c r="AJ312" i="1" s="1"/>
  <c r="AC312" i="1"/>
  <c r="U355" i="3" s="1"/>
  <c r="N312" i="1"/>
  <c r="M312" i="1"/>
  <c r="G312" i="1"/>
  <c r="E312" i="1"/>
  <c r="AV311" i="1"/>
  <c r="AT311" i="1"/>
  <c r="AN311" i="1"/>
  <c r="AE311" i="1"/>
  <c r="AF311" i="1" s="1"/>
  <c r="AD311" i="1"/>
  <c r="AJ311" i="1" s="1"/>
  <c r="AC311" i="1"/>
  <c r="U354" i="3" s="1"/>
  <c r="N311" i="1"/>
  <c r="M311" i="1"/>
  <c r="G311" i="1"/>
  <c r="E311" i="1"/>
  <c r="AV310" i="1"/>
  <c r="AT310" i="1"/>
  <c r="AN310" i="1"/>
  <c r="AE310" i="1"/>
  <c r="AF310" i="1" s="1"/>
  <c r="AD310" i="1"/>
  <c r="AJ310" i="1" s="1"/>
  <c r="AC310" i="1"/>
  <c r="N310" i="1"/>
  <c r="M310" i="1"/>
  <c r="L310" i="1"/>
  <c r="G310" i="1"/>
  <c r="E310" i="1"/>
  <c r="AV309" i="1"/>
  <c r="AT309" i="1"/>
  <c r="AN309" i="1"/>
  <c r="AE309" i="1"/>
  <c r="AF309" i="1" s="1"/>
  <c r="AD309" i="1"/>
  <c r="AJ309" i="1" s="1"/>
  <c r="AC309" i="1"/>
  <c r="N309" i="1"/>
  <c r="M309" i="1"/>
  <c r="L309" i="1"/>
  <c r="G309" i="1"/>
  <c r="E309" i="1"/>
  <c r="AV308" i="1"/>
  <c r="AT308" i="1"/>
  <c r="AN308" i="1"/>
  <c r="AE308" i="1"/>
  <c r="AF308" i="1" s="1"/>
  <c r="AD308" i="1"/>
  <c r="I64" i="2" s="1"/>
  <c r="AC308" i="1"/>
  <c r="H64" i="2" s="1"/>
  <c r="N308" i="1"/>
  <c r="M308" i="1"/>
  <c r="C64" i="2" s="1"/>
  <c r="L308" i="1"/>
  <c r="P308" i="1" s="1"/>
  <c r="G308" i="1"/>
  <c r="E308" i="1"/>
  <c r="AV307" i="1"/>
  <c r="AT307" i="1"/>
  <c r="AN307" i="1"/>
  <c r="AE307" i="1"/>
  <c r="AF307" i="1" s="1"/>
  <c r="AD307" i="1"/>
  <c r="AJ307" i="1" s="1"/>
  <c r="AC307" i="1"/>
  <c r="N307" i="1"/>
  <c r="M307" i="1"/>
  <c r="L307" i="1"/>
  <c r="G307" i="1"/>
  <c r="E307" i="1"/>
  <c r="AV306" i="1"/>
  <c r="AT306" i="1"/>
  <c r="AN306" i="1"/>
  <c r="AE306" i="1"/>
  <c r="AF306" i="1" s="1"/>
  <c r="AD306" i="1"/>
  <c r="AJ306" i="1" s="1"/>
  <c r="AC306" i="1"/>
  <c r="N306" i="1"/>
  <c r="M306" i="1"/>
  <c r="L306" i="1"/>
  <c r="G306" i="1"/>
  <c r="E306" i="1"/>
  <c r="AV305" i="1"/>
  <c r="AT305" i="1"/>
  <c r="AN305" i="1"/>
  <c r="AE305" i="1"/>
  <c r="AF305" i="1" s="1"/>
  <c r="AD305" i="1"/>
  <c r="AJ305" i="1" s="1"/>
  <c r="AC305" i="1"/>
  <c r="N305" i="1"/>
  <c r="M305" i="1"/>
  <c r="L305" i="1"/>
  <c r="G305" i="1"/>
  <c r="E305" i="1"/>
  <c r="AV304" i="1"/>
  <c r="AT304" i="1"/>
  <c r="AN304" i="1"/>
  <c r="AE304" i="1"/>
  <c r="AF304" i="1" s="1"/>
  <c r="AD304" i="1"/>
  <c r="AC304" i="1"/>
  <c r="N304" i="1"/>
  <c r="M304" i="1"/>
  <c r="L304" i="1"/>
  <c r="G304" i="1"/>
  <c r="E304" i="1"/>
  <c r="AV303" i="1"/>
  <c r="AT303" i="1"/>
  <c r="AN303" i="1"/>
  <c r="AE303" i="1"/>
  <c r="AF303" i="1" s="1"/>
  <c r="AD303" i="1"/>
  <c r="AJ303" i="1" s="1"/>
  <c r="AC303" i="1"/>
  <c r="N303" i="1"/>
  <c r="M303" i="1"/>
  <c r="L303" i="1"/>
  <c r="F303" i="1" s="1"/>
  <c r="Q303" i="1" s="1"/>
  <c r="G303" i="1"/>
  <c r="E303" i="1"/>
  <c r="AV302" i="1"/>
  <c r="AT302" i="1"/>
  <c r="AN302" i="1"/>
  <c r="AE302" i="1"/>
  <c r="AF302" i="1" s="1"/>
  <c r="AD302" i="1"/>
  <c r="AC302" i="1"/>
  <c r="N302" i="1"/>
  <c r="M302" i="1"/>
  <c r="L302" i="1"/>
  <c r="G302" i="1"/>
  <c r="E302" i="1"/>
  <c r="AV301" i="1"/>
  <c r="AT301" i="1"/>
  <c r="AN301" i="1"/>
  <c r="AE301" i="1"/>
  <c r="AF301" i="1" s="1"/>
  <c r="AD301" i="1"/>
  <c r="AJ301" i="1" s="1"/>
  <c r="AC301" i="1"/>
  <c r="N301" i="1"/>
  <c r="M301" i="1"/>
  <c r="L301" i="1"/>
  <c r="G301" i="1"/>
  <c r="E301" i="1"/>
  <c r="AV300" i="1"/>
  <c r="AT300" i="1"/>
  <c r="AN300" i="1"/>
  <c r="AE300" i="1"/>
  <c r="AF300" i="1" s="1"/>
  <c r="AD300" i="1"/>
  <c r="AC300" i="1"/>
  <c r="N300" i="1"/>
  <c r="M300" i="1"/>
  <c r="L300" i="1"/>
  <c r="G300" i="1"/>
  <c r="E300" i="1"/>
  <c r="AV299" i="1"/>
  <c r="AT299" i="1"/>
  <c r="AN299" i="1"/>
  <c r="AE299" i="1"/>
  <c r="AF299" i="1" s="1"/>
  <c r="AD299" i="1"/>
  <c r="AJ299" i="1" s="1"/>
  <c r="AC299" i="1"/>
  <c r="N299" i="1"/>
  <c r="M299" i="1"/>
  <c r="L299" i="1"/>
  <c r="G299" i="1"/>
  <c r="E299" i="1"/>
  <c r="AV298" i="1"/>
  <c r="AT298" i="1"/>
  <c r="AN298" i="1"/>
  <c r="AE298" i="1"/>
  <c r="AF298" i="1" s="1"/>
  <c r="AD298" i="1"/>
  <c r="AJ298" i="1" s="1"/>
  <c r="AC298" i="1"/>
  <c r="N298" i="1"/>
  <c r="M298" i="1"/>
  <c r="L298" i="1"/>
  <c r="G298" i="1"/>
  <c r="E298" i="1"/>
  <c r="AV297" i="1"/>
  <c r="AT297" i="1"/>
  <c r="AN297" i="1"/>
  <c r="AE297" i="1"/>
  <c r="AF297" i="1" s="1"/>
  <c r="AD297" i="1"/>
  <c r="AC297" i="1"/>
  <c r="N297" i="1"/>
  <c r="M297" i="1"/>
  <c r="L297" i="1"/>
  <c r="F297" i="1" s="1"/>
  <c r="Q297" i="1" s="1"/>
  <c r="G297" i="1"/>
  <c r="E297" i="1"/>
  <c r="AV296" i="1"/>
  <c r="AT296" i="1"/>
  <c r="AN296" i="1"/>
  <c r="AE296" i="1"/>
  <c r="AF296" i="1" s="1"/>
  <c r="AD296" i="1"/>
  <c r="I57" i="2" s="1"/>
  <c r="AC296" i="1"/>
  <c r="H57" i="2" s="1"/>
  <c r="N296" i="1"/>
  <c r="M296" i="1"/>
  <c r="C57" i="2" s="1"/>
  <c r="L296" i="1"/>
  <c r="G296" i="1"/>
  <c r="E296" i="1"/>
  <c r="AV295" i="1"/>
  <c r="AT295" i="1"/>
  <c r="AN295" i="1"/>
  <c r="AE295" i="1"/>
  <c r="AF295" i="1" s="1"/>
  <c r="AD295" i="1"/>
  <c r="AJ295" i="1" s="1"/>
  <c r="AC295" i="1"/>
  <c r="N295" i="1"/>
  <c r="M295" i="1"/>
  <c r="L295" i="1"/>
  <c r="G295" i="1"/>
  <c r="E295" i="1"/>
  <c r="AV294" i="1"/>
  <c r="AT294" i="1"/>
  <c r="AN294" i="1"/>
  <c r="AE294" i="1"/>
  <c r="AF294" i="1" s="1"/>
  <c r="AD294" i="1"/>
  <c r="AJ294" i="1" s="1"/>
  <c r="AC294" i="1"/>
  <c r="N294" i="1"/>
  <c r="M294" i="1"/>
  <c r="L294" i="1"/>
  <c r="G294" i="1"/>
  <c r="E294" i="1"/>
  <c r="AV293" i="1"/>
  <c r="AT293" i="1"/>
  <c r="AN293" i="1"/>
  <c r="AE293" i="1"/>
  <c r="AF293" i="1" s="1"/>
  <c r="AD293" i="1"/>
  <c r="AC293" i="1"/>
  <c r="N293" i="1"/>
  <c r="M293" i="1"/>
  <c r="L293" i="1"/>
  <c r="P293" i="1" s="1"/>
  <c r="G293" i="1"/>
  <c r="E293" i="1"/>
  <c r="AV292" i="1"/>
  <c r="AT292" i="1"/>
  <c r="AN292" i="1"/>
  <c r="AE292" i="1"/>
  <c r="AF292" i="1" s="1"/>
  <c r="AD292" i="1"/>
  <c r="AC292" i="1"/>
  <c r="N292" i="1"/>
  <c r="M292" i="1"/>
  <c r="L292" i="1"/>
  <c r="P292" i="1" s="1"/>
  <c r="G292" i="1"/>
  <c r="E292" i="1"/>
  <c r="AV291" i="1"/>
  <c r="AT291" i="1"/>
  <c r="AN291" i="1"/>
  <c r="AE291" i="1"/>
  <c r="AF291" i="1" s="1"/>
  <c r="AD291" i="1"/>
  <c r="AJ291" i="1" s="1"/>
  <c r="AC291" i="1"/>
  <c r="N291" i="1"/>
  <c r="M291" i="1"/>
  <c r="L291" i="1"/>
  <c r="P291" i="1" s="1"/>
  <c r="G291" i="1"/>
  <c r="E291" i="1"/>
  <c r="AV290" i="1"/>
  <c r="AT290" i="1"/>
  <c r="AN290" i="1"/>
  <c r="AE290" i="1"/>
  <c r="AF290" i="1" s="1"/>
  <c r="AD290" i="1"/>
  <c r="AC290" i="1"/>
  <c r="N290" i="1"/>
  <c r="M290" i="1"/>
  <c r="L290" i="1"/>
  <c r="G290" i="1"/>
  <c r="E290" i="1"/>
  <c r="AV289" i="1"/>
  <c r="AT289" i="1"/>
  <c r="AN289" i="1"/>
  <c r="AE289" i="1"/>
  <c r="AF289" i="1" s="1"/>
  <c r="AD289" i="1"/>
  <c r="AC289" i="1"/>
  <c r="N289" i="1"/>
  <c r="M289" i="1"/>
  <c r="L289" i="1"/>
  <c r="G289" i="1"/>
  <c r="E289" i="1"/>
  <c r="AV288" i="1"/>
  <c r="AT288" i="1"/>
  <c r="AN288" i="1"/>
  <c r="AE288" i="1"/>
  <c r="AF288" i="1" s="1"/>
  <c r="AD288" i="1"/>
  <c r="AC288" i="1"/>
  <c r="N288" i="1"/>
  <c r="M288" i="1"/>
  <c r="L288" i="1"/>
  <c r="G288" i="1"/>
  <c r="E288" i="1"/>
  <c r="AV287" i="1"/>
  <c r="AT287" i="1"/>
  <c r="AN287" i="1"/>
  <c r="AE287" i="1"/>
  <c r="AF287" i="1" s="1"/>
  <c r="AD287" i="1"/>
  <c r="AJ287" i="1" s="1"/>
  <c r="AC287" i="1"/>
  <c r="N287" i="1"/>
  <c r="M287" i="1"/>
  <c r="L287" i="1"/>
  <c r="P287" i="1" s="1"/>
  <c r="G287" i="1"/>
  <c r="E287" i="1"/>
  <c r="AV286" i="1"/>
  <c r="AT286" i="1"/>
  <c r="AN286" i="1"/>
  <c r="N286" i="1"/>
  <c r="M286" i="1"/>
  <c r="G286" i="1"/>
  <c r="E286" i="1"/>
  <c r="AV285" i="1"/>
  <c r="AT285" i="1"/>
  <c r="AN285" i="1"/>
  <c r="AE285" i="1"/>
  <c r="AF285" i="1" s="1"/>
  <c r="AD285" i="1"/>
  <c r="AJ285" i="1" s="1"/>
  <c r="AC285" i="1"/>
  <c r="U326" i="3" s="1"/>
  <c r="N285" i="1"/>
  <c r="M285" i="1"/>
  <c r="G285" i="1"/>
  <c r="E285" i="1"/>
  <c r="AV284" i="1"/>
  <c r="AT284" i="1"/>
  <c r="AN284" i="1"/>
  <c r="AE284" i="1"/>
  <c r="AF284" i="1" s="1"/>
  <c r="AD284" i="1"/>
  <c r="AJ284" i="1" s="1"/>
  <c r="AC284" i="1"/>
  <c r="U325" i="3" s="1"/>
  <c r="N284" i="1"/>
  <c r="M284" i="1"/>
  <c r="G284" i="1"/>
  <c r="E284" i="1"/>
  <c r="AV283" i="1"/>
  <c r="AT283" i="1"/>
  <c r="AN283" i="1"/>
  <c r="AE283" i="1"/>
  <c r="AF283" i="1" s="1"/>
  <c r="AD283" i="1"/>
  <c r="AC283" i="1"/>
  <c r="U324" i="3" s="1"/>
  <c r="N283" i="1"/>
  <c r="M283" i="1"/>
  <c r="G283" i="1"/>
  <c r="E283" i="1"/>
  <c r="AV282" i="1"/>
  <c r="AT282" i="1"/>
  <c r="AN282" i="1"/>
  <c r="AE282" i="1"/>
  <c r="AF282" i="1" s="1"/>
  <c r="AD282" i="1"/>
  <c r="AJ282" i="1" s="1"/>
  <c r="AC282" i="1"/>
  <c r="U323" i="3" s="1"/>
  <c r="N282" i="1"/>
  <c r="M282" i="1"/>
  <c r="G282" i="1"/>
  <c r="E282" i="1"/>
  <c r="AV281" i="1"/>
  <c r="AT281" i="1"/>
  <c r="AN281" i="1"/>
  <c r="AE281" i="1"/>
  <c r="AF281" i="1" s="1"/>
  <c r="AD281" i="1"/>
  <c r="AJ281" i="1" s="1"/>
  <c r="AC281" i="1"/>
  <c r="U322" i="3" s="1"/>
  <c r="N281" i="1"/>
  <c r="M281" i="1"/>
  <c r="G281" i="1"/>
  <c r="E281" i="1"/>
  <c r="AV280" i="1"/>
  <c r="AT280" i="1"/>
  <c r="AN280" i="1"/>
  <c r="AE280" i="1"/>
  <c r="AF280" i="1" s="1"/>
  <c r="AD280" i="1"/>
  <c r="AJ280" i="1" s="1"/>
  <c r="AC280" i="1"/>
  <c r="U321" i="3" s="1"/>
  <c r="N280" i="1"/>
  <c r="M280" i="1"/>
  <c r="G280" i="1"/>
  <c r="E280" i="1"/>
  <c r="AV279" i="1"/>
  <c r="AT279" i="1"/>
  <c r="AN279" i="1"/>
  <c r="AE279" i="1"/>
  <c r="AF279" i="1" s="1"/>
  <c r="AD279" i="1"/>
  <c r="AJ279" i="1" s="1"/>
  <c r="AC279" i="1"/>
  <c r="U320" i="3" s="1"/>
  <c r="N279" i="1"/>
  <c r="M279" i="1"/>
  <c r="G279" i="1"/>
  <c r="E279" i="1"/>
  <c r="AV278" i="1"/>
  <c r="AT278" i="1"/>
  <c r="AN278" i="1"/>
  <c r="AE278" i="1"/>
  <c r="AF278" i="1" s="1"/>
  <c r="AD278" i="1"/>
  <c r="AJ278" i="1" s="1"/>
  <c r="AC278" i="1"/>
  <c r="U319" i="3" s="1"/>
  <c r="N278" i="1"/>
  <c r="M278" i="1"/>
  <c r="G278" i="1"/>
  <c r="E278" i="1"/>
  <c r="AV277" i="1"/>
  <c r="AT277" i="1"/>
  <c r="AN277" i="1"/>
  <c r="AE277" i="1"/>
  <c r="AF277" i="1" s="1"/>
  <c r="AD277" i="1"/>
  <c r="AJ277" i="1" s="1"/>
  <c r="AC277" i="1"/>
  <c r="U318" i="3" s="1"/>
  <c r="N277" i="1"/>
  <c r="M277" i="1"/>
  <c r="G277" i="1"/>
  <c r="E277" i="1"/>
  <c r="AV276" i="1"/>
  <c r="AT276" i="1"/>
  <c r="AN276" i="1"/>
  <c r="AE276" i="1"/>
  <c r="AF276" i="1" s="1"/>
  <c r="AD276" i="1"/>
  <c r="AJ276" i="1" s="1"/>
  <c r="AC276" i="1"/>
  <c r="U316" i="3" s="1"/>
  <c r="N276" i="1"/>
  <c r="M276" i="1"/>
  <c r="G276" i="1"/>
  <c r="E276" i="1"/>
  <c r="AV275" i="1"/>
  <c r="AT275" i="1"/>
  <c r="AN275" i="1"/>
  <c r="AE275" i="1"/>
  <c r="AF275" i="1" s="1"/>
  <c r="AD275" i="1"/>
  <c r="AC275" i="1"/>
  <c r="U315" i="3" s="1"/>
  <c r="N275" i="1"/>
  <c r="M275" i="1"/>
  <c r="G275" i="1"/>
  <c r="E275" i="1"/>
  <c r="AV274" i="1"/>
  <c r="AT274" i="1"/>
  <c r="AN274" i="1"/>
  <c r="AE274" i="1"/>
  <c r="AF274" i="1" s="1"/>
  <c r="AD274" i="1"/>
  <c r="AC274" i="1"/>
  <c r="U314" i="3" s="1"/>
  <c r="N274" i="1"/>
  <c r="M274" i="1"/>
  <c r="G274" i="1"/>
  <c r="E274" i="1"/>
  <c r="AV273" i="1"/>
  <c r="AT273" i="1"/>
  <c r="AN273" i="1"/>
  <c r="AE273" i="1"/>
  <c r="AF273" i="1" s="1"/>
  <c r="AD273" i="1"/>
  <c r="AC273" i="1"/>
  <c r="U313" i="3" s="1"/>
  <c r="N273" i="1"/>
  <c r="M273" i="1"/>
  <c r="G273" i="1"/>
  <c r="E273" i="1"/>
  <c r="AV272" i="1"/>
  <c r="AT272" i="1"/>
  <c r="AN272" i="1"/>
  <c r="AE272" i="1"/>
  <c r="AF272" i="1" s="1"/>
  <c r="AD272" i="1"/>
  <c r="AC272" i="1"/>
  <c r="U311" i="3" s="1"/>
  <c r="N272" i="1"/>
  <c r="M272" i="1"/>
  <c r="G272" i="1"/>
  <c r="E272" i="1"/>
  <c r="AV271" i="1"/>
  <c r="AT271" i="1"/>
  <c r="AN271" i="1"/>
  <c r="AE271" i="1"/>
  <c r="AF271" i="1" s="1"/>
  <c r="AD271" i="1"/>
  <c r="AJ271" i="1" s="1"/>
  <c r="AC271" i="1"/>
  <c r="U310" i="3" s="1"/>
  <c r="N271" i="1"/>
  <c r="M271" i="1"/>
  <c r="G271" i="1"/>
  <c r="E271" i="1"/>
  <c r="AV270" i="1"/>
  <c r="AT270" i="1"/>
  <c r="AN270" i="1"/>
  <c r="AE270" i="1"/>
  <c r="AF270" i="1" s="1"/>
  <c r="AD270" i="1"/>
  <c r="AC270" i="1"/>
  <c r="U309" i="3" s="1"/>
  <c r="N270" i="1"/>
  <c r="M270" i="1"/>
  <c r="G270" i="1"/>
  <c r="E270" i="1"/>
  <c r="AV269" i="1"/>
  <c r="AT269" i="1"/>
  <c r="AN269" i="1"/>
  <c r="AE269" i="1"/>
  <c r="AF269" i="1" s="1"/>
  <c r="AD269" i="1"/>
  <c r="AJ269" i="1" s="1"/>
  <c r="AC269" i="1"/>
  <c r="U308" i="3" s="1"/>
  <c r="N269" i="1"/>
  <c r="M269" i="1"/>
  <c r="G269" i="1"/>
  <c r="E269" i="1"/>
  <c r="AV268" i="1"/>
  <c r="AT268" i="1"/>
  <c r="AN268" i="1"/>
  <c r="AE268" i="1"/>
  <c r="AF268" i="1" s="1"/>
  <c r="AD268" i="1"/>
  <c r="AJ268" i="1" s="1"/>
  <c r="AC268" i="1"/>
  <c r="U306" i="3" s="1"/>
  <c r="N268" i="1"/>
  <c r="M268" i="1"/>
  <c r="G268" i="1"/>
  <c r="E268" i="1"/>
  <c r="AV267" i="1"/>
  <c r="AT267" i="1"/>
  <c r="AN267" i="1"/>
  <c r="AE267" i="1"/>
  <c r="AF267" i="1" s="1"/>
  <c r="AD267" i="1"/>
  <c r="AC267" i="1"/>
  <c r="U305" i="3" s="1"/>
  <c r="N267" i="1"/>
  <c r="M267" i="1"/>
  <c r="G267" i="1"/>
  <c r="E267" i="1"/>
  <c r="AV266" i="1"/>
  <c r="AT266" i="1"/>
  <c r="AN266" i="1"/>
  <c r="AE266" i="1"/>
  <c r="AF266" i="1" s="1"/>
  <c r="AD266" i="1"/>
  <c r="AC266" i="1"/>
  <c r="U304" i="3" s="1"/>
  <c r="N266" i="1"/>
  <c r="M266" i="1"/>
  <c r="G266" i="1"/>
  <c r="E266" i="1"/>
  <c r="AV265" i="1"/>
  <c r="AT265" i="1"/>
  <c r="AN265" i="1"/>
  <c r="AE265" i="1"/>
  <c r="AF265" i="1" s="1"/>
  <c r="AD265" i="1"/>
  <c r="AC265" i="1"/>
  <c r="N265" i="1"/>
  <c r="M265" i="1"/>
  <c r="L265" i="1"/>
  <c r="P265" i="1" s="1"/>
  <c r="G265" i="1"/>
  <c r="F265" i="1"/>
  <c r="Q265" i="1" s="1"/>
  <c r="E265" i="1"/>
  <c r="AV264" i="1"/>
  <c r="AT264" i="1"/>
  <c r="AN264" i="1"/>
  <c r="AE264" i="1"/>
  <c r="AF264" i="1" s="1"/>
  <c r="AD264" i="1"/>
  <c r="AC264" i="1"/>
  <c r="U303" i="3" s="1"/>
  <c r="N264" i="1"/>
  <c r="M264" i="1"/>
  <c r="G264" i="1"/>
  <c r="E264" i="1"/>
  <c r="AV263" i="1"/>
  <c r="AT263" i="1"/>
  <c r="AN263" i="1"/>
  <c r="AE263" i="1"/>
  <c r="AF263" i="1" s="1"/>
  <c r="AD263" i="1"/>
  <c r="AC263" i="1"/>
  <c r="U302" i="3" s="1"/>
  <c r="N263" i="1"/>
  <c r="M263" i="1"/>
  <c r="G263" i="1"/>
  <c r="E263" i="1"/>
  <c r="AV262" i="1"/>
  <c r="AT262" i="1"/>
  <c r="AN262" i="1"/>
  <c r="AE262" i="1"/>
  <c r="AF262" i="1" s="1"/>
  <c r="AD262" i="1"/>
  <c r="AC262" i="1"/>
  <c r="U301" i="3" s="1"/>
  <c r="N262" i="1"/>
  <c r="M262" i="1"/>
  <c r="G262" i="1"/>
  <c r="E262" i="1"/>
  <c r="AV261" i="1"/>
  <c r="AT261" i="1"/>
  <c r="AN261" i="1"/>
  <c r="AE261" i="1"/>
  <c r="AF261" i="1" s="1"/>
  <c r="AD261" i="1"/>
  <c r="AC261" i="1"/>
  <c r="U299" i="3" s="1"/>
  <c r="N261" i="1"/>
  <c r="M261" i="1"/>
  <c r="G261" i="1"/>
  <c r="E261" i="1"/>
  <c r="AV260" i="1"/>
  <c r="AT260" i="1"/>
  <c r="AN260" i="1"/>
  <c r="AE260" i="1"/>
  <c r="AF260" i="1" s="1"/>
  <c r="AD260" i="1"/>
  <c r="AC260" i="1"/>
  <c r="U298" i="3" s="1"/>
  <c r="N260" i="1"/>
  <c r="M260" i="1"/>
  <c r="G260" i="1"/>
  <c r="E260" i="1"/>
  <c r="AV259" i="1"/>
  <c r="AT259" i="1"/>
  <c r="AN259" i="1"/>
  <c r="AE259" i="1"/>
  <c r="AF259" i="1" s="1"/>
  <c r="AD259" i="1"/>
  <c r="AC259" i="1"/>
  <c r="U297" i="3" s="1"/>
  <c r="N259" i="1"/>
  <c r="M259" i="1"/>
  <c r="G259" i="1"/>
  <c r="E259" i="1"/>
  <c r="AV258" i="1"/>
  <c r="AT258" i="1"/>
  <c r="AN258" i="1"/>
  <c r="AE258" i="1"/>
  <c r="AF258" i="1" s="1"/>
  <c r="AD258" i="1"/>
  <c r="AC258" i="1"/>
  <c r="U296" i="3" s="1"/>
  <c r="N258" i="1"/>
  <c r="M258" i="1"/>
  <c r="G258" i="1"/>
  <c r="E258" i="1"/>
  <c r="AV257" i="1"/>
  <c r="AT257" i="1"/>
  <c r="AN257" i="1"/>
  <c r="AE257" i="1"/>
  <c r="AF257" i="1" s="1"/>
  <c r="AD257" i="1"/>
  <c r="AC257" i="1"/>
  <c r="U295" i="3" s="1"/>
  <c r="N257" i="1"/>
  <c r="M257" i="1"/>
  <c r="G257" i="1"/>
  <c r="E257" i="1"/>
  <c r="AV256" i="1"/>
  <c r="AT256" i="1"/>
  <c r="AN256" i="1"/>
  <c r="AE256" i="1"/>
  <c r="AF256" i="1" s="1"/>
  <c r="AD256" i="1"/>
  <c r="AC256" i="1"/>
  <c r="U294" i="3" s="1"/>
  <c r="N256" i="1"/>
  <c r="M256" i="1"/>
  <c r="G256" i="1"/>
  <c r="E256" i="1"/>
  <c r="AV255" i="1"/>
  <c r="AT255" i="1"/>
  <c r="AN255" i="1"/>
  <c r="AE255" i="1"/>
  <c r="AF255" i="1" s="1"/>
  <c r="AD255" i="1"/>
  <c r="AC255" i="1"/>
  <c r="U293" i="3" s="1"/>
  <c r="N255" i="1"/>
  <c r="M255" i="1"/>
  <c r="G255" i="1"/>
  <c r="E255" i="1"/>
  <c r="AV254" i="1"/>
  <c r="AT254" i="1"/>
  <c r="AN254" i="1"/>
  <c r="AE254" i="1"/>
  <c r="AF254" i="1" s="1"/>
  <c r="AD254" i="1"/>
  <c r="AC254" i="1"/>
  <c r="U292" i="3" s="1"/>
  <c r="N254" i="1"/>
  <c r="M254" i="1"/>
  <c r="G254" i="1"/>
  <c r="E254" i="1"/>
  <c r="AV253" i="1"/>
  <c r="AT253" i="1"/>
  <c r="AN253" i="1"/>
  <c r="AE253" i="1"/>
  <c r="AF253" i="1" s="1"/>
  <c r="AD253" i="1"/>
  <c r="AC253" i="1"/>
  <c r="U291" i="3" s="1"/>
  <c r="N253" i="1"/>
  <c r="M253" i="1"/>
  <c r="G253" i="1"/>
  <c r="E253" i="1"/>
  <c r="AV252" i="1"/>
  <c r="AT252" i="1"/>
  <c r="AN252" i="1"/>
  <c r="AE252" i="1"/>
  <c r="AF252" i="1" s="1"/>
  <c r="AD252" i="1"/>
  <c r="AC252" i="1"/>
  <c r="U287" i="3" s="1"/>
  <c r="N252" i="1"/>
  <c r="M252" i="1"/>
  <c r="G252" i="1"/>
  <c r="E252" i="1"/>
  <c r="AV251" i="1"/>
  <c r="AT251" i="1"/>
  <c r="AN251" i="1"/>
  <c r="AE251" i="1"/>
  <c r="AF251" i="1" s="1"/>
  <c r="AD251" i="1"/>
  <c r="AJ251" i="1" s="1"/>
  <c r="AC251" i="1"/>
  <c r="U285" i="3" s="1"/>
  <c r="N251" i="1"/>
  <c r="M251" i="1"/>
  <c r="G251" i="1"/>
  <c r="E251" i="1"/>
  <c r="AV250" i="1"/>
  <c r="AT250" i="1"/>
  <c r="AN250" i="1"/>
  <c r="AE250" i="1"/>
  <c r="AF250" i="1" s="1"/>
  <c r="AD250" i="1"/>
  <c r="AJ250" i="1" s="1"/>
  <c r="AC250" i="1"/>
  <c r="U284" i="3" s="1"/>
  <c r="N250" i="1"/>
  <c r="M250" i="1"/>
  <c r="G250" i="1"/>
  <c r="E250" i="1"/>
  <c r="AV249" i="1"/>
  <c r="AT249" i="1"/>
  <c r="AN249" i="1"/>
  <c r="AE249" i="1"/>
  <c r="AF249" i="1" s="1"/>
  <c r="AD249" i="1"/>
  <c r="AJ249" i="1" s="1"/>
  <c r="AC249" i="1"/>
  <c r="U283" i="3" s="1"/>
  <c r="N249" i="1"/>
  <c r="M249" i="1"/>
  <c r="G249" i="1"/>
  <c r="E249" i="1"/>
  <c r="AV248" i="1"/>
  <c r="AT248" i="1"/>
  <c r="AN248" i="1"/>
  <c r="AE248" i="1"/>
  <c r="AF248" i="1" s="1"/>
  <c r="AD248" i="1"/>
  <c r="AJ248" i="1" s="1"/>
  <c r="AC248" i="1"/>
  <c r="U282" i="3" s="1"/>
  <c r="N248" i="1"/>
  <c r="M248" i="1"/>
  <c r="G248" i="1"/>
  <c r="E248" i="1"/>
  <c r="AV247" i="1"/>
  <c r="AT247" i="1"/>
  <c r="AN247" i="1"/>
  <c r="AE247" i="1"/>
  <c r="AF247" i="1" s="1"/>
  <c r="AD247" i="1"/>
  <c r="AJ247" i="1" s="1"/>
  <c r="AC247" i="1"/>
  <c r="U281" i="3" s="1"/>
  <c r="N247" i="1"/>
  <c r="M247" i="1"/>
  <c r="G247" i="1"/>
  <c r="E247" i="1"/>
  <c r="AV246" i="1"/>
  <c r="AT246" i="1"/>
  <c r="AN246" i="1"/>
  <c r="AE246" i="1"/>
  <c r="AF246" i="1" s="1"/>
  <c r="AD246" i="1"/>
  <c r="AJ246" i="1" s="1"/>
  <c r="AC246" i="1"/>
  <c r="U280" i="3" s="1"/>
  <c r="N246" i="1"/>
  <c r="M246" i="1"/>
  <c r="G246" i="1"/>
  <c r="E246" i="1"/>
  <c r="AV245" i="1"/>
  <c r="AT245" i="1"/>
  <c r="AN245" i="1"/>
  <c r="AE245" i="1"/>
  <c r="AF245" i="1" s="1"/>
  <c r="AD245" i="1"/>
  <c r="AJ245" i="1" s="1"/>
  <c r="AC245" i="1"/>
  <c r="U279" i="3" s="1"/>
  <c r="N245" i="1"/>
  <c r="M245" i="1"/>
  <c r="G245" i="1"/>
  <c r="E245" i="1"/>
  <c r="AV244" i="1"/>
  <c r="AT244" i="1"/>
  <c r="AN244" i="1"/>
  <c r="AE244" i="1"/>
  <c r="AF244" i="1" s="1"/>
  <c r="AD244" i="1"/>
  <c r="AJ244" i="1" s="1"/>
  <c r="AC244" i="1"/>
  <c r="U278" i="3" s="1"/>
  <c r="N244" i="1"/>
  <c r="M244" i="1"/>
  <c r="G244" i="1"/>
  <c r="E244" i="1"/>
  <c r="AV243" i="1"/>
  <c r="AT243" i="1"/>
  <c r="AN243" i="1"/>
  <c r="AE243" i="1"/>
  <c r="AF243" i="1" s="1"/>
  <c r="AD243" i="1"/>
  <c r="AC243" i="1"/>
  <c r="U277" i="3" s="1"/>
  <c r="N243" i="1"/>
  <c r="M243" i="1"/>
  <c r="G243" i="1"/>
  <c r="E243" i="1"/>
  <c r="AV242" i="1"/>
  <c r="AT242" i="1"/>
  <c r="AN242" i="1"/>
  <c r="AE242" i="1"/>
  <c r="AF242" i="1" s="1"/>
  <c r="AD242" i="1"/>
  <c r="AJ242" i="1" s="1"/>
  <c r="AC242" i="1"/>
  <c r="U276" i="3" s="1"/>
  <c r="N242" i="1"/>
  <c r="M242" i="1"/>
  <c r="G242" i="1"/>
  <c r="E242" i="1"/>
  <c r="AV241" i="1"/>
  <c r="AT241" i="1"/>
  <c r="AN241" i="1"/>
  <c r="AE241" i="1"/>
  <c r="AF241" i="1" s="1"/>
  <c r="AD241" i="1"/>
  <c r="AJ241" i="1" s="1"/>
  <c r="AC241" i="1"/>
  <c r="U275" i="3" s="1"/>
  <c r="N241" i="1"/>
  <c r="M241" i="1"/>
  <c r="G241" i="1"/>
  <c r="E241" i="1"/>
  <c r="AV240" i="1"/>
  <c r="AT240" i="1"/>
  <c r="AN240" i="1"/>
  <c r="AE240" i="1"/>
  <c r="AF240" i="1" s="1"/>
  <c r="AD240" i="1"/>
  <c r="AC240" i="1"/>
  <c r="U274" i="3" s="1"/>
  <c r="N240" i="1"/>
  <c r="M240" i="1"/>
  <c r="G240" i="1"/>
  <c r="E240" i="1"/>
  <c r="AV239" i="1"/>
  <c r="AT239" i="1"/>
  <c r="AN239" i="1"/>
  <c r="AE239" i="1"/>
  <c r="AF239" i="1" s="1"/>
  <c r="AD239" i="1"/>
  <c r="AJ239" i="1" s="1"/>
  <c r="AC239" i="1"/>
  <c r="U273" i="3" s="1"/>
  <c r="N239" i="1"/>
  <c r="M239" i="1"/>
  <c r="G239" i="1"/>
  <c r="E239" i="1"/>
  <c r="AV238" i="1"/>
  <c r="AT238" i="1"/>
  <c r="AN238" i="1"/>
  <c r="AE238" i="1"/>
  <c r="AF238" i="1" s="1"/>
  <c r="AD238" i="1"/>
  <c r="AC238" i="1"/>
  <c r="N238" i="1"/>
  <c r="M238" i="1"/>
  <c r="G238" i="1"/>
  <c r="E238" i="1"/>
  <c r="AV237" i="1"/>
  <c r="AT237" i="1"/>
  <c r="AN237" i="1"/>
  <c r="AE237" i="1"/>
  <c r="AF237" i="1" s="1"/>
  <c r="AD237" i="1"/>
  <c r="AC237" i="1"/>
  <c r="N237" i="1"/>
  <c r="M237" i="1"/>
  <c r="G237" i="1"/>
  <c r="E237" i="1"/>
  <c r="AV236" i="1"/>
  <c r="AT236" i="1"/>
  <c r="AN236" i="1"/>
  <c r="AE236" i="1"/>
  <c r="AF236" i="1" s="1"/>
  <c r="AD236" i="1"/>
  <c r="AC236" i="1"/>
  <c r="N236" i="1"/>
  <c r="M236" i="1"/>
  <c r="L236" i="1"/>
  <c r="P236" i="1" s="1"/>
  <c r="G236" i="1"/>
  <c r="E236" i="1"/>
  <c r="AV235" i="1"/>
  <c r="AT235" i="1"/>
  <c r="AN235" i="1"/>
  <c r="AE235" i="1"/>
  <c r="AF235" i="1" s="1"/>
  <c r="AD235" i="1"/>
  <c r="AJ235" i="1" s="1"/>
  <c r="AC235" i="1"/>
  <c r="U272" i="3" s="1"/>
  <c r="N235" i="1"/>
  <c r="M235" i="1"/>
  <c r="G235" i="1"/>
  <c r="E235" i="1"/>
  <c r="AV234" i="1"/>
  <c r="AT234" i="1"/>
  <c r="AN234" i="1"/>
  <c r="AE234" i="1"/>
  <c r="AF234" i="1" s="1"/>
  <c r="AD234" i="1"/>
  <c r="AJ234" i="1" s="1"/>
  <c r="AC234" i="1"/>
  <c r="U271" i="3" s="1"/>
  <c r="N234" i="1"/>
  <c r="M234" i="1"/>
  <c r="G234" i="1"/>
  <c r="E234" i="1"/>
  <c r="AV233" i="1"/>
  <c r="AT233" i="1"/>
  <c r="AN233" i="1"/>
  <c r="AE233" i="1"/>
  <c r="AF233" i="1" s="1"/>
  <c r="AD233" i="1"/>
  <c r="AJ233" i="1" s="1"/>
  <c r="AC233" i="1"/>
  <c r="U269" i="3" s="1"/>
  <c r="N233" i="1"/>
  <c r="M233" i="1"/>
  <c r="G233" i="1"/>
  <c r="E233" i="1"/>
  <c r="AV232" i="1"/>
  <c r="AT232" i="1"/>
  <c r="AN232" i="1"/>
  <c r="AE232" i="1"/>
  <c r="AF232" i="1" s="1"/>
  <c r="AD232" i="1"/>
  <c r="AC232" i="1"/>
  <c r="U268" i="3" s="1"/>
  <c r="N232" i="1"/>
  <c r="M232" i="1"/>
  <c r="G232" i="1"/>
  <c r="E232" i="1"/>
  <c r="AV231" i="1"/>
  <c r="AT231" i="1"/>
  <c r="AN231" i="1"/>
  <c r="AE231" i="1"/>
  <c r="AF231" i="1" s="1"/>
  <c r="AD231" i="1"/>
  <c r="AJ231" i="1" s="1"/>
  <c r="AC231" i="1"/>
  <c r="U267" i="3" s="1"/>
  <c r="N231" i="1"/>
  <c r="M231" i="1"/>
  <c r="G231" i="1"/>
  <c r="E231" i="1"/>
  <c r="AV230" i="1"/>
  <c r="AT230" i="1"/>
  <c r="AN230" i="1"/>
  <c r="AE230" i="1"/>
  <c r="AF230" i="1" s="1"/>
  <c r="AD230" i="1"/>
  <c r="AJ230" i="1" s="1"/>
  <c r="AC230" i="1"/>
  <c r="N230" i="1"/>
  <c r="M230" i="1"/>
  <c r="L230" i="1"/>
  <c r="G230" i="1"/>
  <c r="E230" i="1"/>
  <c r="AV229" i="1"/>
  <c r="AT229" i="1"/>
  <c r="AN229" i="1"/>
  <c r="AE229" i="1"/>
  <c r="AF229" i="1" s="1"/>
  <c r="AD229" i="1"/>
  <c r="AJ229" i="1" s="1"/>
  <c r="AC229" i="1"/>
  <c r="U266" i="3" s="1"/>
  <c r="N229" i="1"/>
  <c r="M229" i="1"/>
  <c r="G229" i="1"/>
  <c r="E229" i="1"/>
  <c r="AV228" i="1"/>
  <c r="AT228" i="1"/>
  <c r="AN228" i="1"/>
  <c r="AE228" i="1"/>
  <c r="AF228" i="1" s="1"/>
  <c r="AD228" i="1"/>
  <c r="AC228" i="1"/>
  <c r="U265" i="3" s="1"/>
  <c r="N228" i="1"/>
  <c r="M228" i="1"/>
  <c r="G228" i="1"/>
  <c r="E228" i="1"/>
  <c r="AV227" i="1"/>
  <c r="AT227" i="1"/>
  <c r="AN227" i="1"/>
  <c r="AE227" i="1"/>
  <c r="AF227" i="1" s="1"/>
  <c r="AD227" i="1"/>
  <c r="AC227" i="1"/>
  <c r="U264" i="3" s="1"/>
  <c r="N227" i="1"/>
  <c r="M227" i="1"/>
  <c r="G227" i="1"/>
  <c r="E227" i="1"/>
  <c r="AV226" i="1"/>
  <c r="AT226" i="1"/>
  <c r="AN226" i="1"/>
  <c r="AE226" i="1"/>
  <c r="AF226" i="1" s="1"/>
  <c r="AD226" i="1"/>
  <c r="AJ226" i="1" s="1"/>
  <c r="AC226" i="1"/>
  <c r="U263" i="3" s="1"/>
  <c r="N226" i="1"/>
  <c r="M226" i="1"/>
  <c r="G226" i="1"/>
  <c r="E226" i="1"/>
  <c r="AV225" i="1"/>
  <c r="AT225" i="1"/>
  <c r="AN225" i="1"/>
  <c r="AE225" i="1"/>
  <c r="AF225" i="1" s="1"/>
  <c r="AD225" i="1"/>
  <c r="AC225" i="1"/>
  <c r="U261" i="3" s="1"/>
  <c r="N225" i="1"/>
  <c r="M225" i="1"/>
  <c r="G225" i="1"/>
  <c r="E225" i="1"/>
  <c r="AV224" i="1"/>
  <c r="AT224" i="1"/>
  <c r="AN224" i="1"/>
  <c r="AE224" i="1"/>
  <c r="AF224" i="1" s="1"/>
  <c r="AD224" i="1"/>
  <c r="AC224" i="1"/>
  <c r="U259" i="3" s="1"/>
  <c r="N224" i="1"/>
  <c r="M224" i="1"/>
  <c r="G224" i="1"/>
  <c r="E224" i="1"/>
  <c r="AV223" i="1"/>
  <c r="AT223" i="1"/>
  <c r="AN223" i="1"/>
  <c r="AE223" i="1"/>
  <c r="AF223" i="1" s="1"/>
  <c r="AD223" i="1"/>
  <c r="I48" i="2" s="1"/>
  <c r="AC223" i="1"/>
  <c r="H48" i="2" s="1"/>
  <c r="N223" i="1"/>
  <c r="M223" i="1"/>
  <c r="C48" i="2" s="1"/>
  <c r="L223" i="1"/>
  <c r="G223" i="1"/>
  <c r="D48" i="2" s="1"/>
  <c r="E223" i="1"/>
  <c r="AV222" i="1"/>
  <c r="AT222" i="1"/>
  <c r="AN222" i="1"/>
  <c r="AE222" i="1"/>
  <c r="AF222" i="1" s="1"/>
  <c r="AD222" i="1"/>
  <c r="AC222" i="1"/>
  <c r="U258" i="3" s="1"/>
  <c r="N222" i="1"/>
  <c r="M222" i="1"/>
  <c r="G222" i="1"/>
  <c r="E222" i="1"/>
  <c r="AV221" i="1"/>
  <c r="AT221" i="1"/>
  <c r="AN221" i="1"/>
  <c r="AE221" i="1"/>
  <c r="AF221" i="1" s="1"/>
  <c r="AD221" i="1"/>
  <c r="AC221" i="1"/>
  <c r="N221" i="1"/>
  <c r="M221" i="1"/>
  <c r="L221" i="1"/>
  <c r="G221" i="1"/>
  <c r="F221" i="1" s="1"/>
  <c r="Q221" i="1" s="1"/>
  <c r="E221" i="1"/>
  <c r="AV220" i="1"/>
  <c r="AT220" i="1"/>
  <c r="AN220" i="1"/>
  <c r="AE220" i="1"/>
  <c r="AF220" i="1" s="1"/>
  <c r="AD220" i="1"/>
  <c r="AC220" i="1"/>
  <c r="U257" i="3" s="1"/>
  <c r="N220" i="1"/>
  <c r="M220" i="1"/>
  <c r="G220" i="1"/>
  <c r="E220" i="1"/>
  <c r="AV219" i="1"/>
  <c r="AT219" i="1"/>
  <c r="AN219" i="1"/>
  <c r="AE219" i="1"/>
  <c r="AF219" i="1" s="1"/>
  <c r="AD219" i="1"/>
  <c r="AC219" i="1"/>
  <c r="U256" i="3" s="1"/>
  <c r="N219" i="1"/>
  <c r="M219" i="1"/>
  <c r="G219" i="1"/>
  <c r="E219" i="1"/>
  <c r="AV218" i="1"/>
  <c r="AT218" i="1"/>
  <c r="AN218" i="1"/>
  <c r="AE218" i="1"/>
  <c r="AF218" i="1" s="1"/>
  <c r="AD218" i="1"/>
  <c r="AC218" i="1"/>
  <c r="U255" i="3" s="1"/>
  <c r="N218" i="1"/>
  <c r="M218" i="1"/>
  <c r="G218" i="1"/>
  <c r="E218" i="1"/>
  <c r="AV217" i="1"/>
  <c r="AT217" i="1"/>
  <c r="AN217" i="1"/>
  <c r="AE217" i="1"/>
  <c r="AF217" i="1" s="1"/>
  <c r="AD217" i="1"/>
  <c r="AC217" i="1"/>
  <c r="U254" i="3" s="1"/>
  <c r="N217" i="1"/>
  <c r="M217" i="1"/>
  <c r="G217" i="1"/>
  <c r="E217" i="1"/>
  <c r="AV216" i="1"/>
  <c r="AT216" i="1"/>
  <c r="AN216" i="1"/>
  <c r="AE216" i="1"/>
  <c r="AF216" i="1" s="1"/>
  <c r="AD216" i="1"/>
  <c r="AC216" i="1"/>
  <c r="U252" i="3" s="1"/>
  <c r="N216" i="1"/>
  <c r="M216" i="1"/>
  <c r="G216" i="1"/>
  <c r="E216" i="1"/>
  <c r="AV215" i="1"/>
  <c r="AT215" i="1"/>
  <c r="AN215" i="1"/>
  <c r="AE215" i="1"/>
  <c r="AF215" i="1" s="1"/>
  <c r="AD215" i="1"/>
  <c r="AC215" i="1"/>
  <c r="U251" i="3" s="1"/>
  <c r="N215" i="1"/>
  <c r="M215" i="1"/>
  <c r="G215" i="1"/>
  <c r="E215" i="1"/>
  <c r="AV214" i="1"/>
  <c r="AT214" i="1"/>
  <c r="AN214" i="1"/>
  <c r="AE214" i="1"/>
  <c r="AF214" i="1" s="1"/>
  <c r="AD214" i="1"/>
  <c r="AC214" i="1"/>
  <c r="U250" i="3" s="1"/>
  <c r="N214" i="1"/>
  <c r="M214" i="1"/>
  <c r="G214" i="1"/>
  <c r="E214" i="1"/>
  <c r="AV213" i="1"/>
  <c r="AT213" i="1"/>
  <c r="AN213" i="1"/>
  <c r="AE213" i="1"/>
  <c r="AF213" i="1" s="1"/>
  <c r="AD213" i="1"/>
  <c r="AC213" i="1"/>
  <c r="N213" i="1"/>
  <c r="M213" i="1"/>
  <c r="C53" i="2" s="1"/>
  <c r="L213" i="1"/>
  <c r="P213" i="1" s="1"/>
  <c r="G213" i="1"/>
  <c r="E213" i="1"/>
  <c r="AV212" i="1"/>
  <c r="AT212" i="1"/>
  <c r="AN212" i="1"/>
  <c r="AE212" i="1"/>
  <c r="AF212" i="1" s="1"/>
  <c r="AD212" i="1"/>
  <c r="AC212" i="1"/>
  <c r="U248" i="3" s="1"/>
  <c r="N212" i="1"/>
  <c r="M212" i="1"/>
  <c r="G212" i="1"/>
  <c r="E212" i="1"/>
  <c r="AV211" i="1"/>
  <c r="AT211" i="1"/>
  <c r="AN211" i="1"/>
  <c r="AE211" i="1"/>
  <c r="AF211" i="1" s="1"/>
  <c r="AD211" i="1"/>
  <c r="AC211" i="1"/>
  <c r="U247" i="3" s="1"/>
  <c r="N211" i="1"/>
  <c r="M211" i="1"/>
  <c r="G211" i="1"/>
  <c r="E211" i="1"/>
  <c r="AV210" i="1"/>
  <c r="AT210" i="1"/>
  <c r="AN210" i="1"/>
  <c r="AE210" i="1"/>
  <c r="AF210" i="1" s="1"/>
  <c r="AD210" i="1"/>
  <c r="AC210" i="1"/>
  <c r="N210" i="1"/>
  <c r="M210" i="1"/>
  <c r="L210" i="1"/>
  <c r="P210" i="1" s="1"/>
  <c r="G210" i="1"/>
  <c r="F210" i="1" s="1"/>
  <c r="Q210" i="1" s="1"/>
  <c r="E210" i="1"/>
  <c r="AV209" i="1"/>
  <c r="AT209" i="1"/>
  <c r="AN209" i="1"/>
  <c r="AE209" i="1"/>
  <c r="AF209" i="1" s="1"/>
  <c r="AD209" i="1"/>
  <c r="AC209" i="1"/>
  <c r="U245" i="3" s="1"/>
  <c r="N209" i="1"/>
  <c r="M209" i="1"/>
  <c r="G209" i="1"/>
  <c r="E209" i="1"/>
  <c r="AV208" i="1"/>
  <c r="AT208" i="1"/>
  <c r="AN208" i="1"/>
  <c r="AE208" i="1"/>
  <c r="AF208" i="1" s="1"/>
  <c r="AD208" i="1"/>
  <c r="AC208" i="1"/>
  <c r="U242" i="3" s="1"/>
  <c r="N208" i="1"/>
  <c r="M208" i="1"/>
  <c r="G208" i="1"/>
  <c r="E208" i="1"/>
  <c r="AV207" i="1"/>
  <c r="AT207" i="1"/>
  <c r="AN207" i="1"/>
  <c r="AE207" i="1"/>
  <c r="AF207" i="1" s="1"/>
  <c r="AD207" i="1"/>
  <c r="AJ207" i="1" s="1"/>
  <c r="AC207" i="1"/>
  <c r="U241" i="3" s="1"/>
  <c r="N207" i="1"/>
  <c r="M207" i="1"/>
  <c r="G207" i="1"/>
  <c r="E207" i="1"/>
  <c r="AV206" i="1"/>
  <c r="AT206" i="1"/>
  <c r="AN206" i="1"/>
  <c r="AE206" i="1"/>
  <c r="AF206" i="1" s="1"/>
  <c r="AD206" i="1"/>
  <c r="AC206" i="1"/>
  <c r="U240" i="3" s="1"/>
  <c r="N206" i="1"/>
  <c r="M206" i="1"/>
  <c r="G206" i="1"/>
  <c r="E206" i="1"/>
  <c r="AV205" i="1"/>
  <c r="AT205" i="1"/>
  <c r="AN205" i="1"/>
  <c r="AE205" i="1"/>
  <c r="AF205" i="1" s="1"/>
  <c r="AD205" i="1"/>
  <c r="AC205" i="1"/>
  <c r="N205" i="1"/>
  <c r="M205" i="1"/>
  <c r="L205" i="1"/>
  <c r="P205" i="1" s="1"/>
  <c r="G205" i="1"/>
  <c r="F205" i="1" s="1"/>
  <c r="Q205" i="1" s="1"/>
  <c r="E205" i="1"/>
  <c r="AV204" i="1"/>
  <c r="AT204" i="1"/>
  <c r="AN204" i="1"/>
  <c r="AE204" i="1"/>
  <c r="AF204" i="1" s="1"/>
  <c r="AD204" i="1"/>
  <c r="AC204" i="1"/>
  <c r="N204" i="1"/>
  <c r="M204" i="1"/>
  <c r="L204" i="1"/>
  <c r="G204" i="1"/>
  <c r="E204" i="1"/>
  <c r="AV203" i="1"/>
  <c r="AT203" i="1"/>
  <c r="AN203" i="1"/>
  <c r="AE203" i="1"/>
  <c r="AF203" i="1" s="1"/>
  <c r="AD203" i="1"/>
  <c r="AC203" i="1"/>
  <c r="N203" i="1"/>
  <c r="M203" i="1"/>
  <c r="L203" i="1"/>
  <c r="G203" i="1"/>
  <c r="E203" i="1"/>
  <c r="AV202" i="1"/>
  <c r="AT202" i="1"/>
  <c r="AN202" i="1"/>
  <c r="AE202" i="1"/>
  <c r="AF202" i="1" s="1"/>
  <c r="AD202" i="1"/>
  <c r="AC202" i="1"/>
  <c r="N202" i="1"/>
  <c r="M202" i="1"/>
  <c r="L202" i="1"/>
  <c r="G202" i="1"/>
  <c r="E202" i="1"/>
  <c r="AV201" i="1"/>
  <c r="AT201" i="1"/>
  <c r="AN201" i="1"/>
  <c r="AE201" i="1"/>
  <c r="AF201" i="1" s="1"/>
  <c r="AD201" i="1"/>
  <c r="I52" i="2" s="1"/>
  <c r="AC201" i="1"/>
  <c r="H52" i="2" s="1"/>
  <c r="N201" i="1"/>
  <c r="M201" i="1"/>
  <c r="C52" i="2" s="1"/>
  <c r="L201" i="1"/>
  <c r="G201" i="1"/>
  <c r="D52" i="2" s="1"/>
  <c r="E201" i="1"/>
  <c r="AV200" i="1"/>
  <c r="AT200" i="1"/>
  <c r="AN200" i="1"/>
  <c r="AE200" i="1"/>
  <c r="AF200" i="1" s="1"/>
  <c r="AD200" i="1"/>
  <c r="AC200" i="1"/>
  <c r="N200" i="1"/>
  <c r="M200" i="1"/>
  <c r="L200" i="1"/>
  <c r="P200" i="1" s="1"/>
  <c r="G200" i="1"/>
  <c r="F200" i="1" s="1"/>
  <c r="Q200" i="1" s="1"/>
  <c r="E200" i="1"/>
  <c r="AV199" i="1"/>
  <c r="AT199" i="1"/>
  <c r="AN199" i="1"/>
  <c r="AE199" i="1"/>
  <c r="AF199" i="1" s="1"/>
  <c r="AD199" i="1"/>
  <c r="AC199" i="1"/>
  <c r="N199" i="1"/>
  <c r="M199" i="1"/>
  <c r="L199" i="1"/>
  <c r="P199" i="1" s="1"/>
  <c r="G199" i="1"/>
  <c r="F199" i="1" s="1"/>
  <c r="Q199" i="1" s="1"/>
  <c r="E199" i="1"/>
  <c r="AV198" i="1"/>
  <c r="AT198" i="1"/>
  <c r="AN198" i="1"/>
  <c r="AE198" i="1"/>
  <c r="AF198" i="1" s="1"/>
  <c r="AD198" i="1"/>
  <c r="AC198" i="1"/>
  <c r="N198" i="1"/>
  <c r="M198" i="1"/>
  <c r="L198" i="1"/>
  <c r="P198" i="1" s="1"/>
  <c r="G198" i="1"/>
  <c r="F198" i="1"/>
  <c r="Q198" i="1" s="1"/>
  <c r="E198" i="1"/>
  <c r="AE197" i="1"/>
  <c r="AF197" i="1" s="1"/>
  <c r="AD197" i="1"/>
  <c r="AC197" i="1"/>
  <c r="N197" i="1"/>
  <c r="M197" i="1"/>
  <c r="G197" i="1"/>
  <c r="E197" i="1"/>
  <c r="AV196" i="1"/>
  <c r="AT196" i="1"/>
  <c r="AN196" i="1"/>
  <c r="AE196" i="1"/>
  <c r="AF196" i="1" s="1"/>
  <c r="AD196" i="1"/>
  <c r="AC196" i="1"/>
  <c r="N196" i="1"/>
  <c r="M196" i="1"/>
  <c r="L196" i="1"/>
  <c r="P196" i="1" s="1"/>
  <c r="G196" i="1"/>
  <c r="F196" i="1"/>
  <c r="Q196" i="1" s="1"/>
  <c r="E196" i="1"/>
  <c r="AV195" i="1"/>
  <c r="AT195" i="1"/>
  <c r="AN195" i="1"/>
  <c r="AE195" i="1"/>
  <c r="AF195" i="1" s="1"/>
  <c r="AD195" i="1"/>
  <c r="AC195" i="1"/>
  <c r="N195" i="1"/>
  <c r="M195" i="1"/>
  <c r="L195" i="1"/>
  <c r="P195" i="1" s="1"/>
  <c r="G195" i="1"/>
  <c r="F195" i="1"/>
  <c r="Q195" i="1" s="1"/>
  <c r="E195" i="1"/>
  <c r="AV194" i="1"/>
  <c r="AT194" i="1"/>
  <c r="AN194" i="1"/>
  <c r="AE194" i="1"/>
  <c r="AF194" i="1" s="1"/>
  <c r="AD194" i="1"/>
  <c r="AC194" i="1"/>
  <c r="N194" i="1"/>
  <c r="M194" i="1"/>
  <c r="L194" i="1"/>
  <c r="P194" i="1" s="1"/>
  <c r="G194" i="1"/>
  <c r="F194" i="1"/>
  <c r="Q194" i="1" s="1"/>
  <c r="E194" i="1"/>
  <c r="AV193" i="1"/>
  <c r="AT193" i="1"/>
  <c r="AN193" i="1"/>
  <c r="AE193" i="1"/>
  <c r="AF193" i="1" s="1"/>
  <c r="AD193" i="1"/>
  <c r="AC193" i="1"/>
  <c r="N193" i="1"/>
  <c r="M193" i="1"/>
  <c r="G193" i="1"/>
  <c r="E193" i="1"/>
  <c r="AV192" i="1"/>
  <c r="AT192" i="1"/>
  <c r="AN192" i="1"/>
  <c r="AD192" i="1"/>
  <c r="N192" i="1"/>
  <c r="M192" i="1"/>
  <c r="G192" i="1"/>
  <c r="E192" i="1"/>
  <c r="AV191" i="1"/>
  <c r="AT191" i="1"/>
  <c r="AN191" i="1"/>
  <c r="AE191" i="1"/>
  <c r="AF191" i="1" s="1"/>
  <c r="AD191" i="1"/>
  <c r="AC191" i="1"/>
  <c r="N191" i="1"/>
  <c r="M191" i="1"/>
  <c r="G191" i="1"/>
  <c r="E191" i="1"/>
  <c r="AV190" i="1"/>
  <c r="AT190" i="1"/>
  <c r="AN190" i="1"/>
  <c r="AE190" i="1"/>
  <c r="AF190" i="1" s="1"/>
  <c r="AD190" i="1"/>
  <c r="AC190" i="1"/>
  <c r="N190" i="1"/>
  <c r="M190" i="1"/>
  <c r="L190" i="1"/>
  <c r="P190" i="1" s="1"/>
  <c r="G190" i="1"/>
  <c r="F190" i="1"/>
  <c r="Q190" i="1" s="1"/>
  <c r="E190" i="1"/>
  <c r="AV189" i="1"/>
  <c r="AT189" i="1"/>
  <c r="AN189" i="1"/>
  <c r="AE189" i="1"/>
  <c r="AF189" i="1" s="1"/>
  <c r="AD189" i="1"/>
  <c r="AC189" i="1"/>
  <c r="N189" i="1"/>
  <c r="M189" i="1"/>
  <c r="L189" i="1"/>
  <c r="P189" i="1" s="1"/>
  <c r="G189" i="1"/>
  <c r="F189" i="1"/>
  <c r="Q189" i="1" s="1"/>
  <c r="E189" i="1"/>
  <c r="AV188" i="1"/>
  <c r="AT188" i="1"/>
  <c r="AN188" i="1"/>
  <c r="AE188" i="1"/>
  <c r="AF188" i="1" s="1"/>
  <c r="AD188" i="1"/>
  <c r="AC188" i="1"/>
  <c r="N188" i="1"/>
  <c r="M188" i="1"/>
  <c r="L188" i="1"/>
  <c r="P188" i="1" s="1"/>
  <c r="G188" i="1"/>
  <c r="F188" i="1"/>
  <c r="Q188" i="1" s="1"/>
  <c r="E188" i="1"/>
  <c r="AV187" i="1"/>
  <c r="AT187" i="1"/>
  <c r="AN187" i="1"/>
  <c r="AE187" i="1"/>
  <c r="AF187" i="1" s="1"/>
  <c r="AD187" i="1"/>
  <c r="AC187" i="1"/>
  <c r="N187" i="1"/>
  <c r="M187" i="1"/>
  <c r="L187" i="1"/>
  <c r="P187" i="1" s="1"/>
  <c r="G187" i="1"/>
  <c r="F187" i="1"/>
  <c r="Q187" i="1" s="1"/>
  <c r="E187" i="1"/>
  <c r="AV186" i="1"/>
  <c r="AT186" i="1"/>
  <c r="AN186" i="1"/>
  <c r="AE186" i="1"/>
  <c r="AF186" i="1" s="1"/>
  <c r="AD186" i="1"/>
  <c r="AC186" i="1"/>
  <c r="N186" i="1"/>
  <c r="M186" i="1"/>
  <c r="L186" i="1"/>
  <c r="P186" i="1" s="1"/>
  <c r="G186" i="1"/>
  <c r="F186" i="1"/>
  <c r="Q186" i="1" s="1"/>
  <c r="E186" i="1"/>
  <c r="AV185" i="1"/>
  <c r="AT185" i="1"/>
  <c r="AN185" i="1"/>
  <c r="AE185" i="1"/>
  <c r="AF185" i="1" s="1"/>
  <c r="AD185" i="1"/>
  <c r="AC185" i="1"/>
  <c r="N185" i="1"/>
  <c r="M185" i="1"/>
  <c r="L185" i="1"/>
  <c r="P185" i="1" s="1"/>
  <c r="G185" i="1"/>
  <c r="F185" i="1"/>
  <c r="Q185" i="1" s="1"/>
  <c r="E185" i="1"/>
  <c r="AV184" i="1"/>
  <c r="AT184" i="1"/>
  <c r="AN184" i="1"/>
  <c r="AE184" i="1"/>
  <c r="AF184" i="1" s="1"/>
  <c r="AD184" i="1"/>
  <c r="AC184" i="1"/>
  <c r="N184" i="1"/>
  <c r="M184" i="1"/>
  <c r="L184" i="1"/>
  <c r="P184" i="1" s="1"/>
  <c r="G184" i="1"/>
  <c r="F184" i="1"/>
  <c r="Q184" i="1" s="1"/>
  <c r="E184" i="1"/>
  <c r="AV183" i="1"/>
  <c r="AT183" i="1"/>
  <c r="AN183" i="1"/>
  <c r="AE183" i="1"/>
  <c r="AF183" i="1" s="1"/>
  <c r="AD183" i="1"/>
  <c r="AC183" i="1"/>
  <c r="N183" i="1"/>
  <c r="M183" i="1"/>
  <c r="L183" i="1"/>
  <c r="P183" i="1" s="1"/>
  <c r="G183" i="1"/>
  <c r="F183" i="1"/>
  <c r="Q183" i="1" s="1"/>
  <c r="E183" i="1"/>
  <c r="AV182" i="1"/>
  <c r="AT182" i="1"/>
  <c r="AN182" i="1"/>
  <c r="AE182" i="1"/>
  <c r="AF182" i="1" s="1"/>
  <c r="AD182" i="1"/>
  <c r="AC182" i="1"/>
  <c r="N182" i="1"/>
  <c r="M182" i="1"/>
  <c r="L182" i="1"/>
  <c r="P182" i="1" s="1"/>
  <c r="G182" i="1"/>
  <c r="F182" i="1"/>
  <c r="Q182" i="1" s="1"/>
  <c r="E182" i="1"/>
  <c r="AV181" i="1"/>
  <c r="AT181" i="1"/>
  <c r="AN181" i="1"/>
  <c r="AE181" i="1"/>
  <c r="AF181" i="1" s="1"/>
  <c r="AD181" i="1"/>
  <c r="AC181" i="1"/>
  <c r="N181" i="1"/>
  <c r="M181" i="1"/>
  <c r="L181" i="1"/>
  <c r="P181" i="1" s="1"/>
  <c r="G181" i="1"/>
  <c r="F181" i="1"/>
  <c r="Q181" i="1" s="1"/>
  <c r="E181" i="1"/>
  <c r="AV180" i="1"/>
  <c r="AT180" i="1"/>
  <c r="AN180" i="1"/>
  <c r="AE180" i="1"/>
  <c r="AF180" i="1" s="1"/>
  <c r="AD180" i="1"/>
  <c r="I50" i="2" s="1"/>
  <c r="AC180" i="1"/>
  <c r="N180" i="1"/>
  <c r="M180" i="1"/>
  <c r="C50" i="2" s="1"/>
  <c r="G180" i="1"/>
  <c r="D50" i="2" s="1"/>
  <c r="E180" i="1"/>
  <c r="AV179" i="1"/>
  <c r="AT179" i="1"/>
  <c r="AN179" i="1"/>
  <c r="AE179" i="1"/>
  <c r="AF179" i="1" s="1"/>
  <c r="AD179" i="1"/>
  <c r="AC179" i="1"/>
  <c r="N179" i="1"/>
  <c r="M179" i="1"/>
  <c r="L179" i="1"/>
  <c r="P179" i="1" s="1"/>
  <c r="G179" i="1"/>
  <c r="F179" i="1"/>
  <c r="Q179" i="1" s="1"/>
  <c r="E179" i="1"/>
  <c r="AV178" i="1"/>
  <c r="AT178" i="1"/>
  <c r="AN178" i="1"/>
  <c r="AE178" i="1"/>
  <c r="AF178" i="1" s="1"/>
  <c r="AD178" i="1"/>
  <c r="AC178" i="1"/>
  <c r="N178" i="1"/>
  <c r="M178" i="1"/>
  <c r="L178" i="1"/>
  <c r="P178" i="1" s="1"/>
  <c r="G178" i="1"/>
  <c r="F178" i="1"/>
  <c r="Q178" i="1" s="1"/>
  <c r="E178" i="1"/>
  <c r="AV177" i="1"/>
  <c r="AT177" i="1"/>
  <c r="AN177" i="1"/>
  <c r="AE177" i="1"/>
  <c r="AF177" i="1" s="1"/>
  <c r="AD177" i="1"/>
  <c r="AC177" i="1"/>
  <c r="N177" i="1"/>
  <c r="M177" i="1"/>
  <c r="L177" i="1"/>
  <c r="P177" i="1" s="1"/>
  <c r="G177" i="1"/>
  <c r="F177" i="1"/>
  <c r="Q177" i="1" s="1"/>
  <c r="E177" i="1"/>
  <c r="AV176" i="1"/>
  <c r="AT176" i="1"/>
  <c r="AN176" i="1"/>
  <c r="AE176" i="1"/>
  <c r="AF176" i="1" s="1"/>
  <c r="AD176" i="1"/>
  <c r="AC176" i="1"/>
  <c r="N176" i="1"/>
  <c r="M176" i="1"/>
  <c r="L176" i="1"/>
  <c r="P176" i="1" s="1"/>
  <c r="G176" i="1"/>
  <c r="F176" i="1"/>
  <c r="Q176" i="1" s="1"/>
  <c r="E176" i="1"/>
  <c r="AV175" i="1"/>
  <c r="AT175" i="1"/>
  <c r="AN175" i="1"/>
  <c r="AE175" i="1"/>
  <c r="AF175" i="1" s="1"/>
  <c r="AD175" i="1"/>
  <c r="AC175" i="1"/>
  <c r="N175" i="1"/>
  <c r="M175" i="1"/>
  <c r="L175" i="1"/>
  <c r="P175" i="1" s="1"/>
  <c r="G175" i="1"/>
  <c r="F175" i="1"/>
  <c r="Q175" i="1" s="1"/>
  <c r="E175" i="1"/>
  <c r="AV174" i="1"/>
  <c r="AT174" i="1"/>
  <c r="AN174" i="1"/>
  <c r="AE174" i="1"/>
  <c r="AF174" i="1" s="1"/>
  <c r="AD174" i="1"/>
  <c r="AC174" i="1"/>
  <c r="N174" i="1"/>
  <c r="M174" i="1"/>
  <c r="L174" i="1"/>
  <c r="P174" i="1" s="1"/>
  <c r="G174" i="1"/>
  <c r="F174" i="1"/>
  <c r="Q174" i="1" s="1"/>
  <c r="E174" i="1"/>
  <c r="AV173" i="1"/>
  <c r="AT173" i="1"/>
  <c r="AN173" i="1"/>
  <c r="AE173" i="1"/>
  <c r="AF173" i="1" s="1"/>
  <c r="AD173" i="1"/>
  <c r="I44" i="2" s="1"/>
  <c r="AC173" i="1"/>
  <c r="N173" i="1"/>
  <c r="M173" i="1"/>
  <c r="C44" i="2" s="1"/>
  <c r="G173" i="1"/>
  <c r="D44" i="2" s="1"/>
  <c r="E173" i="1"/>
  <c r="AV172" i="1"/>
  <c r="AT172" i="1"/>
  <c r="AN172" i="1"/>
  <c r="AE172" i="1"/>
  <c r="AF172" i="1" s="1"/>
  <c r="AD172" i="1"/>
  <c r="AC172" i="1"/>
  <c r="N172" i="1"/>
  <c r="M172" i="1"/>
  <c r="L172" i="1"/>
  <c r="P172" i="1" s="1"/>
  <c r="G172" i="1"/>
  <c r="F172" i="1"/>
  <c r="Q172" i="1" s="1"/>
  <c r="E172" i="1"/>
  <c r="AV171" i="1"/>
  <c r="AT171" i="1"/>
  <c r="AN171" i="1"/>
  <c r="AE171" i="1"/>
  <c r="AF171" i="1" s="1"/>
  <c r="AD171" i="1"/>
  <c r="AC171" i="1"/>
  <c r="N171" i="1"/>
  <c r="M171" i="1"/>
  <c r="L171" i="1"/>
  <c r="P171" i="1" s="1"/>
  <c r="G171" i="1"/>
  <c r="F171" i="1"/>
  <c r="Q171" i="1" s="1"/>
  <c r="E171" i="1"/>
  <c r="AV170" i="1"/>
  <c r="AT170" i="1"/>
  <c r="AN170" i="1"/>
  <c r="AE170" i="1"/>
  <c r="AF170" i="1" s="1"/>
  <c r="AD170" i="1"/>
  <c r="AC170" i="1"/>
  <c r="N170" i="1"/>
  <c r="M170" i="1"/>
  <c r="L170" i="1"/>
  <c r="P170" i="1" s="1"/>
  <c r="G170" i="1"/>
  <c r="F170" i="1"/>
  <c r="Q170" i="1" s="1"/>
  <c r="E170" i="1"/>
  <c r="AV169" i="1"/>
  <c r="AT169" i="1"/>
  <c r="AN169" i="1"/>
  <c r="AE169" i="1"/>
  <c r="AF169" i="1" s="1"/>
  <c r="AD169" i="1"/>
  <c r="AC169" i="1"/>
  <c r="N169" i="1"/>
  <c r="M169" i="1"/>
  <c r="L169" i="1"/>
  <c r="P169" i="1" s="1"/>
  <c r="G169" i="1"/>
  <c r="F169" i="1"/>
  <c r="Q169" i="1" s="1"/>
  <c r="E169" i="1"/>
  <c r="AV168" i="1"/>
  <c r="AT168" i="1"/>
  <c r="AN168" i="1"/>
  <c r="AE168" i="1"/>
  <c r="AF168" i="1" s="1"/>
  <c r="AD168" i="1"/>
  <c r="AC168" i="1"/>
  <c r="N168" i="1"/>
  <c r="M168" i="1"/>
  <c r="L168" i="1"/>
  <c r="P168" i="1" s="1"/>
  <c r="G168" i="1"/>
  <c r="F168" i="1"/>
  <c r="Q168" i="1" s="1"/>
  <c r="E168" i="1"/>
  <c r="AV167" i="1"/>
  <c r="AT167" i="1"/>
  <c r="AN167" i="1"/>
  <c r="AE167" i="1"/>
  <c r="AF167" i="1" s="1"/>
  <c r="AD167" i="1"/>
  <c r="AC167" i="1"/>
  <c r="N167" i="1"/>
  <c r="M167" i="1"/>
  <c r="L167" i="1"/>
  <c r="P167" i="1" s="1"/>
  <c r="G167" i="1"/>
  <c r="F167" i="1"/>
  <c r="Q167" i="1" s="1"/>
  <c r="E167" i="1"/>
  <c r="AV166" i="1"/>
  <c r="AT166" i="1"/>
  <c r="AN166" i="1"/>
  <c r="AE166" i="1"/>
  <c r="AF166" i="1" s="1"/>
  <c r="AD166" i="1"/>
  <c r="AC166" i="1"/>
  <c r="N166" i="1"/>
  <c r="M166" i="1"/>
  <c r="L166" i="1"/>
  <c r="P166" i="1" s="1"/>
  <c r="G166" i="1"/>
  <c r="F166" i="1"/>
  <c r="Q166" i="1" s="1"/>
  <c r="E166" i="1"/>
  <c r="AV165" i="1"/>
  <c r="AT165" i="1"/>
  <c r="AN165" i="1"/>
  <c r="AE165" i="1"/>
  <c r="AF165" i="1" s="1"/>
  <c r="AD165" i="1"/>
  <c r="AC165" i="1"/>
  <c r="N165" i="1"/>
  <c r="M165" i="1"/>
  <c r="L165" i="1"/>
  <c r="P165" i="1" s="1"/>
  <c r="G165" i="1"/>
  <c r="F165" i="1"/>
  <c r="Q165" i="1" s="1"/>
  <c r="E165" i="1"/>
  <c r="AV164" i="1"/>
  <c r="AT164" i="1"/>
  <c r="AN164" i="1"/>
  <c r="AE164" i="1"/>
  <c r="AF164" i="1" s="1"/>
  <c r="AD164" i="1"/>
  <c r="AC164" i="1"/>
  <c r="N164" i="1"/>
  <c r="M164" i="1"/>
  <c r="L164" i="1"/>
  <c r="P164" i="1" s="1"/>
  <c r="G164" i="1"/>
  <c r="F164" i="1"/>
  <c r="Q164" i="1" s="1"/>
  <c r="E164" i="1"/>
  <c r="AV163" i="1"/>
  <c r="AT163" i="1"/>
  <c r="AN163" i="1"/>
  <c r="AE163" i="1"/>
  <c r="AF163" i="1" s="1"/>
  <c r="AD163" i="1"/>
  <c r="AC163" i="1"/>
  <c r="N163" i="1"/>
  <c r="M163" i="1"/>
  <c r="L163" i="1"/>
  <c r="P163" i="1" s="1"/>
  <c r="G163" i="1"/>
  <c r="F163" i="1"/>
  <c r="Q163" i="1" s="1"/>
  <c r="E163" i="1"/>
  <c r="AV162" i="1"/>
  <c r="AT162" i="1"/>
  <c r="AN162" i="1"/>
  <c r="AE162" i="1"/>
  <c r="AF162" i="1" s="1"/>
  <c r="AD162" i="1"/>
  <c r="AC162" i="1"/>
  <c r="N162" i="1"/>
  <c r="M162" i="1"/>
  <c r="G162" i="1"/>
  <c r="E162" i="1"/>
  <c r="AV161" i="1"/>
  <c r="AT161" i="1"/>
  <c r="AN161" i="1"/>
  <c r="AE161" i="1"/>
  <c r="AF161" i="1" s="1"/>
  <c r="AD161" i="1"/>
  <c r="AC161" i="1"/>
  <c r="N161" i="1"/>
  <c r="M161" i="1"/>
  <c r="L161" i="1"/>
  <c r="P161" i="1" s="1"/>
  <c r="G161" i="1"/>
  <c r="F161" i="1"/>
  <c r="Q161" i="1" s="1"/>
  <c r="E161" i="1"/>
  <c r="AV160" i="1"/>
  <c r="AT160" i="1"/>
  <c r="AN160" i="1"/>
  <c r="AE160" i="1"/>
  <c r="AF160" i="1" s="1"/>
  <c r="AD160" i="1"/>
  <c r="AC160" i="1"/>
  <c r="N160" i="1"/>
  <c r="M160" i="1"/>
  <c r="L160" i="1"/>
  <c r="P160" i="1" s="1"/>
  <c r="G160" i="1"/>
  <c r="F160" i="1"/>
  <c r="Q160" i="1" s="1"/>
  <c r="E160" i="1"/>
  <c r="AV159" i="1"/>
  <c r="AT159" i="1"/>
  <c r="AN159" i="1"/>
  <c r="AE159" i="1"/>
  <c r="AF159" i="1" s="1"/>
  <c r="AD159" i="1"/>
  <c r="AC159" i="1"/>
  <c r="N159" i="1"/>
  <c r="M159" i="1"/>
  <c r="L159" i="1"/>
  <c r="P159" i="1" s="1"/>
  <c r="G159" i="1"/>
  <c r="F159" i="1"/>
  <c r="Q159" i="1" s="1"/>
  <c r="E159" i="1"/>
  <c r="AV158" i="1"/>
  <c r="AT158" i="1"/>
  <c r="AN158" i="1"/>
  <c r="AE158" i="1"/>
  <c r="AF158" i="1" s="1"/>
  <c r="AD158" i="1"/>
  <c r="AC158" i="1"/>
  <c r="N158" i="1"/>
  <c r="M158" i="1"/>
  <c r="L158" i="1"/>
  <c r="P158" i="1" s="1"/>
  <c r="G158" i="1"/>
  <c r="F158" i="1"/>
  <c r="Q158" i="1" s="1"/>
  <c r="E158" i="1"/>
  <c r="AV157" i="1"/>
  <c r="AT157" i="1"/>
  <c r="AN157" i="1"/>
  <c r="AE157" i="1"/>
  <c r="AF157" i="1" s="1"/>
  <c r="AD157" i="1"/>
  <c r="AC157" i="1"/>
  <c r="N157" i="1"/>
  <c r="M157" i="1"/>
  <c r="L157" i="1"/>
  <c r="P157" i="1" s="1"/>
  <c r="G157" i="1"/>
  <c r="F157" i="1"/>
  <c r="Q157" i="1" s="1"/>
  <c r="E157" i="1"/>
  <c r="AV156" i="1"/>
  <c r="AT156" i="1"/>
  <c r="AN156" i="1"/>
  <c r="AE156" i="1"/>
  <c r="AF156" i="1" s="1"/>
  <c r="AD156" i="1"/>
  <c r="AC156" i="1"/>
  <c r="N156" i="1"/>
  <c r="M156" i="1"/>
  <c r="L156" i="1"/>
  <c r="P156" i="1" s="1"/>
  <c r="G156" i="1"/>
  <c r="F156" i="1"/>
  <c r="Q156" i="1" s="1"/>
  <c r="E156" i="1"/>
  <c r="AV155" i="1"/>
  <c r="AT155" i="1"/>
  <c r="AN155" i="1"/>
  <c r="AE155" i="1"/>
  <c r="AF155" i="1" s="1"/>
  <c r="AD155" i="1"/>
  <c r="AC155" i="1"/>
  <c r="N155" i="1"/>
  <c r="M155" i="1"/>
  <c r="L155" i="1"/>
  <c r="G155" i="1"/>
  <c r="E155" i="1"/>
  <c r="AV154" i="1"/>
  <c r="AT154" i="1"/>
  <c r="AN154" i="1"/>
  <c r="AE154" i="1"/>
  <c r="AF154" i="1" s="1"/>
  <c r="AD154" i="1"/>
  <c r="AC154" i="1"/>
  <c r="N154" i="1"/>
  <c r="M154" i="1"/>
  <c r="L154" i="1"/>
  <c r="P154" i="1" s="1"/>
  <c r="G154" i="1"/>
  <c r="F154" i="1" s="1"/>
  <c r="Q154" i="1" s="1"/>
  <c r="E154" i="1"/>
  <c r="AV153" i="1"/>
  <c r="AT153" i="1"/>
  <c r="AN153" i="1"/>
  <c r="AE153" i="1"/>
  <c r="AF153" i="1" s="1"/>
  <c r="AD153" i="1"/>
  <c r="AC153" i="1"/>
  <c r="N153" i="1"/>
  <c r="M153" i="1"/>
  <c r="G153" i="1"/>
  <c r="E153" i="1"/>
  <c r="AV152" i="1"/>
  <c r="AT152" i="1"/>
  <c r="AN152" i="1"/>
  <c r="AE152" i="1"/>
  <c r="AF152" i="1" s="1"/>
  <c r="AD152" i="1"/>
  <c r="AC152" i="1"/>
  <c r="U253" i="3" s="1"/>
  <c r="N152" i="1"/>
  <c r="M152" i="1"/>
  <c r="G152" i="1"/>
  <c r="E152" i="1"/>
  <c r="AV151" i="1"/>
  <c r="AT151" i="1"/>
  <c r="AN151" i="1"/>
  <c r="AE151" i="1"/>
  <c r="AF151" i="1" s="1"/>
  <c r="AD151" i="1"/>
  <c r="AC151" i="1"/>
  <c r="N151" i="1"/>
  <c r="M151" i="1"/>
  <c r="L151" i="1"/>
  <c r="G151" i="1"/>
  <c r="E151" i="1"/>
  <c r="AV150" i="1"/>
  <c r="AT150" i="1"/>
  <c r="AN150" i="1"/>
  <c r="AE150" i="1"/>
  <c r="AF150" i="1" s="1"/>
  <c r="AD150" i="1"/>
  <c r="AC150" i="1"/>
  <c r="N150" i="1"/>
  <c r="M150" i="1"/>
  <c r="L150" i="1"/>
  <c r="G150" i="1"/>
  <c r="E150" i="1"/>
  <c r="AV149" i="1"/>
  <c r="AT149" i="1"/>
  <c r="AN149" i="1"/>
  <c r="AE149" i="1"/>
  <c r="AF149" i="1" s="1"/>
  <c r="AD149" i="1"/>
  <c r="AC149" i="1"/>
  <c r="N149" i="1"/>
  <c r="M149" i="1"/>
  <c r="L149" i="1"/>
  <c r="P149" i="1" s="1"/>
  <c r="G149" i="1"/>
  <c r="F149" i="1" s="1"/>
  <c r="Q149" i="1" s="1"/>
  <c r="E149" i="1"/>
  <c r="AV148" i="1"/>
  <c r="AT148" i="1"/>
  <c r="AN148" i="1"/>
  <c r="AE148" i="1"/>
  <c r="AF148" i="1" s="1"/>
  <c r="AD148" i="1"/>
  <c r="AC148" i="1"/>
  <c r="N148" i="1"/>
  <c r="M148" i="1"/>
  <c r="L148" i="1"/>
  <c r="G148" i="1"/>
  <c r="E148" i="1"/>
  <c r="AV147" i="1"/>
  <c r="AT147" i="1"/>
  <c r="AN147" i="1"/>
  <c r="AE147" i="1"/>
  <c r="AF147" i="1" s="1"/>
  <c r="AD147" i="1"/>
  <c r="AC147" i="1"/>
  <c r="N147" i="1"/>
  <c r="M147" i="1"/>
  <c r="L147" i="1"/>
  <c r="G147" i="1"/>
  <c r="F147" i="1" s="1"/>
  <c r="Q147" i="1" s="1"/>
  <c r="E147" i="1"/>
  <c r="AV146" i="1"/>
  <c r="AT146" i="1"/>
  <c r="AN146" i="1"/>
  <c r="N146" i="1"/>
  <c r="M146" i="1"/>
  <c r="G146" i="1"/>
  <c r="E146" i="1"/>
  <c r="AV145" i="1"/>
  <c r="AT145" i="1"/>
  <c r="AN145" i="1"/>
  <c r="AD145" i="1"/>
  <c r="N145" i="1"/>
  <c r="M145" i="1"/>
  <c r="G145" i="1"/>
  <c r="E145" i="1"/>
  <c r="AV144" i="1"/>
  <c r="AT144" i="1"/>
  <c r="AN144" i="1"/>
  <c r="AE144" i="1"/>
  <c r="AF144" i="1" s="1"/>
  <c r="AD144" i="1"/>
  <c r="AC144" i="1"/>
  <c r="U165" i="3" s="1"/>
  <c r="N144" i="1"/>
  <c r="M144" i="1"/>
  <c r="G144" i="1"/>
  <c r="E144" i="1"/>
  <c r="AV143" i="1"/>
  <c r="AT143" i="1"/>
  <c r="AN143" i="1"/>
  <c r="AE143" i="1"/>
  <c r="AF143" i="1" s="1"/>
  <c r="AD143" i="1"/>
  <c r="AC143" i="1"/>
  <c r="N143" i="1"/>
  <c r="M143" i="1"/>
  <c r="G143" i="1"/>
  <c r="E143" i="1"/>
  <c r="AV142" i="1"/>
  <c r="AT142" i="1"/>
  <c r="AN142" i="1"/>
  <c r="AE142" i="1"/>
  <c r="AF142" i="1" s="1"/>
  <c r="AD142" i="1"/>
  <c r="AC142" i="1"/>
  <c r="U164" i="3" s="1"/>
  <c r="N142" i="1"/>
  <c r="M142" i="1"/>
  <c r="G142" i="1"/>
  <c r="E142" i="1"/>
  <c r="AV141" i="1"/>
  <c r="AT141" i="1"/>
  <c r="AN141" i="1"/>
  <c r="AE141" i="1"/>
  <c r="AF141" i="1" s="1"/>
  <c r="AD141" i="1"/>
  <c r="AC141" i="1"/>
  <c r="U163" i="3" s="1"/>
  <c r="N141" i="1"/>
  <c r="M141" i="1"/>
  <c r="G141" i="1"/>
  <c r="E141" i="1"/>
  <c r="AV140" i="1"/>
  <c r="AT140" i="1"/>
  <c r="AN140" i="1"/>
  <c r="AE140" i="1"/>
  <c r="AF140" i="1" s="1"/>
  <c r="AD140" i="1"/>
  <c r="AC140" i="1"/>
  <c r="U159" i="3" s="1"/>
  <c r="N140" i="1"/>
  <c r="M140" i="1"/>
  <c r="G140" i="1"/>
  <c r="E140" i="1"/>
  <c r="AV139" i="1"/>
  <c r="AT139" i="1"/>
  <c r="AN139" i="1"/>
  <c r="AE139" i="1"/>
  <c r="AF139" i="1" s="1"/>
  <c r="AD139" i="1"/>
  <c r="I101" i="2" s="1"/>
  <c r="AC139" i="1"/>
  <c r="H101" i="2" s="1"/>
  <c r="N139" i="1"/>
  <c r="M139" i="1"/>
  <c r="C101" i="2" s="1"/>
  <c r="L139" i="1"/>
  <c r="G139" i="1"/>
  <c r="D101" i="2" s="1"/>
  <c r="E139" i="1"/>
  <c r="AV138" i="1"/>
  <c r="AT138" i="1"/>
  <c r="AN138" i="1"/>
  <c r="AE138" i="1"/>
  <c r="AF138" i="1" s="1"/>
  <c r="AD138" i="1"/>
  <c r="AC138" i="1"/>
  <c r="N138" i="1"/>
  <c r="M138" i="1"/>
  <c r="L138" i="1"/>
  <c r="P138" i="1" s="1"/>
  <c r="G138" i="1"/>
  <c r="F138" i="1" s="1"/>
  <c r="Q138" i="1" s="1"/>
  <c r="E138" i="1"/>
  <c r="AV137" i="1"/>
  <c r="AT137" i="1"/>
  <c r="AN137" i="1"/>
  <c r="AE137" i="1"/>
  <c r="AF137" i="1" s="1"/>
  <c r="AD137" i="1"/>
  <c r="AC137" i="1"/>
  <c r="N137" i="1"/>
  <c r="M137" i="1"/>
  <c r="L137" i="1"/>
  <c r="F137" i="1" s="1"/>
  <c r="Q137" i="1" s="1"/>
  <c r="G137" i="1"/>
  <c r="E137" i="1"/>
  <c r="AV136" i="1"/>
  <c r="AT136" i="1"/>
  <c r="AN136" i="1"/>
  <c r="AE136" i="1"/>
  <c r="AF136" i="1" s="1"/>
  <c r="AD136" i="1"/>
  <c r="AC136" i="1"/>
  <c r="N136" i="1"/>
  <c r="M136" i="1"/>
  <c r="L136" i="1"/>
  <c r="P136" i="1" s="1"/>
  <c r="G136" i="1"/>
  <c r="F136" i="1"/>
  <c r="Q136" i="1" s="1"/>
  <c r="E136" i="1"/>
  <c r="AV135" i="1"/>
  <c r="AT135" i="1"/>
  <c r="AN135" i="1"/>
  <c r="AE135" i="1"/>
  <c r="AF135" i="1" s="1"/>
  <c r="AD135" i="1"/>
  <c r="AC135" i="1"/>
  <c r="N135" i="1"/>
  <c r="M135" i="1"/>
  <c r="L135" i="1"/>
  <c r="P135" i="1" s="1"/>
  <c r="G135" i="1"/>
  <c r="F135" i="1"/>
  <c r="Q135" i="1" s="1"/>
  <c r="E135" i="1"/>
  <c r="AV134" i="1"/>
  <c r="AT134" i="1"/>
  <c r="AN134" i="1"/>
  <c r="AE134" i="1"/>
  <c r="AF134" i="1" s="1"/>
  <c r="AD134" i="1"/>
  <c r="AC134" i="1"/>
  <c r="N134" i="1"/>
  <c r="M134" i="1"/>
  <c r="L134" i="1"/>
  <c r="P134" i="1" s="1"/>
  <c r="G134" i="1"/>
  <c r="F134" i="1"/>
  <c r="Q134" i="1" s="1"/>
  <c r="E134" i="1"/>
  <c r="AV133" i="1"/>
  <c r="AT133" i="1"/>
  <c r="AN133" i="1"/>
  <c r="AE133" i="1"/>
  <c r="AF133" i="1" s="1"/>
  <c r="AD133" i="1"/>
  <c r="AC133" i="1"/>
  <c r="N133" i="1"/>
  <c r="M133" i="1"/>
  <c r="L133" i="1"/>
  <c r="P133" i="1" s="1"/>
  <c r="G133" i="1"/>
  <c r="F133" i="1"/>
  <c r="Q133" i="1" s="1"/>
  <c r="E133" i="1"/>
  <c r="AV132" i="1"/>
  <c r="AT132" i="1"/>
  <c r="AN132" i="1"/>
  <c r="AE132" i="1"/>
  <c r="AF132" i="1" s="1"/>
  <c r="AD132" i="1"/>
  <c r="AC132" i="1"/>
  <c r="N132" i="1"/>
  <c r="M132" i="1"/>
  <c r="L132" i="1"/>
  <c r="P132" i="1" s="1"/>
  <c r="G132" i="1"/>
  <c r="F132" i="1"/>
  <c r="Q132" i="1" s="1"/>
  <c r="E132" i="1"/>
  <c r="AV131" i="1"/>
  <c r="AT131" i="1"/>
  <c r="AN131" i="1"/>
  <c r="AE131" i="1"/>
  <c r="AF131" i="1" s="1"/>
  <c r="AD131" i="1"/>
  <c r="AC131" i="1"/>
  <c r="N131" i="1"/>
  <c r="M131" i="1"/>
  <c r="L131" i="1"/>
  <c r="P131" i="1" s="1"/>
  <c r="G131" i="1"/>
  <c r="F131" i="1"/>
  <c r="Q131" i="1" s="1"/>
  <c r="E131" i="1"/>
  <c r="AV130" i="1"/>
  <c r="AT130" i="1"/>
  <c r="AN130" i="1"/>
  <c r="AE130" i="1"/>
  <c r="AF130" i="1" s="1"/>
  <c r="AD130" i="1"/>
  <c r="AC130" i="1"/>
  <c r="N130" i="1"/>
  <c r="M130" i="1"/>
  <c r="L130" i="1"/>
  <c r="P130" i="1" s="1"/>
  <c r="G130" i="1"/>
  <c r="F130" i="1"/>
  <c r="Q130" i="1" s="1"/>
  <c r="E130" i="1"/>
  <c r="AV129" i="1"/>
  <c r="AT129" i="1"/>
  <c r="AN129" i="1"/>
  <c r="AE129" i="1"/>
  <c r="AF129" i="1" s="1"/>
  <c r="AD129" i="1"/>
  <c r="AC129" i="1"/>
  <c r="N129" i="1"/>
  <c r="M129" i="1"/>
  <c r="L129" i="1"/>
  <c r="P129" i="1" s="1"/>
  <c r="G129" i="1"/>
  <c r="F129" i="1"/>
  <c r="Q129" i="1" s="1"/>
  <c r="E129" i="1"/>
  <c r="AV128" i="1"/>
  <c r="AT128" i="1"/>
  <c r="AN128" i="1"/>
  <c r="AE128" i="1"/>
  <c r="AF128" i="1" s="1"/>
  <c r="AD128" i="1"/>
  <c r="AC128" i="1"/>
  <c r="N128" i="1"/>
  <c r="M128" i="1"/>
  <c r="L128" i="1"/>
  <c r="P128" i="1" s="1"/>
  <c r="G128" i="1"/>
  <c r="F128" i="1"/>
  <c r="Q128" i="1" s="1"/>
  <c r="E128" i="1"/>
  <c r="AV127" i="1"/>
  <c r="AT127" i="1"/>
  <c r="AN127" i="1"/>
  <c r="AE127" i="1"/>
  <c r="AF127" i="1" s="1"/>
  <c r="AD127" i="1"/>
  <c r="AC127" i="1"/>
  <c r="N127" i="1"/>
  <c r="M127" i="1"/>
  <c r="L127" i="1"/>
  <c r="P127" i="1" s="1"/>
  <c r="G127" i="1"/>
  <c r="F127" i="1"/>
  <c r="Q127" i="1" s="1"/>
  <c r="E127" i="1"/>
  <c r="AV126" i="1"/>
  <c r="AT126" i="1"/>
  <c r="AN126" i="1"/>
  <c r="AE126" i="1"/>
  <c r="AF126" i="1" s="1"/>
  <c r="AD126" i="1"/>
  <c r="AC126" i="1"/>
  <c r="N126" i="1"/>
  <c r="M126" i="1"/>
  <c r="L126" i="1"/>
  <c r="P126" i="1" s="1"/>
  <c r="G126" i="1"/>
  <c r="F126" i="1"/>
  <c r="Q126" i="1" s="1"/>
  <c r="E126" i="1"/>
  <c r="AV125" i="1"/>
  <c r="AT125" i="1"/>
  <c r="AN125" i="1"/>
  <c r="AE125" i="1"/>
  <c r="AF125" i="1" s="1"/>
  <c r="AD125" i="1"/>
  <c r="AC125" i="1"/>
  <c r="N125" i="1"/>
  <c r="M125" i="1"/>
  <c r="L125" i="1"/>
  <c r="P125" i="1" s="1"/>
  <c r="G125" i="1"/>
  <c r="F125" i="1"/>
  <c r="Q125" i="1" s="1"/>
  <c r="E125" i="1"/>
  <c r="AV124" i="1"/>
  <c r="AT124" i="1"/>
  <c r="AN124" i="1"/>
  <c r="AE124" i="1"/>
  <c r="AF124" i="1" s="1"/>
  <c r="AD124" i="1"/>
  <c r="AC124" i="1"/>
  <c r="N124" i="1"/>
  <c r="M124" i="1"/>
  <c r="L124" i="1"/>
  <c r="P124" i="1" s="1"/>
  <c r="G124" i="1"/>
  <c r="F124" i="1"/>
  <c r="Q124" i="1" s="1"/>
  <c r="E124" i="1"/>
  <c r="AV123" i="1"/>
  <c r="AT123" i="1"/>
  <c r="AN123" i="1"/>
  <c r="AE123" i="1"/>
  <c r="AF123" i="1" s="1"/>
  <c r="AD123" i="1"/>
  <c r="AC123" i="1"/>
  <c r="N123" i="1"/>
  <c r="M123" i="1"/>
  <c r="L123" i="1"/>
  <c r="P123" i="1" s="1"/>
  <c r="G123" i="1"/>
  <c r="F123" i="1"/>
  <c r="Q123" i="1" s="1"/>
  <c r="E123" i="1"/>
  <c r="AV122" i="1"/>
  <c r="AT122" i="1"/>
  <c r="AN122" i="1"/>
  <c r="AE122" i="1"/>
  <c r="AF122" i="1" s="1"/>
  <c r="AD122" i="1"/>
  <c r="AC122" i="1"/>
  <c r="N122" i="1"/>
  <c r="M122" i="1"/>
  <c r="L122" i="1"/>
  <c r="P122" i="1" s="1"/>
  <c r="G122" i="1"/>
  <c r="F122" i="1"/>
  <c r="Q122" i="1" s="1"/>
  <c r="E122" i="1"/>
  <c r="AV121" i="1"/>
  <c r="AT121" i="1"/>
  <c r="AN121" i="1"/>
  <c r="AE121" i="1"/>
  <c r="AF121" i="1" s="1"/>
  <c r="AD121" i="1"/>
  <c r="AC121" i="1"/>
  <c r="N121" i="1"/>
  <c r="M121" i="1"/>
  <c r="L121" i="1"/>
  <c r="P121" i="1" s="1"/>
  <c r="G121" i="1"/>
  <c r="F121" i="1"/>
  <c r="Q121" i="1" s="1"/>
  <c r="E121" i="1"/>
  <c r="AV120" i="1"/>
  <c r="AT120" i="1"/>
  <c r="AN120" i="1"/>
  <c r="AE120" i="1"/>
  <c r="AF120" i="1" s="1"/>
  <c r="AD120" i="1"/>
  <c r="AC120" i="1"/>
  <c r="N120" i="1"/>
  <c r="M120" i="1"/>
  <c r="L120" i="1"/>
  <c r="P120" i="1" s="1"/>
  <c r="G120" i="1"/>
  <c r="F120" i="1"/>
  <c r="Q120" i="1" s="1"/>
  <c r="E120" i="1"/>
  <c r="AV119" i="1"/>
  <c r="AT119" i="1"/>
  <c r="AN119" i="1"/>
  <c r="AE119" i="1"/>
  <c r="AF119" i="1" s="1"/>
  <c r="AD119" i="1"/>
  <c r="AC119" i="1"/>
  <c r="N119" i="1"/>
  <c r="M119" i="1"/>
  <c r="L119" i="1"/>
  <c r="P119" i="1" s="1"/>
  <c r="G119" i="1"/>
  <c r="F119" i="1"/>
  <c r="Q119" i="1" s="1"/>
  <c r="E119" i="1"/>
  <c r="AV118" i="1"/>
  <c r="AT118" i="1"/>
  <c r="AN118" i="1"/>
  <c r="AE118" i="1"/>
  <c r="AF118" i="1" s="1"/>
  <c r="AD118" i="1"/>
  <c r="AC118" i="1"/>
  <c r="U286" i="3" s="1"/>
  <c r="N118" i="1"/>
  <c r="M118" i="1"/>
  <c r="G118" i="1"/>
  <c r="E118" i="1"/>
  <c r="AV117" i="1"/>
  <c r="AT117" i="1"/>
  <c r="AN117" i="1"/>
  <c r="AE117" i="1"/>
  <c r="AF117" i="1" s="1"/>
  <c r="AD117" i="1"/>
  <c r="AC117" i="1"/>
  <c r="N117" i="1"/>
  <c r="M117" i="1"/>
  <c r="L117" i="1"/>
  <c r="P117" i="1" s="1"/>
  <c r="G117" i="1"/>
  <c r="F117" i="1"/>
  <c r="Q117" i="1" s="1"/>
  <c r="E117" i="1"/>
  <c r="AV116" i="1"/>
  <c r="AT116" i="1"/>
  <c r="AN116" i="1"/>
  <c r="AE116" i="1"/>
  <c r="AF116" i="1" s="1"/>
  <c r="AD116" i="1"/>
  <c r="AC116" i="1"/>
  <c r="N116" i="1"/>
  <c r="M116" i="1"/>
  <c r="L116" i="1"/>
  <c r="P116" i="1" s="1"/>
  <c r="G116" i="1"/>
  <c r="F116" i="1"/>
  <c r="Q116" i="1" s="1"/>
  <c r="E116" i="1"/>
  <c r="AV115" i="1"/>
  <c r="AT115" i="1"/>
  <c r="AN115" i="1"/>
  <c r="AE115" i="1"/>
  <c r="AF115" i="1" s="1"/>
  <c r="AD115" i="1"/>
  <c r="AC115" i="1"/>
  <c r="N115" i="1"/>
  <c r="M115" i="1"/>
  <c r="L115" i="1"/>
  <c r="P115" i="1" s="1"/>
  <c r="G115" i="1"/>
  <c r="F115" i="1"/>
  <c r="Q115" i="1" s="1"/>
  <c r="E115" i="1"/>
  <c r="AV114" i="1"/>
  <c r="AT114" i="1"/>
  <c r="AN114" i="1"/>
  <c r="AE114" i="1"/>
  <c r="AF114" i="1" s="1"/>
  <c r="AD114" i="1"/>
  <c r="AC114" i="1"/>
  <c r="N114" i="1"/>
  <c r="M114" i="1"/>
  <c r="L114" i="1"/>
  <c r="P114" i="1" s="1"/>
  <c r="G114" i="1"/>
  <c r="F114" i="1"/>
  <c r="Q114" i="1" s="1"/>
  <c r="E114" i="1"/>
  <c r="AV113" i="1"/>
  <c r="AT113" i="1"/>
  <c r="AN113" i="1"/>
  <c r="AE113" i="1"/>
  <c r="AF113" i="1" s="1"/>
  <c r="AD113" i="1"/>
  <c r="AC113" i="1"/>
  <c r="N113" i="1"/>
  <c r="M113" i="1"/>
  <c r="L113" i="1"/>
  <c r="P113" i="1" s="1"/>
  <c r="G113" i="1"/>
  <c r="F113" i="1"/>
  <c r="Q113" i="1" s="1"/>
  <c r="E113" i="1"/>
  <c r="AV112" i="1"/>
  <c r="AT112" i="1"/>
  <c r="AN112" i="1"/>
  <c r="AE112" i="1"/>
  <c r="AF112" i="1" s="1"/>
  <c r="AD112" i="1"/>
  <c r="AC112" i="1"/>
  <c r="U260" i="3" s="1"/>
  <c r="N112" i="1"/>
  <c r="M112" i="1"/>
  <c r="G112" i="1"/>
  <c r="E112" i="1"/>
  <c r="AE111" i="1"/>
  <c r="AF111" i="1" s="1"/>
  <c r="AD111" i="1"/>
  <c r="AC111" i="1"/>
  <c r="N111" i="1"/>
  <c r="M111" i="1"/>
  <c r="L111" i="1"/>
  <c r="P111" i="1" s="1"/>
  <c r="G111" i="1"/>
  <c r="F111" i="1"/>
  <c r="Q111" i="1" s="1"/>
  <c r="E111" i="1"/>
  <c r="AV110" i="1"/>
  <c r="AT110" i="1"/>
  <c r="AN110" i="1"/>
  <c r="AE110" i="1"/>
  <c r="AF110" i="1" s="1"/>
  <c r="AD110" i="1"/>
  <c r="AC110" i="1"/>
  <c r="N110" i="1"/>
  <c r="M110" i="1"/>
  <c r="L110" i="1"/>
  <c r="P110" i="1" s="1"/>
  <c r="G110" i="1"/>
  <c r="F110" i="1"/>
  <c r="Q110" i="1" s="1"/>
  <c r="E110" i="1"/>
  <c r="AV109" i="1"/>
  <c r="AT109" i="1"/>
  <c r="AN109" i="1"/>
  <c r="AE109" i="1"/>
  <c r="AF109" i="1" s="1"/>
  <c r="AD109" i="1"/>
  <c r="AC109" i="1"/>
  <c r="N109" i="1"/>
  <c r="M109" i="1"/>
  <c r="L109" i="1"/>
  <c r="P109" i="1" s="1"/>
  <c r="G109" i="1"/>
  <c r="F109" i="1"/>
  <c r="Q109" i="1" s="1"/>
  <c r="E109" i="1"/>
  <c r="AV108" i="1"/>
  <c r="AT108" i="1"/>
  <c r="AN108" i="1"/>
  <c r="AE108" i="1"/>
  <c r="AF108" i="1" s="1"/>
  <c r="AD108" i="1"/>
  <c r="AC108" i="1"/>
  <c r="N108" i="1"/>
  <c r="M108" i="1"/>
  <c r="L108" i="1"/>
  <c r="P108" i="1" s="1"/>
  <c r="G108" i="1"/>
  <c r="F108" i="1"/>
  <c r="Q108" i="1" s="1"/>
  <c r="E108" i="1"/>
  <c r="AV107" i="1"/>
  <c r="AT107" i="1"/>
  <c r="AN107" i="1"/>
  <c r="AE107" i="1"/>
  <c r="AF107" i="1" s="1"/>
  <c r="AD107" i="1"/>
  <c r="AC107" i="1"/>
  <c r="N107" i="1"/>
  <c r="M107" i="1"/>
  <c r="L107" i="1"/>
  <c r="P107" i="1" s="1"/>
  <c r="G107" i="1"/>
  <c r="F107" i="1"/>
  <c r="Q107" i="1" s="1"/>
  <c r="E107" i="1"/>
  <c r="AV106" i="1"/>
  <c r="AT106" i="1"/>
  <c r="AN106" i="1"/>
  <c r="AE106" i="1"/>
  <c r="AF106" i="1" s="1"/>
  <c r="AD106" i="1"/>
  <c r="AC106" i="1"/>
  <c r="N106" i="1"/>
  <c r="M106" i="1"/>
  <c r="L106" i="1"/>
  <c r="P106" i="1" s="1"/>
  <c r="G106" i="1"/>
  <c r="F106" i="1"/>
  <c r="Q106" i="1" s="1"/>
  <c r="E106" i="1"/>
  <c r="AV105" i="1"/>
  <c r="AT105" i="1"/>
  <c r="AN105" i="1"/>
  <c r="AE105" i="1"/>
  <c r="AF105" i="1" s="1"/>
  <c r="AD105" i="1"/>
  <c r="AC105" i="1"/>
  <c r="N105" i="1"/>
  <c r="M105" i="1"/>
  <c r="L105" i="1"/>
  <c r="P105" i="1" s="1"/>
  <c r="G105" i="1"/>
  <c r="F105" i="1"/>
  <c r="Q105" i="1" s="1"/>
  <c r="E105" i="1"/>
  <c r="AV104" i="1"/>
  <c r="AT104" i="1"/>
  <c r="AN104" i="1"/>
  <c r="AE104" i="1"/>
  <c r="AF104" i="1" s="1"/>
  <c r="AD104" i="1"/>
  <c r="AC104" i="1"/>
  <c r="U246" i="3" s="1"/>
  <c r="N104" i="1"/>
  <c r="M104" i="1"/>
  <c r="G104" i="1"/>
  <c r="E104" i="1"/>
  <c r="AV103" i="1"/>
  <c r="AT103" i="1"/>
  <c r="AN103" i="1"/>
  <c r="AE103" i="1"/>
  <c r="AF103" i="1" s="1"/>
  <c r="AD103" i="1"/>
  <c r="I55" i="2" s="1"/>
  <c r="AC103" i="1"/>
  <c r="H55" i="2" s="1"/>
  <c r="N103" i="1"/>
  <c r="M103" i="1"/>
  <c r="C55" i="2" s="1"/>
  <c r="L103" i="1"/>
  <c r="P103" i="1" s="1"/>
  <c r="G103" i="1"/>
  <c r="D55" i="2" s="1"/>
  <c r="F103" i="1"/>
  <c r="Q103" i="1" s="1"/>
  <c r="E103" i="1"/>
  <c r="AV102" i="1"/>
  <c r="AT102" i="1"/>
  <c r="AN102" i="1"/>
  <c r="AE102" i="1"/>
  <c r="AF102" i="1" s="1"/>
  <c r="AD102" i="1"/>
  <c r="AC102" i="1"/>
  <c r="N102" i="1"/>
  <c r="M102" i="1"/>
  <c r="L102" i="1"/>
  <c r="P102" i="1" s="1"/>
  <c r="G102" i="1"/>
  <c r="F102" i="1"/>
  <c r="Q102" i="1" s="1"/>
  <c r="E102" i="1"/>
  <c r="AV101" i="1"/>
  <c r="AT101" i="1"/>
  <c r="AN101" i="1"/>
  <c r="AE101" i="1"/>
  <c r="AF101" i="1" s="1"/>
  <c r="AD101" i="1"/>
  <c r="AC101" i="1"/>
  <c r="N101" i="1"/>
  <c r="M101" i="1"/>
  <c r="L101" i="1"/>
  <c r="P101" i="1" s="1"/>
  <c r="G101" i="1"/>
  <c r="F101" i="1"/>
  <c r="Q101" i="1" s="1"/>
  <c r="E101" i="1"/>
  <c r="AV100" i="1"/>
  <c r="AT100" i="1"/>
  <c r="AN100" i="1"/>
  <c r="AE100" i="1"/>
  <c r="AF100" i="1" s="1"/>
  <c r="AD100" i="1"/>
  <c r="AC100" i="1"/>
  <c r="N100" i="1"/>
  <c r="M100" i="1"/>
  <c r="L100" i="1"/>
  <c r="P100" i="1" s="1"/>
  <c r="G100" i="1"/>
  <c r="F100" i="1"/>
  <c r="Q100" i="1" s="1"/>
  <c r="E100" i="1"/>
  <c r="AV99" i="1"/>
  <c r="AT99" i="1"/>
  <c r="AN99" i="1"/>
  <c r="N99" i="1"/>
  <c r="M99" i="1"/>
  <c r="G99" i="1"/>
  <c r="E99" i="1"/>
  <c r="AV98" i="1"/>
  <c r="AT98" i="1"/>
  <c r="AN98" i="1"/>
  <c r="AE98" i="1"/>
  <c r="AF98" i="1" s="1"/>
  <c r="AD98" i="1"/>
  <c r="AC98" i="1"/>
  <c r="U106" i="3" s="1"/>
  <c r="N98" i="1"/>
  <c r="M98" i="1"/>
  <c r="G98" i="1"/>
  <c r="E98" i="1"/>
  <c r="AV97" i="1"/>
  <c r="AT97" i="1"/>
  <c r="AN97" i="1"/>
  <c r="AE97" i="1"/>
  <c r="AF97" i="1" s="1"/>
  <c r="AD97" i="1"/>
  <c r="AC97" i="1"/>
  <c r="U105" i="3" s="1"/>
  <c r="N97" i="1"/>
  <c r="M97" i="1"/>
  <c r="G97" i="1"/>
  <c r="E97" i="1"/>
  <c r="AV96" i="1"/>
  <c r="AT96" i="1"/>
  <c r="AN96" i="1"/>
  <c r="AE96" i="1"/>
  <c r="AF96" i="1" s="1"/>
  <c r="AD96" i="1"/>
  <c r="AC96" i="1"/>
  <c r="U104" i="3" s="1"/>
  <c r="N96" i="1"/>
  <c r="M96" i="1"/>
  <c r="G96" i="1"/>
  <c r="E96" i="1"/>
  <c r="AV95" i="1"/>
  <c r="AT95" i="1"/>
  <c r="AN95" i="1"/>
  <c r="AE95" i="1"/>
  <c r="AF95" i="1" s="1"/>
  <c r="AD95" i="1"/>
  <c r="I45" i="2" s="1"/>
  <c r="AC95" i="1"/>
  <c r="N95" i="1"/>
  <c r="M95" i="1"/>
  <c r="C45" i="2" s="1"/>
  <c r="G95" i="1"/>
  <c r="D45" i="2" s="1"/>
  <c r="E95" i="1"/>
  <c r="AV94" i="1"/>
  <c r="AT94" i="1"/>
  <c r="AN94" i="1"/>
  <c r="AE94" i="1"/>
  <c r="AF94" i="1" s="1"/>
  <c r="AD94" i="1"/>
  <c r="AC94" i="1"/>
  <c r="U102" i="3" s="1"/>
  <c r="N94" i="1"/>
  <c r="M94" i="1"/>
  <c r="G94" i="1"/>
  <c r="E94" i="1"/>
  <c r="AV93" i="1"/>
  <c r="AT93" i="1"/>
  <c r="AN93" i="1"/>
  <c r="AE93" i="1"/>
  <c r="AF93" i="1" s="1"/>
  <c r="AD93" i="1"/>
  <c r="AC93" i="1"/>
  <c r="U128" i="3" s="1"/>
  <c r="N93" i="1"/>
  <c r="M93" i="1"/>
  <c r="G93" i="1"/>
  <c r="E93" i="1"/>
  <c r="AV92" i="1"/>
  <c r="AT92" i="1"/>
  <c r="AN92" i="1"/>
  <c r="AE92" i="1"/>
  <c r="AF92" i="1" s="1"/>
  <c r="AD92" i="1"/>
  <c r="AC92" i="1"/>
  <c r="U98" i="3" s="1"/>
  <c r="N92" i="1"/>
  <c r="M92" i="1"/>
  <c r="G92" i="1"/>
  <c r="E92" i="1"/>
  <c r="AV91" i="1"/>
  <c r="AT91" i="1"/>
  <c r="AN91" i="1"/>
  <c r="AE91" i="1"/>
  <c r="AF91" i="1" s="1"/>
  <c r="AD91" i="1"/>
  <c r="AC91" i="1"/>
  <c r="U97" i="3" s="1"/>
  <c r="N91" i="1"/>
  <c r="M91" i="1"/>
  <c r="G91" i="1"/>
  <c r="E91" i="1"/>
  <c r="AV90" i="1"/>
  <c r="AT90" i="1"/>
  <c r="AN90" i="1"/>
  <c r="AE90" i="1"/>
  <c r="AF90" i="1" s="1"/>
  <c r="AD90" i="1"/>
  <c r="AC90" i="1"/>
  <c r="U244" i="3" s="1"/>
  <c r="N90" i="1"/>
  <c r="M90" i="1"/>
  <c r="G90" i="1"/>
  <c r="E90" i="1"/>
  <c r="AV89" i="1"/>
  <c r="AT89" i="1"/>
  <c r="AN89" i="1"/>
  <c r="AE89" i="1"/>
  <c r="AF89" i="1" s="1"/>
  <c r="AD89" i="1"/>
  <c r="AC89" i="1"/>
  <c r="U95" i="3" s="1"/>
  <c r="N89" i="1"/>
  <c r="M89" i="1"/>
  <c r="G89" i="1"/>
  <c r="E89" i="1"/>
  <c r="AV88" i="1"/>
  <c r="AT88" i="1"/>
  <c r="AN88" i="1"/>
  <c r="AE88" i="1"/>
  <c r="AF88" i="1" s="1"/>
  <c r="AD88" i="1"/>
  <c r="AC88" i="1"/>
  <c r="N88" i="1"/>
  <c r="M88" i="1"/>
  <c r="L88" i="1"/>
  <c r="G88" i="1"/>
  <c r="E88" i="1"/>
  <c r="AV87" i="1"/>
  <c r="AT87" i="1"/>
  <c r="AN87" i="1"/>
  <c r="AE87" i="1"/>
  <c r="AF87" i="1" s="1"/>
  <c r="AD87" i="1"/>
  <c r="AC87" i="1"/>
  <c r="U94" i="3" s="1"/>
  <c r="N87" i="1"/>
  <c r="M87" i="1"/>
  <c r="G87" i="1"/>
  <c r="E87" i="1"/>
  <c r="AV86" i="1"/>
  <c r="AT86" i="1"/>
  <c r="AN86" i="1"/>
  <c r="AE86" i="1"/>
  <c r="AF86" i="1" s="1"/>
  <c r="AD86" i="1"/>
  <c r="AC86" i="1"/>
  <c r="N86" i="1"/>
  <c r="M86" i="1"/>
  <c r="L86" i="1"/>
  <c r="G86" i="1"/>
  <c r="E86" i="1"/>
  <c r="AV85" i="1"/>
  <c r="AT85" i="1"/>
  <c r="AN85" i="1"/>
  <c r="AE85" i="1"/>
  <c r="AF85" i="1" s="1"/>
  <c r="AD85" i="1"/>
  <c r="AC85" i="1"/>
  <c r="U93" i="3" s="1"/>
  <c r="N85" i="1"/>
  <c r="M85" i="1"/>
  <c r="G85" i="1"/>
  <c r="E85" i="1"/>
  <c r="AV84" i="1"/>
  <c r="AT84" i="1"/>
  <c r="AN84" i="1"/>
  <c r="AE84" i="1"/>
  <c r="AF84" i="1" s="1"/>
  <c r="AD84" i="1"/>
  <c r="AC84" i="1"/>
  <c r="U91" i="3" s="1"/>
  <c r="N84" i="1"/>
  <c r="M84" i="1"/>
  <c r="G84" i="1"/>
  <c r="E84" i="1"/>
  <c r="AV83" i="1"/>
  <c r="AT83" i="1"/>
  <c r="AN83" i="1"/>
  <c r="AE83" i="1"/>
  <c r="AF83" i="1" s="1"/>
  <c r="AD83" i="1"/>
  <c r="AC83" i="1"/>
  <c r="N83" i="1"/>
  <c r="M83" i="1"/>
  <c r="L83" i="1"/>
  <c r="G83" i="1"/>
  <c r="E83" i="1"/>
  <c r="AV82" i="1"/>
  <c r="AT82" i="1"/>
  <c r="AN82" i="1"/>
  <c r="AE82" i="1"/>
  <c r="AF82" i="1" s="1"/>
  <c r="AD82" i="1"/>
  <c r="AC82" i="1"/>
  <c r="N82" i="1"/>
  <c r="M82" i="1"/>
  <c r="G82" i="1"/>
  <c r="E82" i="1"/>
  <c r="AV81" i="1"/>
  <c r="AT81" i="1"/>
  <c r="AN81" i="1"/>
  <c r="AE81" i="1"/>
  <c r="AF81" i="1" s="1"/>
  <c r="AD81" i="1"/>
  <c r="AC81" i="1"/>
  <c r="U90" i="3" s="1"/>
  <c r="N81" i="1"/>
  <c r="M81" i="1"/>
  <c r="G81" i="1"/>
  <c r="E81" i="1"/>
  <c r="AV80" i="1"/>
  <c r="AT80" i="1"/>
  <c r="AN80" i="1"/>
  <c r="AE80" i="1"/>
  <c r="AF80" i="1" s="1"/>
  <c r="AD80" i="1"/>
  <c r="AC80" i="1"/>
  <c r="U89" i="3" s="1"/>
  <c r="N80" i="1"/>
  <c r="M80" i="1"/>
  <c r="G80" i="1"/>
  <c r="E80" i="1"/>
  <c r="AV79" i="1"/>
  <c r="AT79" i="1"/>
  <c r="AN79" i="1"/>
  <c r="AE79" i="1"/>
  <c r="AF79" i="1" s="1"/>
  <c r="AD79" i="1"/>
  <c r="AC79" i="1"/>
  <c r="U88" i="3" s="1"/>
  <c r="N79" i="1"/>
  <c r="M79" i="1"/>
  <c r="G79" i="1"/>
  <c r="E79" i="1"/>
  <c r="AV78" i="1"/>
  <c r="AT78" i="1"/>
  <c r="AN78" i="1"/>
  <c r="AE78" i="1"/>
  <c r="AF78" i="1" s="1"/>
  <c r="AD78" i="1"/>
  <c r="AC78" i="1"/>
  <c r="U101" i="3" s="1"/>
  <c r="N78" i="1"/>
  <c r="M78" i="1"/>
  <c r="G78" i="1"/>
  <c r="E78" i="1"/>
  <c r="AV77" i="1"/>
  <c r="AT77" i="1"/>
  <c r="AN77" i="1"/>
  <c r="AE77" i="1"/>
  <c r="AF77" i="1" s="1"/>
  <c r="AD77" i="1"/>
  <c r="AC77" i="1"/>
  <c r="U87" i="3" s="1"/>
  <c r="N77" i="1"/>
  <c r="M77" i="1"/>
  <c r="G77" i="1"/>
  <c r="E77" i="1"/>
  <c r="AV76" i="1"/>
  <c r="AT76" i="1"/>
  <c r="AN76" i="1"/>
  <c r="AE76" i="1"/>
  <c r="AF76" i="1" s="1"/>
  <c r="AD76" i="1"/>
  <c r="AC76" i="1"/>
  <c r="U86" i="3" s="1"/>
  <c r="N76" i="1"/>
  <c r="M76" i="1"/>
  <c r="G76" i="1"/>
  <c r="E76" i="1"/>
  <c r="AV75" i="1"/>
  <c r="AT75" i="1"/>
  <c r="AN75" i="1"/>
  <c r="AE75" i="1"/>
  <c r="AF75" i="1" s="1"/>
  <c r="AD75" i="1"/>
  <c r="AC75" i="1"/>
  <c r="N75" i="1"/>
  <c r="M75" i="1"/>
  <c r="L75" i="1"/>
  <c r="G75" i="1"/>
  <c r="E75" i="1"/>
  <c r="AV74" i="1"/>
  <c r="AT74" i="1"/>
  <c r="AN74" i="1"/>
  <c r="AE74" i="1"/>
  <c r="AF74" i="1" s="1"/>
  <c r="AD74" i="1"/>
  <c r="AJ74" i="1" s="1"/>
  <c r="AC74" i="1"/>
  <c r="U84" i="3" s="1"/>
  <c r="N74" i="1"/>
  <c r="M74" i="1"/>
  <c r="G74" i="1"/>
  <c r="E74" i="1"/>
  <c r="AV73" i="1"/>
  <c r="AT73" i="1"/>
  <c r="AN73" i="1"/>
  <c r="AE73" i="1"/>
  <c r="AF73" i="1" s="1"/>
  <c r="AD73" i="1"/>
  <c r="AC73" i="1"/>
  <c r="U83" i="3" s="1"/>
  <c r="N73" i="1"/>
  <c r="M73" i="1"/>
  <c r="G73" i="1"/>
  <c r="E73" i="1"/>
  <c r="AV72" i="1"/>
  <c r="AT72" i="1"/>
  <c r="AN72" i="1"/>
  <c r="AE72" i="1"/>
  <c r="AF72" i="1" s="1"/>
  <c r="AD72" i="1"/>
  <c r="AC72" i="1"/>
  <c r="U82" i="3" s="1"/>
  <c r="N72" i="1"/>
  <c r="M72" i="1"/>
  <c r="G72" i="1"/>
  <c r="E72" i="1"/>
  <c r="AV71" i="1"/>
  <c r="AT71" i="1"/>
  <c r="AN71" i="1"/>
  <c r="AE71" i="1"/>
  <c r="AF71" i="1" s="1"/>
  <c r="AD71" i="1"/>
  <c r="AC71" i="1"/>
  <c r="U80" i="3" s="1"/>
  <c r="N71" i="1"/>
  <c r="M71" i="1"/>
  <c r="G71" i="1"/>
  <c r="E71" i="1"/>
  <c r="AV70" i="1"/>
  <c r="AT70" i="1"/>
  <c r="AN70" i="1"/>
  <c r="AE70" i="1"/>
  <c r="AF70" i="1" s="1"/>
  <c r="AD70" i="1"/>
  <c r="AC70" i="1"/>
  <c r="N70" i="1"/>
  <c r="M70" i="1"/>
  <c r="L70" i="1"/>
  <c r="P70" i="1" s="1"/>
  <c r="G70" i="1"/>
  <c r="F70" i="1"/>
  <c r="Q70" i="1" s="1"/>
  <c r="E70" i="1"/>
  <c r="AV69" i="1"/>
  <c r="AT69" i="1"/>
  <c r="AN69" i="1"/>
  <c r="AE69" i="1"/>
  <c r="AF69" i="1" s="1"/>
  <c r="AD69" i="1"/>
  <c r="AC69" i="1"/>
  <c r="N69" i="1"/>
  <c r="M69" i="1"/>
  <c r="L69" i="1"/>
  <c r="P69" i="1" s="1"/>
  <c r="G69" i="1"/>
  <c r="F69" i="1"/>
  <c r="Q69" i="1" s="1"/>
  <c r="E69" i="1"/>
  <c r="AV68" i="1"/>
  <c r="AT68" i="1"/>
  <c r="AN68" i="1"/>
  <c r="AE68" i="1"/>
  <c r="AF68" i="1" s="1"/>
  <c r="AD68" i="1"/>
  <c r="AC68" i="1"/>
  <c r="N68" i="1"/>
  <c r="M68" i="1"/>
  <c r="L68" i="1"/>
  <c r="P68" i="1" s="1"/>
  <c r="G68" i="1"/>
  <c r="F68" i="1"/>
  <c r="Q68" i="1" s="1"/>
  <c r="E68" i="1"/>
  <c r="AV67" i="1"/>
  <c r="AT67" i="1"/>
  <c r="AN67" i="1"/>
  <c r="AE67" i="1"/>
  <c r="AF67" i="1" s="1"/>
  <c r="AD67" i="1"/>
  <c r="AC67" i="1"/>
  <c r="N67" i="1"/>
  <c r="M67" i="1"/>
  <c r="L67" i="1"/>
  <c r="P67" i="1" s="1"/>
  <c r="G67" i="1"/>
  <c r="F67" i="1"/>
  <c r="Q67" i="1" s="1"/>
  <c r="E67" i="1"/>
  <c r="AV66" i="1"/>
  <c r="AT66" i="1"/>
  <c r="AN66" i="1"/>
  <c r="AE66" i="1"/>
  <c r="AF66" i="1" s="1"/>
  <c r="AD66" i="1"/>
  <c r="AC66" i="1"/>
  <c r="N66" i="1"/>
  <c r="M66" i="1"/>
  <c r="L66" i="1"/>
  <c r="P66" i="1" s="1"/>
  <c r="G66" i="1"/>
  <c r="F66" i="1"/>
  <c r="Q66" i="1" s="1"/>
  <c r="E66" i="1"/>
  <c r="AV65" i="1"/>
  <c r="AT65" i="1"/>
  <c r="AN65" i="1"/>
  <c r="AE65" i="1"/>
  <c r="AF65" i="1" s="1"/>
  <c r="AD65" i="1"/>
  <c r="I49" i="2" s="1"/>
  <c r="AC65" i="1"/>
  <c r="N65" i="1"/>
  <c r="M65" i="1"/>
  <c r="C49" i="2" s="1"/>
  <c r="L65" i="1"/>
  <c r="P65" i="1" s="1"/>
  <c r="G65" i="1"/>
  <c r="D49" i="2" s="1"/>
  <c r="F65" i="1"/>
  <c r="Q65" i="1" s="1"/>
  <c r="E65" i="1"/>
  <c r="AV64" i="1"/>
  <c r="AT64" i="1"/>
  <c r="AN64" i="1"/>
  <c r="AE64" i="1"/>
  <c r="AF64" i="1" s="1"/>
  <c r="AD64" i="1"/>
  <c r="AC64" i="1"/>
  <c r="N64" i="1"/>
  <c r="M64" i="1"/>
  <c r="L64" i="1"/>
  <c r="P64" i="1" s="1"/>
  <c r="G64" i="1"/>
  <c r="F64" i="1"/>
  <c r="Q64" i="1" s="1"/>
  <c r="E64" i="1"/>
  <c r="AV63" i="1"/>
  <c r="AT63" i="1"/>
  <c r="AN63" i="1"/>
  <c r="AE63" i="1"/>
  <c r="AF63" i="1" s="1"/>
  <c r="AD63" i="1"/>
  <c r="AC63" i="1"/>
  <c r="N63" i="1"/>
  <c r="M63" i="1"/>
  <c r="L63" i="1"/>
  <c r="P63" i="1" s="1"/>
  <c r="G63" i="1"/>
  <c r="E63" i="1"/>
  <c r="AV62" i="1"/>
  <c r="AT62" i="1"/>
  <c r="AN62" i="1"/>
  <c r="AE62" i="1"/>
  <c r="AF62" i="1" s="1"/>
  <c r="AD62" i="1"/>
  <c r="AC62" i="1"/>
  <c r="N62" i="1"/>
  <c r="M62" i="1"/>
  <c r="L62" i="1"/>
  <c r="P62" i="1" s="1"/>
  <c r="G62" i="1"/>
  <c r="E62" i="1"/>
  <c r="AV61" i="1"/>
  <c r="AT61" i="1"/>
  <c r="AN61" i="1"/>
  <c r="AE61" i="1"/>
  <c r="AF61" i="1" s="1"/>
  <c r="AD61" i="1"/>
  <c r="AC61" i="1"/>
  <c r="N61" i="1"/>
  <c r="M61" i="1"/>
  <c r="L61" i="1"/>
  <c r="P61" i="1" s="1"/>
  <c r="G61" i="1"/>
  <c r="E61" i="1"/>
  <c r="AV60" i="1"/>
  <c r="AT60" i="1"/>
  <c r="AN60" i="1"/>
  <c r="AE60" i="1"/>
  <c r="AF60" i="1" s="1"/>
  <c r="AD60" i="1"/>
  <c r="AC60" i="1"/>
  <c r="N60" i="1"/>
  <c r="M60" i="1"/>
  <c r="C78" i="2" s="1"/>
  <c r="G60" i="1"/>
  <c r="D78" i="2" s="1"/>
  <c r="E60" i="1"/>
  <c r="AV59" i="1"/>
  <c r="AT59" i="1"/>
  <c r="AN59" i="1"/>
  <c r="AE59" i="1"/>
  <c r="AF59" i="1" s="1"/>
  <c r="AD59" i="1"/>
  <c r="AC59" i="1"/>
  <c r="N59" i="1"/>
  <c r="M59" i="1"/>
  <c r="L59" i="1"/>
  <c r="G59" i="1"/>
  <c r="E59" i="1"/>
  <c r="AV58" i="1"/>
  <c r="AT58" i="1"/>
  <c r="AN58" i="1"/>
  <c r="AE58" i="1"/>
  <c r="AF58" i="1" s="1"/>
  <c r="AD58" i="1"/>
  <c r="AC58" i="1"/>
  <c r="N58" i="1"/>
  <c r="M58" i="1"/>
  <c r="L58" i="1"/>
  <c r="P58" i="1" s="1"/>
  <c r="G58" i="1"/>
  <c r="E58" i="1"/>
  <c r="AV57" i="1"/>
  <c r="AT57" i="1"/>
  <c r="AN57" i="1"/>
  <c r="AE57" i="1"/>
  <c r="AF57" i="1" s="1"/>
  <c r="AD57" i="1"/>
  <c r="AC57" i="1"/>
  <c r="N57" i="1"/>
  <c r="M57" i="1"/>
  <c r="L57" i="1"/>
  <c r="G57" i="1"/>
  <c r="E57" i="1"/>
  <c r="AV56" i="1"/>
  <c r="AT56" i="1"/>
  <c r="AN56" i="1"/>
  <c r="AE56" i="1"/>
  <c r="AF56" i="1" s="1"/>
  <c r="AD56" i="1"/>
  <c r="AC56" i="1"/>
  <c r="N56" i="1"/>
  <c r="M56" i="1"/>
  <c r="L56" i="1"/>
  <c r="G56" i="1"/>
  <c r="E56" i="1"/>
  <c r="AV55" i="1"/>
  <c r="AT55" i="1"/>
  <c r="AN55" i="1"/>
  <c r="AE55" i="1"/>
  <c r="AF55" i="1" s="1"/>
  <c r="AD55" i="1"/>
  <c r="AC55" i="1"/>
  <c r="N55" i="1"/>
  <c r="M55" i="1"/>
  <c r="L55" i="1"/>
  <c r="G55" i="1"/>
  <c r="E55" i="1"/>
  <c r="AV54" i="1"/>
  <c r="AT54" i="1"/>
  <c r="AN54" i="1"/>
  <c r="AE54" i="1"/>
  <c r="AF54" i="1" s="1"/>
  <c r="AD54" i="1"/>
  <c r="AC54" i="1"/>
  <c r="N54" i="1"/>
  <c r="M54" i="1"/>
  <c r="L54" i="1"/>
  <c r="G54" i="1"/>
  <c r="E54" i="1"/>
  <c r="AV53" i="1"/>
  <c r="AT53" i="1"/>
  <c r="AN53" i="1"/>
  <c r="AE53" i="1"/>
  <c r="AF53" i="1" s="1"/>
  <c r="AD53" i="1"/>
  <c r="AC53" i="1"/>
  <c r="N53" i="1"/>
  <c r="M53" i="1"/>
  <c r="L53" i="1"/>
  <c r="G53" i="1"/>
  <c r="E53" i="1"/>
  <c r="AV52" i="1"/>
  <c r="AT52" i="1"/>
  <c r="AN52" i="1"/>
  <c r="AE52" i="1"/>
  <c r="AF52" i="1" s="1"/>
  <c r="AD52" i="1"/>
  <c r="AC52" i="1"/>
  <c r="N52" i="1"/>
  <c r="M52" i="1"/>
  <c r="L52" i="1"/>
  <c r="G52" i="1"/>
  <c r="E52" i="1"/>
  <c r="AV51" i="1"/>
  <c r="AT51" i="1"/>
  <c r="AN51" i="1"/>
  <c r="AE51" i="1"/>
  <c r="AF51" i="1" s="1"/>
  <c r="AD51" i="1"/>
  <c r="I51" i="2" s="1"/>
  <c r="AC51" i="1"/>
  <c r="H51" i="2" s="1"/>
  <c r="N51" i="1"/>
  <c r="M51" i="1"/>
  <c r="C51" i="2" s="1"/>
  <c r="L51" i="1"/>
  <c r="G51" i="1"/>
  <c r="D51" i="2" s="1"/>
  <c r="E51" i="1"/>
  <c r="AV50" i="1"/>
  <c r="AT50" i="1"/>
  <c r="AN50" i="1"/>
  <c r="AE50" i="1"/>
  <c r="AF50" i="1" s="1"/>
  <c r="AD50" i="1"/>
  <c r="AC50" i="1"/>
  <c r="N50" i="1"/>
  <c r="M50" i="1"/>
  <c r="L50" i="1"/>
  <c r="P50" i="1" s="1"/>
  <c r="G50" i="1"/>
  <c r="E50" i="1"/>
  <c r="AV49" i="1"/>
  <c r="AT49" i="1"/>
  <c r="AN49" i="1"/>
  <c r="AE49" i="1"/>
  <c r="AF49" i="1" s="1"/>
  <c r="AD49" i="1"/>
  <c r="AC49" i="1"/>
  <c r="N49" i="1"/>
  <c r="M49" i="1"/>
  <c r="L49" i="1"/>
  <c r="G49" i="1"/>
  <c r="E49" i="1"/>
  <c r="AV48" i="1"/>
  <c r="AT48" i="1"/>
  <c r="AN48" i="1"/>
  <c r="AE48" i="1"/>
  <c r="AF48" i="1" s="1"/>
  <c r="AD48" i="1"/>
  <c r="AC48" i="1"/>
  <c r="N48" i="1"/>
  <c r="M48" i="1"/>
  <c r="L48" i="1"/>
  <c r="G48" i="1"/>
  <c r="E48" i="1"/>
  <c r="AV47" i="1"/>
  <c r="AT47" i="1"/>
  <c r="AN47" i="1"/>
  <c r="AE47" i="1"/>
  <c r="AF47" i="1" s="1"/>
  <c r="AD47" i="1"/>
  <c r="AC47" i="1"/>
  <c r="N47" i="1"/>
  <c r="M47" i="1"/>
  <c r="L47" i="1"/>
  <c r="G47" i="1"/>
  <c r="O47" i="1" s="1"/>
  <c r="E47" i="1"/>
  <c r="AV46" i="1"/>
  <c r="AT46" i="1"/>
  <c r="AN46" i="1"/>
  <c r="AE46" i="1"/>
  <c r="AF46" i="1" s="1"/>
  <c r="AD46" i="1"/>
  <c r="AC46" i="1"/>
  <c r="N46" i="1"/>
  <c r="M46" i="1"/>
  <c r="L46" i="1"/>
  <c r="G46" i="1"/>
  <c r="E46" i="1"/>
  <c r="AV45" i="1"/>
  <c r="AT45" i="1"/>
  <c r="AN45" i="1"/>
  <c r="AE45" i="1"/>
  <c r="AF45" i="1" s="1"/>
  <c r="AD45" i="1"/>
  <c r="AC45" i="1"/>
  <c r="N45" i="1"/>
  <c r="M45" i="1"/>
  <c r="L45" i="1"/>
  <c r="G45" i="1"/>
  <c r="E45" i="1"/>
  <c r="AV44" i="1"/>
  <c r="AT44" i="1"/>
  <c r="AN44" i="1"/>
  <c r="AE44" i="1"/>
  <c r="AF44" i="1" s="1"/>
  <c r="AD44" i="1"/>
  <c r="AC44" i="1"/>
  <c r="N44" i="1"/>
  <c r="M44" i="1"/>
  <c r="L44" i="1"/>
  <c r="G44" i="1"/>
  <c r="E44" i="1"/>
  <c r="AV43" i="1"/>
  <c r="AT43" i="1"/>
  <c r="AN43" i="1"/>
  <c r="AE43" i="1"/>
  <c r="AF43" i="1" s="1"/>
  <c r="AD43" i="1"/>
  <c r="AC43" i="1"/>
  <c r="N43" i="1"/>
  <c r="M43" i="1"/>
  <c r="L43" i="1"/>
  <c r="G43" i="1"/>
  <c r="E43" i="1"/>
  <c r="AV42" i="1"/>
  <c r="AT42" i="1"/>
  <c r="AN42" i="1"/>
  <c r="AE42" i="1"/>
  <c r="AF42" i="1" s="1"/>
  <c r="AD42" i="1"/>
  <c r="AC42" i="1"/>
  <c r="N42" i="1"/>
  <c r="M42" i="1"/>
  <c r="L42" i="1"/>
  <c r="G42" i="1"/>
  <c r="E42" i="1"/>
  <c r="AV41" i="1"/>
  <c r="AT41" i="1"/>
  <c r="AN41" i="1"/>
  <c r="AE41" i="1"/>
  <c r="AF41" i="1" s="1"/>
  <c r="AD41" i="1"/>
  <c r="I47" i="2" s="1"/>
  <c r="AC41" i="1"/>
  <c r="H47" i="2" s="1"/>
  <c r="N41" i="1"/>
  <c r="M41" i="1"/>
  <c r="C47" i="2" s="1"/>
  <c r="L41" i="1"/>
  <c r="G41" i="1"/>
  <c r="D47" i="2" s="1"/>
  <c r="E41" i="1"/>
  <c r="AV40" i="1"/>
  <c r="AT40" i="1"/>
  <c r="AN40" i="1"/>
  <c r="AE40" i="1"/>
  <c r="AF40" i="1" s="1"/>
  <c r="AD40" i="1"/>
  <c r="AC40" i="1"/>
  <c r="N40" i="1"/>
  <c r="M40" i="1"/>
  <c r="C41" i="2" s="1"/>
  <c r="L40" i="1"/>
  <c r="G40" i="1"/>
  <c r="D41" i="2" s="1"/>
  <c r="E40" i="1"/>
  <c r="AV39" i="1"/>
  <c r="AT39" i="1"/>
  <c r="AN39" i="1"/>
  <c r="AE39" i="1"/>
  <c r="AF39" i="1" s="1"/>
  <c r="AD39" i="1"/>
  <c r="AC39" i="1"/>
  <c r="N39" i="1"/>
  <c r="M39" i="1"/>
  <c r="L39" i="1"/>
  <c r="G39" i="1"/>
  <c r="E39" i="1"/>
  <c r="AV38" i="1"/>
  <c r="AT38" i="1"/>
  <c r="AN38" i="1"/>
  <c r="AE38" i="1"/>
  <c r="AF38" i="1" s="1"/>
  <c r="AD38" i="1"/>
  <c r="AC38" i="1"/>
  <c r="N38" i="1"/>
  <c r="M38" i="1"/>
  <c r="L38" i="1"/>
  <c r="G38" i="1"/>
  <c r="E38" i="1"/>
  <c r="AV37" i="1"/>
  <c r="AT37" i="1"/>
  <c r="AN37" i="1"/>
  <c r="AE37" i="1"/>
  <c r="AF37" i="1" s="1"/>
  <c r="AD37" i="1"/>
  <c r="AC37" i="1"/>
  <c r="N37" i="1"/>
  <c r="M37" i="1"/>
  <c r="L37" i="1"/>
  <c r="G37" i="1"/>
  <c r="E37" i="1"/>
  <c r="AV36" i="1"/>
  <c r="AT36" i="1"/>
  <c r="AN36" i="1"/>
  <c r="AE36" i="1"/>
  <c r="AF36" i="1" s="1"/>
  <c r="AD36" i="1"/>
  <c r="AC36" i="1"/>
  <c r="N36" i="1"/>
  <c r="M36" i="1"/>
  <c r="L36" i="1"/>
  <c r="G36" i="1"/>
  <c r="E36" i="1"/>
  <c r="AV35" i="1"/>
  <c r="AT35" i="1"/>
  <c r="AN35" i="1"/>
  <c r="AE35" i="1"/>
  <c r="AF35" i="1" s="1"/>
  <c r="AD35" i="1"/>
  <c r="AC35" i="1"/>
  <c r="N35" i="1"/>
  <c r="M35" i="1"/>
  <c r="L35" i="1"/>
  <c r="G35" i="1"/>
  <c r="E35" i="1"/>
  <c r="AV34" i="1"/>
  <c r="AT34" i="1"/>
  <c r="AN34" i="1"/>
  <c r="AE34" i="1"/>
  <c r="AF34" i="1" s="1"/>
  <c r="AD34" i="1"/>
  <c r="AC34" i="1"/>
  <c r="N34" i="1"/>
  <c r="M34" i="1"/>
  <c r="L34" i="1"/>
  <c r="G34" i="1"/>
  <c r="E34" i="1"/>
  <c r="AV33" i="1"/>
  <c r="AT33" i="1"/>
  <c r="AN33" i="1"/>
  <c r="AE33" i="1"/>
  <c r="AF33" i="1" s="1"/>
  <c r="AD33" i="1"/>
  <c r="AC33" i="1"/>
  <c r="N33" i="1"/>
  <c r="M33" i="1"/>
  <c r="L33" i="1"/>
  <c r="G33" i="1"/>
  <c r="E33" i="1"/>
  <c r="AV32" i="1"/>
  <c r="AT32" i="1"/>
  <c r="AN32" i="1"/>
  <c r="AE32" i="1"/>
  <c r="AF32" i="1" s="1"/>
  <c r="AD32" i="1"/>
  <c r="AC32" i="1"/>
  <c r="N32" i="1"/>
  <c r="M32" i="1"/>
  <c r="L32" i="1"/>
  <c r="P32" i="1" s="1"/>
  <c r="G32" i="1"/>
  <c r="E32" i="1"/>
  <c r="AV31" i="1"/>
  <c r="AT31" i="1"/>
  <c r="AN31" i="1"/>
  <c r="AE31" i="1"/>
  <c r="AF31" i="1" s="1"/>
  <c r="AD31" i="1"/>
  <c r="AC31" i="1"/>
  <c r="N31" i="1"/>
  <c r="M31" i="1"/>
  <c r="L31" i="1"/>
  <c r="G31" i="1"/>
  <c r="E31" i="1"/>
  <c r="AV30" i="1"/>
  <c r="AT30" i="1"/>
  <c r="AN30" i="1"/>
  <c r="AE30" i="1"/>
  <c r="AF30" i="1" s="1"/>
  <c r="AD30" i="1"/>
  <c r="I81" i="2" s="1"/>
  <c r="AC30" i="1"/>
  <c r="N30" i="1"/>
  <c r="M30" i="1"/>
  <c r="C81" i="2" s="1"/>
  <c r="L30" i="1"/>
  <c r="G30" i="1"/>
  <c r="D81" i="2" s="1"/>
  <c r="E30" i="1"/>
  <c r="AV29" i="1"/>
  <c r="AT29" i="1"/>
  <c r="AN29" i="1"/>
  <c r="AE29" i="1"/>
  <c r="AF29" i="1" s="1"/>
  <c r="AD29" i="1"/>
  <c r="I42" i="2" s="1"/>
  <c r="AC29" i="1"/>
  <c r="H42" i="2" s="1"/>
  <c r="N29" i="1"/>
  <c r="M29" i="1"/>
  <c r="C42" i="2" s="1"/>
  <c r="L29" i="1"/>
  <c r="G29" i="1"/>
  <c r="D42" i="2" s="1"/>
  <c r="E29" i="1"/>
  <c r="AV28" i="1"/>
  <c r="AT28" i="1"/>
  <c r="AN28" i="1"/>
  <c r="AE28" i="1"/>
  <c r="AF28" i="1" s="1"/>
  <c r="AD28" i="1"/>
  <c r="AC28" i="1"/>
  <c r="N28" i="1"/>
  <c r="M28" i="1"/>
  <c r="L28" i="1"/>
  <c r="G28" i="1"/>
  <c r="E28" i="1"/>
  <c r="AV27" i="1"/>
  <c r="AT27" i="1"/>
  <c r="AN27" i="1"/>
  <c r="AE27" i="1"/>
  <c r="AF27" i="1" s="1"/>
  <c r="AD27" i="1"/>
  <c r="AC27" i="1"/>
  <c r="N27" i="1"/>
  <c r="M27" i="1"/>
  <c r="L27" i="1"/>
  <c r="G27" i="1"/>
  <c r="E27" i="1"/>
  <c r="AV26" i="1"/>
  <c r="AT26" i="1"/>
  <c r="AN26" i="1"/>
  <c r="AE26" i="1"/>
  <c r="AF26" i="1" s="1"/>
  <c r="AD26" i="1"/>
  <c r="AC26" i="1"/>
  <c r="N26" i="1"/>
  <c r="M26" i="1"/>
  <c r="L26" i="1"/>
  <c r="G26" i="1"/>
  <c r="E26" i="1"/>
  <c r="AV25" i="1"/>
  <c r="AT25" i="1"/>
  <c r="AN25" i="1"/>
  <c r="AE25" i="1"/>
  <c r="AF25" i="1" s="1"/>
  <c r="AD25" i="1"/>
  <c r="AC25" i="1"/>
  <c r="N25" i="1"/>
  <c r="M25" i="1"/>
  <c r="L25" i="1"/>
  <c r="G25" i="1"/>
  <c r="E25" i="1"/>
  <c r="AV24" i="1"/>
  <c r="AT24" i="1"/>
  <c r="AN24" i="1"/>
  <c r="AE24" i="1"/>
  <c r="AF24" i="1" s="1"/>
  <c r="AD24" i="1"/>
  <c r="AC24" i="1"/>
  <c r="N24" i="1"/>
  <c r="M24" i="1"/>
  <c r="L24" i="1"/>
  <c r="P24" i="1" s="1"/>
  <c r="G24" i="1"/>
  <c r="E24" i="1"/>
  <c r="AV23" i="1"/>
  <c r="AT23" i="1"/>
  <c r="AN23" i="1"/>
  <c r="AE23" i="1"/>
  <c r="AF23" i="1" s="1"/>
  <c r="AD23" i="1"/>
  <c r="AC23" i="1"/>
  <c r="N23" i="1"/>
  <c r="M23" i="1"/>
  <c r="L23" i="1"/>
  <c r="G23" i="1"/>
  <c r="E23" i="1"/>
  <c r="AV22" i="1"/>
  <c r="AT22" i="1"/>
  <c r="AN22" i="1"/>
  <c r="AE22" i="1"/>
  <c r="AF22" i="1" s="1"/>
  <c r="AD22" i="1"/>
  <c r="AC22" i="1"/>
  <c r="N22" i="1"/>
  <c r="M22" i="1"/>
  <c r="L22" i="1"/>
  <c r="G22" i="1"/>
  <c r="E22" i="1"/>
  <c r="AV21" i="1"/>
  <c r="AT21" i="1"/>
  <c r="AN21" i="1"/>
  <c r="AE21" i="1"/>
  <c r="AF21" i="1" s="1"/>
  <c r="AD21" i="1"/>
  <c r="AC21" i="1"/>
  <c r="N21" i="1"/>
  <c r="M21" i="1"/>
  <c r="L21" i="1"/>
  <c r="G21" i="1"/>
  <c r="E21" i="1"/>
  <c r="AV20" i="1"/>
  <c r="AT20" i="1"/>
  <c r="AN20" i="1"/>
  <c r="AE20" i="1"/>
  <c r="AF20" i="1" s="1"/>
  <c r="AD20" i="1"/>
  <c r="AC20" i="1"/>
  <c r="N20" i="1"/>
  <c r="M20" i="1"/>
  <c r="L20" i="1"/>
  <c r="G20" i="1"/>
  <c r="E20" i="1"/>
  <c r="AV19" i="1"/>
  <c r="AT19" i="1"/>
  <c r="AN19" i="1"/>
  <c r="AE19" i="1"/>
  <c r="AF19" i="1" s="1"/>
  <c r="AD19" i="1"/>
  <c r="AC19" i="1"/>
  <c r="N19" i="1"/>
  <c r="M19" i="1"/>
  <c r="L19" i="1"/>
  <c r="G19" i="1"/>
  <c r="E19" i="1"/>
  <c r="AV18" i="1"/>
  <c r="AT18" i="1"/>
  <c r="AN18" i="1"/>
  <c r="AE18" i="1"/>
  <c r="AF18" i="1" s="1"/>
  <c r="AD18" i="1"/>
  <c r="I80" i="2" s="1"/>
  <c r="AC18" i="1"/>
  <c r="H80" i="2" s="1"/>
  <c r="N18" i="1"/>
  <c r="M18" i="1"/>
  <c r="C80" i="2" s="1"/>
  <c r="L18" i="1"/>
  <c r="G18" i="1"/>
  <c r="E18" i="1"/>
  <c r="AV17" i="1"/>
  <c r="AT17" i="1"/>
  <c r="AN17" i="1"/>
  <c r="AE17" i="1"/>
  <c r="AF17" i="1" s="1"/>
  <c r="AD17" i="1"/>
  <c r="AC17" i="1"/>
  <c r="N17" i="1"/>
  <c r="M17" i="1"/>
  <c r="L17" i="1"/>
  <c r="P17" i="1" s="1"/>
  <c r="G17" i="1"/>
  <c r="E17" i="1"/>
  <c r="AV16" i="1"/>
  <c r="AT16" i="1"/>
  <c r="AN16" i="1"/>
  <c r="AE16" i="1"/>
  <c r="AF16" i="1" s="1"/>
  <c r="AD16" i="1"/>
  <c r="AC16" i="1"/>
  <c r="N16" i="1"/>
  <c r="M16" i="1"/>
  <c r="L16" i="1"/>
  <c r="P16" i="1" s="1"/>
  <c r="G16" i="1"/>
  <c r="E16" i="1"/>
  <c r="AV15" i="1"/>
  <c r="AT15" i="1"/>
  <c r="AN15" i="1"/>
  <c r="AE15" i="1"/>
  <c r="AF15" i="1" s="1"/>
  <c r="AD15" i="1"/>
  <c r="AC15" i="1"/>
  <c r="N15" i="1"/>
  <c r="M15" i="1"/>
  <c r="L15" i="1"/>
  <c r="G15" i="1"/>
  <c r="E15" i="1"/>
  <c r="AV14" i="1"/>
  <c r="AT14" i="1"/>
  <c r="AN14" i="1"/>
  <c r="AE14" i="1"/>
  <c r="AF14" i="1" s="1"/>
  <c r="AD14" i="1"/>
  <c r="AC14" i="1"/>
  <c r="N14" i="1"/>
  <c r="M14" i="1"/>
  <c r="C76" i="2" s="1"/>
  <c r="L14" i="1"/>
  <c r="G14" i="1"/>
  <c r="D76" i="2" s="1"/>
  <c r="E14" i="1"/>
  <c r="AV13" i="1"/>
  <c r="AT13" i="1"/>
  <c r="AN13" i="1"/>
  <c r="AE13" i="1"/>
  <c r="AF13" i="1" s="1"/>
  <c r="AD13" i="1"/>
  <c r="I38" i="2" s="1"/>
  <c r="AC13" i="1"/>
  <c r="H38" i="2" s="1"/>
  <c r="N13" i="1"/>
  <c r="M13" i="1"/>
  <c r="C38" i="2" s="1"/>
  <c r="L13" i="1"/>
  <c r="G13" i="1"/>
  <c r="E13" i="1"/>
  <c r="AV12" i="1"/>
  <c r="AT12" i="1"/>
  <c r="AN12" i="1"/>
  <c r="AE12" i="1"/>
  <c r="AF12" i="1" s="1"/>
  <c r="AD12" i="1"/>
  <c r="AC12" i="1"/>
  <c r="N12" i="1"/>
  <c r="M12" i="1"/>
  <c r="L12" i="1"/>
  <c r="G12" i="1"/>
  <c r="E12" i="1"/>
  <c r="AV11" i="1"/>
  <c r="AT11" i="1"/>
  <c r="AN11" i="1"/>
  <c r="AE11" i="1"/>
  <c r="AF11" i="1" s="1"/>
  <c r="AD11" i="1"/>
  <c r="AC11" i="1"/>
  <c r="N11" i="1"/>
  <c r="M11" i="1"/>
  <c r="L11" i="1"/>
  <c r="G11" i="1"/>
  <c r="E11" i="1"/>
  <c r="AV10" i="1"/>
  <c r="AT10" i="1"/>
  <c r="AN10" i="1"/>
  <c r="AE10" i="1"/>
  <c r="AF10" i="1" s="1"/>
  <c r="AD10" i="1"/>
  <c r="AC10" i="1"/>
  <c r="N10" i="1"/>
  <c r="M10" i="1"/>
  <c r="L10" i="1"/>
  <c r="G10" i="1"/>
  <c r="E10" i="1"/>
  <c r="AV9" i="1"/>
  <c r="AT9" i="1"/>
  <c r="AN9" i="1"/>
  <c r="AE9" i="1"/>
  <c r="AF9" i="1" s="1"/>
  <c r="AD9" i="1"/>
  <c r="AC9" i="1"/>
  <c r="N9" i="1"/>
  <c r="M9" i="1"/>
  <c r="L9" i="1"/>
  <c r="G9" i="1"/>
  <c r="E9" i="1"/>
  <c r="AV8" i="1"/>
  <c r="AT8" i="1"/>
  <c r="AN8" i="1"/>
  <c r="AE8" i="1"/>
  <c r="AF8" i="1" s="1"/>
  <c r="AD8" i="1"/>
  <c r="I75" i="2" s="1"/>
  <c r="AC8" i="1"/>
  <c r="H75" i="2" s="1"/>
  <c r="N8" i="1"/>
  <c r="M8" i="1"/>
  <c r="L8" i="1"/>
  <c r="G8" i="1"/>
  <c r="E8" i="1"/>
  <c r="AS6" i="1"/>
  <c r="AR6" i="1"/>
  <c r="AL6" i="1"/>
  <c r="B14" i="2" s="1"/>
  <c r="AH6" i="1"/>
  <c r="B13" i="2" s="1"/>
  <c r="AG6" i="1"/>
  <c r="B12" i="2" s="1"/>
  <c r="AB6" i="1"/>
  <c r="Y6" i="1"/>
  <c r="X6" i="1"/>
  <c r="W6" i="1"/>
  <c r="U6" i="1"/>
  <c r="D6" i="1"/>
  <c r="AJ426" i="1" l="1"/>
  <c r="L96" i="2"/>
  <c r="L91" i="2"/>
  <c r="L89" i="2"/>
  <c r="L54" i="2"/>
  <c r="L47" i="2"/>
  <c r="L43" i="2"/>
  <c r="B29" i="2"/>
  <c r="AU423" i="1"/>
  <c r="AJ339" i="1"/>
  <c r="AJ237" i="1"/>
  <c r="AJ27" i="1"/>
  <c r="AJ12" i="1"/>
  <c r="L95" i="2"/>
  <c r="L86" i="2"/>
  <c r="L79" i="2"/>
  <c r="L65" i="2"/>
  <c r="L64" i="2"/>
  <c r="L61" i="2"/>
  <c r="L58" i="2"/>
  <c r="L45" i="2"/>
  <c r="AU468" i="1"/>
  <c r="AJ416" i="1"/>
  <c r="AJ369" i="1"/>
  <c r="AJ361" i="1"/>
  <c r="AJ228" i="1"/>
  <c r="AJ222" i="1"/>
  <c r="P221" i="1"/>
  <c r="AJ219" i="1"/>
  <c r="AJ217" i="1"/>
  <c r="D239" i="3"/>
  <c r="L100" i="2"/>
  <c r="L93" i="2"/>
  <c r="L84" i="2"/>
  <c r="L59" i="2"/>
  <c r="L57" i="2"/>
  <c r="L48" i="2"/>
  <c r="L40" i="2"/>
  <c r="L39" i="2"/>
  <c r="AJ314" i="1"/>
  <c r="AJ300" i="1"/>
  <c r="AJ97" i="1"/>
  <c r="AJ96" i="1"/>
  <c r="AJ93" i="1"/>
  <c r="AJ91" i="1"/>
  <c r="AJ89" i="1"/>
  <c r="AJ88" i="1"/>
  <c r="AJ87" i="1"/>
  <c r="AJ84" i="1"/>
  <c r="AJ80" i="1"/>
  <c r="AJ79" i="1"/>
  <c r="AJ76" i="1"/>
  <c r="AJ25" i="1"/>
  <c r="F24" i="1"/>
  <c r="Q24" i="1" s="1"/>
  <c r="B6" i="6"/>
  <c r="G6" i="6"/>
  <c r="L98" i="2"/>
  <c r="L94" i="2"/>
  <c r="L87" i="2"/>
  <c r="L78" i="2"/>
  <c r="L76" i="2"/>
  <c r="L70" i="2"/>
  <c r="L69" i="2"/>
  <c r="L53" i="2"/>
  <c r="L50" i="2"/>
  <c r="L41" i="2"/>
  <c r="AJ451" i="1"/>
  <c r="AJ362" i="1"/>
  <c r="AJ357" i="1"/>
  <c r="AJ348" i="1"/>
  <c r="L88" i="2"/>
  <c r="L82" i="2"/>
  <c r="L80" i="2"/>
  <c r="L56" i="2"/>
  <c r="AT6" i="1"/>
  <c r="B28" i="2" s="1"/>
  <c r="D424" i="3"/>
  <c r="L101" i="2"/>
  <c r="L92" i="2"/>
  <c r="L81" i="2"/>
  <c r="L62" i="2"/>
  <c r="L55" i="2"/>
  <c r="L44" i="2"/>
  <c r="P470" i="1"/>
  <c r="AJ404" i="1"/>
  <c r="AJ292" i="1"/>
  <c r="E6" i="1"/>
  <c r="AJ22" i="1"/>
  <c r="AJ19" i="1"/>
  <c r="AJ15" i="1"/>
  <c r="AJ10" i="1"/>
  <c r="L99" i="2"/>
  <c r="L85" i="2"/>
  <c r="L83" i="2"/>
  <c r="L77" i="2"/>
  <c r="L63" i="2"/>
  <c r="L46" i="2"/>
  <c r="L42" i="2"/>
  <c r="AJ467" i="1"/>
  <c r="AJ406" i="1"/>
  <c r="AJ350" i="1"/>
  <c r="L111" i="2"/>
  <c r="L108" i="2"/>
  <c r="L106" i="2"/>
  <c r="L102" i="2"/>
  <c r="L97" i="2"/>
  <c r="L90" i="2"/>
  <c r="L68" i="2"/>
  <c r="L67" i="2"/>
  <c r="L66" i="2"/>
  <c r="L60" i="2"/>
  <c r="L51" i="2"/>
  <c r="L49" i="2"/>
  <c r="AU469" i="1"/>
  <c r="AJ13" i="1"/>
  <c r="L113" i="2"/>
  <c r="L112" i="2"/>
  <c r="L110" i="2"/>
  <c r="L109" i="2"/>
  <c r="L107" i="2"/>
  <c r="L105" i="2"/>
  <c r="L104" i="2"/>
  <c r="L52" i="2"/>
  <c r="AJ445" i="1"/>
  <c r="P297" i="1"/>
  <c r="P296" i="1"/>
  <c r="AJ275" i="1"/>
  <c r="AJ14" i="1"/>
  <c r="AJ9" i="1"/>
  <c r="AJ458" i="1"/>
  <c r="AJ457" i="1"/>
  <c r="AJ220" i="1"/>
  <c r="AJ399" i="1"/>
  <c r="AJ398" i="1"/>
  <c r="AJ397" i="1"/>
  <c r="AJ396" i="1"/>
  <c r="AJ395" i="1"/>
  <c r="AJ393" i="1"/>
  <c r="AJ392" i="1"/>
  <c r="AJ391" i="1"/>
  <c r="AJ390" i="1"/>
  <c r="AJ389" i="1"/>
  <c r="AJ388" i="1"/>
  <c r="AJ387" i="1"/>
  <c r="AJ386" i="1"/>
  <c r="AJ384" i="1"/>
  <c r="AJ383" i="1"/>
  <c r="AJ382" i="1"/>
  <c r="AJ381" i="1"/>
  <c r="AJ380" i="1"/>
  <c r="AJ378" i="1"/>
  <c r="AJ377" i="1"/>
  <c r="AJ376" i="1"/>
  <c r="AJ353" i="1"/>
  <c r="AJ346" i="1"/>
  <c r="AJ345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15" i="1"/>
  <c r="AJ304" i="1"/>
  <c r="P303" i="1"/>
  <c r="AJ302" i="1"/>
  <c r="AJ293" i="1"/>
  <c r="AJ289" i="1"/>
  <c r="N6" i="1"/>
  <c r="AJ283" i="1"/>
  <c r="AJ274" i="1"/>
  <c r="AJ273" i="1"/>
  <c r="AJ272" i="1"/>
  <c r="AJ270" i="1"/>
  <c r="AJ243" i="1"/>
  <c r="AJ238" i="1"/>
  <c r="AJ232" i="1"/>
  <c r="AJ227" i="1"/>
  <c r="AJ225" i="1"/>
  <c r="AJ224" i="1"/>
  <c r="AJ223" i="1"/>
  <c r="AJ221" i="1"/>
  <c r="AJ218" i="1"/>
  <c r="AJ216" i="1"/>
  <c r="AJ214" i="1"/>
  <c r="AJ213" i="1"/>
  <c r="AJ212" i="1"/>
  <c r="AJ210" i="1"/>
  <c r="AJ209" i="1"/>
  <c r="AJ208" i="1"/>
  <c r="AJ205" i="1"/>
  <c r="AJ204" i="1"/>
  <c r="AJ154" i="1"/>
  <c r="AJ148" i="1"/>
  <c r="P147" i="1"/>
  <c r="AJ142" i="1"/>
  <c r="AJ137" i="1"/>
  <c r="P137" i="1"/>
  <c r="AJ94" i="1"/>
  <c r="AJ85" i="1"/>
  <c r="AJ82" i="1"/>
  <c r="AJ78" i="1"/>
  <c r="AJ51" i="1"/>
  <c r="AJ39" i="1"/>
  <c r="AJ36" i="1"/>
  <c r="AJ33" i="1"/>
  <c r="AJ28" i="1"/>
  <c r="AJ17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15" i="1"/>
  <c r="AJ211" i="1"/>
  <c r="AJ206" i="1"/>
  <c r="AJ203" i="1"/>
  <c r="AJ202" i="1"/>
  <c r="AJ199" i="1"/>
  <c r="AJ155" i="1"/>
  <c r="AJ152" i="1"/>
  <c r="AJ150" i="1"/>
  <c r="AJ147" i="1"/>
  <c r="AJ143" i="1"/>
  <c r="AJ140" i="1"/>
  <c r="AJ90" i="1"/>
  <c r="AJ83" i="1"/>
  <c r="AJ75" i="1"/>
  <c r="AJ50" i="1"/>
  <c r="AJ43" i="1"/>
  <c r="AJ35" i="1"/>
  <c r="AJ30" i="1"/>
  <c r="AJ18" i="1"/>
  <c r="AU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59" i="1"/>
  <c r="AJ158" i="1"/>
  <c r="AJ157" i="1"/>
  <c r="AJ156" i="1"/>
  <c r="AJ153" i="1"/>
  <c r="AJ151" i="1"/>
  <c r="AJ149" i="1"/>
  <c r="AJ145" i="1"/>
  <c r="AJ144" i="1"/>
  <c r="AJ141" i="1"/>
  <c r="AJ139" i="1"/>
  <c r="AJ138" i="1"/>
  <c r="AJ95" i="1"/>
  <c r="AJ77" i="1"/>
  <c r="AJ45" i="1"/>
  <c r="AJ34" i="1"/>
  <c r="AJ23" i="1"/>
  <c r="AJ21" i="1"/>
  <c r="AJ16" i="1"/>
  <c r="AJ11" i="1"/>
  <c r="AJ8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U111" i="1"/>
  <c r="AJ110" i="1"/>
  <c r="AJ109" i="1"/>
  <c r="AJ108" i="1"/>
  <c r="AJ107" i="1"/>
  <c r="AJ106" i="1"/>
  <c r="AJ105" i="1"/>
  <c r="AJ104" i="1"/>
  <c r="AJ102" i="1"/>
  <c r="AJ101" i="1"/>
  <c r="AJ98" i="1"/>
  <c r="AJ92" i="1"/>
  <c r="AJ86" i="1"/>
  <c r="AJ81" i="1"/>
  <c r="AJ44" i="1"/>
  <c r="AJ38" i="1"/>
  <c r="AJ32" i="1"/>
  <c r="AJ2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49" i="1"/>
  <c r="AJ48" i="1"/>
  <c r="AJ46" i="1"/>
  <c r="AJ42" i="1"/>
  <c r="AJ37" i="1"/>
  <c r="AJ31" i="1"/>
  <c r="AJ20" i="1"/>
  <c r="S467" i="3"/>
  <c r="D467" i="3" s="1"/>
  <c r="L399" i="1"/>
  <c r="S381" i="3"/>
  <c r="D381" i="3" s="1"/>
  <c r="L336" i="1"/>
  <c r="P336" i="1" s="1"/>
  <c r="S227" i="3"/>
  <c r="D227" i="3" s="1"/>
  <c r="L197" i="1"/>
  <c r="P471" i="1"/>
  <c r="F471" i="1"/>
  <c r="Q471" i="1" s="1"/>
  <c r="P469" i="1"/>
  <c r="F469" i="1"/>
  <c r="Q469" i="1" s="1"/>
  <c r="P468" i="1"/>
  <c r="F468" i="1"/>
  <c r="Q468" i="1" s="1"/>
  <c r="P467" i="1"/>
  <c r="F467" i="1"/>
  <c r="Q467" i="1" s="1"/>
  <c r="P466" i="1"/>
  <c r="F466" i="1"/>
  <c r="Q466" i="1" s="1"/>
  <c r="R466" i="1" s="1"/>
  <c r="P465" i="1"/>
  <c r="F465" i="1"/>
  <c r="Q465" i="1" s="1"/>
  <c r="P464" i="1"/>
  <c r="F464" i="1"/>
  <c r="Q464" i="1" s="1"/>
  <c r="P463" i="1"/>
  <c r="F463" i="1"/>
  <c r="Q463" i="1" s="1"/>
  <c r="P462" i="1"/>
  <c r="F462" i="1"/>
  <c r="Q462" i="1" s="1"/>
  <c r="P461" i="1"/>
  <c r="F461" i="1"/>
  <c r="Q461" i="1" s="1"/>
  <c r="P460" i="1"/>
  <c r="F460" i="1"/>
  <c r="Q460" i="1" s="1"/>
  <c r="P456" i="1"/>
  <c r="F456" i="1"/>
  <c r="Q456" i="1" s="1"/>
  <c r="P453" i="1"/>
  <c r="F453" i="1"/>
  <c r="Q453" i="1" s="1"/>
  <c r="P452" i="1"/>
  <c r="F452" i="1"/>
  <c r="Q452" i="1" s="1"/>
  <c r="P451" i="1"/>
  <c r="F451" i="1"/>
  <c r="Q451" i="1" s="1"/>
  <c r="P450" i="1"/>
  <c r="F450" i="1"/>
  <c r="Q450" i="1" s="1"/>
  <c r="P449" i="1"/>
  <c r="F449" i="1"/>
  <c r="Q449" i="1" s="1"/>
  <c r="P448" i="1"/>
  <c r="F448" i="1"/>
  <c r="Q448" i="1" s="1"/>
  <c r="AJ447" i="1"/>
  <c r="I68" i="2"/>
  <c r="F447" i="1"/>
  <c r="Q447" i="1" s="1"/>
  <c r="D68" i="2"/>
  <c r="P446" i="1"/>
  <c r="F446" i="1"/>
  <c r="Q446" i="1" s="1"/>
  <c r="P445" i="1"/>
  <c r="F445" i="1"/>
  <c r="Q445" i="1" s="1"/>
  <c r="P444" i="1"/>
  <c r="F444" i="1"/>
  <c r="Q444" i="1" s="1"/>
  <c r="P443" i="1"/>
  <c r="F443" i="1"/>
  <c r="Q443" i="1" s="1"/>
  <c r="P442" i="1"/>
  <c r="F442" i="1"/>
  <c r="Q442" i="1" s="1"/>
  <c r="P440" i="1"/>
  <c r="F440" i="1"/>
  <c r="Q440" i="1" s="1"/>
  <c r="P439" i="1"/>
  <c r="F439" i="1"/>
  <c r="Q439" i="1" s="1"/>
  <c r="P438" i="1"/>
  <c r="F438" i="1"/>
  <c r="Q438" i="1" s="1"/>
  <c r="P437" i="1"/>
  <c r="F437" i="1"/>
  <c r="Q437" i="1" s="1"/>
  <c r="P436" i="1"/>
  <c r="F436" i="1"/>
  <c r="Q436" i="1" s="1"/>
  <c r="P435" i="1"/>
  <c r="F435" i="1"/>
  <c r="Q435" i="1" s="1"/>
  <c r="P434" i="1"/>
  <c r="F434" i="1"/>
  <c r="Q434" i="1" s="1"/>
  <c r="P433" i="1"/>
  <c r="F433" i="1"/>
  <c r="Q433" i="1" s="1"/>
  <c r="P432" i="1"/>
  <c r="F432" i="1"/>
  <c r="Q432" i="1" s="1"/>
  <c r="R432" i="1" s="1"/>
  <c r="AJ431" i="1"/>
  <c r="I56" i="2"/>
  <c r="P431" i="1"/>
  <c r="F431" i="1"/>
  <c r="Q431" i="1" s="1"/>
  <c r="R431" i="1" s="1"/>
  <c r="P430" i="1"/>
  <c r="F430" i="1"/>
  <c r="Q430" i="1" s="1"/>
  <c r="R430" i="1" s="1"/>
  <c r="P429" i="1"/>
  <c r="F429" i="1"/>
  <c r="Q429" i="1" s="1"/>
  <c r="P428" i="1"/>
  <c r="F428" i="1"/>
  <c r="Q428" i="1" s="1"/>
  <c r="P427" i="1"/>
  <c r="F427" i="1"/>
  <c r="Q427" i="1" s="1"/>
  <c r="V426" i="1"/>
  <c r="AO426" i="1"/>
  <c r="U499" i="3"/>
  <c r="H61" i="2"/>
  <c r="P414" i="1"/>
  <c r="F414" i="1"/>
  <c r="Q414" i="1" s="1"/>
  <c r="P413" i="1"/>
  <c r="F413" i="1"/>
  <c r="Q413" i="1" s="1"/>
  <c r="P411" i="1"/>
  <c r="F411" i="1"/>
  <c r="Q411" i="1" s="1"/>
  <c r="P410" i="1"/>
  <c r="F410" i="1"/>
  <c r="Q410" i="1" s="1"/>
  <c r="P409" i="1"/>
  <c r="F409" i="1"/>
  <c r="Q409" i="1" s="1"/>
  <c r="P408" i="1"/>
  <c r="F408" i="1"/>
  <c r="Q408" i="1" s="1"/>
  <c r="AJ407" i="1"/>
  <c r="I60" i="2"/>
  <c r="F407" i="1"/>
  <c r="Q407" i="1" s="1"/>
  <c r="D60" i="2"/>
  <c r="P406" i="1"/>
  <c r="F406" i="1"/>
  <c r="Q406" i="1" s="1"/>
  <c r="P405" i="1"/>
  <c r="F405" i="1"/>
  <c r="Q405" i="1" s="1"/>
  <c r="P404" i="1"/>
  <c r="F404" i="1"/>
  <c r="Q404" i="1" s="1"/>
  <c r="P403" i="1"/>
  <c r="F403" i="1"/>
  <c r="Q403" i="1" s="1"/>
  <c r="P402" i="1"/>
  <c r="F402" i="1"/>
  <c r="Q402" i="1" s="1"/>
  <c r="P401" i="1"/>
  <c r="F401" i="1"/>
  <c r="Q401" i="1" s="1"/>
  <c r="P400" i="1"/>
  <c r="F400" i="1"/>
  <c r="Q400" i="1" s="1"/>
  <c r="AJ374" i="1"/>
  <c r="I106" i="2"/>
  <c r="H106" i="2"/>
  <c r="U437" i="3"/>
  <c r="AJ365" i="1"/>
  <c r="I59" i="2"/>
  <c r="H59" i="2"/>
  <c r="U428" i="3"/>
  <c r="P357" i="1"/>
  <c r="F357" i="1"/>
  <c r="Q357" i="1" s="1"/>
  <c r="R357" i="1" s="1"/>
  <c r="P356" i="1"/>
  <c r="F356" i="1"/>
  <c r="Q356" i="1" s="1"/>
  <c r="R356" i="1" s="1"/>
  <c r="P354" i="1"/>
  <c r="F354" i="1"/>
  <c r="Q354" i="1" s="1"/>
  <c r="P353" i="1"/>
  <c r="F353" i="1"/>
  <c r="Q353" i="1" s="1"/>
  <c r="P351" i="1"/>
  <c r="F351" i="1"/>
  <c r="Q351" i="1" s="1"/>
  <c r="P350" i="1"/>
  <c r="F350" i="1"/>
  <c r="Q350" i="1" s="1"/>
  <c r="P349" i="1"/>
  <c r="F349" i="1"/>
  <c r="Q349" i="1" s="1"/>
  <c r="P348" i="1"/>
  <c r="F348" i="1"/>
  <c r="Q348" i="1" s="1"/>
  <c r="P339" i="1"/>
  <c r="F339" i="1"/>
  <c r="Q339" i="1" s="1"/>
  <c r="AO333" i="1"/>
  <c r="V333" i="1"/>
  <c r="U371" i="3"/>
  <c r="H58" i="2"/>
  <c r="P310" i="1"/>
  <c r="F310" i="1"/>
  <c r="Q310" i="1" s="1"/>
  <c r="P309" i="1"/>
  <c r="F309" i="1"/>
  <c r="Q309" i="1" s="1"/>
  <c r="D64" i="2"/>
  <c r="F308" i="1"/>
  <c r="Q308" i="1" s="1"/>
  <c r="P307" i="1"/>
  <c r="F307" i="1"/>
  <c r="Q307" i="1" s="1"/>
  <c r="P306" i="1"/>
  <c r="F306" i="1"/>
  <c r="Q306" i="1" s="1"/>
  <c r="P305" i="1"/>
  <c r="F305" i="1"/>
  <c r="Q305" i="1" s="1"/>
  <c r="P304" i="1"/>
  <c r="F304" i="1"/>
  <c r="Q304" i="1" s="1"/>
  <c r="P302" i="1"/>
  <c r="F302" i="1"/>
  <c r="Q302" i="1" s="1"/>
  <c r="P301" i="1"/>
  <c r="F301" i="1"/>
  <c r="Q301" i="1" s="1"/>
  <c r="P300" i="1"/>
  <c r="F300" i="1"/>
  <c r="Q300" i="1" s="1"/>
  <c r="P299" i="1"/>
  <c r="F299" i="1"/>
  <c r="Q299" i="1" s="1"/>
  <c r="P298" i="1"/>
  <c r="F298" i="1"/>
  <c r="Q298" i="1" s="1"/>
  <c r="D57" i="2"/>
  <c r="F296" i="1"/>
  <c r="Q296" i="1" s="1"/>
  <c r="P295" i="1"/>
  <c r="F295" i="1"/>
  <c r="Q295" i="1" s="1"/>
  <c r="P294" i="1"/>
  <c r="F294" i="1"/>
  <c r="Q294" i="1" s="1"/>
  <c r="V286" i="1"/>
  <c r="AO286" i="1"/>
  <c r="U498" i="3"/>
  <c r="U343" i="3"/>
  <c r="U400" i="3"/>
  <c r="U425" i="3"/>
  <c r="AJ236" i="1"/>
  <c r="I103" i="2"/>
  <c r="I54" i="2"/>
  <c r="H54" i="2"/>
  <c r="H103" i="2"/>
  <c r="C103" i="2"/>
  <c r="C54" i="2"/>
  <c r="D54" i="2"/>
  <c r="D103" i="2"/>
  <c r="F236" i="1"/>
  <c r="Q236" i="1" s="1"/>
  <c r="R236" i="1" s="1"/>
  <c r="P230" i="1"/>
  <c r="F230" i="1"/>
  <c r="Q230" i="1" s="1"/>
  <c r="P223" i="1"/>
  <c r="F223" i="1"/>
  <c r="Q223" i="1" s="1"/>
  <c r="D53" i="2"/>
  <c r="F213" i="1"/>
  <c r="Q213" i="1" s="1"/>
  <c r="P204" i="1"/>
  <c r="F204" i="1"/>
  <c r="Q204" i="1" s="1"/>
  <c r="R204" i="1" s="1"/>
  <c r="P203" i="1"/>
  <c r="F203" i="1"/>
  <c r="Q203" i="1" s="1"/>
  <c r="R203" i="1" s="1"/>
  <c r="P202" i="1"/>
  <c r="F202" i="1"/>
  <c r="Q202" i="1" s="1"/>
  <c r="R202" i="1" s="1"/>
  <c r="P201" i="1"/>
  <c r="F201" i="1"/>
  <c r="Q201" i="1" s="1"/>
  <c r="V193" i="1"/>
  <c r="AO193" i="1"/>
  <c r="U492" i="3"/>
  <c r="U527" i="3"/>
  <c r="U537" i="3"/>
  <c r="U442" i="3"/>
  <c r="H50" i="2"/>
  <c r="U445" i="3"/>
  <c r="U344" i="3"/>
  <c r="U312" i="3"/>
  <c r="H44" i="2"/>
  <c r="U317" i="3"/>
  <c r="U327" i="3"/>
  <c r="P155" i="1"/>
  <c r="F155" i="1"/>
  <c r="Q155" i="1" s="1"/>
  <c r="U288" i="3"/>
  <c r="U307" i="3"/>
  <c r="P151" i="1"/>
  <c r="F151" i="1"/>
  <c r="Q151" i="1" s="1"/>
  <c r="P150" i="1"/>
  <c r="F150" i="1"/>
  <c r="Q150" i="1" s="1"/>
  <c r="P148" i="1"/>
  <c r="F148" i="1"/>
  <c r="Q148" i="1" s="1"/>
  <c r="V146" i="1"/>
  <c r="AO146" i="1"/>
  <c r="U290" i="3"/>
  <c r="U289" i="3"/>
  <c r="P139" i="1"/>
  <c r="F139" i="1"/>
  <c r="Q139" i="1" s="1"/>
  <c r="U103" i="3"/>
  <c r="H45" i="2"/>
  <c r="P88" i="1"/>
  <c r="F88" i="1"/>
  <c r="Q88" i="1" s="1"/>
  <c r="R88" i="1" s="1"/>
  <c r="P86" i="1"/>
  <c r="F86" i="1"/>
  <c r="Q86" i="1" s="1"/>
  <c r="R86" i="1" s="1"/>
  <c r="P83" i="1"/>
  <c r="F83" i="1"/>
  <c r="Q83" i="1" s="1"/>
  <c r="R83" i="1" s="1"/>
  <c r="U129" i="3"/>
  <c r="U300" i="3"/>
  <c r="P75" i="1"/>
  <c r="F75" i="1"/>
  <c r="Q75" i="1" s="1"/>
  <c r="R75" i="1" s="1"/>
  <c r="U262" i="3"/>
  <c r="U249" i="3"/>
  <c r="U243" i="3"/>
  <c r="U270" i="3"/>
  <c r="I40" i="2"/>
  <c r="I82" i="2"/>
  <c r="H40" i="2"/>
  <c r="H82" i="2"/>
  <c r="C40" i="2"/>
  <c r="C82" i="2"/>
  <c r="D82" i="2"/>
  <c r="D40" i="2"/>
  <c r="I77" i="2"/>
  <c r="I43" i="2"/>
  <c r="H77" i="2"/>
  <c r="H43" i="2"/>
  <c r="C43" i="2"/>
  <c r="C77" i="2"/>
  <c r="D77" i="2"/>
  <c r="D43" i="2"/>
  <c r="I79" i="2"/>
  <c r="I46" i="2"/>
  <c r="H46" i="2"/>
  <c r="H79" i="2"/>
  <c r="C46" i="2"/>
  <c r="C79" i="2"/>
  <c r="D46" i="2"/>
  <c r="D79" i="2"/>
  <c r="C75" i="2"/>
  <c r="C39" i="2"/>
  <c r="D75" i="2"/>
  <c r="O75" i="2" s="1"/>
  <c r="D39" i="2"/>
  <c r="F119" i="2"/>
  <c r="B9" i="2"/>
  <c r="E9" i="2" s="1"/>
  <c r="D119" i="2"/>
  <c r="B8" i="2"/>
  <c r="E8" i="2" s="1"/>
  <c r="C119" i="2"/>
  <c r="B7" i="2"/>
  <c r="AJ473" i="1"/>
  <c r="I69" i="2"/>
  <c r="AJ146" i="1"/>
  <c r="I76" i="2"/>
  <c r="AJ379" i="1"/>
  <c r="I53" i="2"/>
  <c r="AJ99" i="1"/>
  <c r="AD6" i="1"/>
  <c r="I39" i="2"/>
  <c r="AJ286" i="1"/>
  <c r="I78" i="2"/>
  <c r="I41" i="2"/>
  <c r="D425" i="6"/>
  <c r="AE145" i="1"/>
  <c r="AF145" i="1" s="1"/>
  <c r="AI145" i="1"/>
  <c r="AQ145" i="1"/>
  <c r="T166" i="3" s="1"/>
  <c r="H49" i="2"/>
  <c r="H83" i="2"/>
  <c r="U166" i="3"/>
  <c r="AE473" i="1"/>
  <c r="AF473" i="1" s="1"/>
  <c r="D374" i="6"/>
  <c r="AI473" i="1"/>
  <c r="AQ473" i="1"/>
  <c r="T586" i="3" s="1"/>
  <c r="U586" i="3"/>
  <c r="H69" i="2"/>
  <c r="D264" i="6"/>
  <c r="AE146" i="1"/>
  <c r="AF146" i="1" s="1"/>
  <c r="AI146" i="1"/>
  <c r="AQ146" i="1"/>
  <c r="T167" i="3" s="1"/>
  <c r="H76" i="2"/>
  <c r="U167" i="3"/>
  <c r="AE379" i="1"/>
  <c r="AF379" i="1" s="1"/>
  <c r="D233" i="6"/>
  <c r="AI379" i="1"/>
  <c r="AQ379" i="1"/>
  <c r="T443" i="3" s="1"/>
  <c r="U443" i="3"/>
  <c r="AE99" i="1"/>
  <c r="D213" i="6"/>
  <c r="AI99" i="1"/>
  <c r="AQ99" i="1"/>
  <c r="T107" i="3" s="1"/>
  <c r="AC6" i="1"/>
  <c r="U107" i="3"/>
  <c r="H39" i="2"/>
  <c r="D211" i="6"/>
  <c r="AE426" i="1"/>
  <c r="AF426" i="1" s="1"/>
  <c r="AI426" i="1"/>
  <c r="AQ426" i="1"/>
  <c r="T503" i="3" s="1"/>
  <c r="U503" i="3"/>
  <c r="D208" i="6"/>
  <c r="AE286" i="1"/>
  <c r="AF286" i="1" s="1"/>
  <c r="AI286" i="1"/>
  <c r="AQ286" i="1"/>
  <c r="T328" i="3" s="1"/>
  <c r="U328" i="3"/>
  <c r="AE378" i="1"/>
  <c r="AF378" i="1" s="1"/>
  <c r="D134" i="6"/>
  <c r="AI378" i="1"/>
  <c r="AQ378" i="1"/>
  <c r="T441" i="3" s="1"/>
  <c r="H53" i="2"/>
  <c r="U441" i="3"/>
  <c r="D67" i="6"/>
  <c r="AE192" i="1"/>
  <c r="AF192" i="1" s="1"/>
  <c r="AI192" i="1"/>
  <c r="AQ192" i="1"/>
  <c r="T221" i="3" s="1"/>
  <c r="H78" i="2"/>
  <c r="U221" i="3"/>
  <c r="H41" i="2"/>
  <c r="D57" i="6"/>
  <c r="AE472" i="1"/>
  <c r="AF472" i="1" s="1"/>
  <c r="AI472" i="1"/>
  <c r="AQ472" i="1"/>
  <c r="T577" i="3" s="1"/>
  <c r="U577" i="3"/>
  <c r="D14" i="6"/>
  <c r="D6" i="6" s="1"/>
  <c r="C6" i="6"/>
  <c r="S586" i="3"/>
  <c r="D586" i="3" s="1"/>
  <c r="L473" i="1"/>
  <c r="L472" i="1"/>
  <c r="S577" i="3"/>
  <c r="D577" i="3" s="1"/>
  <c r="S503" i="3"/>
  <c r="D503" i="3" s="1"/>
  <c r="L426" i="1"/>
  <c r="L425" i="1"/>
  <c r="S502" i="3"/>
  <c r="D502" i="3" s="1"/>
  <c r="S500" i="3"/>
  <c r="D500" i="3" s="1"/>
  <c r="L424" i="1"/>
  <c r="L423" i="1"/>
  <c r="S499" i="3"/>
  <c r="D499" i="3" s="1"/>
  <c r="L422" i="1"/>
  <c r="S497" i="3"/>
  <c r="D497" i="3" s="1"/>
  <c r="S495" i="3"/>
  <c r="D495" i="3" s="1"/>
  <c r="L421" i="1"/>
  <c r="L420" i="1"/>
  <c r="S494" i="3"/>
  <c r="D494" i="3" s="1"/>
  <c r="L419" i="1"/>
  <c r="S493" i="3"/>
  <c r="D493" i="3" s="1"/>
  <c r="L418" i="1"/>
  <c r="S491" i="3"/>
  <c r="D491" i="3" s="1"/>
  <c r="L417" i="1"/>
  <c r="S490" i="3"/>
  <c r="D490" i="3" s="1"/>
  <c r="L416" i="1"/>
  <c r="S489" i="3"/>
  <c r="D489" i="3" s="1"/>
  <c r="L415" i="1"/>
  <c r="S488" i="3"/>
  <c r="D488" i="3" s="1"/>
  <c r="L180" i="1"/>
  <c r="S445" i="3"/>
  <c r="D445" i="3" s="1"/>
  <c r="S443" i="3"/>
  <c r="D443" i="3" s="1"/>
  <c r="L379" i="1"/>
  <c r="L191" i="1"/>
  <c r="S442" i="3"/>
  <c r="D442" i="3" s="1"/>
  <c r="S441" i="3"/>
  <c r="D441" i="3" s="1"/>
  <c r="L378" i="1"/>
  <c r="L377" i="1"/>
  <c r="S440" i="3"/>
  <c r="D440" i="3" s="1"/>
  <c r="S439" i="3"/>
  <c r="D439" i="3" s="1"/>
  <c r="L376" i="1"/>
  <c r="S438" i="3"/>
  <c r="D438" i="3" s="1"/>
  <c r="L375" i="1"/>
  <c r="S437" i="3"/>
  <c r="D437" i="3" s="1"/>
  <c r="L374" i="1"/>
  <c r="S436" i="3"/>
  <c r="D436" i="3" s="1"/>
  <c r="L373" i="1"/>
  <c r="L372" i="1"/>
  <c r="S435" i="3"/>
  <c r="D435" i="3" s="1"/>
  <c r="L371" i="1"/>
  <c r="S434" i="3"/>
  <c r="D434" i="3" s="1"/>
  <c r="L370" i="1"/>
  <c r="S433" i="3"/>
  <c r="D433" i="3" s="1"/>
  <c r="L369" i="1"/>
  <c r="S432" i="3"/>
  <c r="D432" i="3" s="1"/>
  <c r="L368" i="1"/>
  <c r="S431" i="3"/>
  <c r="D431" i="3" s="1"/>
  <c r="L367" i="1"/>
  <c r="S430" i="3"/>
  <c r="D430" i="3" s="1"/>
  <c r="L366" i="1"/>
  <c r="S429" i="3"/>
  <c r="D429" i="3" s="1"/>
  <c r="L365" i="1"/>
  <c r="S428" i="3"/>
  <c r="D428" i="3" s="1"/>
  <c r="S427" i="3"/>
  <c r="D427" i="3" s="1"/>
  <c r="L364" i="1"/>
  <c r="L363" i="1"/>
  <c r="S426" i="3"/>
  <c r="D426" i="3" s="1"/>
  <c r="L362" i="1"/>
  <c r="S423" i="3"/>
  <c r="D423" i="3" s="1"/>
  <c r="L361" i="1"/>
  <c r="S422" i="3"/>
  <c r="D422" i="3" s="1"/>
  <c r="S421" i="3"/>
  <c r="D421" i="3" s="1"/>
  <c r="L360" i="1"/>
  <c r="S400" i="3"/>
  <c r="D400" i="3" s="1"/>
  <c r="L237" i="1"/>
  <c r="L333" i="1"/>
  <c r="S378" i="3"/>
  <c r="D378" i="3" s="1"/>
  <c r="S377" i="3"/>
  <c r="D377" i="3" s="1"/>
  <c r="L332" i="1"/>
  <c r="S376" i="3"/>
  <c r="D376" i="3" s="1"/>
  <c r="L331" i="1"/>
  <c r="L330" i="1"/>
  <c r="S375" i="3"/>
  <c r="D375" i="3" s="1"/>
  <c r="S374" i="3"/>
  <c r="D374" i="3" s="1"/>
  <c r="L329" i="1"/>
  <c r="S373" i="3"/>
  <c r="D373" i="3" s="1"/>
  <c r="L328" i="1"/>
  <c r="S372" i="3"/>
  <c r="D372" i="3" s="1"/>
  <c r="L327" i="1"/>
  <c r="L326" i="1"/>
  <c r="S371" i="3"/>
  <c r="D371" i="3" s="1"/>
  <c r="S370" i="3"/>
  <c r="D370" i="3" s="1"/>
  <c r="L325" i="1"/>
  <c r="S369" i="3"/>
  <c r="D369" i="3" s="1"/>
  <c r="L324" i="1"/>
  <c r="L323" i="1"/>
  <c r="S368" i="3"/>
  <c r="D368" i="3" s="1"/>
  <c r="L322" i="1"/>
  <c r="S367" i="3"/>
  <c r="D367" i="3" s="1"/>
  <c r="S365" i="3"/>
  <c r="D365" i="3" s="1"/>
  <c r="L321" i="1"/>
  <c r="L320" i="1"/>
  <c r="S363" i="3"/>
  <c r="D363" i="3" s="1"/>
  <c r="S362" i="3"/>
  <c r="D362" i="3" s="1"/>
  <c r="L319" i="1"/>
  <c r="L318" i="1"/>
  <c r="S361" i="3"/>
  <c r="D361" i="3" s="1"/>
  <c r="L317" i="1"/>
  <c r="S360" i="3"/>
  <c r="D360" i="3" s="1"/>
  <c r="L316" i="1"/>
  <c r="S359" i="3"/>
  <c r="D359" i="3" s="1"/>
  <c r="L315" i="1"/>
  <c r="S358" i="3"/>
  <c r="D358" i="3" s="1"/>
  <c r="L314" i="1"/>
  <c r="S357" i="3"/>
  <c r="D357" i="3" s="1"/>
  <c r="L313" i="1"/>
  <c r="S356" i="3"/>
  <c r="D356" i="3" s="1"/>
  <c r="S355" i="3"/>
  <c r="D355" i="3" s="1"/>
  <c r="L312" i="1"/>
  <c r="L311" i="1"/>
  <c r="S354" i="3"/>
  <c r="D354" i="3" s="1"/>
  <c r="S343" i="3"/>
  <c r="D343" i="3" s="1"/>
  <c r="L238" i="1"/>
  <c r="L286" i="1"/>
  <c r="S328" i="3"/>
  <c r="D328" i="3" s="1"/>
  <c r="L285" i="1"/>
  <c r="S326" i="3"/>
  <c r="D326" i="3" s="1"/>
  <c r="S325" i="3"/>
  <c r="D325" i="3" s="1"/>
  <c r="L284" i="1"/>
  <c r="L283" i="1"/>
  <c r="S324" i="3"/>
  <c r="D324" i="3" s="1"/>
  <c r="S323" i="3"/>
  <c r="D323" i="3" s="1"/>
  <c r="L282" i="1"/>
  <c r="S322" i="3"/>
  <c r="D322" i="3" s="1"/>
  <c r="L281" i="1"/>
  <c r="S321" i="3"/>
  <c r="D321" i="3" s="1"/>
  <c r="L280" i="1"/>
  <c r="L279" i="1"/>
  <c r="S320" i="3"/>
  <c r="D320" i="3" s="1"/>
  <c r="S319" i="3"/>
  <c r="D319" i="3" s="1"/>
  <c r="L278" i="1"/>
  <c r="S318" i="3"/>
  <c r="D318" i="3" s="1"/>
  <c r="L277" i="1"/>
  <c r="L162" i="1"/>
  <c r="S317" i="3"/>
  <c r="D317" i="3" s="1"/>
  <c r="L276" i="1"/>
  <c r="S316" i="3"/>
  <c r="D316" i="3" s="1"/>
  <c r="L275" i="1"/>
  <c r="S315" i="3"/>
  <c r="D315" i="3" s="1"/>
  <c r="L274" i="1"/>
  <c r="S314" i="3"/>
  <c r="D314" i="3" s="1"/>
  <c r="L273" i="1"/>
  <c r="S313" i="3"/>
  <c r="D313" i="3" s="1"/>
  <c r="S312" i="3"/>
  <c r="D312" i="3" s="1"/>
  <c r="L173" i="1"/>
  <c r="L272" i="1"/>
  <c r="S311" i="3"/>
  <c r="D311" i="3" s="1"/>
  <c r="L271" i="1"/>
  <c r="S310" i="3"/>
  <c r="D310" i="3" s="1"/>
  <c r="S309" i="3"/>
  <c r="D309" i="3" s="1"/>
  <c r="L270" i="1"/>
  <c r="S308" i="3"/>
  <c r="D308" i="3" s="1"/>
  <c r="L269" i="1"/>
  <c r="S306" i="3"/>
  <c r="D306" i="3" s="1"/>
  <c r="L268" i="1"/>
  <c r="S305" i="3"/>
  <c r="D305" i="3" s="1"/>
  <c r="L267" i="1"/>
  <c r="S304" i="3"/>
  <c r="D304" i="3" s="1"/>
  <c r="L266" i="1"/>
  <c r="L264" i="1"/>
  <c r="S303" i="3"/>
  <c r="D303" i="3" s="1"/>
  <c r="L263" i="1"/>
  <c r="S302" i="3"/>
  <c r="D302" i="3" s="1"/>
  <c r="L262" i="1"/>
  <c r="S301" i="3"/>
  <c r="D301" i="3" s="1"/>
  <c r="L261" i="1"/>
  <c r="S299" i="3"/>
  <c r="D299" i="3" s="1"/>
  <c r="S298" i="3"/>
  <c r="D298" i="3" s="1"/>
  <c r="L260" i="1"/>
  <c r="L259" i="1"/>
  <c r="S297" i="3"/>
  <c r="D297" i="3" s="1"/>
  <c r="S296" i="3"/>
  <c r="D296" i="3" s="1"/>
  <c r="L258" i="1"/>
  <c r="L257" i="1"/>
  <c r="S295" i="3"/>
  <c r="D295" i="3" s="1"/>
  <c r="S294" i="3"/>
  <c r="D294" i="3" s="1"/>
  <c r="L256" i="1"/>
  <c r="S293" i="3"/>
  <c r="D293" i="3" s="1"/>
  <c r="L255" i="1"/>
  <c r="L254" i="1"/>
  <c r="S292" i="3"/>
  <c r="D292" i="3" s="1"/>
  <c r="L253" i="1"/>
  <c r="S291" i="3"/>
  <c r="D291" i="3" s="1"/>
  <c r="S289" i="3"/>
  <c r="D289" i="3" s="1"/>
  <c r="L143" i="1"/>
  <c r="L153" i="1"/>
  <c r="S288" i="3"/>
  <c r="D288" i="3" s="1"/>
  <c r="S287" i="3"/>
  <c r="D287" i="3" s="1"/>
  <c r="L252" i="1"/>
  <c r="L118" i="1"/>
  <c r="S286" i="3"/>
  <c r="D286" i="3" s="1"/>
  <c r="L251" i="1"/>
  <c r="S285" i="3"/>
  <c r="D285" i="3" s="1"/>
  <c r="L250" i="1"/>
  <c r="S284" i="3"/>
  <c r="D284" i="3" s="1"/>
  <c r="S283" i="3"/>
  <c r="D283" i="3" s="1"/>
  <c r="L249" i="1"/>
  <c r="S282" i="3"/>
  <c r="D282" i="3" s="1"/>
  <c r="L248" i="1"/>
  <c r="S281" i="3"/>
  <c r="D281" i="3" s="1"/>
  <c r="L247" i="1"/>
  <c r="S280" i="3"/>
  <c r="D280" i="3" s="1"/>
  <c r="L246" i="1"/>
  <c r="L245" i="1"/>
  <c r="S279" i="3"/>
  <c r="D279" i="3" s="1"/>
  <c r="S278" i="3"/>
  <c r="D278" i="3" s="1"/>
  <c r="L244" i="1"/>
  <c r="L243" i="1"/>
  <c r="S277" i="3"/>
  <c r="D277" i="3" s="1"/>
  <c r="L242" i="1"/>
  <c r="S276" i="3"/>
  <c r="D276" i="3" s="1"/>
  <c r="S275" i="3"/>
  <c r="D275" i="3" s="1"/>
  <c r="L241" i="1"/>
  <c r="L240" i="1"/>
  <c r="S274" i="3"/>
  <c r="D274" i="3" s="1"/>
  <c r="S273" i="3"/>
  <c r="D273" i="3" s="1"/>
  <c r="L239" i="1"/>
  <c r="L235" i="1"/>
  <c r="S272" i="3"/>
  <c r="D272" i="3" s="1"/>
  <c r="S271" i="3"/>
  <c r="D271" i="3" s="1"/>
  <c r="L234" i="1"/>
  <c r="S269" i="3"/>
  <c r="D269" i="3" s="1"/>
  <c r="L233" i="1"/>
  <c r="L232" i="1"/>
  <c r="S268" i="3"/>
  <c r="D268" i="3" s="1"/>
  <c r="S267" i="3"/>
  <c r="D267" i="3" s="1"/>
  <c r="L231" i="1"/>
  <c r="S266" i="3"/>
  <c r="D266" i="3" s="1"/>
  <c r="L229" i="1"/>
  <c r="S265" i="3"/>
  <c r="D265" i="3" s="1"/>
  <c r="L228" i="1"/>
  <c r="S264" i="3"/>
  <c r="D264" i="3" s="1"/>
  <c r="L227" i="1"/>
  <c r="S263" i="3"/>
  <c r="D263" i="3" s="1"/>
  <c r="L226" i="1"/>
  <c r="S261" i="3"/>
  <c r="D261" i="3" s="1"/>
  <c r="L225" i="1"/>
  <c r="L112" i="1"/>
  <c r="S260" i="3"/>
  <c r="D260" i="3" s="1"/>
  <c r="L224" i="1"/>
  <c r="S259" i="3"/>
  <c r="D259" i="3" s="1"/>
  <c r="L222" i="1"/>
  <c r="S258" i="3"/>
  <c r="D258" i="3" s="1"/>
  <c r="L220" i="1"/>
  <c r="S257" i="3"/>
  <c r="D257" i="3" s="1"/>
  <c r="S256" i="3"/>
  <c r="D256" i="3" s="1"/>
  <c r="L219" i="1"/>
  <c r="L218" i="1"/>
  <c r="S255" i="3"/>
  <c r="D255" i="3" s="1"/>
  <c r="L217" i="1"/>
  <c r="S254" i="3"/>
  <c r="D254" i="3" s="1"/>
  <c r="S253" i="3"/>
  <c r="D253" i="3" s="1"/>
  <c r="L152" i="1"/>
  <c r="S252" i="3"/>
  <c r="D252" i="3" s="1"/>
  <c r="L216" i="1"/>
  <c r="L215" i="1"/>
  <c r="S251" i="3"/>
  <c r="D251" i="3" s="1"/>
  <c r="S250" i="3"/>
  <c r="D250" i="3" s="1"/>
  <c r="L214" i="1"/>
  <c r="L212" i="1"/>
  <c r="S248" i="3"/>
  <c r="D248" i="3" s="1"/>
  <c r="L211" i="1"/>
  <c r="S247" i="3"/>
  <c r="D247" i="3" s="1"/>
  <c r="L104" i="1"/>
  <c r="S246" i="3"/>
  <c r="D246" i="3" s="1"/>
  <c r="L209" i="1"/>
  <c r="S245" i="3"/>
  <c r="D245" i="3" s="1"/>
  <c r="S244" i="3"/>
  <c r="D244" i="3" s="1"/>
  <c r="L90" i="1"/>
  <c r="S243" i="3"/>
  <c r="D243" i="3" s="1"/>
  <c r="L60" i="1"/>
  <c r="L208" i="1"/>
  <c r="S242" i="3"/>
  <c r="D242" i="3" s="1"/>
  <c r="S241" i="3"/>
  <c r="D241" i="3" s="1"/>
  <c r="L207" i="1"/>
  <c r="S240" i="3"/>
  <c r="D240" i="3" s="1"/>
  <c r="L206" i="1"/>
  <c r="S222" i="3"/>
  <c r="D222" i="3" s="1"/>
  <c r="L193" i="1"/>
  <c r="L192" i="1"/>
  <c r="S221" i="3"/>
  <c r="D221" i="3" s="1"/>
  <c r="L146" i="1"/>
  <c r="S167" i="3"/>
  <c r="D167" i="3" s="1"/>
  <c r="S166" i="3"/>
  <c r="D166" i="3" s="1"/>
  <c r="L145" i="1"/>
  <c r="S165" i="3"/>
  <c r="D165" i="3" s="1"/>
  <c r="L144" i="1"/>
  <c r="S164" i="3"/>
  <c r="D164" i="3" s="1"/>
  <c r="L142" i="1"/>
  <c r="S163" i="3"/>
  <c r="D163" i="3" s="1"/>
  <c r="L141" i="1"/>
  <c r="L140" i="1"/>
  <c r="S159" i="3"/>
  <c r="D159" i="3" s="1"/>
  <c r="L82" i="1"/>
  <c r="S129" i="3"/>
  <c r="D129" i="3" s="1"/>
  <c r="L93" i="1"/>
  <c r="S128" i="3"/>
  <c r="D128" i="3" s="1"/>
  <c r="S107" i="3"/>
  <c r="D107" i="3" s="1"/>
  <c r="L99" i="1"/>
  <c r="S106" i="3"/>
  <c r="D106" i="3" s="1"/>
  <c r="L98" i="1"/>
  <c r="L97" i="1"/>
  <c r="S105" i="3"/>
  <c r="D105" i="3" s="1"/>
  <c r="S104" i="3"/>
  <c r="D104" i="3" s="1"/>
  <c r="L96" i="1"/>
  <c r="S103" i="3"/>
  <c r="D103" i="3" s="1"/>
  <c r="L95" i="1"/>
  <c r="L94" i="1"/>
  <c r="S102" i="3"/>
  <c r="D102" i="3" s="1"/>
  <c r="S101" i="3"/>
  <c r="D101" i="3" s="1"/>
  <c r="L78" i="1"/>
  <c r="L92" i="1"/>
  <c r="S98" i="3"/>
  <c r="D98" i="3" s="1"/>
  <c r="S97" i="3"/>
  <c r="D97" i="3" s="1"/>
  <c r="L91" i="1"/>
  <c r="L89" i="1"/>
  <c r="S95" i="3"/>
  <c r="D95" i="3" s="1"/>
  <c r="L87" i="1"/>
  <c r="S94" i="3"/>
  <c r="D94" i="3" s="1"/>
  <c r="S93" i="3"/>
  <c r="D93" i="3" s="1"/>
  <c r="L85" i="1"/>
  <c r="S91" i="3"/>
  <c r="D91" i="3" s="1"/>
  <c r="L84" i="1"/>
  <c r="S90" i="3"/>
  <c r="D90" i="3" s="1"/>
  <c r="L81" i="1"/>
  <c r="S89" i="3"/>
  <c r="D89" i="3" s="1"/>
  <c r="L80" i="1"/>
  <c r="S88" i="3"/>
  <c r="D88" i="3" s="1"/>
  <c r="L79" i="1"/>
  <c r="S87" i="3"/>
  <c r="D87" i="3" s="1"/>
  <c r="L77" i="1"/>
  <c r="S86" i="3"/>
  <c r="D86" i="3" s="1"/>
  <c r="L76" i="1"/>
  <c r="L74" i="1"/>
  <c r="S84" i="3"/>
  <c r="D84" i="3" s="1"/>
  <c r="S83" i="3"/>
  <c r="D83" i="3" s="1"/>
  <c r="L73" i="1"/>
  <c r="S82" i="3"/>
  <c r="D82" i="3" s="1"/>
  <c r="L72" i="1"/>
  <c r="L71" i="1"/>
  <c r="S80" i="3"/>
  <c r="D80" i="3" s="1"/>
  <c r="S59" i="3"/>
  <c r="D59" i="3" s="1"/>
  <c r="O6" i="3"/>
  <c r="F6" i="3"/>
  <c r="G59" i="3"/>
  <c r="G6" i="3" s="1"/>
  <c r="P6" i="3"/>
  <c r="Q6" i="3"/>
  <c r="R6" i="3" s="1"/>
  <c r="M106" i="2"/>
  <c r="K106" i="2"/>
  <c r="K103" i="2"/>
  <c r="M103" i="2"/>
  <c r="M101" i="2"/>
  <c r="K101" i="2"/>
  <c r="K80" i="2"/>
  <c r="M80" i="2"/>
  <c r="J114" i="2"/>
  <c r="L114" i="2" s="1"/>
  <c r="L75" i="2"/>
  <c r="K70" i="2"/>
  <c r="M70" i="2"/>
  <c r="M68" i="2"/>
  <c r="K68" i="2"/>
  <c r="M67" i="2"/>
  <c r="K67" i="2"/>
  <c r="M65" i="2"/>
  <c r="K65" i="2"/>
  <c r="K64" i="2"/>
  <c r="M64" i="2"/>
  <c r="K63" i="2"/>
  <c r="M63" i="2"/>
  <c r="K62" i="2"/>
  <c r="M62" i="2"/>
  <c r="K61" i="2"/>
  <c r="M61" i="2"/>
  <c r="K60" i="2"/>
  <c r="M60" i="2"/>
  <c r="K59" i="2"/>
  <c r="M59" i="2"/>
  <c r="M58" i="2"/>
  <c r="K58" i="2"/>
  <c r="M57" i="2"/>
  <c r="K57" i="2"/>
  <c r="M56" i="2"/>
  <c r="K56" i="2"/>
  <c r="M55" i="2"/>
  <c r="K55" i="2"/>
  <c r="K54" i="2"/>
  <c r="M54" i="2"/>
  <c r="K52" i="2"/>
  <c r="M52" i="2"/>
  <c r="K51" i="2"/>
  <c r="M51" i="2"/>
  <c r="K48" i="2"/>
  <c r="M48" i="2"/>
  <c r="K47" i="2"/>
  <c r="M47" i="2"/>
  <c r="K42" i="2"/>
  <c r="M42" i="2"/>
  <c r="J71" i="2"/>
  <c r="L71" i="2" s="1"/>
  <c r="L38" i="2"/>
  <c r="M38" i="2"/>
  <c r="K38" i="2"/>
  <c r="I66" i="2"/>
  <c r="AJ474" i="1"/>
  <c r="AQ474" i="1"/>
  <c r="T587" i="3" s="1"/>
  <c r="U587" i="3"/>
  <c r="AI474" i="1"/>
  <c r="H66" i="2"/>
  <c r="C66" i="2"/>
  <c r="AU474" i="1"/>
  <c r="AW474" i="1" s="1"/>
  <c r="V474" i="1"/>
  <c r="AO474" i="1"/>
  <c r="AU286" i="1"/>
  <c r="AW286" i="1" s="1"/>
  <c r="P474" i="1"/>
  <c r="F474" i="1"/>
  <c r="Q474" i="1" s="1"/>
  <c r="I474" i="1"/>
  <c r="H474" i="1"/>
  <c r="R474" i="1"/>
  <c r="O474" i="1"/>
  <c r="AK474" i="1" s="1"/>
  <c r="K474" i="1"/>
  <c r="J474" i="1"/>
  <c r="D66" i="2"/>
  <c r="O66" i="2" s="1"/>
  <c r="V473" i="1"/>
  <c r="AO473" i="1"/>
  <c r="I473" i="1"/>
  <c r="H473" i="1"/>
  <c r="J473" i="1"/>
  <c r="O473" i="1"/>
  <c r="AK473" i="1" s="1"/>
  <c r="K473" i="1"/>
  <c r="AU472" i="1"/>
  <c r="AW472" i="1" s="1"/>
  <c r="AO472" i="1"/>
  <c r="V472" i="1"/>
  <c r="O472" i="1"/>
  <c r="AK472" i="1" s="1"/>
  <c r="K472" i="1"/>
  <c r="J472" i="1"/>
  <c r="I472" i="1"/>
  <c r="H472" i="1"/>
  <c r="AQ471" i="1"/>
  <c r="T576" i="3" s="1"/>
  <c r="AI471" i="1"/>
  <c r="U576" i="3"/>
  <c r="AO471" i="1"/>
  <c r="AU471" i="1"/>
  <c r="AW471" i="1" s="1"/>
  <c r="V471" i="1"/>
  <c r="R471" i="1"/>
  <c r="K471" i="1"/>
  <c r="O471" i="1"/>
  <c r="AK471" i="1" s="1"/>
  <c r="H471" i="1"/>
  <c r="J471" i="1"/>
  <c r="I471" i="1"/>
  <c r="AI470" i="1"/>
  <c r="U575" i="3"/>
  <c r="AQ470" i="1"/>
  <c r="T575" i="3" s="1"/>
  <c r="AU470" i="1"/>
  <c r="AW470" i="1" s="1"/>
  <c r="AO470" i="1"/>
  <c r="V470" i="1"/>
  <c r="O470" i="1"/>
  <c r="AK470" i="1" s="1"/>
  <c r="I470" i="1"/>
  <c r="J470" i="1"/>
  <c r="R470" i="1"/>
  <c r="K470" i="1"/>
  <c r="H470" i="1"/>
  <c r="U574" i="3"/>
  <c r="I469" i="1"/>
  <c r="H469" i="1"/>
  <c r="J469" i="1"/>
  <c r="K469" i="1"/>
  <c r="O469" i="1"/>
  <c r="AK469" i="1" s="1"/>
  <c r="R469" i="1"/>
  <c r="U573" i="3"/>
  <c r="R468" i="1"/>
  <c r="H468" i="1"/>
  <c r="I468" i="1"/>
  <c r="J468" i="1"/>
  <c r="K468" i="1"/>
  <c r="O468" i="1"/>
  <c r="AK468" i="1" s="1"/>
  <c r="AQ467" i="1"/>
  <c r="T572" i="3" s="1"/>
  <c r="U572" i="3"/>
  <c r="AI467" i="1"/>
  <c r="AO467" i="1"/>
  <c r="AU467" i="1"/>
  <c r="AW467" i="1" s="1"/>
  <c r="V467" i="1"/>
  <c r="I467" i="1"/>
  <c r="K467" i="1"/>
  <c r="H467" i="1"/>
  <c r="O467" i="1"/>
  <c r="AK467" i="1" s="1"/>
  <c r="R467" i="1"/>
  <c r="J467" i="1"/>
  <c r="U571" i="3"/>
  <c r="AI466" i="1"/>
  <c r="AQ466" i="1"/>
  <c r="T571" i="3" s="1"/>
  <c r="AU466" i="1"/>
  <c r="AW466" i="1" s="1"/>
  <c r="V466" i="1"/>
  <c r="AO466" i="1"/>
  <c r="H466" i="1"/>
  <c r="I466" i="1"/>
  <c r="J466" i="1"/>
  <c r="K466" i="1"/>
  <c r="O466" i="1"/>
  <c r="AK466" i="1" s="1"/>
  <c r="U570" i="3"/>
  <c r="AQ465" i="1"/>
  <c r="T570" i="3" s="1"/>
  <c r="AI465" i="1"/>
  <c r="AU465" i="1"/>
  <c r="AW465" i="1" s="1"/>
  <c r="AO465" i="1"/>
  <c r="V465" i="1"/>
  <c r="K465" i="1"/>
  <c r="O465" i="1"/>
  <c r="AK465" i="1" s="1"/>
  <c r="H465" i="1"/>
  <c r="I465" i="1"/>
  <c r="J465" i="1"/>
  <c r="R465" i="1"/>
  <c r="AI464" i="1"/>
  <c r="AQ464" i="1"/>
  <c r="T569" i="3" s="1"/>
  <c r="U569" i="3"/>
  <c r="AU464" i="1"/>
  <c r="AW464" i="1" s="1"/>
  <c r="AO464" i="1"/>
  <c r="V464" i="1"/>
  <c r="K464" i="1"/>
  <c r="R464" i="1"/>
  <c r="O464" i="1"/>
  <c r="AK464" i="1" s="1"/>
  <c r="J464" i="1"/>
  <c r="I464" i="1"/>
  <c r="H464" i="1"/>
  <c r="U549" i="3"/>
  <c r="AQ463" i="1"/>
  <c r="T549" i="3" s="1"/>
  <c r="AI463" i="1"/>
  <c r="AU463" i="1"/>
  <c r="AW463" i="1" s="1"/>
  <c r="AO463" i="1"/>
  <c r="V463" i="1"/>
  <c r="R463" i="1"/>
  <c r="O463" i="1"/>
  <c r="AK463" i="1" s="1"/>
  <c r="K463" i="1"/>
  <c r="I463" i="1"/>
  <c r="J463" i="1"/>
  <c r="H463" i="1"/>
  <c r="U548" i="3"/>
  <c r="AQ462" i="1"/>
  <c r="T548" i="3" s="1"/>
  <c r="AI462" i="1"/>
  <c r="AU462" i="1"/>
  <c r="AW462" i="1" s="1"/>
  <c r="AO462" i="1"/>
  <c r="V462" i="1"/>
  <c r="H462" i="1"/>
  <c r="I462" i="1"/>
  <c r="J462" i="1"/>
  <c r="K462" i="1"/>
  <c r="O462" i="1"/>
  <c r="AK462" i="1" s="1"/>
  <c r="R462" i="1"/>
  <c r="AI461" i="1"/>
  <c r="U547" i="3"/>
  <c r="AQ461" i="1"/>
  <c r="T547" i="3" s="1"/>
  <c r="AU461" i="1"/>
  <c r="AW461" i="1" s="1"/>
  <c r="AO461" i="1"/>
  <c r="V461" i="1"/>
  <c r="R461" i="1"/>
  <c r="H461" i="1"/>
  <c r="J461" i="1"/>
  <c r="K461" i="1"/>
  <c r="O461" i="1"/>
  <c r="AK461" i="1" s="1"/>
  <c r="I461" i="1"/>
  <c r="AI460" i="1"/>
  <c r="U546" i="3"/>
  <c r="AQ460" i="1"/>
  <c r="T546" i="3" s="1"/>
  <c r="V460" i="1"/>
  <c r="AU460" i="1"/>
  <c r="AW460" i="1" s="1"/>
  <c r="AO460" i="1"/>
  <c r="H460" i="1"/>
  <c r="K460" i="1"/>
  <c r="R460" i="1"/>
  <c r="O460" i="1"/>
  <c r="AK460" i="1" s="1"/>
  <c r="I460" i="1"/>
  <c r="J460" i="1"/>
  <c r="U545" i="3"/>
  <c r="AQ459" i="1"/>
  <c r="T545" i="3" s="1"/>
  <c r="AI459" i="1"/>
  <c r="V459" i="1"/>
  <c r="AO459" i="1"/>
  <c r="AU459" i="1"/>
  <c r="AW459" i="1" s="1"/>
  <c r="H459" i="1"/>
  <c r="I459" i="1"/>
  <c r="J459" i="1"/>
  <c r="K459" i="1"/>
  <c r="O459" i="1"/>
  <c r="AK459" i="1" s="1"/>
  <c r="R459" i="1"/>
  <c r="U544" i="3"/>
  <c r="AQ458" i="1"/>
  <c r="T544" i="3" s="1"/>
  <c r="AI458" i="1"/>
  <c r="AU458" i="1"/>
  <c r="AW458" i="1" s="1"/>
  <c r="AO458" i="1"/>
  <c r="V458" i="1"/>
  <c r="O458" i="1"/>
  <c r="AK458" i="1" s="1"/>
  <c r="K458" i="1"/>
  <c r="J458" i="1"/>
  <c r="H458" i="1"/>
  <c r="I458" i="1"/>
  <c r="R458" i="1"/>
  <c r="AI457" i="1"/>
  <c r="U543" i="3"/>
  <c r="AQ457" i="1"/>
  <c r="T543" i="3" s="1"/>
  <c r="AU457" i="1"/>
  <c r="AW457" i="1" s="1"/>
  <c r="AO457" i="1"/>
  <c r="V457" i="1"/>
  <c r="I457" i="1"/>
  <c r="O457" i="1"/>
  <c r="AK457" i="1" s="1"/>
  <c r="K457" i="1"/>
  <c r="J457" i="1"/>
  <c r="H457" i="1"/>
  <c r="R457" i="1"/>
  <c r="U534" i="3"/>
  <c r="AQ456" i="1"/>
  <c r="T534" i="3" s="1"/>
  <c r="AI456" i="1"/>
  <c r="AU456" i="1"/>
  <c r="AW456" i="1" s="1"/>
  <c r="AO456" i="1"/>
  <c r="V456" i="1"/>
  <c r="R456" i="1"/>
  <c r="H456" i="1"/>
  <c r="I456" i="1"/>
  <c r="J456" i="1"/>
  <c r="K456" i="1"/>
  <c r="O456" i="1"/>
  <c r="AK456" i="1" s="1"/>
  <c r="U533" i="3"/>
  <c r="AI455" i="1"/>
  <c r="AQ455" i="1"/>
  <c r="T533" i="3" s="1"/>
  <c r="V455" i="1"/>
  <c r="AU455" i="1"/>
  <c r="AW455" i="1" s="1"/>
  <c r="AO455" i="1"/>
  <c r="R455" i="1"/>
  <c r="O455" i="1"/>
  <c r="AK455" i="1" s="1"/>
  <c r="K455" i="1"/>
  <c r="J455" i="1"/>
  <c r="I455" i="1"/>
  <c r="H455" i="1"/>
  <c r="U532" i="3"/>
  <c r="AI454" i="1"/>
  <c r="AQ454" i="1"/>
  <c r="T532" i="3" s="1"/>
  <c r="AO454" i="1"/>
  <c r="AU454" i="1"/>
  <c r="AW454" i="1" s="1"/>
  <c r="V454" i="1"/>
  <c r="K454" i="1"/>
  <c r="J454" i="1"/>
  <c r="I454" i="1"/>
  <c r="H454" i="1"/>
  <c r="R454" i="1"/>
  <c r="O454" i="1"/>
  <c r="AK454" i="1" s="1"/>
  <c r="AQ453" i="1"/>
  <c r="T531" i="3" s="1"/>
  <c r="U531" i="3"/>
  <c r="AI453" i="1"/>
  <c r="AU453" i="1"/>
  <c r="AW453" i="1" s="1"/>
  <c r="AO453" i="1"/>
  <c r="V453" i="1"/>
  <c r="J453" i="1"/>
  <c r="K453" i="1"/>
  <c r="O453" i="1"/>
  <c r="AK453" i="1" s="1"/>
  <c r="R453" i="1"/>
  <c r="H453" i="1"/>
  <c r="I453" i="1"/>
  <c r="AI452" i="1"/>
  <c r="AQ452" i="1"/>
  <c r="T530" i="3" s="1"/>
  <c r="U530" i="3"/>
  <c r="V452" i="1"/>
  <c r="AO452" i="1"/>
  <c r="AU452" i="1"/>
  <c r="AW452" i="1" s="1"/>
  <c r="R452" i="1"/>
  <c r="O452" i="1"/>
  <c r="AK452" i="1" s="1"/>
  <c r="K452" i="1"/>
  <c r="J452" i="1"/>
  <c r="H452" i="1"/>
  <c r="I452" i="1"/>
  <c r="AQ451" i="1"/>
  <c r="T529" i="3" s="1"/>
  <c r="U529" i="3"/>
  <c r="AI451" i="1"/>
  <c r="V451" i="1"/>
  <c r="AO451" i="1"/>
  <c r="AU451" i="1"/>
  <c r="AW451" i="1" s="1"/>
  <c r="O451" i="1"/>
  <c r="AK451" i="1" s="1"/>
  <c r="R451" i="1"/>
  <c r="H451" i="1"/>
  <c r="I451" i="1"/>
  <c r="J451" i="1"/>
  <c r="K451" i="1"/>
  <c r="U528" i="3"/>
  <c r="AQ450" i="1"/>
  <c r="T528" i="3" s="1"/>
  <c r="AI450" i="1"/>
  <c r="AU450" i="1"/>
  <c r="AW450" i="1" s="1"/>
  <c r="AO450" i="1"/>
  <c r="V450" i="1"/>
  <c r="O450" i="1"/>
  <c r="AK450" i="1" s="1"/>
  <c r="H450" i="1"/>
  <c r="I450" i="1"/>
  <c r="J450" i="1"/>
  <c r="K450" i="1"/>
  <c r="R450" i="1"/>
  <c r="U526" i="3"/>
  <c r="AQ449" i="1"/>
  <c r="T526" i="3" s="1"/>
  <c r="AI449" i="1"/>
  <c r="AO449" i="1"/>
  <c r="AU449" i="1"/>
  <c r="AW449" i="1" s="1"/>
  <c r="V449" i="1"/>
  <c r="H449" i="1"/>
  <c r="I449" i="1"/>
  <c r="O449" i="1"/>
  <c r="AK449" i="1" s="1"/>
  <c r="K449" i="1"/>
  <c r="J449" i="1"/>
  <c r="R449" i="1"/>
  <c r="AQ448" i="1"/>
  <c r="T525" i="3" s="1"/>
  <c r="U525" i="3"/>
  <c r="AI448" i="1"/>
  <c r="V448" i="1"/>
  <c r="AU448" i="1"/>
  <c r="AW448" i="1" s="1"/>
  <c r="AO448" i="1"/>
  <c r="O448" i="1"/>
  <c r="AK448" i="1" s="1"/>
  <c r="J448" i="1"/>
  <c r="I448" i="1"/>
  <c r="R448" i="1"/>
  <c r="H448" i="1"/>
  <c r="K448" i="1"/>
  <c r="U524" i="3"/>
  <c r="AI447" i="1"/>
  <c r="AQ447" i="1"/>
  <c r="T524" i="3" s="1"/>
  <c r="V447" i="1"/>
  <c r="AO447" i="1"/>
  <c r="AU447" i="1"/>
  <c r="AW447" i="1" s="1"/>
  <c r="H447" i="1"/>
  <c r="R447" i="1"/>
  <c r="O447" i="1"/>
  <c r="AK447" i="1" s="1"/>
  <c r="K447" i="1"/>
  <c r="J447" i="1"/>
  <c r="I447" i="1"/>
  <c r="AJ446" i="1"/>
  <c r="I113" i="2"/>
  <c r="AI446" i="1"/>
  <c r="AQ446" i="1"/>
  <c r="T523" i="3" s="1"/>
  <c r="H113" i="2"/>
  <c r="U523" i="3"/>
  <c r="AO446" i="1"/>
  <c r="AU446" i="1"/>
  <c r="AW446" i="1" s="1"/>
  <c r="C113" i="2"/>
  <c r="V446" i="1"/>
  <c r="J446" i="1"/>
  <c r="I446" i="1"/>
  <c r="K446" i="1"/>
  <c r="O446" i="1"/>
  <c r="AK446" i="1" s="1"/>
  <c r="H446" i="1"/>
  <c r="D113" i="2"/>
  <c r="O113" i="2" s="1"/>
  <c r="R446" i="1"/>
  <c r="U522" i="3"/>
  <c r="AQ445" i="1"/>
  <c r="T522" i="3" s="1"/>
  <c r="AI445" i="1"/>
  <c r="AO445" i="1"/>
  <c r="AU445" i="1"/>
  <c r="AW445" i="1" s="1"/>
  <c r="V445" i="1"/>
  <c r="K445" i="1"/>
  <c r="R445" i="1"/>
  <c r="J445" i="1"/>
  <c r="I445" i="1"/>
  <c r="H445" i="1"/>
  <c r="O445" i="1"/>
  <c r="AK445" i="1" s="1"/>
  <c r="AI444" i="1"/>
  <c r="U521" i="3"/>
  <c r="AQ444" i="1"/>
  <c r="T521" i="3" s="1"/>
  <c r="AU444" i="1"/>
  <c r="AW444" i="1" s="1"/>
  <c r="AO444" i="1"/>
  <c r="V444" i="1"/>
  <c r="H444" i="1"/>
  <c r="R444" i="1"/>
  <c r="I444" i="1"/>
  <c r="K444" i="1"/>
  <c r="J444" i="1"/>
  <c r="O444" i="1"/>
  <c r="AK444" i="1" s="1"/>
  <c r="AI443" i="1"/>
  <c r="U520" i="3"/>
  <c r="AQ443" i="1"/>
  <c r="T520" i="3" s="1"/>
  <c r="AU443" i="1"/>
  <c r="AW443" i="1" s="1"/>
  <c r="AO443" i="1"/>
  <c r="V443" i="1"/>
  <c r="K443" i="1"/>
  <c r="O443" i="1"/>
  <c r="AK443" i="1" s="1"/>
  <c r="R443" i="1"/>
  <c r="J443" i="1"/>
  <c r="H443" i="1"/>
  <c r="I443" i="1"/>
  <c r="AI442" i="1"/>
  <c r="AQ442" i="1"/>
  <c r="T519" i="3" s="1"/>
  <c r="U519" i="3"/>
  <c r="V442" i="1"/>
  <c r="AO442" i="1"/>
  <c r="AU442" i="1"/>
  <c r="AW442" i="1" s="1"/>
  <c r="H442" i="1"/>
  <c r="J442" i="1"/>
  <c r="K442" i="1"/>
  <c r="I442" i="1"/>
  <c r="R442" i="1"/>
  <c r="O442" i="1"/>
  <c r="AK442" i="1" s="1"/>
  <c r="AQ441" i="1"/>
  <c r="T518" i="3" s="1"/>
  <c r="AI441" i="1"/>
  <c r="U518" i="3"/>
  <c r="V441" i="1"/>
  <c r="AO441" i="1"/>
  <c r="AU441" i="1"/>
  <c r="AW441" i="1" s="1"/>
  <c r="J441" i="1"/>
  <c r="K441" i="1"/>
  <c r="R441" i="1"/>
  <c r="O441" i="1"/>
  <c r="AK441" i="1" s="1"/>
  <c r="H441" i="1"/>
  <c r="I441" i="1"/>
  <c r="AI440" i="1"/>
  <c r="U517" i="3"/>
  <c r="AQ440" i="1"/>
  <c r="T517" i="3" s="1"/>
  <c r="V440" i="1"/>
  <c r="AU440" i="1"/>
  <c r="AW440" i="1" s="1"/>
  <c r="AO440" i="1"/>
  <c r="R440" i="1"/>
  <c r="J440" i="1"/>
  <c r="K440" i="1"/>
  <c r="O440" i="1"/>
  <c r="AK440" i="1" s="1"/>
  <c r="I440" i="1"/>
  <c r="H440" i="1"/>
  <c r="AQ439" i="1"/>
  <c r="T516" i="3" s="1"/>
  <c r="U516" i="3"/>
  <c r="AI439" i="1"/>
  <c r="AU439" i="1"/>
  <c r="AW439" i="1" s="1"/>
  <c r="AO439" i="1"/>
  <c r="V439" i="1"/>
  <c r="J439" i="1"/>
  <c r="I439" i="1"/>
  <c r="O439" i="1"/>
  <c r="AK439" i="1" s="1"/>
  <c r="K439" i="1"/>
  <c r="R439" i="1"/>
  <c r="H439" i="1"/>
  <c r="U515" i="3"/>
  <c r="AQ438" i="1"/>
  <c r="T515" i="3" s="1"/>
  <c r="AI438" i="1"/>
  <c r="V438" i="1"/>
  <c r="AO438" i="1"/>
  <c r="AU438" i="1"/>
  <c r="AW438" i="1" s="1"/>
  <c r="O438" i="1"/>
  <c r="AK438" i="1" s="1"/>
  <c r="H438" i="1"/>
  <c r="I438" i="1"/>
  <c r="J438" i="1"/>
  <c r="K438" i="1"/>
  <c r="R438" i="1"/>
  <c r="U514" i="3"/>
  <c r="AI437" i="1"/>
  <c r="AQ437" i="1"/>
  <c r="T514" i="3" s="1"/>
  <c r="AU437" i="1"/>
  <c r="AW437" i="1" s="1"/>
  <c r="AO437" i="1"/>
  <c r="V437" i="1"/>
  <c r="I437" i="1"/>
  <c r="H437" i="1"/>
  <c r="J437" i="1"/>
  <c r="K437" i="1"/>
  <c r="O437" i="1"/>
  <c r="AK437" i="1" s="1"/>
  <c r="R437" i="1"/>
  <c r="AQ436" i="1"/>
  <c r="T513" i="3" s="1"/>
  <c r="U513" i="3"/>
  <c r="AI436" i="1"/>
  <c r="AO436" i="1"/>
  <c r="V436" i="1"/>
  <c r="AU436" i="1"/>
  <c r="AW436" i="1" s="1"/>
  <c r="R436" i="1"/>
  <c r="J436" i="1"/>
  <c r="H436" i="1"/>
  <c r="I436" i="1"/>
  <c r="K436" i="1"/>
  <c r="O436" i="1"/>
  <c r="AK436" i="1" s="1"/>
  <c r="AJ435" i="1"/>
  <c r="I112" i="2"/>
  <c r="H112" i="2"/>
  <c r="AI435" i="1"/>
  <c r="U512" i="3"/>
  <c r="AQ435" i="1"/>
  <c r="T512" i="3" s="1"/>
  <c r="V435" i="1"/>
  <c r="C112" i="2"/>
  <c r="AO435" i="1"/>
  <c r="AU435" i="1"/>
  <c r="AW435" i="1" s="1"/>
  <c r="D112" i="2"/>
  <c r="O112" i="2" s="1"/>
  <c r="R435" i="1"/>
  <c r="O435" i="1"/>
  <c r="AK435" i="1" s="1"/>
  <c r="K435" i="1"/>
  <c r="I435" i="1"/>
  <c r="H435" i="1"/>
  <c r="J435" i="1"/>
  <c r="AI434" i="1"/>
  <c r="AQ434" i="1"/>
  <c r="T511" i="3" s="1"/>
  <c r="U511" i="3"/>
  <c r="AU434" i="1"/>
  <c r="AW434" i="1" s="1"/>
  <c r="AO434" i="1"/>
  <c r="V434" i="1"/>
  <c r="O434" i="1"/>
  <c r="AK434" i="1" s="1"/>
  <c r="K434" i="1"/>
  <c r="J434" i="1"/>
  <c r="I434" i="1"/>
  <c r="R434" i="1"/>
  <c r="H434" i="1"/>
  <c r="U510" i="3"/>
  <c r="AQ433" i="1"/>
  <c r="T510" i="3" s="1"/>
  <c r="AI433" i="1"/>
  <c r="AU433" i="1"/>
  <c r="AW433" i="1" s="1"/>
  <c r="AO433" i="1"/>
  <c r="V433" i="1"/>
  <c r="R433" i="1"/>
  <c r="O433" i="1"/>
  <c r="AK433" i="1" s="1"/>
  <c r="K433" i="1"/>
  <c r="J433" i="1"/>
  <c r="I433" i="1"/>
  <c r="H433" i="1"/>
  <c r="U509" i="3"/>
  <c r="AQ432" i="1"/>
  <c r="T509" i="3" s="1"/>
  <c r="AI432" i="1"/>
  <c r="AU432" i="1"/>
  <c r="AW432" i="1" s="1"/>
  <c r="AO432" i="1"/>
  <c r="V432" i="1"/>
  <c r="O432" i="1"/>
  <c r="AK432" i="1" s="1"/>
  <c r="K432" i="1"/>
  <c r="J432" i="1"/>
  <c r="I432" i="1"/>
  <c r="H432" i="1"/>
  <c r="U508" i="3"/>
  <c r="AQ431" i="1"/>
  <c r="T508" i="3" s="1"/>
  <c r="AI431" i="1"/>
  <c r="V431" i="1"/>
  <c r="AU431" i="1"/>
  <c r="AW431" i="1" s="1"/>
  <c r="AO431" i="1"/>
  <c r="O431" i="1"/>
  <c r="AK431" i="1" s="1"/>
  <c r="K431" i="1"/>
  <c r="J431" i="1"/>
  <c r="I431" i="1"/>
  <c r="H431" i="1"/>
  <c r="U507" i="3"/>
  <c r="AI430" i="1"/>
  <c r="AQ430" i="1"/>
  <c r="T507" i="3" s="1"/>
  <c r="AU430" i="1"/>
  <c r="AW430" i="1" s="1"/>
  <c r="AO430" i="1"/>
  <c r="V430" i="1"/>
  <c r="O430" i="1"/>
  <c r="AK430" i="1" s="1"/>
  <c r="K430" i="1"/>
  <c r="J430" i="1"/>
  <c r="I430" i="1"/>
  <c r="H430" i="1"/>
  <c r="AI429" i="1"/>
  <c r="U506" i="3"/>
  <c r="AQ429" i="1"/>
  <c r="T506" i="3" s="1"/>
  <c r="V429" i="1"/>
  <c r="AO429" i="1"/>
  <c r="AU429" i="1"/>
  <c r="AW429" i="1" s="1"/>
  <c r="O429" i="1"/>
  <c r="AK429" i="1" s="1"/>
  <c r="K429" i="1"/>
  <c r="R429" i="1"/>
  <c r="H429" i="1"/>
  <c r="J429" i="1"/>
  <c r="I429" i="1"/>
  <c r="U505" i="3"/>
  <c r="AI428" i="1"/>
  <c r="AQ428" i="1"/>
  <c r="T505" i="3" s="1"/>
  <c r="AO428" i="1"/>
  <c r="AU428" i="1"/>
  <c r="AW428" i="1" s="1"/>
  <c r="V428" i="1"/>
  <c r="R428" i="1"/>
  <c r="K428" i="1"/>
  <c r="O428" i="1"/>
  <c r="AK428" i="1" s="1"/>
  <c r="I428" i="1"/>
  <c r="H428" i="1"/>
  <c r="J428" i="1"/>
  <c r="I107" i="2"/>
  <c r="AJ427" i="1"/>
  <c r="AQ427" i="1"/>
  <c r="T504" i="3" s="1"/>
  <c r="U504" i="3"/>
  <c r="H107" i="2"/>
  <c r="AI427" i="1"/>
  <c r="AO427" i="1"/>
  <c r="AU427" i="1"/>
  <c r="AW427" i="1" s="1"/>
  <c r="C107" i="2"/>
  <c r="V427" i="1"/>
  <c r="D107" i="2"/>
  <c r="O107" i="2" s="1"/>
  <c r="R427" i="1"/>
  <c r="O427" i="1"/>
  <c r="AK427" i="1" s="1"/>
  <c r="K427" i="1"/>
  <c r="J427" i="1"/>
  <c r="I427" i="1"/>
  <c r="H427" i="1"/>
  <c r="H426" i="1"/>
  <c r="I426" i="1"/>
  <c r="O426" i="1"/>
  <c r="AK426" i="1" s="1"/>
  <c r="K426" i="1"/>
  <c r="J426" i="1"/>
  <c r="AI425" i="1"/>
  <c r="AQ425" i="1"/>
  <c r="T502" i="3" s="1"/>
  <c r="V425" i="1"/>
  <c r="AO425" i="1"/>
  <c r="AU425" i="1"/>
  <c r="AW425" i="1" s="1"/>
  <c r="I425" i="1"/>
  <c r="J425" i="1"/>
  <c r="K425" i="1"/>
  <c r="O425" i="1"/>
  <c r="AK425" i="1" s="1"/>
  <c r="H425" i="1"/>
  <c r="AQ424" i="1"/>
  <c r="T500" i="3" s="1"/>
  <c r="AI424" i="1"/>
  <c r="V424" i="1"/>
  <c r="AO424" i="1"/>
  <c r="AU424" i="1"/>
  <c r="AW424" i="1" s="1"/>
  <c r="K424" i="1"/>
  <c r="J424" i="1"/>
  <c r="I424" i="1"/>
  <c r="H424" i="1"/>
  <c r="O424" i="1"/>
  <c r="AK424" i="1" s="1"/>
  <c r="O423" i="1"/>
  <c r="H423" i="1"/>
  <c r="I423" i="1"/>
  <c r="J423" i="1"/>
  <c r="K423" i="1"/>
  <c r="AI422" i="1"/>
  <c r="AQ422" i="1"/>
  <c r="T497" i="3" s="1"/>
  <c r="AU422" i="1"/>
  <c r="AW422" i="1" s="1"/>
  <c r="V422" i="1"/>
  <c r="AO422" i="1"/>
  <c r="H422" i="1"/>
  <c r="I422" i="1"/>
  <c r="J422" i="1"/>
  <c r="K422" i="1"/>
  <c r="O422" i="1"/>
  <c r="AK422" i="1" s="1"/>
  <c r="AQ421" i="1"/>
  <c r="T495" i="3" s="1"/>
  <c r="AI421" i="1"/>
  <c r="V421" i="1"/>
  <c r="AU421" i="1"/>
  <c r="AW421" i="1" s="1"/>
  <c r="AO421" i="1"/>
  <c r="I421" i="1"/>
  <c r="O421" i="1"/>
  <c r="AK421" i="1" s="1"/>
  <c r="K421" i="1"/>
  <c r="J421" i="1"/>
  <c r="H421" i="1"/>
  <c r="AQ420" i="1"/>
  <c r="T494" i="3" s="1"/>
  <c r="AI420" i="1"/>
  <c r="AU420" i="1"/>
  <c r="AW420" i="1" s="1"/>
  <c r="AO420" i="1"/>
  <c r="V420" i="1"/>
  <c r="H420" i="1"/>
  <c r="I420" i="1"/>
  <c r="O420" i="1"/>
  <c r="AK420" i="1" s="1"/>
  <c r="K420" i="1"/>
  <c r="J420" i="1"/>
  <c r="AQ419" i="1"/>
  <c r="T493" i="3" s="1"/>
  <c r="AI419" i="1"/>
  <c r="AU419" i="1"/>
  <c r="AW419" i="1" s="1"/>
  <c r="AO419" i="1"/>
  <c r="V419" i="1"/>
  <c r="K419" i="1"/>
  <c r="H419" i="1"/>
  <c r="I419" i="1"/>
  <c r="J419" i="1"/>
  <c r="O419" i="1"/>
  <c r="AK419" i="1" s="1"/>
  <c r="AI418" i="1"/>
  <c r="AQ418" i="1"/>
  <c r="T491" i="3" s="1"/>
  <c r="V418" i="1"/>
  <c r="AU418" i="1"/>
  <c r="AW418" i="1" s="1"/>
  <c r="AO418" i="1"/>
  <c r="K418" i="1"/>
  <c r="H418" i="1"/>
  <c r="I418" i="1"/>
  <c r="J418" i="1"/>
  <c r="O418" i="1"/>
  <c r="AK418" i="1" s="1"/>
  <c r="AI417" i="1"/>
  <c r="AQ417" i="1"/>
  <c r="T490" i="3" s="1"/>
  <c r="AO417" i="1"/>
  <c r="AU417" i="1"/>
  <c r="AW417" i="1" s="1"/>
  <c r="V417" i="1"/>
  <c r="K417" i="1"/>
  <c r="O417" i="1"/>
  <c r="AK417" i="1" s="1"/>
  <c r="H417" i="1"/>
  <c r="I417" i="1"/>
  <c r="J417" i="1"/>
  <c r="AI416" i="1"/>
  <c r="AQ416" i="1"/>
  <c r="T489" i="3" s="1"/>
  <c r="AO416" i="1"/>
  <c r="V416" i="1"/>
  <c r="AU416" i="1"/>
  <c r="AW416" i="1" s="1"/>
  <c r="H416" i="1"/>
  <c r="K416" i="1"/>
  <c r="O416" i="1"/>
  <c r="AK416" i="1" s="1"/>
  <c r="I416" i="1"/>
  <c r="J416" i="1"/>
  <c r="AI415" i="1"/>
  <c r="AQ415" i="1"/>
  <c r="T488" i="3" s="1"/>
  <c r="AO415" i="1"/>
  <c r="AU415" i="1"/>
  <c r="AW415" i="1" s="1"/>
  <c r="V415" i="1"/>
  <c r="J415" i="1"/>
  <c r="K415" i="1"/>
  <c r="O415" i="1"/>
  <c r="AK415" i="1" s="1"/>
  <c r="H415" i="1"/>
  <c r="I415" i="1"/>
  <c r="AI414" i="1"/>
  <c r="AQ414" i="1"/>
  <c r="T487" i="3" s="1"/>
  <c r="AO414" i="1"/>
  <c r="AU414" i="1"/>
  <c r="AW414" i="1" s="1"/>
  <c r="V414" i="1"/>
  <c r="O414" i="1"/>
  <c r="AK414" i="1" s="1"/>
  <c r="R414" i="1"/>
  <c r="K414" i="1"/>
  <c r="J414" i="1"/>
  <c r="I414" i="1"/>
  <c r="H414" i="1"/>
  <c r="I110" i="2"/>
  <c r="AJ413" i="1"/>
  <c r="U486" i="3"/>
  <c r="AQ413" i="1"/>
  <c r="T486" i="3" s="1"/>
  <c r="AI413" i="1"/>
  <c r="H110" i="2"/>
  <c r="AO413" i="1"/>
  <c r="AU413" i="1"/>
  <c r="AW413" i="1" s="1"/>
  <c r="C110" i="2"/>
  <c r="V413" i="1"/>
  <c r="O413" i="1"/>
  <c r="AK413" i="1" s="1"/>
  <c r="K413" i="1"/>
  <c r="J413" i="1"/>
  <c r="I413" i="1"/>
  <c r="H413" i="1"/>
  <c r="R413" i="1"/>
  <c r="D110" i="2"/>
  <c r="O110" i="2" s="1"/>
  <c r="AJ412" i="1"/>
  <c r="I111" i="2"/>
  <c r="U484" i="3"/>
  <c r="H111" i="2"/>
  <c r="AI412" i="1"/>
  <c r="AQ412" i="1"/>
  <c r="T484" i="3" s="1"/>
  <c r="AU412" i="1"/>
  <c r="AW412" i="1" s="1"/>
  <c r="AO412" i="1"/>
  <c r="V412" i="1"/>
  <c r="C111" i="2"/>
  <c r="D111" i="2"/>
  <c r="O111" i="2" s="1"/>
  <c r="J412" i="1"/>
  <c r="I412" i="1"/>
  <c r="H412" i="1"/>
  <c r="K412" i="1"/>
  <c r="O412" i="1"/>
  <c r="AK412" i="1" s="1"/>
  <c r="R412" i="1"/>
  <c r="AQ411" i="1"/>
  <c r="T482" i="3" s="1"/>
  <c r="AI411" i="1"/>
  <c r="U482" i="3"/>
  <c r="AO411" i="1"/>
  <c r="V411" i="1"/>
  <c r="AU411" i="1"/>
  <c r="AW411" i="1" s="1"/>
  <c r="R411" i="1"/>
  <c r="J411" i="1"/>
  <c r="K411" i="1"/>
  <c r="O411" i="1"/>
  <c r="AK411" i="1" s="1"/>
  <c r="H411" i="1"/>
  <c r="I411" i="1"/>
  <c r="AI410" i="1"/>
  <c r="AQ410" i="1"/>
  <c r="T481" i="3" s="1"/>
  <c r="U481" i="3"/>
  <c r="AO410" i="1"/>
  <c r="AU410" i="1"/>
  <c r="AW410" i="1" s="1"/>
  <c r="V410" i="1"/>
  <c r="J410" i="1"/>
  <c r="K410" i="1"/>
  <c r="O410" i="1"/>
  <c r="AK410" i="1" s="1"/>
  <c r="R410" i="1"/>
  <c r="H410" i="1"/>
  <c r="I410" i="1"/>
  <c r="AI409" i="1"/>
  <c r="AQ409" i="1"/>
  <c r="T480" i="3" s="1"/>
  <c r="U480" i="3"/>
  <c r="V409" i="1"/>
  <c r="AU409" i="1"/>
  <c r="AW409" i="1" s="1"/>
  <c r="AO409" i="1"/>
  <c r="R409" i="1"/>
  <c r="H409" i="1"/>
  <c r="I409" i="1"/>
  <c r="J409" i="1"/>
  <c r="K409" i="1"/>
  <c r="O409" i="1"/>
  <c r="AK409" i="1" s="1"/>
  <c r="AQ408" i="1"/>
  <c r="T479" i="3" s="1"/>
  <c r="AI408" i="1"/>
  <c r="U479" i="3"/>
  <c r="V408" i="1"/>
  <c r="AO408" i="1"/>
  <c r="AU408" i="1"/>
  <c r="AW408" i="1" s="1"/>
  <c r="R408" i="1"/>
  <c r="O408" i="1"/>
  <c r="AK408" i="1" s="1"/>
  <c r="K408" i="1"/>
  <c r="J408" i="1"/>
  <c r="I408" i="1"/>
  <c r="H408" i="1"/>
  <c r="AI407" i="1"/>
  <c r="U478" i="3"/>
  <c r="AQ407" i="1"/>
  <c r="T478" i="3" s="1"/>
  <c r="V407" i="1"/>
  <c r="AU407" i="1"/>
  <c r="AW407" i="1" s="1"/>
  <c r="AO407" i="1"/>
  <c r="R407" i="1"/>
  <c r="O407" i="1"/>
  <c r="AK407" i="1" s="1"/>
  <c r="K407" i="1"/>
  <c r="J407" i="1"/>
  <c r="I407" i="1"/>
  <c r="H407" i="1"/>
  <c r="AQ406" i="1"/>
  <c r="T476" i="3" s="1"/>
  <c r="AI406" i="1"/>
  <c r="U476" i="3"/>
  <c r="AU406" i="1"/>
  <c r="AW406" i="1" s="1"/>
  <c r="AO406" i="1"/>
  <c r="V406" i="1"/>
  <c r="J406" i="1"/>
  <c r="I406" i="1"/>
  <c r="H406" i="1"/>
  <c r="R406" i="1"/>
  <c r="O406" i="1"/>
  <c r="AK406" i="1" s="1"/>
  <c r="K406" i="1"/>
  <c r="AI405" i="1"/>
  <c r="AQ405" i="1"/>
  <c r="T475" i="3" s="1"/>
  <c r="U475" i="3"/>
  <c r="V405" i="1"/>
  <c r="AU405" i="1"/>
  <c r="AW405" i="1" s="1"/>
  <c r="AO405" i="1"/>
  <c r="K405" i="1"/>
  <c r="R405" i="1"/>
  <c r="O405" i="1"/>
  <c r="AK405" i="1" s="1"/>
  <c r="J405" i="1"/>
  <c r="I405" i="1"/>
  <c r="H405" i="1"/>
  <c r="U474" i="3"/>
  <c r="AI404" i="1"/>
  <c r="AQ404" i="1"/>
  <c r="T474" i="3" s="1"/>
  <c r="AU404" i="1"/>
  <c r="AW404" i="1" s="1"/>
  <c r="AO404" i="1"/>
  <c r="V404" i="1"/>
  <c r="I404" i="1"/>
  <c r="R404" i="1"/>
  <c r="H404" i="1"/>
  <c r="J404" i="1"/>
  <c r="K404" i="1"/>
  <c r="O404" i="1"/>
  <c r="AK404" i="1" s="1"/>
  <c r="AQ403" i="1"/>
  <c r="T473" i="3" s="1"/>
  <c r="AI403" i="1"/>
  <c r="U473" i="3"/>
  <c r="AO403" i="1"/>
  <c r="V403" i="1"/>
  <c r="AU403" i="1"/>
  <c r="AW403" i="1" s="1"/>
  <c r="H403" i="1"/>
  <c r="R403" i="1"/>
  <c r="O403" i="1"/>
  <c r="AK403" i="1" s="1"/>
  <c r="K403" i="1"/>
  <c r="J403" i="1"/>
  <c r="I403" i="1"/>
  <c r="AI402" i="1"/>
  <c r="AQ402" i="1"/>
  <c r="T472" i="3" s="1"/>
  <c r="U472" i="3"/>
  <c r="AU402" i="1"/>
  <c r="AW402" i="1" s="1"/>
  <c r="V402" i="1"/>
  <c r="AO402" i="1"/>
  <c r="K402" i="1"/>
  <c r="O402" i="1"/>
  <c r="AK402" i="1" s="1"/>
  <c r="R402" i="1"/>
  <c r="H402" i="1"/>
  <c r="I402" i="1"/>
  <c r="J402" i="1"/>
  <c r="AQ401" i="1"/>
  <c r="T471" i="3" s="1"/>
  <c r="U471" i="3"/>
  <c r="AI401" i="1"/>
  <c r="AO401" i="1"/>
  <c r="AU401" i="1"/>
  <c r="AW401" i="1" s="1"/>
  <c r="V401" i="1"/>
  <c r="I401" i="1"/>
  <c r="H401" i="1"/>
  <c r="J401" i="1"/>
  <c r="K401" i="1"/>
  <c r="O401" i="1"/>
  <c r="AK401" i="1" s="1"/>
  <c r="R401" i="1"/>
  <c r="AQ400" i="1"/>
  <c r="T468" i="3" s="1"/>
  <c r="U468" i="3"/>
  <c r="AI400" i="1"/>
  <c r="AO400" i="1"/>
  <c r="AU400" i="1"/>
  <c r="AW400" i="1" s="1"/>
  <c r="V400" i="1"/>
  <c r="H400" i="1"/>
  <c r="I400" i="1"/>
  <c r="K400" i="1"/>
  <c r="O400" i="1"/>
  <c r="AK400" i="1" s="1"/>
  <c r="J400" i="1"/>
  <c r="R400" i="1"/>
  <c r="AQ399" i="1"/>
  <c r="T467" i="3" s="1"/>
  <c r="AI399" i="1"/>
  <c r="U467" i="3"/>
  <c r="AO399" i="1"/>
  <c r="AU399" i="1"/>
  <c r="AW399" i="1" s="1"/>
  <c r="V399" i="1"/>
  <c r="J399" i="1"/>
  <c r="K399" i="1"/>
  <c r="O399" i="1"/>
  <c r="AK399" i="1" s="1"/>
  <c r="H399" i="1"/>
  <c r="I399" i="1"/>
  <c r="AI398" i="1"/>
  <c r="AQ398" i="1"/>
  <c r="T466" i="3" s="1"/>
  <c r="U466" i="3"/>
  <c r="V398" i="1"/>
  <c r="AO398" i="1"/>
  <c r="AU398" i="1"/>
  <c r="AW398" i="1" s="1"/>
  <c r="H398" i="1"/>
  <c r="R398" i="1"/>
  <c r="O398" i="1"/>
  <c r="AK398" i="1" s="1"/>
  <c r="K398" i="1"/>
  <c r="J398" i="1"/>
  <c r="I398" i="1"/>
  <c r="AI397" i="1"/>
  <c r="U465" i="3"/>
  <c r="AQ397" i="1"/>
  <c r="T465" i="3" s="1"/>
  <c r="AO397" i="1"/>
  <c r="V397" i="1"/>
  <c r="AU397" i="1"/>
  <c r="AW397" i="1" s="1"/>
  <c r="K397" i="1"/>
  <c r="J397" i="1"/>
  <c r="I397" i="1"/>
  <c r="H397" i="1"/>
  <c r="R397" i="1"/>
  <c r="O397" i="1"/>
  <c r="AK397" i="1" s="1"/>
  <c r="AQ396" i="1"/>
  <c r="T464" i="3" s="1"/>
  <c r="U464" i="3"/>
  <c r="AI396" i="1"/>
  <c r="AO396" i="1"/>
  <c r="AU396" i="1"/>
  <c r="AW396" i="1" s="1"/>
  <c r="V396" i="1"/>
  <c r="H396" i="1"/>
  <c r="I396" i="1"/>
  <c r="J396" i="1"/>
  <c r="O396" i="1"/>
  <c r="AK396" i="1" s="1"/>
  <c r="R396" i="1"/>
  <c r="K396" i="1"/>
  <c r="U463" i="3"/>
  <c r="AI395" i="1"/>
  <c r="AQ395" i="1"/>
  <c r="T463" i="3" s="1"/>
  <c r="V395" i="1"/>
  <c r="AU395" i="1"/>
  <c r="AW395" i="1" s="1"/>
  <c r="AO395" i="1"/>
  <c r="R395" i="1"/>
  <c r="K395" i="1"/>
  <c r="I395" i="1"/>
  <c r="J395" i="1"/>
  <c r="O395" i="1"/>
  <c r="AK395" i="1" s="1"/>
  <c r="H395" i="1"/>
  <c r="I102" i="2"/>
  <c r="AJ394" i="1"/>
  <c r="H102" i="2"/>
  <c r="U462" i="3"/>
  <c r="AI394" i="1"/>
  <c r="AQ394" i="1"/>
  <c r="T462" i="3" s="1"/>
  <c r="C102" i="2"/>
  <c r="V394" i="1"/>
  <c r="AO394" i="1"/>
  <c r="AU394" i="1"/>
  <c r="AW394" i="1" s="1"/>
  <c r="H394" i="1"/>
  <c r="D102" i="2"/>
  <c r="J394" i="1"/>
  <c r="K394" i="1"/>
  <c r="O394" i="1"/>
  <c r="AK394" i="1" s="1"/>
  <c r="R394" i="1"/>
  <c r="I394" i="1"/>
  <c r="AI393" i="1"/>
  <c r="U461" i="3"/>
  <c r="AQ393" i="1"/>
  <c r="T461" i="3" s="1"/>
  <c r="AU393" i="1"/>
  <c r="AW393" i="1" s="1"/>
  <c r="V393" i="1"/>
  <c r="AO393" i="1"/>
  <c r="H393" i="1"/>
  <c r="R393" i="1"/>
  <c r="I393" i="1"/>
  <c r="J393" i="1"/>
  <c r="K393" i="1"/>
  <c r="O393" i="1"/>
  <c r="AK393" i="1" s="1"/>
  <c r="U460" i="3"/>
  <c r="AQ392" i="1"/>
  <c r="T460" i="3" s="1"/>
  <c r="AI392" i="1"/>
  <c r="V392" i="1"/>
  <c r="AU392" i="1"/>
  <c r="AW392" i="1" s="1"/>
  <c r="AO392" i="1"/>
  <c r="J392" i="1"/>
  <c r="H392" i="1"/>
  <c r="O392" i="1"/>
  <c r="AK392" i="1" s="1"/>
  <c r="F392" i="1"/>
  <c r="Q392" i="1" s="1"/>
  <c r="I392" i="1"/>
  <c r="R392" i="1"/>
  <c r="K392" i="1"/>
  <c r="U459" i="3"/>
  <c r="AQ391" i="1"/>
  <c r="T459" i="3" s="1"/>
  <c r="AI391" i="1"/>
  <c r="V391" i="1"/>
  <c r="AO391" i="1"/>
  <c r="AU391" i="1"/>
  <c r="AW391" i="1" s="1"/>
  <c r="F391" i="1"/>
  <c r="Q391" i="1" s="1"/>
  <c r="J391" i="1"/>
  <c r="K391" i="1"/>
  <c r="I391" i="1"/>
  <c r="H391" i="1"/>
  <c r="R391" i="1"/>
  <c r="O391" i="1"/>
  <c r="AK391" i="1" s="1"/>
  <c r="AQ390" i="1"/>
  <c r="T458" i="3" s="1"/>
  <c r="U458" i="3"/>
  <c r="AI390" i="1"/>
  <c r="AU390" i="1"/>
  <c r="AW390" i="1" s="1"/>
  <c r="V390" i="1"/>
  <c r="AO390" i="1"/>
  <c r="R390" i="1"/>
  <c r="O390" i="1"/>
  <c r="AK390" i="1" s="1"/>
  <c r="K390" i="1"/>
  <c r="J390" i="1"/>
  <c r="I390" i="1"/>
  <c r="H390" i="1"/>
  <c r="U457" i="3"/>
  <c r="AI389" i="1"/>
  <c r="AQ389" i="1"/>
  <c r="T457" i="3" s="1"/>
  <c r="V389" i="1"/>
  <c r="AO389" i="1"/>
  <c r="AU389" i="1"/>
  <c r="AW389" i="1" s="1"/>
  <c r="O389" i="1"/>
  <c r="AK389" i="1" s="1"/>
  <c r="K389" i="1"/>
  <c r="H389" i="1"/>
  <c r="I389" i="1"/>
  <c r="F389" i="1"/>
  <c r="Q389" i="1" s="1"/>
  <c r="R389" i="1"/>
  <c r="J389" i="1"/>
  <c r="AI388" i="1"/>
  <c r="AQ388" i="1"/>
  <c r="T455" i="3" s="1"/>
  <c r="U455" i="3"/>
  <c r="V388" i="1"/>
  <c r="AO388" i="1"/>
  <c r="AU388" i="1"/>
  <c r="AW388" i="1" s="1"/>
  <c r="O388" i="1"/>
  <c r="AK388" i="1" s="1"/>
  <c r="F388" i="1"/>
  <c r="Q388" i="1" s="1"/>
  <c r="R388" i="1"/>
  <c r="K388" i="1"/>
  <c r="J388" i="1"/>
  <c r="I388" i="1"/>
  <c r="H388" i="1"/>
  <c r="U454" i="3"/>
  <c r="AI387" i="1"/>
  <c r="AQ387" i="1"/>
  <c r="T454" i="3" s="1"/>
  <c r="AO387" i="1"/>
  <c r="V387" i="1"/>
  <c r="AU387" i="1"/>
  <c r="AW387" i="1" s="1"/>
  <c r="F387" i="1"/>
  <c r="Q387" i="1" s="1"/>
  <c r="R387" i="1" s="1"/>
  <c r="O387" i="1"/>
  <c r="AK387" i="1" s="1"/>
  <c r="K387" i="1"/>
  <c r="H387" i="1"/>
  <c r="I387" i="1"/>
  <c r="J387" i="1"/>
  <c r="AQ386" i="1"/>
  <c r="T453" i="3" s="1"/>
  <c r="U453" i="3"/>
  <c r="AI386" i="1"/>
  <c r="AU386" i="1"/>
  <c r="AW386" i="1" s="1"/>
  <c r="AO386" i="1"/>
  <c r="V386" i="1"/>
  <c r="I386" i="1"/>
  <c r="J386" i="1"/>
  <c r="K386" i="1"/>
  <c r="O386" i="1"/>
  <c r="AK386" i="1" s="1"/>
  <c r="H386" i="1"/>
  <c r="F386" i="1"/>
  <c r="Q386" i="1" s="1"/>
  <c r="R386" i="1" s="1"/>
  <c r="I98" i="2"/>
  <c r="AJ385" i="1"/>
  <c r="AI385" i="1"/>
  <c r="H98" i="2"/>
  <c r="AQ385" i="1"/>
  <c r="T451" i="3" s="1"/>
  <c r="U451" i="3"/>
  <c r="AU385" i="1"/>
  <c r="AW385" i="1" s="1"/>
  <c r="V385" i="1"/>
  <c r="AO385" i="1"/>
  <c r="C98" i="2"/>
  <c r="D98" i="2"/>
  <c r="O98" i="2" s="1"/>
  <c r="J385" i="1"/>
  <c r="R385" i="1"/>
  <c r="O385" i="1"/>
  <c r="AK385" i="1" s="1"/>
  <c r="K385" i="1"/>
  <c r="I385" i="1"/>
  <c r="H385" i="1"/>
  <c r="U450" i="3"/>
  <c r="AQ384" i="1"/>
  <c r="T450" i="3" s="1"/>
  <c r="AI384" i="1"/>
  <c r="V384" i="1"/>
  <c r="AO384" i="1"/>
  <c r="AU384" i="1"/>
  <c r="AW384" i="1" s="1"/>
  <c r="I384" i="1"/>
  <c r="R384" i="1"/>
  <c r="O384" i="1"/>
  <c r="AK384" i="1" s="1"/>
  <c r="K384" i="1"/>
  <c r="J384" i="1"/>
  <c r="H384" i="1"/>
  <c r="AI383" i="1"/>
  <c r="U449" i="3"/>
  <c r="AQ383" i="1"/>
  <c r="T449" i="3" s="1"/>
  <c r="V383" i="1"/>
  <c r="AO383" i="1"/>
  <c r="AU383" i="1"/>
  <c r="AW383" i="1" s="1"/>
  <c r="R383" i="1"/>
  <c r="O383" i="1"/>
  <c r="AK383" i="1" s="1"/>
  <c r="K383" i="1"/>
  <c r="J383" i="1"/>
  <c r="I383" i="1"/>
  <c r="H383" i="1"/>
  <c r="AI382" i="1"/>
  <c r="U448" i="3"/>
  <c r="AQ382" i="1"/>
  <c r="T448" i="3" s="1"/>
  <c r="AO382" i="1"/>
  <c r="AU382" i="1"/>
  <c r="AW382" i="1" s="1"/>
  <c r="V382" i="1"/>
  <c r="F382" i="1"/>
  <c r="Q382" i="1" s="1"/>
  <c r="H382" i="1"/>
  <c r="I382" i="1"/>
  <c r="J382" i="1"/>
  <c r="K382" i="1"/>
  <c r="O382" i="1"/>
  <c r="AK382" i="1" s="1"/>
  <c r="R382" i="1"/>
  <c r="AI381" i="1"/>
  <c r="AQ381" i="1"/>
  <c r="T447" i="3" s="1"/>
  <c r="U447" i="3"/>
  <c r="AU381" i="1"/>
  <c r="AW381" i="1" s="1"/>
  <c r="V381" i="1"/>
  <c r="AO381" i="1"/>
  <c r="K381" i="1"/>
  <c r="H381" i="1"/>
  <c r="I381" i="1"/>
  <c r="J381" i="1"/>
  <c r="F381" i="1"/>
  <c r="Q381" i="1" s="1"/>
  <c r="R381" i="1" s="1"/>
  <c r="O381" i="1"/>
  <c r="AK381" i="1" s="1"/>
  <c r="AI380" i="1"/>
  <c r="U444" i="3"/>
  <c r="AQ380" i="1"/>
  <c r="T444" i="3" s="1"/>
  <c r="AU380" i="1"/>
  <c r="AW380" i="1" s="1"/>
  <c r="AO380" i="1"/>
  <c r="V380" i="1"/>
  <c r="H380" i="1"/>
  <c r="K380" i="1"/>
  <c r="J380" i="1"/>
  <c r="I380" i="1"/>
  <c r="R380" i="1"/>
  <c r="O380" i="1"/>
  <c r="AK380" i="1" s="1"/>
  <c r="AO379" i="1"/>
  <c r="V379" i="1"/>
  <c r="J379" i="1"/>
  <c r="I379" i="1"/>
  <c r="H379" i="1"/>
  <c r="K379" i="1"/>
  <c r="O379" i="1"/>
  <c r="AK379" i="1" s="1"/>
  <c r="AU378" i="1"/>
  <c r="AW378" i="1" s="1"/>
  <c r="AO378" i="1"/>
  <c r="V378" i="1"/>
  <c r="K378" i="1"/>
  <c r="J378" i="1"/>
  <c r="I378" i="1"/>
  <c r="H378" i="1"/>
  <c r="O378" i="1"/>
  <c r="AK378" i="1" s="1"/>
  <c r="AQ377" i="1"/>
  <c r="T440" i="3" s="1"/>
  <c r="AI377" i="1"/>
  <c r="AU377" i="1"/>
  <c r="AW377" i="1" s="1"/>
  <c r="AO377" i="1"/>
  <c r="V377" i="1"/>
  <c r="I377" i="1"/>
  <c r="J377" i="1"/>
  <c r="O377" i="1"/>
  <c r="AK377" i="1" s="1"/>
  <c r="K377" i="1"/>
  <c r="H377" i="1"/>
  <c r="AI376" i="1"/>
  <c r="AQ376" i="1"/>
  <c r="T439" i="3" s="1"/>
  <c r="AO376" i="1"/>
  <c r="AU376" i="1"/>
  <c r="AW376" i="1" s="1"/>
  <c r="V376" i="1"/>
  <c r="I376" i="1"/>
  <c r="H376" i="1"/>
  <c r="J376" i="1"/>
  <c r="K376" i="1"/>
  <c r="O376" i="1"/>
  <c r="AK376" i="1" s="1"/>
  <c r="AI375" i="1"/>
  <c r="AQ375" i="1"/>
  <c r="T438" i="3" s="1"/>
  <c r="AU375" i="1"/>
  <c r="AW375" i="1" s="1"/>
  <c r="AO375" i="1"/>
  <c r="V375" i="1"/>
  <c r="K375" i="1"/>
  <c r="O375" i="1"/>
  <c r="AK375" i="1" s="1"/>
  <c r="J375" i="1"/>
  <c r="I375" i="1"/>
  <c r="H375" i="1"/>
  <c r="AI374" i="1"/>
  <c r="AQ374" i="1"/>
  <c r="T437" i="3" s="1"/>
  <c r="V374" i="1"/>
  <c r="AO374" i="1"/>
  <c r="AU374" i="1"/>
  <c r="AW374" i="1" s="1"/>
  <c r="O374" i="1"/>
  <c r="AK374" i="1" s="1"/>
  <c r="K374" i="1"/>
  <c r="I374" i="1"/>
  <c r="H374" i="1"/>
  <c r="J374" i="1"/>
  <c r="AI373" i="1"/>
  <c r="AQ373" i="1"/>
  <c r="T436" i="3" s="1"/>
  <c r="AO373" i="1"/>
  <c r="AU373" i="1"/>
  <c r="AW373" i="1" s="1"/>
  <c r="V373" i="1"/>
  <c r="J373" i="1"/>
  <c r="I373" i="1"/>
  <c r="H373" i="1"/>
  <c r="O373" i="1"/>
  <c r="AK373" i="1" s="1"/>
  <c r="K373" i="1"/>
  <c r="AQ372" i="1"/>
  <c r="T435" i="3" s="1"/>
  <c r="AI372" i="1"/>
  <c r="AU372" i="1"/>
  <c r="AW372" i="1" s="1"/>
  <c r="AO372" i="1"/>
  <c r="V372" i="1"/>
  <c r="H372" i="1"/>
  <c r="I372" i="1"/>
  <c r="J372" i="1"/>
  <c r="K372" i="1"/>
  <c r="O372" i="1"/>
  <c r="AK372" i="1" s="1"/>
  <c r="AI371" i="1"/>
  <c r="AQ371" i="1"/>
  <c r="T434" i="3" s="1"/>
  <c r="V371" i="1"/>
  <c r="AO371" i="1"/>
  <c r="AU371" i="1"/>
  <c r="AW371" i="1" s="1"/>
  <c r="O371" i="1"/>
  <c r="AK371" i="1" s="1"/>
  <c r="K371" i="1"/>
  <c r="I371" i="1"/>
  <c r="H371" i="1"/>
  <c r="J371" i="1"/>
  <c r="AI370" i="1"/>
  <c r="AQ370" i="1"/>
  <c r="T433" i="3" s="1"/>
  <c r="AO370" i="1"/>
  <c r="AU370" i="1"/>
  <c r="AW370" i="1" s="1"/>
  <c r="V370" i="1"/>
  <c r="O370" i="1"/>
  <c r="AK370" i="1" s="1"/>
  <c r="J370" i="1"/>
  <c r="I370" i="1"/>
  <c r="H370" i="1"/>
  <c r="K370" i="1"/>
  <c r="AQ369" i="1"/>
  <c r="T432" i="3" s="1"/>
  <c r="AI369" i="1"/>
  <c r="V369" i="1"/>
  <c r="AU369" i="1"/>
  <c r="AW369" i="1" s="1"/>
  <c r="AO369" i="1"/>
  <c r="O369" i="1"/>
  <c r="AK369" i="1" s="1"/>
  <c r="K369" i="1"/>
  <c r="J369" i="1"/>
  <c r="I369" i="1"/>
  <c r="H369" i="1"/>
  <c r="AQ368" i="1"/>
  <c r="T431" i="3" s="1"/>
  <c r="AI368" i="1"/>
  <c r="AO368" i="1"/>
  <c r="AU368" i="1"/>
  <c r="AW368" i="1" s="1"/>
  <c r="V368" i="1"/>
  <c r="O368" i="1"/>
  <c r="AK368" i="1" s="1"/>
  <c r="K368" i="1"/>
  <c r="J368" i="1"/>
  <c r="I368" i="1"/>
  <c r="H368" i="1"/>
  <c r="AI367" i="1"/>
  <c r="AQ367" i="1"/>
  <c r="T430" i="3" s="1"/>
  <c r="AO367" i="1"/>
  <c r="V367" i="1"/>
  <c r="AU367" i="1"/>
  <c r="AW367" i="1" s="1"/>
  <c r="O367" i="1"/>
  <c r="AK367" i="1" s="1"/>
  <c r="K367" i="1"/>
  <c r="J367" i="1"/>
  <c r="I367" i="1"/>
  <c r="H367" i="1"/>
  <c r="AQ366" i="1"/>
  <c r="T429" i="3" s="1"/>
  <c r="AI366" i="1"/>
  <c r="AO366" i="1"/>
  <c r="AU366" i="1"/>
  <c r="AW366" i="1" s="1"/>
  <c r="V366" i="1"/>
  <c r="I366" i="1"/>
  <c r="J366" i="1"/>
  <c r="K366" i="1"/>
  <c r="O366" i="1"/>
  <c r="AK366" i="1" s="1"/>
  <c r="H366" i="1"/>
  <c r="AI365" i="1"/>
  <c r="AQ365" i="1"/>
  <c r="T428" i="3" s="1"/>
  <c r="AU365" i="1"/>
  <c r="AW365" i="1" s="1"/>
  <c r="AO365" i="1"/>
  <c r="V365" i="1"/>
  <c r="I365" i="1"/>
  <c r="J365" i="1"/>
  <c r="O365" i="1"/>
  <c r="AK365" i="1" s="1"/>
  <c r="H365" i="1"/>
  <c r="K365" i="1"/>
  <c r="AQ364" i="1"/>
  <c r="T427" i="3" s="1"/>
  <c r="AI364" i="1"/>
  <c r="AO364" i="1"/>
  <c r="V364" i="1"/>
  <c r="AU364" i="1"/>
  <c r="AW364" i="1" s="1"/>
  <c r="J364" i="1"/>
  <c r="H364" i="1"/>
  <c r="O364" i="1"/>
  <c r="AK364" i="1" s="1"/>
  <c r="K364" i="1"/>
  <c r="I364" i="1"/>
  <c r="AQ363" i="1"/>
  <c r="T426" i="3" s="1"/>
  <c r="AI363" i="1"/>
  <c r="AU363" i="1"/>
  <c r="AW363" i="1" s="1"/>
  <c r="AO363" i="1"/>
  <c r="V363" i="1"/>
  <c r="O363" i="1"/>
  <c r="AK363" i="1" s="1"/>
  <c r="K363" i="1"/>
  <c r="J363" i="1"/>
  <c r="I363" i="1"/>
  <c r="H363" i="1"/>
  <c r="AQ362" i="1"/>
  <c r="T423" i="3" s="1"/>
  <c r="AI362" i="1"/>
  <c r="AU362" i="1"/>
  <c r="AW362" i="1" s="1"/>
  <c r="AO362" i="1"/>
  <c r="V362" i="1"/>
  <c r="O362" i="1"/>
  <c r="AK362" i="1" s="1"/>
  <c r="K362" i="1"/>
  <c r="J362" i="1"/>
  <c r="I362" i="1"/>
  <c r="H362" i="1"/>
  <c r="AI361" i="1"/>
  <c r="AQ361" i="1"/>
  <c r="T422" i="3" s="1"/>
  <c r="AU361" i="1"/>
  <c r="AW361" i="1" s="1"/>
  <c r="AO361" i="1"/>
  <c r="V361" i="1"/>
  <c r="J361" i="1"/>
  <c r="O361" i="1"/>
  <c r="AK361" i="1" s="1"/>
  <c r="K361" i="1"/>
  <c r="I361" i="1"/>
  <c r="H361" i="1"/>
  <c r="AQ360" i="1"/>
  <c r="T421" i="3" s="1"/>
  <c r="AI360" i="1"/>
  <c r="AU360" i="1"/>
  <c r="AW360" i="1" s="1"/>
  <c r="AO360" i="1"/>
  <c r="V360" i="1"/>
  <c r="I360" i="1"/>
  <c r="H360" i="1"/>
  <c r="O360" i="1"/>
  <c r="AK360" i="1" s="1"/>
  <c r="K360" i="1"/>
  <c r="J360" i="1"/>
  <c r="AI359" i="1"/>
  <c r="U420" i="3"/>
  <c r="AQ359" i="1"/>
  <c r="T420" i="3" s="1"/>
  <c r="V359" i="1"/>
  <c r="AU359" i="1"/>
  <c r="AW359" i="1" s="1"/>
  <c r="AO359" i="1"/>
  <c r="R359" i="1"/>
  <c r="O359" i="1"/>
  <c r="AK359" i="1" s="1"/>
  <c r="K359" i="1"/>
  <c r="J359" i="1"/>
  <c r="I359" i="1"/>
  <c r="H359" i="1"/>
  <c r="U418" i="3"/>
  <c r="AQ358" i="1"/>
  <c r="T418" i="3" s="1"/>
  <c r="AI358" i="1"/>
  <c r="AU358" i="1"/>
  <c r="AW358" i="1" s="1"/>
  <c r="AO358" i="1"/>
  <c r="V358" i="1"/>
  <c r="J358" i="1"/>
  <c r="K358" i="1"/>
  <c r="O358" i="1"/>
  <c r="AK358" i="1" s="1"/>
  <c r="H358" i="1"/>
  <c r="I358" i="1"/>
  <c r="R358" i="1"/>
  <c r="U417" i="3"/>
  <c r="AI357" i="1"/>
  <c r="AQ357" i="1"/>
  <c r="T417" i="3" s="1"/>
  <c r="AO357" i="1"/>
  <c r="AU357" i="1"/>
  <c r="AW357" i="1" s="1"/>
  <c r="V357" i="1"/>
  <c r="J357" i="1"/>
  <c r="I357" i="1"/>
  <c r="H357" i="1"/>
  <c r="O357" i="1"/>
  <c r="AK357" i="1" s="1"/>
  <c r="K357" i="1"/>
  <c r="U416" i="3"/>
  <c r="AI356" i="1"/>
  <c r="AQ356" i="1"/>
  <c r="T416" i="3" s="1"/>
  <c r="AU356" i="1"/>
  <c r="AW356" i="1" s="1"/>
  <c r="AO356" i="1"/>
  <c r="V356" i="1"/>
  <c r="O356" i="1"/>
  <c r="AK356" i="1" s="1"/>
  <c r="K356" i="1"/>
  <c r="J356" i="1"/>
  <c r="I356" i="1"/>
  <c r="H356" i="1"/>
  <c r="U414" i="3"/>
  <c r="AQ355" i="1"/>
  <c r="T414" i="3" s="1"/>
  <c r="AI355" i="1"/>
  <c r="AU355" i="1"/>
  <c r="AW355" i="1" s="1"/>
  <c r="AO355" i="1"/>
  <c r="V355" i="1"/>
  <c r="K355" i="1"/>
  <c r="O355" i="1"/>
  <c r="AK355" i="1" s="1"/>
  <c r="R355" i="1"/>
  <c r="J355" i="1"/>
  <c r="I355" i="1"/>
  <c r="H355" i="1"/>
  <c r="U413" i="3"/>
  <c r="AQ354" i="1"/>
  <c r="T413" i="3" s="1"/>
  <c r="AI354" i="1"/>
  <c r="AO354" i="1"/>
  <c r="AU354" i="1"/>
  <c r="AW354" i="1" s="1"/>
  <c r="V354" i="1"/>
  <c r="R354" i="1"/>
  <c r="O354" i="1"/>
  <c r="AK354" i="1" s="1"/>
  <c r="K354" i="1"/>
  <c r="J354" i="1"/>
  <c r="I354" i="1"/>
  <c r="H354" i="1"/>
  <c r="U412" i="3"/>
  <c r="AI353" i="1"/>
  <c r="AQ353" i="1"/>
  <c r="T412" i="3" s="1"/>
  <c r="AO353" i="1"/>
  <c r="AU353" i="1"/>
  <c r="AW353" i="1" s="1"/>
  <c r="V353" i="1"/>
  <c r="R353" i="1"/>
  <c r="O353" i="1"/>
  <c r="AK353" i="1" s="1"/>
  <c r="K353" i="1"/>
  <c r="J353" i="1"/>
  <c r="I353" i="1"/>
  <c r="H353" i="1"/>
  <c r="U411" i="3"/>
  <c r="AQ352" i="1"/>
  <c r="T411" i="3" s="1"/>
  <c r="AI352" i="1"/>
  <c r="AU352" i="1"/>
  <c r="AW352" i="1" s="1"/>
  <c r="AO352" i="1"/>
  <c r="V352" i="1"/>
  <c r="R352" i="1"/>
  <c r="I352" i="1"/>
  <c r="O352" i="1"/>
  <c r="AK352" i="1" s="1"/>
  <c r="K352" i="1"/>
  <c r="J352" i="1"/>
  <c r="H352" i="1"/>
  <c r="AI351" i="1"/>
  <c r="AQ351" i="1"/>
  <c r="T402" i="3" s="1"/>
  <c r="U402" i="3"/>
  <c r="AO351" i="1"/>
  <c r="V351" i="1"/>
  <c r="AU351" i="1"/>
  <c r="AW351" i="1" s="1"/>
  <c r="H351" i="1"/>
  <c r="I351" i="1"/>
  <c r="J351" i="1"/>
  <c r="K351" i="1"/>
  <c r="O351" i="1"/>
  <c r="AK351" i="1" s="1"/>
  <c r="R351" i="1"/>
  <c r="AI350" i="1"/>
  <c r="AQ350" i="1"/>
  <c r="T401" i="3" s="1"/>
  <c r="U401" i="3"/>
  <c r="AU350" i="1"/>
  <c r="AW350" i="1" s="1"/>
  <c r="V350" i="1"/>
  <c r="AO350" i="1"/>
  <c r="I350" i="1"/>
  <c r="J350" i="1"/>
  <c r="K350" i="1"/>
  <c r="R350" i="1"/>
  <c r="O350" i="1"/>
  <c r="AK350" i="1" s="1"/>
  <c r="H350" i="1"/>
  <c r="U399" i="3"/>
  <c r="AI349" i="1"/>
  <c r="AQ349" i="1"/>
  <c r="T399" i="3" s="1"/>
  <c r="V349" i="1"/>
  <c r="AU349" i="1"/>
  <c r="AW349" i="1" s="1"/>
  <c r="AO349" i="1"/>
  <c r="R349" i="1"/>
  <c r="O349" i="1"/>
  <c r="AK349" i="1" s="1"/>
  <c r="K349" i="1"/>
  <c r="J349" i="1"/>
  <c r="H349" i="1"/>
  <c r="I349" i="1"/>
  <c r="AI348" i="1"/>
  <c r="U398" i="3"/>
  <c r="AQ348" i="1"/>
  <c r="T398" i="3" s="1"/>
  <c r="AU348" i="1"/>
  <c r="AW348" i="1" s="1"/>
  <c r="V348" i="1"/>
  <c r="AO348" i="1"/>
  <c r="J348" i="1"/>
  <c r="I348" i="1"/>
  <c r="K348" i="1"/>
  <c r="H348" i="1"/>
  <c r="O348" i="1"/>
  <c r="AK348" i="1" s="1"/>
  <c r="R348" i="1"/>
  <c r="H81" i="2"/>
  <c r="U397" i="3"/>
  <c r="AQ347" i="1"/>
  <c r="T397" i="3" s="1"/>
  <c r="AI347" i="1"/>
  <c r="V347" i="1"/>
  <c r="AO347" i="1"/>
  <c r="AU347" i="1"/>
  <c r="AW347" i="1" s="1"/>
  <c r="O347" i="1"/>
  <c r="AK347" i="1" s="1"/>
  <c r="J347" i="1"/>
  <c r="K347" i="1"/>
  <c r="H347" i="1"/>
  <c r="I347" i="1"/>
  <c r="R347" i="1"/>
  <c r="AI346" i="1"/>
  <c r="U396" i="3"/>
  <c r="AQ346" i="1"/>
  <c r="T396" i="3" s="1"/>
  <c r="AO346" i="1"/>
  <c r="AU346" i="1"/>
  <c r="AW346" i="1" s="1"/>
  <c r="V346" i="1"/>
  <c r="O346" i="1"/>
  <c r="AK346" i="1" s="1"/>
  <c r="J346" i="1"/>
  <c r="I346" i="1"/>
  <c r="H346" i="1"/>
  <c r="K346" i="1"/>
  <c r="R346" i="1"/>
  <c r="U395" i="3"/>
  <c r="AI345" i="1"/>
  <c r="AQ345" i="1"/>
  <c r="T395" i="3" s="1"/>
  <c r="AO345" i="1"/>
  <c r="V345" i="1"/>
  <c r="AU345" i="1"/>
  <c r="AW345" i="1" s="1"/>
  <c r="I345" i="1"/>
  <c r="H345" i="1"/>
  <c r="O345" i="1"/>
  <c r="AK345" i="1" s="1"/>
  <c r="K345" i="1"/>
  <c r="R345" i="1"/>
  <c r="J345" i="1"/>
  <c r="AQ344" i="1"/>
  <c r="T390" i="3" s="1"/>
  <c r="AI344" i="1"/>
  <c r="U390" i="3"/>
  <c r="AU344" i="1"/>
  <c r="AW344" i="1" s="1"/>
  <c r="V344" i="1"/>
  <c r="AO344" i="1"/>
  <c r="J344" i="1"/>
  <c r="K344" i="1"/>
  <c r="O344" i="1"/>
  <c r="AK344" i="1" s="1"/>
  <c r="R344" i="1"/>
  <c r="H344" i="1"/>
  <c r="I344" i="1"/>
  <c r="AQ343" i="1"/>
  <c r="T389" i="3" s="1"/>
  <c r="U389" i="3"/>
  <c r="AI343" i="1"/>
  <c r="V343" i="1"/>
  <c r="AU343" i="1"/>
  <c r="AW343" i="1" s="1"/>
  <c r="AO343" i="1"/>
  <c r="O343" i="1"/>
  <c r="AK343" i="1" s="1"/>
  <c r="I343" i="1"/>
  <c r="K343" i="1"/>
  <c r="H343" i="1"/>
  <c r="J343" i="1"/>
  <c r="F343" i="1"/>
  <c r="Q343" i="1" s="1"/>
  <c r="R343" i="1" s="1"/>
  <c r="U387" i="3"/>
  <c r="AQ342" i="1"/>
  <c r="T387" i="3" s="1"/>
  <c r="AI342" i="1"/>
  <c r="AU342" i="1"/>
  <c r="AW342" i="1" s="1"/>
  <c r="AO342" i="1"/>
  <c r="V342" i="1"/>
  <c r="K342" i="1"/>
  <c r="J342" i="1"/>
  <c r="O342" i="1"/>
  <c r="AK342" i="1" s="1"/>
  <c r="I342" i="1"/>
  <c r="F342" i="1"/>
  <c r="Q342" i="1" s="1"/>
  <c r="R342" i="1" s="1"/>
  <c r="H342" i="1"/>
  <c r="AJ341" i="1"/>
  <c r="I100" i="2"/>
  <c r="AI341" i="1"/>
  <c r="U386" i="3"/>
  <c r="AQ341" i="1"/>
  <c r="T386" i="3" s="1"/>
  <c r="H100" i="2"/>
  <c r="AO341" i="1"/>
  <c r="C100" i="2"/>
  <c r="AU341" i="1"/>
  <c r="AW341" i="1" s="1"/>
  <c r="V341" i="1"/>
  <c r="H341" i="1"/>
  <c r="I341" i="1"/>
  <c r="J341" i="1"/>
  <c r="K341" i="1"/>
  <c r="O341" i="1"/>
  <c r="AK341" i="1" s="1"/>
  <c r="F341" i="1"/>
  <c r="Q341" i="1" s="1"/>
  <c r="R341" i="1" s="1"/>
  <c r="D100" i="2"/>
  <c r="O100" i="2" s="1"/>
  <c r="AJ340" i="1"/>
  <c r="I108" i="2"/>
  <c r="AQ340" i="1"/>
  <c r="AI340" i="1"/>
  <c r="U485" i="3"/>
  <c r="H108" i="2"/>
  <c r="U501" i="3"/>
  <c r="C108" i="2"/>
  <c r="AU340" i="1"/>
  <c r="AW340" i="1" s="1"/>
  <c r="AO340" i="1"/>
  <c r="V340" i="1"/>
  <c r="O340" i="1"/>
  <c r="AK340" i="1" s="1"/>
  <c r="F340" i="1"/>
  <c r="Q340" i="1" s="1"/>
  <c r="I340" i="1"/>
  <c r="D108" i="2"/>
  <c r="O108" i="2" s="1"/>
  <c r="K340" i="1"/>
  <c r="J340" i="1"/>
  <c r="H340" i="1"/>
  <c r="R340" i="1"/>
  <c r="U385" i="3"/>
  <c r="AQ339" i="1"/>
  <c r="T385" i="3" s="1"/>
  <c r="AI339" i="1"/>
  <c r="AO339" i="1"/>
  <c r="AU339" i="1"/>
  <c r="AW339" i="1" s="1"/>
  <c r="V339" i="1"/>
  <c r="R339" i="1"/>
  <c r="H339" i="1"/>
  <c r="J339" i="1"/>
  <c r="I339" i="1"/>
  <c r="O339" i="1"/>
  <c r="AK339" i="1" s="1"/>
  <c r="K339" i="1"/>
  <c r="AJ338" i="1"/>
  <c r="I90" i="2"/>
  <c r="H90" i="2"/>
  <c r="AQ338" i="1"/>
  <c r="T384" i="3" s="1"/>
  <c r="AI338" i="1"/>
  <c r="U384" i="3"/>
  <c r="AO338" i="1"/>
  <c r="V338" i="1"/>
  <c r="AU338" i="1"/>
  <c r="AW338" i="1" s="1"/>
  <c r="C90" i="2"/>
  <c r="O338" i="1"/>
  <c r="AK338" i="1" s="1"/>
  <c r="K338" i="1"/>
  <c r="D90" i="2"/>
  <c r="O90" i="2" s="1"/>
  <c r="J338" i="1"/>
  <c r="I338" i="1"/>
  <c r="H338" i="1"/>
  <c r="F338" i="1"/>
  <c r="Q338" i="1" s="1"/>
  <c r="R338" i="1" s="1"/>
  <c r="U382" i="3"/>
  <c r="AQ337" i="1"/>
  <c r="T382" i="3" s="1"/>
  <c r="AI337" i="1"/>
  <c r="AO337" i="1"/>
  <c r="V337" i="1"/>
  <c r="AU337" i="1"/>
  <c r="AW337" i="1" s="1"/>
  <c r="I337" i="1"/>
  <c r="K337" i="1"/>
  <c r="F337" i="1"/>
  <c r="Q337" i="1" s="1"/>
  <c r="O337" i="1"/>
  <c r="AK337" i="1" s="1"/>
  <c r="J337" i="1"/>
  <c r="R337" i="1"/>
  <c r="H337" i="1"/>
  <c r="U381" i="3"/>
  <c r="AQ336" i="1"/>
  <c r="T381" i="3" s="1"/>
  <c r="AI336" i="1"/>
  <c r="V336" i="1"/>
  <c r="AO336" i="1"/>
  <c r="AU336" i="1"/>
  <c r="AW336" i="1" s="1"/>
  <c r="H336" i="1"/>
  <c r="F336" i="1"/>
  <c r="Q336" i="1" s="1"/>
  <c r="K336" i="1"/>
  <c r="R336" i="1"/>
  <c r="J336" i="1"/>
  <c r="I336" i="1"/>
  <c r="O336" i="1"/>
  <c r="AK336" i="1" s="1"/>
  <c r="U380" i="3"/>
  <c r="AQ335" i="1"/>
  <c r="T380" i="3" s="1"/>
  <c r="AI335" i="1"/>
  <c r="AU335" i="1"/>
  <c r="AW335" i="1" s="1"/>
  <c r="AO335" i="1"/>
  <c r="V335" i="1"/>
  <c r="H335" i="1"/>
  <c r="F335" i="1"/>
  <c r="Q335" i="1" s="1"/>
  <c r="I335" i="1"/>
  <c r="J335" i="1"/>
  <c r="K335" i="1"/>
  <c r="O335" i="1"/>
  <c r="AK335" i="1" s="1"/>
  <c r="R335" i="1"/>
  <c r="AI334" i="1"/>
  <c r="U379" i="3"/>
  <c r="AQ334" i="1"/>
  <c r="T379" i="3" s="1"/>
  <c r="V334" i="1"/>
  <c r="AU334" i="1"/>
  <c r="AW334" i="1" s="1"/>
  <c r="AO334" i="1"/>
  <c r="H334" i="1"/>
  <c r="J334" i="1"/>
  <c r="O334" i="1"/>
  <c r="AK334" i="1" s="1"/>
  <c r="K334" i="1"/>
  <c r="I334" i="1"/>
  <c r="F334" i="1"/>
  <c r="Q334" i="1" s="1"/>
  <c r="R334" i="1" s="1"/>
  <c r="U378" i="3"/>
  <c r="AI333" i="1"/>
  <c r="AQ333" i="1"/>
  <c r="T378" i="3" s="1"/>
  <c r="I333" i="1"/>
  <c r="J333" i="1"/>
  <c r="K333" i="1"/>
  <c r="O333" i="1"/>
  <c r="AK333" i="1" s="1"/>
  <c r="H333" i="1"/>
  <c r="AI332" i="1"/>
  <c r="AQ332" i="1"/>
  <c r="T377" i="3" s="1"/>
  <c r="AU332" i="1"/>
  <c r="AW332" i="1" s="1"/>
  <c r="AO332" i="1"/>
  <c r="V332" i="1"/>
  <c r="I332" i="1"/>
  <c r="H332" i="1"/>
  <c r="O332" i="1"/>
  <c r="AK332" i="1" s="1"/>
  <c r="K332" i="1"/>
  <c r="J332" i="1"/>
  <c r="AI331" i="1"/>
  <c r="AQ331" i="1"/>
  <c r="T376" i="3" s="1"/>
  <c r="AO331" i="1"/>
  <c r="AU331" i="1"/>
  <c r="AW331" i="1" s="1"/>
  <c r="V331" i="1"/>
  <c r="H331" i="1"/>
  <c r="J331" i="1"/>
  <c r="O331" i="1"/>
  <c r="AK331" i="1" s="1"/>
  <c r="K331" i="1"/>
  <c r="I331" i="1"/>
  <c r="AQ330" i="1"/>
  <c r="T375" i="3" s="1"/>
  <c r="AI330" i="1"/>
  <c r="AO330" i="1"/>
  <c r="AU330" i="1"/>
  <c r="AW330" i="1" s="1"/>
  <c r="V330" i="1"/>
  <c r="H330" i="1"/>
  <c r="I330" i="1"/>
  <c r="J330" i="1"/>
  <c r="K330" i="1"/>
  <c r="O330" i="1"/>
  <c r="AK330" i="1" s="1"/>
  <c r="AI329" i="1"/>
  <c r="AQ329" i="1"/>
  <c r="T374" i="3" s="1"/>
  <c r="V329" i="1"/>
  <c r="AO329" i="1"/>
  <c r="AU329" i="1"/>
  <c r="AW329" i="1" s="1"/>
  <c r="J329" i="1"/>
  <c r="H329" i="1"/>
  <c r="I329" i="1"/>
  <c r="O329" i="1"/>
  <c r="AK329" i="1" s="1"/>
  <c r="K329" i="1"/>
  <c r="AI328" i="1"/>
  <c r="AQ328" i="1"/>
  <c r="T373" i="3" s="1"/>
  <c r="V328" i="1"/>
  <c r="AU328" i="1"/>
  <c r="AW328" i="1" s="1"/>
  <c r="AO328" i="1"/>
  <c r="O328" i="1"/>
  <c r="AK328" i="1" s="1"/>
  <c r="K328" i="1"/>
  <c r="J328" i="1"/>
  <c r="I328" i="1"/>
  <c r="H328" i="1"/>
  <c r="AQ327" i="1"/>
  <c r="T372" i="3" s="1"/>
  <c r="AI327" i="1"/>
  <c r="V327" i="1"/>
  <c r="AO327" i="1"/>
  <c r="AU327" i="1"/>
  <c r="AW327" i="1" s="1"/>
  <c r="O327" i="1"/>
  <c r="AK327" i="1" s="1"/>
  <c r="J327" i="1"/>
  <c r="H327" i="1"/>
  <c r="I327" i="1"/>
  <c r="K327" i="1"/>
  <c r="AI326" i="1"/>
  <c r="AQ326" i="1"/>
  <c r="T371" i="3" s="1"/>
  <c r="AO326" i="1"/>
  <c r="V326" i="1"/>
  <c r="AU326" i="1"/>
  <c r="AW326" i="1" s="1"/>
  <c r="H326" i="1"/>
  <c r="I326" i="1"/>
  <c r="J326" i="1"/>
  <c r="K326" i="1"/>
  <c r="O326" i="1"/>
  <c r="AK326" i="1" s="1"/>
  <c r="AI325" i="1"/>
  <c r="AQ325" i="1"/>
  <c r="T370" i="3" s="1"/>
  <c r="AO325" i="1"/>
  <c r="AU325" i="1"/>
  <c r="AW325" i="1" s="1"/>
  <c r="V325" i="1"/>
  <c r="I325" i="1"/>
  <c r="H325" i="1"/>
  <c r="K325" i="1"/>
  <c r="O325" i="1"/>
  <c r="AK325" i="1" s="1"/>
  <c r="J325" i="1"/>
  <c r="AI324" i="1"/>
  <c r="AQ324" i="1"/>
  <c r="T369" i="3" s="1"/>
  <c r="V324" i="1"/>
  <c r="AU324" i="1"/>
  <c r="AW324" i="1" s="1"/>
  <c r="AO324" i="1"/>
  <c r="J324" i="1"/>
  <c r="O324" i="1"/>
  <c r="AK324" i="1" s="1"/>
  <c r="K324" i="1"/>
  <c r="H324" i="1"/>
  <c r="I324" i="1"/>
  <c r="AI323" i="1"/>
  <c r="AQ323" i="1"/>
  <c r="T368" i="3" s="1"/>
  <c r="V323" i="1"/>
  <c r="AU323" i="1"/>
  <c r="AW323" i="1" s="1"/>
  <c r="AO323" i="1"/>
  <c r="K323" i="1"/>
  <c r="J323" i="1"/>
  <c r="I323" i="1"/>
  <c r="H323" i="1"/>
  <c r="O323" i="1"/>
  <c r="AK323" i="1" s="1"/>
  <c r="AI322" i="1"/>
  <c r="AQ322" i="1"/>
  <c r="T367" i="3" s="1"/>
  <c r="AU322" i="1"/>
  <c r="AW322" i="1" s="1"/>
  <c r="AO322" i="1"/>
  <c r="V322" i="1"/>
  <c r="I322" i="1"/>
  <c r="H322" i="1"/>
  <c r="K322" i="1"/>
  <c r="J322" i="1"/>
  <c r="O322" i="1"/>
  <c r="AK322" i="1" s="1"/>
  <c r="AI321" i="1"/>
  <c r="AQ321" i="1"/>
  <c r="T365" i="3" s="1"/>
  <c r="V321" i="1"/>
  <c r="AO321" i="1"/>
  <c r="AU321" i="1"/>
  <c r="AW321" i="1" s="1"/>
  <c r="K321" i="1"/>
  <c r="O321" i="1"/>
  <c r="AK321" i="1" s="1"/>
  <c r="J321" i="1"/>
  <c r="I321" i="1"/>
  <c r="H321" i="1"/>
  <c r="AI320" i="1"/>
  <c r="AQ320" i="1"/>
  <c r="T363" i="3" s="1"/>
  <c r="AO320" i="1"/>
  <c r="AU320" i="1"/>
  <c r="AW320" i="1" s="1"/>
  <c r="V320" i="1"/>
  <c r="J320" i="1"/>
  <c r="I320" i="1"/>
  <c r="H320" i="1"/>
  <c r="K320" i="1"/>
  <c r="O320" i="1"/>
  <c r="AK320" i="1" s="1"/>
  <c r="AQ319" i="1"/>
  <c r="T362" i="3" s="1"/>
  <c r="AI319" i="1"/>
  <c r="AU319" i="1"/>
  <c r="AW319" i="1" s="1"/>
  <c r="AO319" i="1"/>
  <c r="V319" i="1"/>
  <c r="O319" i="1"/>
  <c r="AK319" i="1" s="1"/>
  <c r="K319" i="1"/>
  <c r="J319" i="1"/>
  <c r="I319" i="1"/>
  <c r="H319" i="1"/>
  <c r="AQ318" i="1"/>
  <c r="T361" i="3" s="1"/>
  <c r="AI318" i="1"/>
  <c r="AU318" i="1"/>
  <c r="AW318" i="1" s="1"/>
  <c r="AO318" i="1"/>
  <c r="V318" i="1"/>
  <c r="O318" i="1"/>
  <c r="AK318" i="1" s="1"/>
  <c r="K318" i="1"/>
  <c r="J318" i="1"/>
  <c r="I318" i="1"/>
  <c r="H318" i="1"/>
  <c r="AI317" i="1"/>
  <c r="AQ317" i="1"/>
  <c r="T360" i="3" s="1"/>
  <c r="V317" i="1"/>
  <c r="AO317" i="1"/>
  <c r="AU317" i="1"/>
  <c r="AW317" i="1" s="1"/>
  <c r="J317" i="1"/>
  <c r="H317" i="1"/>
  <c r="I317" i="1"/>
  <c r="K317" i="1"/>
  <c r="O317" i="1"/>
  <c r="AK317" i="1" s="1"/>
  <c r="AQ316" i="1"/>
  <c r="T359" i="3" s="1"/>
  <c r="AI316" i="1"/>
  <c r="AO316" i="1"/>
  <c r="AU316" i="1"/>
  <c r="AW316" i="1" s="1"/>
  <c r="V316" i="1"/>
  <c r="I316" i="1"/>
  <c r="H316" i="1"/>
  <c r="O316" i="1"/>
  <c r="AK316" i="1" s="1"/>
  <c r="K316" i="1"/>
  <c r="J316" i="1"/>
  <c r="AI315" i="1"/>
  <c r="AQ315" i="1"/>
  <c r="T358" i="3" s="1"/>
  <c r="AU315" i="1"/>
  <c r="AW315" i="1" s="1"/>
  <c r="AO315" i="1"/>
  <c r="V315" i="1"/>
  <c r="O315" i="1"/>
  <c r="AK315" i="1" s="1"/>
  <c r="K315" i="1"/>
  <c r="J315" i="1"/>
  <c r="I315" i="1"/>
  <c r="H315" i="1"/>
  <c r="AI314" i="1"/>
  <c r="U557" i="3"/>
  <c r="AQ314" i="1"/>
  <c r="V314" i="1"/>
  <c r="AU314" i="1"/>
  <c r="AW314" i="1" s="1"/>
  <c r="AO314" i="1"/>
  <c r="O314" i="1"/>
  <c r="AK314" i="1" s="1"/>
  <c r="K314" i="1"/>
  <c r="J314" i="1"/>
  <c r="I314" i="1"/>
  <c r="H314" i="1"/>
  <c r="AI313" i="1"/>
  <c r="AQ313" i="1"/>
  <c r="T356" i="3" s="1"/>
  <c r="AU313" i="1"/>
  <c r="AW313" i="1" s="1"/>
  <c r="AO313" i="1"/>
  <c r="V313" i="1"/>
  <c r="H313" i="1"/>
  <c r="I313" i="1"/>
  <c r="J313" i="1"/>
  <c r="K313" i="1"/>
  <c r="O313" i="1"/>
  <c r="AK313" i="1" s="1"/>
  <c r="AQ312" i="1"/>
  <c r="T355" i="3" s="1"/>
  <c r="AI312" i="1"/>
  <c r="AO312" i="1"/>
  <c r="AU312" i="1"/>
  <c r="AW312" i="1" s="1"/>
  <c r="V312" i="1"/>
  <c r="I312" i="1"/>
  <c r="H312" i="1"/>
  <c r="J312" i="1"/>
  <c r="K312" i="1"/>
  <c r="O312" i="1"/>
  <c r="AK312" i="1" s="1"/>
  <c r="AQ311" i="1"/>
  <c r="T354" i="3" s="1"/>
  <c r="AI311" i="1"/>
  <c r="AO311" i="1"/>
  <c r="V311" i="1"/>
  <c r="AU311" i="1"/>
  <c r="AW311" i="1" s="1"/>
  <c r="O311" i="1"/>
  <c r="AK311" i="1" s="1"/>
  <c r="K311" i="1"/>
  <c r="J311" i="1"/>
  <c r="H311" i="1"/>
  <c r="I311" i="1"/>
  <c r="AQ310" i="1"/>
  <c r="T353" i="3" s="1"/>
  <c r="U353" i="3"/>
  <c r="AI310" i="1"/>
  <c r="AO310" i="1"/>
  <c r="AU310" i="1"/>
  <c r="AW310" i="1" s="1"/>
  <c r="V310" i="1"/>
  <c r="J310" i="1"/>
  <c r="K310" i="1"/>
  <c r="O310" i="1"/>
  <c r="AK310" i="1" s="1"/>
  <c r="H310" i="1"/>
  <c r="R310" i="1"/>
  <c r="I310" i="1"/>
  <c r="AI309" i="1"/>
  <c r="AQ309" i="1"/>
  <c r="T352" i="3" s="1"/>
  <c r="U352" i="3"/>
  <c r="AO309" i="1"/>
  <c r="AU309" i="1"/>
  <c r="AW309" i="1" s="1"/>
  <c r="V309" i="1"/>
  <c r="I309" i="1"/>
  <c r="R309" i="1"/>
  <c r="O309" i="1"/>
  <c r="AK309" i="1" s="1"/>
  <c r="K309" i="1"/>
  <c r="J309" i="1"/>
  <c r="H309" i="1"/>
  <c r="I89" i="2"/>
  <c r="AJ308" i="1"/>
  <c r="AQ308" i="1"/>
  <c r="T351" i="3" s="1"/>
  <c r="U351" i="3"/>
  <c r="AI308" i="1"/>
  <c r="H89" i="2"/>
  <c r="AO308" i="1"/>
  <c r="AU308" i="1"/>
  <c r="AW308" i="1" s="1"/>
  <c r="C89" i="2"/>
  <c r="V308" i="1"/>
  <c r="K308" i="1"/>
  <c r="D89" i="2"/>
  <c r="O89" i="2" s="1"/>
  <c r="R308" i="1"/>
  <c r="O308" i="1"/>
  <c r="AK308" i="1" s="1"/>
  <c r="J308" i="1"/>
  <c r="I308" i="1"/>
  <c r="H308" i="1"/>
  <c r="AI307" i="1"/>
  <c r="U350" i="3"/>
  <c r="AQ307" i="1"/>
  <c r="T350" i="3" s="1"/>
  <c r="V307" i="1"/>
  <c r="AU307" i="1"/>
  <c r="AW307" i="1" s="1"/>
  <c r="AO307" i="1"/>
  <c r="J307" i="1"/>
  <c r="I307" i="1"/>
  <c r="H307" i="1"/>
  <c r="R307" i="1"/>
  <c r="O307" i="1"/>
  <c r="AK307" i="1" s="1"/>
  <c r="K307" i="1"/>
  <c r="U469" i="3"/>
  <c r="AI306" i="1"/>
  <c r="AQ306" i="1"/>
  <c r="U483" i="3"/>
  <c r="V306" i="1"/>
  <c r="AO306" i="1"/>
  <c r="AU306" i="1"/>
  <c r="AW306" i="1" s="1"/>
  <c r="R306" i="1"/>
  <c r="J306" i="1"/>
  <c r="I306" i="1"/>
  <c r="H306" i="1"/>
  <c r="O306" i="1"/>
  <c r="AK306" i="1" s="1"/>
  <c r="K306" i="1"/>
  <c r="U349" i="3"/>
  <c r="AI305" i="1"/>
  <c r="AQ305" i="1"/>
  <c r="T349" i="3" s="1"/>
  <c r="V305" i="1"/>
  <c r="AU305" i="1"/>
  <c r="AW305" i="1" s="1"/>
  <c r="AO305" i="1"/>
  <c r="K305" i="1"/>
  <c r="R305" i="1"/>
  <c r="O305" i="1"/>
  <c r="AK305" i="1" s="1"/>
  <c r="J305" i="1"/>
  <c r="I305" i="1"/>
  <c r="H305" i="1"/>
  <c r="AI304" i="1"/>
  <c r="U348" i="3"/>
  <c r="AQ304" i="1"/>
  <c r="T348" i="3" s="1"/>
  <c r="AO304" i="1"/>
  <c r="AU304" i="1"/>
  <c r="AW304" i="1" s="1"/>
  <c r="V304" i="1"/>
  <c r="O304" i="1"/>
  <c r="AK304" i="1" s="1"/>
  <c r="K304" i="1"/>
  <c r="R304" i="1"/>
  <c r="H304" i="1"/>
  <c r="I304" i="1"/>
  <c r="J304" i="1"/>
  <c r="AI303" i="1"/>
  <c r="U347" i="3"/>
  <c r="AQ303" i="1"/>
  <c r="T347" i="3" s="1"/>
  <c r="AU303" i="1"/>
  <c r="AW303" i="1" s="1"/>
  <c r="AO303" i="1"/>
  <c r="V303" i="1"/>
  <c r="R303" i="1"/>
  <c r="I303" i="1"/>
  <c r="O303" i="1"/>
  <c r="AK303" i="1" s="1"/>
  <c r="K303" i="1"/>
  <c r="J303" i="1"/>
  <c r="H303" i="1"/>
  <c r="AI302" i="1"/>
  <c r="AQ302" i="1"/>
  <c r="T346" i="3" s="1"/>
  <c r="U346" i="3"/>
  <c r="V302" i="1"/>
  <c r="AU302" i="1"/>
  <c r="AW302" i="1" s="1"/>
  <c r="AO302" i="1"/>
  <c r="R302" i="1"/>
  <c r="O302" i="1"/>
  <c r="AK302" i="1" s="1"/>
  <c r="K302" i="1"/>
  <c r="J302" i="1"/>
  <c r="I302" i="1"/>
  <c r="H302" i="1"/>
  <c r="U342" i="3"/>
  <c r="AQ301" i="1"/>
  <c r="T342" i="3" s="1"/>
  <c r="AI301" i="1"/>
  <c r="V301" i="1"/>
  <c r="AU301" i="1"/>
  <c r="AW301" i="1" s="1"/>
  <c r="AO301" i="1"/>
  <c r="H301" i="1"/>
  <c r="I301" i="1"/>
  <c r="J301" i="1"/>
  <c r="K301" i="1"/>
  <c r="R301" i="1"/>
  <c r="O301" i="1"/>
  <c r="AK301" i="1" s="1"/>
  <c r="U556" i="3"/>
  <c r="AQ300" i="1"/>
  <c r="U341" i="3"/>
  <c r="AI300" i="1"/>
  <c r="AU300" i="1"/>
  <c r="AW300" i="1" s="1"/>
  <c r="V300" i="1"/>
  <c r="AO300" i="1"/>
  <c r="H300" i="1"/>
  <c r="R300" i="1"/>
  <c r="I300" i="1"/>
  <c r="J300" i="1"/>
  <c r="K300" i="1"/>
  <c r="O300" i="1"/>
  <c r="AK300" i="1" s="1"/>
  <c r="AI299" i="1"/>
  <c r="U340" i="3"/>
  <c r="AQ299" i="1"/>
  <c r="T340" i="3" s="1"/>
  <c r="AO299" i="1"/>
  <c r="V299" i="1"/>
  <c r="AU299" i="1"/>
  <c r="AW299" i="1" s="1"/>
  <c r="K299" i="1"/>
  <c r="O299" i="1"/>
  <c r="AK299" i="1" s="1"/>
  <c r="R299" i="1"/>
  <c r="J299" i="1"/>
  <c r="I299" i="1"/>
  <c r="H299" i="1"/>
  <c r="AQ298" i="1"/>
  <c r="T339" i="3" s="1"/>
  <c r="AI298" i="1"/>
  <c r="U339" i="3"/>
  <c r="AU298" i="1"/>
  <c r="AW298" i="1" s="1"/>
  <c r="AO298" i="1"/>
  <c r="V298" i="1"/>
  <c r="O298" i="1"/>
  <c r="AK298" i="1" s="1"/>
  <c r="K298" i="1"/>
  <c r="J298" i="1"/>
  <c r="R298" i="1"/>
  <c r="I298" i="1"/>
  <c r="H298" i="1"/>
  <c r="I109" i="2"/>
  <c r="AJ297" i="1"/>
  <c r="H109" i="2"/>
  <c r="AI297" i="1"/>
  <c r="AQ297" i="1"/>
  <c r="T338" i="3" s="1"/>
  <c r="U338" i="3"/>
  <c r="AU297" i="1"/>
  <c r="AW297" i="1" s="1"/>
  <c r="C109" i="2"/>
  <c r="AO297" i="1"/>
  <c r="V297" i="1"/>
  <c r="J297" i="1"/>
  <c r="R297" i="1"/>
  <c r="I297" i="1"/>
  <c r="O297" i="1"/>
  <c r="AK297" i="1" s="1"/>
  <c r="K297" i="1"/>
  <c r="D109" i="2"/>
  <c r="O109" i="2" s="1"/>
  <c r="H297" i="1"/>
  <c r="I83" i="2"/>
  <c r="AJ296" i="1"/>
  <c r="U456" i="3"/>
  <c r="AQ296" i="1"/>
  <c r="U470" i="3"/>
  <c r="AI296" i="1"/>
  <c r="C83" i="2"/>
  <c r="AU296" i="1"/>
  <c r="AW296" i="1" s="1"/>
  <c r="AO296" i="1"/>
  <c r="V296" i="1"/>
  <c r="I296" i="1"/>
  <c r="J296" i="1"/>
  <c r="K296" i="1"/>
  <c r="O296" i="1"/>
  <c r="AK296" i="1" s="1"/>
  <c r="R296" i="1"/>
  <c r="H296" i="1"/>
  <c r="D83" i="2"/>
  <c r="AQ295" i="1"/>
  <c r="T337" i="3" s="1"/>
  <c r="U337" i="3"/>
  <c r="AI295" i="1"/>
  <c r="AO295" i="1"/>
  <c r="V295" i="1"/>
  <c r="AU295" i="1"/>
  <c r="AW295" i="1" s="1"/>
  <c r="R295" i="1"/>
  <c r="O295" i="1"/>
  <c r="AK295" i="1" s="1"/>
  <c r="K295" i="1"/>
  <c r="J295" i="1"/>
  <c r="I295" i="1"/>
  <c r="H295" i="1"/>
  <c r="AQ294" i="1"/>
  <c r="T336" i="3" s="1"/>
  <c r="AI294" i="1"/>
  <c r="U336" i="3"/>
  <c r="V294" i="1"/>
  <c r="AU294" i="1"/>
  <c r="AW294" i="1" s="1"/>
  <c r="AO294" i="1"/>
  <c r="I294" i="1"/>
  <c r="H294" i="1"/>
  <c r="O294" i="1"/>
  <c r="AK294" i="1" s="1"/>
  <c r="R294" i="1"/>
  <c r="K294" i="1"/>
  <c r="J294" i="1"/>
  <c r="U335" i="3"/>
  <c r="AI293" i="1"/>
  <c r="AQ293" i="1"/>
  <c r="T335" i="3" s="1"/>
  <c r="V293" i="1"/>
  <c r="AO293" i="1"/>
  <c r="AU293" i="1"/>
  <c r="AW293" i="1" s="1"/>
  <c r="H293" i="1"/>
  <c r="F293" i="1"/>
  <c r="Q293" i="1" s="1"/>
  <c r="K293" i="1"/>
  <c r="O293" i="1"/>
  <c r="AK293" i="1" s="1"/>
  <c r="R293" i="1"/>
  <c r="I293" i="1"/>
  <c r="J293" i="1"/>
  <c r="U334" i="3"/>
  <c r="AI292" i="1"/>
  <c r="AQ292" i="1"/>
  <c r="U566" i="3"/>
  <c r="AO292" i="1"/>
  <c r="AU292" i="1"/>
  <c r="AW292" i="1" s="1"/>
  <c r="V292" i="1"/>
  <c r="C87" i="2"/>
  <c r="I292" i="1"/>
  <c r="K292" i="1"/>
  <c r="H292" i="1"/>
  <c r="F292" i="1"/>
  <c r="Q292" i="1" s="1"/>
  <c r="R292" i="1" s="1"/>
  <c r="O292" i="1"/>
  <c r="AK292" i="1" s="1"/>
  <c r="J292" i="1"/>
  <c r="D87" i="2"/>
  <c r="AQ291" i="1"/>
  <c r="T333" i="3" s="1"/>
  <c r="AI291" i="1"/>
  <c r="U333" i="3"/>
  <c r="AU291" i="1"/>
  <c r="AW291" i="1" s="1"/>
  <c r="AO291" i="1"/>
  <c r="V291" i="1"/>
  <c r="J291" i="1"/>
  <c r="K291" i="1"/>
  <c r="O291" i="1"/>
  <c r="AK291" i="1" s="1"/>
  <c r="I291" i="1"/>
  <c r="F291" i="1"/>
  <c r="Q291" i="1" s="1"/>
  <c r="R291" i="1" s="1"/>
  <c r="H291" i="1"/>
  <c r="AJ290" i="1"/>
  <c r="I91" i="2"/>
  <c r="AQ290" i="1"/>
  <c r="T332" i="3" s="1"/>
  <c r="AI290" i="1"/>
  <c r="U332" i="3"/>
  <c r="H91" i="2"/>
  <c r="AU290" i="1"/>
  <c r="AW290" i="1" s="1"/>
  <c r="AO290" i="1"/>
  <c r="C91" i="2"/>
  <c r="V290" i="1"/>
  <c r="F290" i="1"/>
  <c r="Q290" i="1" s="1"/>
  <c r="R290" i="1" s="1"/>
  <c r="P290" i="1"/>
  <c r="J290" i="1"/>
  <c r="I290" i="1"/>
  <c r="H290" i="1"/>
  <c r="K290" i="1"/>
  <c r="O290" i="1"/>
  <c r="AK290" i="1" s="1"/>
  <c r="D91" i="2"/>
  <c r="O91" i="2" s="1"/>
  <c r="AQ289" i="1"/>
  <c r="T331" i="3" s="1"/>
  <c r="U331" i="3"/>
  <c r="AI289" i="1"/>
  <c r="AU289" i="1"/>
  <c r="AW289" i="1" s="1"/>
  <c r="AO289" i="1"/>
  <c r="V289" i="1"/>
  <c r="F289" i="1"/>
  <c r="Q289" i="1" s="1"/>
  <c r="P289" i="1"/>
  <c r="J289" i="1"/>
  <c r="K289" i="1"/>
  <c r="O289" i="1"/>
  <c r="AK289" i="1" s="1"/>
  <c r="R289" i="1"/>
  <c r="H289" i="1"/>
  <c r="I289" i="1"/>
  <c r="I88" i="2"/>
  <c r="AJ288" i="1"/>
  <c r="H88" i="2"/>
  <c r="U330" i="3"/>
  <c r="AQ288" i="1"/>
  <c r="T330" i="3" s="1"/>
  <c r="AI288" i="1"/>
  <c r="AU288" i="1"/>
  <c r="AW288" i="1" s="1"/>
  <c r="C88" i="2"/>
  <c r="AO288" i="1"/>
  <c r="V288" i="1"/>
  <c r="P288" i="1"/>
  <c r="F288" i="1"/>
  <c r="Q288" i="1" s="1"/>
  <c r="R288" i="1"/>
  <c r="O288" i="1"/>
  <c r="AK288" i="1" s="1"/>
  <c r="J288" i="1"/>
  <c r="I288" i="1"/>
  <c r="K288" i="1"/>
  <c r="D88" i="2"/>
  <c r="H288" i="1"/>
  <c r="AI287" i="1"/>
  <c r="AQ287" i="1"/>
  <c r="T329" i="3" s="1"/>
  <c r="U329" i="3"/>
  <c r="AO287" i="1"/>
  <c r="AU287" i="1"/>
  <c r="AW287" i="1" s="1"/>
  <c r="AU333" i="1"/>
  <c r="AW333" i="1" s="1"/>
  <c r="V287" i="1"/>
  <c r="M6" i="1"/>
  <c r="B6" i="2" s="1"/>
  <c r="K287" i="1"/>
  <c r="I287" i="1"/>
  <c r="F287" i="1"/>
  <c r="Q287" i="1" s="1"/>
  <c r="H287" i="1"/>
  <c r="J287" i="1"/>
  <c r="O287" i="1"/>
  <c r="AK287" i="1" s="1"/>
  <c r="R287" i="1"/>
  <c r="O286" i="1"/>
  <c r="AK286" i="1" s="1"/>
  <c r="K286" i="1"/>
  <c r="J286" i="1"/>
  <c r="I286" i="1"/>
  <c r="H286" i="1"/>
  <c r="AQ285" i="1"/>
  <c r="T326" i="3" s="1"/>
  <c r="AI285" i="1"/>
  <c r="V285" i="1"/>
  <c r="AO285" i="1"/>
  <c r="AU285" i="1"/>
  <c r="AW285" i="1" s="1"/>
  <c r="I285" i="1"/>
  <c r="H285" i="1"/>
  <c r="K285" i="1"/>
  <c r="J285" i="1"/>
  <c r="O285" i="1"/>
  <c r="AK285" i="1" s="1"/>
  <c r="AQ284" i="1"/>
  <c r="T325" i="3" s="1"/>
  <c r="AI284" i="1"/>
  <c r="AU284" i="1"/>
  <c r="AW284" i="1" s="1"/>
  <c r="V284" i="1"/>
  <c r="AO284" i="1"/>
  <c r="O284" i="1"/>
  <c r="AK284" i="1" s="1"/>
  <c r="J284" i="1"/>
  <c r="I284" i="1"/>
  <c r="H284" i="1"/>
  <c r="K284" i="1"/>
  <c r="AQ283" i="1"/>
  <c r="T324" i="3" s="1"/>
  <c r="AI283" i="1"/>
  <c r="AO283" i="1"/>
  <c r="V283" i="1"/>
  <c r="AU283" i="1"/>
  <c r="AW283" i="1" s="1"/>
  <c r="O283" i="1"/>
  <c r="AK283" i="1" s="1"/>
  <c r="H283" i="1"/>
  <c r="I283" i="1"/>
  <c r="J283" i="1"/>
  <c r="K283" i="1"/>
  <c r="AQ282" i="1"/>
  <c r="T323" i="3" s="1"/>
  <c r="AI282" i="1"/>
  <c r="AU282" i="1"/>
  <c r="AW282" i="1" s="1"/>
  <c r="AO282" i="1"/>
  <c r="V282" i="1"/>
  <c r="J282" i="1"/>
  <c r="K282" i="1"/>
  <c r="H282" i="1"/>
  <c r="I282" i="1"/>
  <c r="O282" i="1"/>
  <c r="AK282" i="1" s="1"/>
  <c r="AI281" i="1"/>
  <c r="AQ281" i="1"/>
  <c r="T322" i="3" s="1"/>
  <c r="V281" i="1"/>
  <c r="AO281" i="1"/>
  <c r="AU281" i="1"/>
  <c r="AW281" i="1" s="1"/>
  <c r="H281" i="1"/>
  <c r="O281" i="1"/>
  <c r="AK281" i="1" s="1"/>
  <c r="K281" i="1"/>
  <c r="J281" i="1"/>
  <c r="I281" i="1"/>
  <c r="AI280" i="1"/>
  <c r="AQ280" i="1"/>
  <c r="T321" i="3" s="1"/>
  <c r="V280" i="1"/>
  <c r="AU280" i="1"/>
  <c r="AW280" i="1" s="1"/>
  <c r="AO280" i="1"/>
  <c r="O280" i="1"/>
  <c r="AK280" i="1" s="1"/>
  <c r="H280" i="1"/>
  <c r="K280" i="1"/>
  <c r="I280" i="1"/>
  <c r="J280" i="1"/>
  <c r="AQ279" i="1"/>
  <c r="T320" i="3" s="1"/>
  <c r="AI279" i="1"/>
  <c r="AU279" i="1"/>
  <c r="AW279" i="1" s="1"/>
  <c r="AO279" i="1"/>
  <c r="V279" i="1"/>
  <c r="O279" i="1"/>
  <c r="AK279" i="1" s="1"/>
  <c r="J279" i="1"/>
  <c r="I279" i="1"/>
  <c r="H279" i="1"/>
  <c r="K279" i="1"/>
  <c r="AQ278" i="1"/>
  <c r="T319" i="3" s="1"/>
  <c r="AI278" i="1"/>
  <c r="AO278" i="1"/>
  <c r="V278" i="1"/>
  <c r="AU278" i="1"/>
  <c r="AW278" i="1" s="1"/>
  <c r="K278" i="1"/>
  <c r="J278" i="1"/>
  <c r="I278" i="1"/>
  <c r="H278" i="1"/>
  <c r="O278" i="1"/>
  <c r="AK278" i="1" s="1"/>
  <c r="AI277" i="1"/>
  <c r="AQ277" i="1"/>
  <c r="T318" i="3" s="1"/>
  <c r="AO277" i="1"/>
  <c r="AU277" i="1"/>
  <c r="AW277" i="1" s="1"/>
  <c r="V277" i="1"/>
  <c r="H277" i="1"/>
  <c r="O277" i="1"/>
  <c r="AK277" i="1" s="1"/>
  <c r="K277" i="1"/>
  <c r="I277" i="1"/>
  <c r="J277" i="1"/>
  <c r="AQ276" i="1"/>
  <c r="T316" i="3" s="1"/>
  <c r="AI276" i="1"/>
  <c r="AU276" i="1"/>
  <c r="AW276" i="1" s="1"/>
  <c r="V276" i="1"/>
  <c r="AO276" i="1"/>
  <c r="H276" i="1"/>
  <c r="I276" i="1"/>
  <c r="J276" i="1"/>
  <c r="K276" i="1"/>
  <c r="O276" i="1"/>
  <c r="AK276" i="1" s="1"/>
  <c r="AQ275" i="1"/>
  <c r="T315" i="3" s="1"/>
  <c r="AI275" i="1"/>
  <c r="AU275" i="1"/>
  <c r="AW275" i="1" s="1"/>
  <c r="AO275" i="1"/>
  <c r="V275" i="1"/>
  <c r="I275" i="1"/>
  <c r="O275" i="1"/>
  <c r="AK275" i="1" s="1"/>
  <c r="K275" i="1"/>
  <c r="H275" i="1"/>
  <c r="J275" i="1"/>
  <c r="AI274" i="1"/>
  <c r="AQ274" i="1"/>
  <c r="T314" i="3" s="1"/>
  <c r="V274" i="1"/>
  <c r="AU274" i="1"/>
  <c r="AW274" i="1" s="1"/>
  <c r="AO274" i="1"/>
  <c r="O274" i="1"/>
  <c r="AK274" i="1" s="1"/>
  <c r="K274" i="1"/>
  <c r="J274" i="1"/>
  <c r="I274" i="1"/>
  <c r="H274" i="1"/>
  <c r="AQ273" i="1"/>
  <c r="T313" i="3" s="1"/>
  <c r="AI273" i="1"/>
  <c r="AO273" i="1"/>
  <c r="AU273" i="1"/>
  <c r="AW273" i="1" s="1"/>
  <c r="V273" i="1"/>
  <c r="J273" i="1"/>
  <c r="I273" i="1"/>
  <c r="O273" i="1"/>
  <c r="AK273" i="1" s="1"/>
  <c r="K273" i="1"/>
  <c r="H273" i="1"/>
  <c r="AQ272" i="1"/>
  <c r="T311" i="3" s="1"/>
  <c r="AI272" i="1"/>
  <c r="V272" i="1"/>
  <c r="AU272" i="1"/>
  <c r="AW272" i="1" s="1"/>
  <c r="AO272" i="1"/>
  <c r="O272" i="1"/>
  <c r="AK272" i="1" s="1"/>
  <c r="K272" i="1"/>
  <c r="I272" i="1"/>
  <c r="H272" i="1"/>
  <c r="J272" i="1"/>
  <c r="AQ271" i="1"/>
  <c r="T310" i="3" s="1"/>
  <c r="AI271" i="1"/>
  <c r="V271" i="1"/>
  <c r="AO271" i="1"/>
  <c r="AU271" i="1"/>
  <c r="AW271" i="1" s="1"/>
  <c r="I271" i="1"/>
  <c r="H271" i="1"/>
  <c r="O271" i="1"/>
  <c r="AK271" i="1" s="1"/>
  <c r="J271" i="1"/>
  <c r="K271" i="1"/>
  <c r="AI270" i="1"/>
  <c r="AQ270" i="1"/>
  <c r="T309" i="3" s="1"/>
  <c r="AU270" i="1"/>
  <c r="AW270" i="1" s="1"/>
  <c r="AO270" i="1"/>
  <c r="V270" i="1"/>
  <c r="H270" i="1"/>
  <c r="I270" i="1"/>
  <c r="J270" i="1"/>
  <c r="K270" i="1"/>
  <c r="O270" i="1"/>
  <c r="AK270" i="1" s="1"/>
  <c r="AI269" i="1"/>
  <c r="AQ269" i="1"/>
  <c r="T308" i="3" s="1"/>
  <c r="V269" i="1"/>
  <c r="AO269" i="1"/>
  <c r="AU269" i="1"/>
  <c r="AW269" i="1" s="1"/>
  <c r="O269" i="1"/>
  <c r="AK269" i="1" s="1"/>
  <c r="K269" i="1"/>
  <c r="J269" i="1"/>
  <c r="H269" i="1"/>
  <c r="I269" i="1"/>
  <c r="AI268" i="1"/>
  <c r="AQ268" i="1"/>
  <c r="T306" i="3" s="1"/>
  <c r="AU268" i="1"/>
  <c r="AW268" i="1" s="1"/>
  <c r="AO268" i="1"/>
  <c r="V268" i="1"/>
  <c r="H268" i="1"/>
  <c r="K268" i="1"/>
  <c r="O268" i="1"/>
  <c r="AK268" i="1" s="1"/>
  <c r="I268" i="1"/>
  <c r="J268" i="1"/>
  <c r="AQ267" i="1"/>
  <c r="T305" i="3" s="1"/>
  <c r="AI267" i="1"/>
  <c r="AU267" i="1"/>
  <c r="AW267" i="1" s="1"/>
  <c r="AO267" i="1"/>
  <c r="V267" i="1"/>
  <c r="O267" i="1"/>
  <c r="AK267" i="1" s="1"/>
  <c r="H267" i="1"/>
  <c r="K267" i="1"/>
  <c r="J267" i="1"/>
  <c r="I267" i="1"/>
  <c r="AI266" i="1"/>
  <c r="AQ266" i="1"/>
  <c r="T304" i="3" s="1"/>
  <c r="V266" i="1"/>
  <c r="AO266" i="1"/>
  <c r="AU266" i="1"/>
  <c r="AW266" i="1" s="1"/>
  <c r="O266" i="1"/>
  <c r="AK266" i="1" s="1"/>
  <c r="K266" i="1"/>
  <c r="J266" i="1"/>
  <c r="I266" i="1"/>
  <c r="H266" i="1"/>
  <c r="U424" i="3"/>
  <c r="U446" i="3"/>
  <c r="AQ265" i="1"/>
  <c r="AI265" i="1"/>
  <c r="AU265" i="1"/>
  <c r="AW265" i="1" s="1"/>
  <c r="AO265" i="1"/>
  <c r="V265" i="1"/>
  <c r="O265" i="1"/>
  <c r="AK265" i="1" s="1"/>
  <c r="K265" i="1"/>
  <c r="J265" i="1"/>
  <c r="I265" i="1"/>
  <c r="H265" i="1"/>
  <c r="R265" i="1"/>
  <c r="AQ264" i="1"/>
  <c r="T303" i="3" s="1"/>
  <c r="AI264" i="1"/>
  <c r="V264" i="1"/>
  <c r="AU264" i="1"/>
  <c r="AW264" i="1" s="1"/>
  <c r="AO264" i="1"/>
  <c r="O264" i="1"/>
  <c r="AK264" i="1" s="1"/>
  <c r="K264" i="1"/>
  <c r="J264" i="1"/>
  <c r="I264" i="1"/>
  <c r="H264" i="1"/>
  <c r="AQ263" i="1"/>
  <c r="AI263" i="1"/>
  <c r="U558" i="3"/>
  <c r="AO263" i="1"/>
  <c r="V263" i="1"/>
  <c r="AU263" i="1"/>
  <c r="AW263" i="1" s="1"/>
  <c r="O263" i="1"/>
  <c r="AK263" i="1" s="1"/>
  <c r="K263" i="1"/>
  <c r="J263" i="1"/>
  <c r="H263" i="1"/>
  <c r="I263" i="1"/>
  <c r="AI262" i="1"/>
  <c r="AQ262" i="1"/>
  <c r="T301" i="3" s="1"/>
  <c r="V262" i="1"/>
  <c r="AO262" i="1"/>
  <c r="AU262" i="1"/>
  <c r="AW262" i="1" s="1"/>
  <c r="O262" i="1"/>
  <c r="AK262" i="1" s="1"/>
  <c r="H262" i="1"/>
  <c r="I262" i="1"/>
  <c r="K262" i="1"/>
  <c r="J262" i="1"/>
  <c r="AQ261" i="1"/>
  <c r="T299" i="3" s="1"/>
  <c r="AI261" i="1"/>
  <c r="AU261" i="1"/>
  <c r="AW261" i="1" s="1"/>
  <c r="AO261" i="1"/>
  <c r="V261" i="1"/>
  <c r="O261" i="1"/>
  <c r="AK261" i="1" s="1"/>
  <c r="K261" i="1"/>
  <c r="J261" i="1"/>
  <c r="I261" i="1"/>
  <c r="H261" i="1"/>
  <c r="AI260" i="1"/>
  <c r="AQ260" i="1"/>
  <c r="T298" i="3" s="1"/>
  <c r="V260" i="1"/>
  <c r="AU260" i="1"/>
  <c r="AW260" i="1" s="1"/>
  <c r="AO260" i="1"/>
  <c r="O260" i="1"/>
  <c r="AK260" i="1" s="1"/>
  <c r="K260" i="1"/>
  <c r="J260" i="1"/>
  <c r="I260" i="1"/>
  <c r="H260" i="1"/>
  <c r="AQ259" i="1"/>
  <c r="T297" i="3" s="1"/>
  <c r="AI259" i="1"/>
  <c r="AU259" i="1"/>
  <c r="AW259" i="1" s="1"/>
  <c r="AO259" i="1"/>
  <c r="V259" i="1"/>
  <c r="O259" i="1"/>
  <c r="AK259" i="1" s="1"/>
  <c r="J259" i="1"/>
  <c r="I259" i="1"/>
  <c r="H259" i="1"/>
  <c r="K259" i="1"/>
  <c r="AQ258" i="1"/>
  <c r="T296" i="3" s="1"/>
  <c r="AI258" i="1"/>
  <c r="AU258" i="1"/>
  <c r="AW258" i="1" s="1"/>
  <c r="V258" i="1"/>
  <c r="AO258" i="1"/>
  <c r="O258" i="1"/>
  <c r="AK258" i="1" s="1"/>
  <c r="K258" i="1"/>
  <c r="J258" i="1"/>
  <c r="I258" i="1"/>
  <c r="H258" i="1"/>
  <c r="AQ257" i="1"/>
  <c r="T295" i="3" s="1"/>
  <c r="AI257" i="1"/>
  <c r="AU257" i="1"/>
  <c r="AW257" i="1" s="1"/>
  <c r="AO257" i="1"/>
  <c r="V257" i="1"/>
  <c r="O257" i="1"/>
  <c r="AK257" i="1" s="1"/>
  <c r="K257" i="1"/>
  <c r="J257" i="1"/>
  <c r="I257" i="1"/>
  <c r="H257" i="1"/>
  <c r="AI256" i="1"/>
  <c r="AQ256" i="1"/>
  <c r="T294" i="3" s="1"/>
  <c r="AU256" i="1"/>
  <c r="AW256" i="1" s="1"/>
  <c r="V256" i="1"/>
  <c r="AO256" i="1"/>
  <c r="O256" i="1"/>
  <c r="AK256" i="1" s="1"/>
  <c r="K256" i="1"/>
  <c r="J256" i="1"/>
  <c r="I256" i="1"/>
  <c r="H256" i="1"/>
  <c r="AI255" i="1"/>
  <c r="AQ255" i="1"/>
  <c r="T293" i="3" s="1"/>
  <c r="V255" i="1"/>
  <c r="AO255" i="1"/>
  <c r="AU255" i="1"/>
  <c r="AW255" i="1" s="1"/>
  <c r="O255" i="1"/>
  <c r="AK255" i="1" s="1"/>
  <c r="H255" i="1"/>
  <c r="I255" i="1"/>
  <c r="J255" i="1"/>
  <c r="K255" i="1"/>
  <c r="AI254" i="1"/>
  <c r="AQ254" i="1"/>
  <c r="T292" i="3" s="1"/>
  <c r="V254" i="1"/>
  <c r="AU254" i="1"/>
  <c r="AW254" i="1" s="1"/>
  <c r="AO254" i="1"/>
  <c r="H254" i="1"/>
  <c r="I254" i="1"/>
  <c r="J254" i="1"/>
  <c r="O254" i="1"/>
  <c r="AK254" i="1" s="1"/>
  <c r="K254" i="1"/>
  <c r="AI253" i="1"/>
  <c r="AQ253" i="1"/>
  <c r="T291" i="3" s="1"/>
  <c r="V253" i="1"/>
  <c r="AO253" i="1"/>
  <c r="AU253" i="1"/>
  <c r="AW253" i="1" s="1"/>
  <c r="J253" i="1"/>
  <c r="O253" i="1"/>
  <c r="AK253" i="1" s="1"/>
  <c r="K253" i="1"/>
  <c r="I253" i="1"/>
  <c r="H253" i="1"/>
  <c r="I95" i="2"/>
  <c r="AJ252" i="1"/>
  <c r="H95" i="2"/>
  <c r="AQ252" i="1"/>
  <c r="T287" i="3" s="1"/>
  <c r="AI252" i="1"/>
  <c r="AO252" i="1"/>
  <c r="C95" i="2"/>
  <c r="AU252" i="1"/>
  <c r="AW252" i="1" s="1"/>
  <c r="V252" i="1"/>
  <c r="H252" i="1"/>
  <c r="I252" i="1"/>
  <c r="J252" i="1"/>
  <c r="D95" i="2"/>
  <c r="O95" i="2" s="1"/>
  <c r="O252" i="1"/>
  <c r="AK252" i="1" s="1"/>
  <c r="K252" i="1"/>
  <c r="AQ251" i="1"/>
  <c r="T285" i="3" s="1"/>
  <c r="AI251" i="1"/>
  <c r="AO251" i="1"/>
  <c r="AU251" i="1"/>
  <c r="AW251" i="1" s="1"/>
  <c r="V251" i="1"/>
  <c r="J251" i="1"/>
  <c r="O251" i="1"/>
  <c r="AK251" i="1" s="1"/>
  <c r="K251" i="1"/>
  <c r="I251" i="1"/>
  <c r="H251" i="1"/>
  <c r="AQ250" i="1"/>
  <c r="T284" i="3" s="1"/>
  <c r="AI250" i="1"/>
  <c r="V250" i="1"/>
  <c r="AU250" i="1"/>
  <c r="AW250" i="1" s="1"/>
  <c r="AO250" i="1"/>
  <c r="H250" i="1"/>
  <c r="O250" i="1"/>
  <c r="AK250" i="1" s="1"/>
  <c r="K250" i="1"/>
  <c r="J250" i="1"/>
  <c r="I250" i="1"/>
  <c r="AQ249" i="1"/>
  <c r="T283" i="3" s="1"/>
  <c r="AI249" i="1"/>
  <c r="AU249" i="1"/>
  <c r="AW249" i="1" s="1"/>
  <c r="AO249" i="1"/>
  <c r="V249" i="1"/>
  <c r="H249" i="1"/>
  <c r="I249" i="1"/>
  <c r="J249" i="1"/>
  <c r="K249" i="1"/>
  <c r="O249" i="1"/>
  <c r="AK249" i="1" s="1"/>
  <c r="AI248" i="1"/>
  <c r="AQ248" i="1"/>
  <c r="T282" i="3" s="1"/>
  <c r="V248" i="1"/>
  <c r="AO248" i="1"/>
  <c r="AU248" i="1"/>
  <c r="AW248" i="1" s="1"/>
  <c r="K248" i="1"/>
  <c r="J248" i="1"/>
  <c r="H248" i="1"/>
  <c r="O248" i="1"/>
  <c r="AK248" i="1" s="1"/>
  <c r="I248" i="1"/>
  <c r="AQ247" i="1"/>
  <c r="T281" i="3" s="1"/>
  <c r="AI247" i="1"/>
  <c r="V247" i="1"/>
  <c r="AU247" i="1"/>
  <c r="AW247" i="1" s="1"/>
  <c r="AO247" i="1"/>
  <c r="H247" i="1"/>
  <c r="I247" i="1"/>
  <c r="J247" i="1"/>
  <c r="K247" i="1"/>
  <c r="O247" i="1"/>
  <c r="AK247" i="1" s="1"/>
  <c r="AQ246" i="1"/>
  <c r="T280" i="3" s="1"/>
  <c r="AI246" i="1"/>
  <c r="AU246" i="1"/>
  <c r="AW246" i="1" s="1"/>
  <c r="V246" i="1"/>
  <c r="AO246" i="1"/>
  <c r="I246" i="1"/>
  <c r="H246" i="1"/>
  <c r="J246" i="1"/>
  <c r="K246" i="1"/>
  <c r="O246" i="1"/>
  <c r="AK246" i="1" s="1"/>
  <c r="AI245" i="1"/>
  <c r="AQ245" i="1"/>
  <c r="T279" i="3" s="1"/>
  <c r="V245" i="1"/>
  <c r="AO245" i="1"/>
  <c r="AU245" i="1"/>
  <c r="AW245" i="1" s="1"/>
  <c r="O245" i="1"/>
  <c r="AK245" i="1" s="1"/>
  <c r="K245" i="1"/>
  <c r="J245" i="1"/>
  <c r="I245" i="1"/>
  <c r="H245" i="1"/>
  <c r="AQ244" i="1"/>
  <c r="T278" i="3" s="1"/>
  <c r="AI244" i="1"/>
  <c r="AU244" i="1"/>
  <c r="AW244" i="1" s="1"/>
  <c r="AO244" i="1"/>
  <c r="V244" i="1"/>
  <c r="H244" i="1"/>
  <c r="I244" i="1"/>
  <c r="J244" i="1"/>
  <c r="K244" i="1"/>
  <c r="O244" i="1"/>
  <c r="AK244" i="1" s="1"/>
  <c r="AI243" i="1"/>
  <c r="AQ243" i="1"/>
  <c r="T277" i="3" s="1"/>
  <c r="AO243" i="1"/>
  <c r="V243" i="1"/>
  <c r="AU243" i="1"/>
  <c r="AW243" i="1" s="1"/>
  <c r="J243" i="1"/>
  <c r="K243" i="1"/>
  <c r="O243" i="1"/>
  <c r="AK243" i="1" s="1"/>
  <c r="H243" i="1"/>
  <c r="I243" i="1"/>
  <c r="AQ242" i="1"/>
  <c r="T276" i="3" s="1"/>
  <c r="AI242" i="1"/>
  <c r="V242" i="1"/>
  <c r="AU242" i="1"/>
  <c r="AW242" i="1" s="1"/>
  <c r="AO242" i="1"/>
  <c r="J242" i="1"/>
  <c r="I242" i="1"/>
  <c r="H242" i="1"/>
  <c r="O242" i="1"/>
  <c r="AK242" i="1" s="1"/>
  <c r="K242" i="1"/>
  <c r="AI241" i="1"/>
  <c r="AQ241" i="1"/>
  <c r="T275" i="3" s="1"/>
  <c r="AU241" i="1"/>
  <c r="AW241" i="1" s="1"/>
  <c r="AO241" i="1"/>
  <c r="V241" i="1"/>
  <c r="I241" i="1"/>
  <c r="J241" i="1"/>
  <c r="K241" i="1"/>
  <c r="O241" i="1"/>
  <c r="AK241" i="1" s="1"/>
  <c r="H241" i="1"/>
  <c r="I87" i="2"/>
  <c r="AJ240" i="1"/>
  <c r="AQ240" i="1"/>
  <c r="T274" i="3" s="1"/>
  <c r="AI240" i="1"/>
  <c r="H87" i="2"/>
  <c r="AU240" i="1"/>
  <c r="AW240" i="1" s="1"/>
  <c r="AO240" i="1"/>
  <c r="V240" i="1"/>
  <c r="O240" i="1"/>
  <c r="AK240" i="1" s="1"/>
  <c r="J240" i="1"/>
  <c r="I240" i="1"/>
  <c r="H240" i="1"/>
  <c r="K240" i="1"/>
  <c r="AQ239" i="1"/>
  <c r="T273" i="3" s="1"/>
  <c r="AI239" i="1"/>
  <c r="AO239" i="1"/>
  <c r="AU239" i="1"/>
  <c r="AW239" i="1" s="1"/>
  <c r="V239" i="1"/>
  <c r="H239" i="1"/>
  <c r="O239" i="1"/>
  <c r="AK239" i="1" s="1"/>
  <c r="K239" i="1"/>
  <c r="J239" i="1"/>
  <c r="I239" i="1"/>
  <c r="AI238" i="1"/>
  <c r="AQ238" i="1"/>
  <c r="V238" i="1"/>
  <c r="AO238" i="1"/>
  <c r="AU238" i="1"/>
  <c r="AW238" i="1" s="1"/>
  <c r="K238" i="1"/>
  <c r="J238" i="1"/>
  <c r="O238" i="1"/>
  <c r="AK238" i="1" s="1"/>
  <c r="H238" i="1"/>
  <c r="I238" i="1"/>
  <c r="AI237" i="1"/>
  <c r="AQ237" i="1"/>
  <c r="V237" i="1"/>
  <c r="AO237" i="1"/>
  <c r="AU237" i="1"/>
  <c r="AW237" i="1" s="1"/>
  <c r="K237" i="1"/>
  <c r="J237" i="1"/>
  <c r="I237" i="1"/>
  <c r="O237" i="1"/>
  <c r="AK237" i="1" s="1"/>
  <c r="H237" i="1"/>
  <c r="AQ236" i="1"/>
  <c r="U410" i="3"/>
  <c r="U409" i="3"/>
  <c r="AI236" i="1"/>
  <c r="AU236" i="1"/>
  <c r="AW236" i="1" s="1"/>
  <c r="AO236" i="1"/>
  <c r="V236" i="1"/>
  <c r="K236" i="1"/>
  <c r="O236" i="1"/>
  <c r="AK236" i="1" s="1"/>
  <c r="J236" i="1"/>
  <c r="H236" i="1"/>
  <c r="I236" i="1"/>
  <c r="AQ235" i="1"/>
  <c r="T272" i="3" s="1"/>
  <c r="AI235" i="1"/>
  <c r="AO235" i="1"/>
  <c r="AU235" i="1"/>
  <c r="AW235" i="1" s="1"/>
  <c r="V235" i="1"/>
  <c r="O235" i="1"/>
  <c r="AK235" i="1" s="1"/>
  <c r="K235" i="1"/>
  <c r="J235" i="1"/>
  <c r="I235" i="1"/>
  <c r="H235" i="1"/>
  <c r="AI234" i="1"/>
  <c r="AQ234" i="1"/>
  <c r="T271" i="3" s="1"/>
  <c r="AO234" i="1"/>
  <c r="AU234" i="1"/>
  <c r="AW234" i="1" s="1"/>
  <c r="V234" i="1"/>
  <c r="K234" i="1"/>
  <c r="I234" i="1"/>
  <c r="O234" i="1"/>
  <c r="AK234" i="1" s="1"/>
  <c r="J234" i="1"/>
  <c r="H234" i="1"/>
  <c r="AI233" i="1"/>
  <c r="AQ233" i="1"/>
  <c r="T269" i="3" s="1"/>
  <c r="V233" i="1"/>
  <c r="AO233" i="1"/>
  <c r="AU233" i="1"/>
  <c r="AW233" i="1" s="1"/>
  <c r="J233" i="1"/>
  <c r="K233" i="1"/>
  <c r="O233" i="1"/>
  <c r="AK233" i="1" s="1"/>
  <c r="H233" i="1"/>
  <c r="I233" i="1"/>
  <c r="AI232" i="1"/>
  <c r="AQ232" i="1"/>
  <c r="T268" i="3" s="1"/>
  <c r="AU232" i="1"/>
  <c r="AW232" i="1" s="1"/>
  <c r="AO232" i="1"/>
  <c r="V232" i="1"/>
  <c r="I232" i="1"/>
  <c r="H232" i="1"/>
  <c r="K232" i="1"/>
  <c r="J232" i="1"/>
  <c r="O232" i="1"/>
  <c r="AK232" i="1" s="1"/>
  <c r="AI231" i="1"/>
  <c r="AQ231" i="1"/>
  <c r="T267" i="3" s="1"/>
  <c r="V231" i="1"/>
  <c r="AU231" i="1"/>
  <c r="AW231" i="1" s="1"/>
  <c r="AO231" i="1"/>
  <c r="H231" i="1"/>
  <c r="J231" i="1"/>
  <c r="K231" i="1"/>
  <c r="O231" i="1"/>
  <c r="AK231" i="1" s="1"/>
  <c r="I231" i="1"/>
  <c r="AQ230" i="1"/>
  <c r="AI230" i="1"/>
  <c r="U407" i="3"/>
  <c r="U408" i="3"/>
  <c r="AU230" i="1"/>
  <c r="AW230" i="1" s="1"/>
  <c r="AO230" i="1"/>
  <c r="V230" i="1"/>
  <c r="H230" i="1"/>
  <c r="R230" i="1"/>
  <c r="I230" i="1"/>
  <c r="J230" i="1"/>
  <c r="K230" i="1"/>
  <c r="O230" i="1"/>
  <c r="AK230" i="1" s="1"/>
  <c r="AI229" i="1"/>
  <c r="AQ229" i="1"/>
  <c r="T266" i="3" s="1"/>
  <c r="AO229" i="1"/>
  <c r="AU229" i="1"/>
  <c r="AW229" i="1" s="1"/>
  <c r="V229" i="1"/>
  <c r="H229" i="1"/>
  <c r="I229" i="1"/>
  <c r="J229" i="1"/>
  <c r="K229" i="1"/>
  <c r="O229" i="1"/>
  <c r="AK229" i="1" s="1"/>
  <c r="AI228" i="1"/>
  <c r="AQ228" i="1"/>
  <c r="U585" i="3"/>
  <c r="V228" i="1"/>
  <c r="AO228" i="1"/>
  <c r="AU228" i="1"/>
  <c r="AW228" i="1" s="1"/>
  <c r="O228" i="1"/>
  <c r="AK228" i="1" s="1"/>
  <c r="K228" i="1"/>
  <c r="J228" i="1"/>
  <c r="I228" i="1"/>
  <c r="H228" i="1"/>
  <c r="AQ227" i="1"/>
  <c r="T264" i="3" s="1"/>
  <c r="AI227" i="1"/>
  <c r="AO227" i="1"/>
  <c r="AU227" i="1"/>
  <c r="AW227" i="1" s="1"/>
  <c r="V227" i="1"/>
  <c r="J227" i="1"/>
  <c r="I227" i="1"/>
  <c r="K227" i="1"/>
  <c r="H227" i="1"/>
  <c r="O227" i="1"/>
  <c r="AK227" i="1" s="1"/>
  <c r="AQ226" i="1"/>
  <c r="T263" i="3" s="1"/>
  <c r="AI226" i="1"/>
  <c r="V226" i="1"/>
  <c r="AO226" i="1"/>
  <c r="AU226" i="1"/>
  <c r="AW226" i="1" s="1"/>
  <c r="K226" i="1"/>
  <c r="J226" i="1"/>
  <c r="O226" i="1"/>
  <c r="AK226" i="1" s="1"/>
  <c r="I226" i="1"/>
  <c r="H226" i="1"/>
  <c r="AQ225" i="1"/>
  <c r="T261" i="3" s="1"/>
  <c r="AI225" i="1"/>
  <c r="AU225" i="1"/>
  <c r="AW225" i="1" s="1"/>
  <c r="AO225" i="1"/>
  <c r="V225" i="1"/>
  <c r="O225" i="1"/>
  <c r="AK225" i="1" s="1"/>
  <c r="H225" i="1"/>
  <c r="I225" i="1"/>
  <c r="J225" i="1"/>
  <c r="K225" i="1"/>
  <c r="AQ224" i="1"/>
  <c r="AI224" i="1"/>
  <c r="U541" i="3"/>
  <c r="AU224" i="1"/>
  <c r="AW224" i="1" s="1"/>
  <c r="V224" i="1"/>
  <c r="AO224" i="1"/>
  <c r="H224" i="1"/>
  <c r="O224" i="1"/>
  <c r="AK224" i="1" s="1"/>
  <c r="I224" i="1"/>
  <c r="J224" i="1"/>
  <c r="K224" i="1"/>
  <c r="AQ223" i="1"/>
  <c r="AI223" i="1"/>
  <c r="U394" i="3"/>
  <c r="U404" i="3"/>
  <c r="AU223" i="1"/>
  <c r="AW223" i="1" s="1"/>
  <c r="AO223" i="1"/>
  <c r="V223" i="1"/>
  <c r="J223" i="1"/>
  <c r="I223" i="1"/>
  <c r="H223" i="1"/>
  <c r="K223" i="1"/>
  <c r="O223" i="1"/>
  <c r="AK223" i="1" s="1"/>
  <c r="R223" i="1"/>
  <c r="AQ222" i="1"/>
  <c r="T258" i="3" s="1"/>
  <c r="AI222" i="1"/>
  <c r="V222" i="1"/>
  <c r="AO222" i="1"/>
  <c r="AU222" i="1"/>
  <c r="AW222" i="1" s="1"/>
  <c r="O222" i="1"/>
  <c r="AK222" i="1" s="1"/>
  <c r="J222" i="1"/>
  <c r="I222" i="1"/>
  <c r="H222" i="1"/>
  <c r="K222" i="1"/>
  <c r="AQ221" i="1"/>
  <c r="AI221" i="1"/>
  <c r="U383" i="3"/>
  <c r="U405" i="3"/>
  <c r="AU221" i="1"/>
  <c r="AW221" i="1" s="1"/>
  <c r="AO221" i="1"/>
  <c r="V221" i="1"/>
  <c r="H221" i="1"/>
  <c r="I221" i="1"/>
  <c r="J221" i="1"/>
  <c r="K221" i="1"/>
  <c r="O221" i="1"/>
  <c r="AK221" i="1" s="1"/>
  <c r="R221" i="1"/>
  <c r="AQ220" i="1"/>
  <c r="T257" i="3" s="1"/>
  <c r="AI220" i="1"/>
  <c r="V220" i="1"/>
  <c r="AU220" i="1"/>
  <c r="AW220" i="1" s="1"/>
  <c r="AO220" i="1"/>
  <c r="H220" i="1"/>
  <c r="I220" i="1"/>
  <c r="K220" i="1"/>
  <c r="O220" i="1"/>
  <c r="AK220" i="1" s="1"/>
  <c r="J220" i="1"/>
  <c r="AQ219" i="1"/>
  <c r="T256" i="3" s="1"/>
  <c r="AI219" i="1"/>
  <c r="AO219" i="1"/>
  <c r="AU219" i="1"/>
  <c r="AW219" i="1" s="1"/>
  <c r="V219" i="1"/>
  <c r="J219" i="1"/>
  <c r="I219" i="1"/>
  <c r="H219" i="1"/>
  <c r="O219" i="1"/>
  <c r="AK219" i="1" s="1"/>
  <c r="K219" i="1"/>
  <c r="AQ218" i="1"/>
  <c r="T255" i="3" s="1"/>
  <c r="AI218" i="1"/>
  <c r="AU218" i="1"/>
  <c r="AW218" i="1" s="1"/>
  <c r="V218" i="1"/>
  <c r="AO218" i="1"/>
  <c r="H218" i="1"/>
  <c r="I218" i="1"/>
  <c r="J218" i="1"/>
  <c r="K218" i="1"/>
  <c r="O218" i="1"/>
  <c r="AK218" i="1" s="1"/>
  <c r="AQ217" i="1"/>
  <c r="T254" i="3" s="1"/>
  <c r="AI217" i="1"/>
  <c r="AU217" i="1"/>
  <c r="AW217" i="1" s="1"/>
  <c r="AO217" i="1"/>
  <c r="V217" i="1"/>
  <c r="H217" i="1"/>
  <c r="O217" i="1"/>
  <c r="AK217" i="1" s="1"/>
  <c r="J217" i="1"/>
  <c r="I217" i="1"/>
  <c r="K217" i="1"/>
  <c r="AQ216" i="1"/>
  <c r="T252" i="3" s="1"/>
  <c r="AI216" i="1"/>
  <c r="V216" i="1"/>
  <c r="AO216" i="1"/>
  <c r="AU216" i="1"/>
  <c r="AW216" i="1" s="1"/>
  <c r="I216" i="1"/>
  <c r="H216" i="1"/>
  <c r="K216" i="1"/>
  <c r="O216" i="1"/>
  <c r="AK216" i="1" s="1"/>
  <c r="J216" i="1"/>
  <c r="AQ215" i="1"/>
  <c r="T251" i="3" s="1"/>
  <c r="AI215" i="1"/>
  <c r="AU215" i="1"/>
  <c r="AW215" i="1" s="1"/>
  <c r="V215" i="1"/>
  <c r="AO215" i="1"/>
  <c r="O215" i="1"/>
  <c r="AK215" i="1" s="1"/>
  <c r="K215" i="1"/>
  <c r="J215" i="1"/>
  <c r="I215" i="1"/>
  <c r="H215" i="1"/>
  <c r="AQ214" i="1"/>
  <c r="T250" i="3" s="1"/>
  <c r="AI214" i="1"/>
  <c r="V214" i="1"/>
  <c r="AO214" i="1"/>
  <c r="AU214" i="1"/>
  <c r="AW214" i="1" s="1"/>
  <c r="H214" i="1"/>
  <c r="I214" i="1"/>
  <c r="J214" i="1"/>
  <c r="K214" i="1"/>
  <c r="O214" i="1"/>
  <c r="AK214" i="1" s="1"/>
  <c r="U393" i="3"/>
  <c r="AI213" i="1"/>
  <c r="AQ213" i="1"/>
  <c r="U388" i="3"/>
  <c r="AO213" i="1"/>
  <c r="AU213" i="1"/>
  <c r="AW213" i="1" s="1"/>
  <c r="V213" i="1"/>
  <c r="H213" i="1"/>
  <c r="I213" i="1"/>
  <c r="J213" i="1"/>
  <c r="K213" i="1"/>
  <c r="O213" i="1"/>
  <c r="AK213" i="1" s="1"/>
  <c r="R213" i="1"/>
  <c r="AI212" i="1"/>
  <c r="AQ212" i="1"/>
  <c r="T248" i="3" s="1"/>
  <c r="AO212" i="1"/>
  <c r="AU212" i="1"/>
  <c r="AW212" i="1" s="1"/>
  <c r="V212" i="1"/>
  <c r="O212" i="1"/>
  <c r="AK212" i="1" s="1"/>
  <c r="K212" i="1"/>
  <c r="I212" i="1"/>
  <c r="J212" i="1"/>
  <c r="H212" i="1"/>
  <c r="AI211" i="1"/>
  <c r="AQ211" i="1"/>
  <c r="T247" i="3" s="1"/>
  <c r="V211" i="1"/>
  <c r="AU211" i="1"/>
  <c r="AW211" i="1" s="1"/>
  <c r="AO211" i="1"/>
  <c r="K211" i="1"/>
  <c r="I211" i="1"/>
  <c r="H211" i="1"/>
  <c r="J211" i="1"/>
  <c r="O211" i="1"/>
  <c r="AK211" i="1" s="1"/>
  <c r="U406" i="3"/>
  <c r="U366" i="3"/>
  <c r="AI210" i="1"/>
  <c r="AQ210" i="1"/>
  <c r="V210" i="1"/>
  <c r="AO210" i="1"/>
  <c r="AU210" i="1"/>
  <c r="AW210" i="1" s="1"/>
  <c r="H210" i="1"/>
  <c r="I210" i="1"/>
  <c r="J210" i="1"/>
  <c r="R210" i="1"/>
  <c r="K210" i="1"/>
  <c r="O210" i="1"/>
  <c r="AK210" i="1" s="1"/>
  <c r="AI209" i="1"/>
  <c r="AQ209" i="1"/>
  <c r="T245" i="3" s="1"/>
  <c r="AU209" i="1"/>
  <c r="AW209" i="1" s="1"/>
  <c r="AO209" i="1"/>
  <c r="V209" i="1"/>
  <c r="K209" i="1"/>
  <c r="O209" i="1"/>
  <c r="AK209" i="1" s="1"/>
  <c r="J209" i="1"/>
  <c r="H209" i="1"/>
  <c r="I209" i="1"/>
  <c r="AQ208" i="1"/>
  <c r="T242" i="3" s="1"/>
  <c r="AI208" i="1"/>
  <c r="AU208" i="1"/>
  <c r="AW208" i="1" s="1"/>
  <c r="AO208" i="1"/>
  <c r="V208" i="1"/>
  <c r="J208" i="1"/>
  <c r="O208" i="1"/>
  <c r="AK208" i="1" s="1"/>
  <c r="K208" i="1"/>
  <c r="I208" i="1"/>
  <c r="H208" i="1"/>
  <c r="AI207" i="1"/>
  <c r="AQ207" i="1"/>
  <c r="T241" i="3" s="1"/>
  <c r="V207" i="1"/>
  <c r="AU207" i="1"/>
  <c r="AW207" i="1" s="1"/>
  <c r="AO207" i="1"/>
  <c r="I207" i="1"/>
  <c r="H207" i="1"/>
  <c r="O207" i="1"/>
  <c r="AK207" i="1" s="1"/>
  <c r="K207" i="1"/>
  <c r="J207" i="1"/>
  <c r="AQ206" i="1"/>
  <c r="T240" i="3" s="1"/>
  <c r="AI206" i="1"/>
  <c r="AU206" i="1"/>
  <c r="AW206" i="1" s="1"/>
  <c r="AO206" i="1"/>
  <c r="V206" i="1"/>
  <c r="O206" i="1"/>
  <c r="AK206" i="1" s="1"/>
  <c r="K206" i="1"/>
  <c r="J206" i="1"/>
  <c r="I206" i="1"/>
  <c r="H206" i="1"/>
  <c r="AQ205" i="1"/>
  <c r="T239" i="3" s="1"/>
  <c r="AI205" i="1"/>
  <c r="U239" i="3"/>
  <c r="AO205" i="1"/>
  <c r="V205" i="1"/>
  <c r="AU205" i="1"/>
  <c r="AW205" i="1" s="1"/>
  <c r="H205" i="1"/>
  <c r="R205" i="1"/>
  <c r="O205" i="1"/>
  <c r="AK205" i="1" s="1"/>
  <c r="K205" i="1"/>
  <c r="J205" i="1"/>
  <c r="I205" i="1"/>
  <c r="AQ204" i="1"/>
  <c r="AI204" i="1"/>
  <c r="U238" i="3"/>
  <c r="U540" i="3"/>
  <c r="AO204" i="1"/>
  <c r="V204" i="1"/>
  <c r="AU204" i="1"/>
  <c r="AW204" i="1" s="1"/>
  <c r="H204" i="1"/>
  <c r="I204" i="1"/>
  <c r="J204" i="1"/>
  <c r="O204" i="1"/>
  <c r="AK204" i="1" s="1"/>
  <c r="K204" i="1"/>
  <c r="AI203" i="1"/>
  <c r="U560" i="3"/>
  <c r="U237" i="3"/>
  <c r="AQ203" i="1"/>
  <c r="V203" i="1"/>
  <c r="AO203" i="1"/>
  <c r="AU203" i="1"/>
  <c r="AW203" i="1" s="1"/>
  <c r="O203" i="1"/>
  <c r="AK203" i="1" s="1"/>
  <c r="K203" i="1"/>
  <c r="J203" i="1"/>
  <c r="I203" i="1"/>
  <c r="H203" i="1"/>
  <c r="AQ202" i="1"/>
  <c r="T235" i="3" s="1"/>
  <c r="U235" i="3"/>
  <c r="AI202" i="1"/>
  <c r="AU202" i="1"/>
  <c r="AW202" i="1" s="1"/>
  <c r="AO202" i="1"/>
  <c r="V202" i="1"/>
  <c r="O202" i="1"/>
  <c r="AK202" i="1" s="1"/>
  <c r="K202" i="1"/>
  <c r="J202" i="1"/>
  <c r="I202" i="1"/>
  <c r="H202" i="1"/>
  <c r="AJ201" i="1"/>
  <c r="I92" i="2"/>
  <c r="U233" i="3"/>
  <c r="AI201" i="1"/>
  <c r="AQ201" i="1"/>
  <c r="T233" i="3" s="1"/>
  <c r="H92" i="2"/>
  <c r="AU201" i="1"/>
  <c r="AW201" i="1" s="1"/>
  <c r="AO201" i="1"/>
  <c r="V201" i="1"/>
  <c r="C92" i="2"/>
  <c r="R201" i="1"/>
  <c r="O201" i="1"/>
  <c r="AK201" i="1" s="1"/>
  <c r="K201" i="1"/>
  <c r="J201" i="1"/>
  <c r="I201" i="1"/>
  <c r="H201" i="1"/>
  <c r="D92" i="2"/>
  <c r="O92" i="2" s="1"/>
  <c r="AJ200" i="1"/>
  <c r="I105" i="2"/>
  <c r="U231" i="3"/>
  <c r="AI200" i="1"/>
  <c r="AQ200" i="1"/>
  <c r="T231" i="3" s="1"/>
  <c r="H105" i="2"/>
  <c r="AU200" i="1"/>
  <c r="AW200" i="1" s="1"/>
  <c r="C105" i="2"/>
  <c r="AO200" i="1"/>
  <c r="V200" i="1"/>
  <c r="I200" i="1"/>
  <c r="R200" i="1"/>
  <c r="D105" i="2"/>
  <c r="O105" i="2" s="1"/>
  <c r="O200" i="1"/>
  <c r="AK200" i="1" s="1"/>
  <c r="H200" i="1"/>
  <c r="K200" i="1"/>
  <c r="J200" i="1"/>
  <c r="AQ199" i="1"/>
  <c r="T230" i="3" s="1"/>
  <c r="U230" i="3"/>
  <c r="AI199" i="1"/>
  <c r="AU199" i="1"/>
  <c r="AW199" i="1" s="1"/>
  <c r="AO199" i="1"/>
  <c r="V199" i="1"/>
  <c r="K199" i="1"/>
  <c r="R199" i="1"/>
  <c r="H199" i="1"/>
  <c r="J199" i="1"/>
  <c r="O199" i="1"/>
  <c r="AK199" i="1" s="1"/>
  <c r="I199" i="1"/>
  <c r="AJ198" i="1"/>
  <c r="I104" i="2"/>
  <c r="AI198" i="1"/>
  <c r="H104" i="2"/>
  <c r="AQ198" i="1"/>
  <c r="T228" i="3" s="1"/>
  <c r="U228" i="3"/>
  <c r="V198" i="1"/>
  <c r="AO198" i="1"/>
  <c r="C104" i="2"/>
  <c r="AU198" i="1"/>
  <c r="AW198" i="1" s="1"/>
  <c r="H198" i="1"/>
  <c r="O198" i="1"/>
  <c r="AK198" i="1" s="1"/>
  <c r="R198" i="1"/>
  <c r="K198" i="1"/>
  <c r="J198" i="1"/>
  <c r="I198" i="1"/>
  <c r="D104" i="2"/>
  <c r="O104" i="2" s="1"/>
  <c r="U227" i="3"/>
  <c r="I197" i="1"/>
  <c r="H197" i="1"/>
  <c r="J197" i="1"/>
  <c r="K197" i="1"/>
  <c r="O197" i="1"/>
  <c r="AK197" i="1" s="1"/>
  <c r="AQ196" i="1"/>
  <c r="T225" i="3" s="1"/>
  <c r="U225" i="3"/>
  <c r="AI196" i="1"/>
  <c r="AU196" i="1"/>
  <c r="AW196" i="1" s="1"/>
  <c r="AO196" i="1"/>
  <c r="V196" i="1"/>
  <c r="R196" i="1"/>
  <c r="O196" i="1"/>
  <c r="AK196" i="1" s="1"/>
  <c r="K196" i="1"/>
  <c r="J196" i="1"/>
  <c r="I196" i="1"/>
  <c r="H196" i="1"/>
  <c r="AI195" i="1"/>
  <c r="U224" i="3"/>
  <c r="AQ195" i="1"/>
  <c r="T224" i="3" s="1"/>
  <c r="AO195" i="1"/>
  <c r="V195" i="1"/>
  <c r="AU195" i="1"/>
  <c r="AW195" i="1" s="1"/>
  <c r="I195" i="1"/>
  <c r="R195" i="1"/>
  <c r="O195" i="1"/>
  <c r="AK195" i="1" s="1"/>
  <c r="K195" i="1"/>
  <c r="J195" i="1"/>
  <c r="H195" i="1"/>
  <c r="AQ194" i="1"/>
  <c r="T223" i="3" s="1"/>
  <c r="AI194" i="1"/>
  <c r="U223" i="3"/>
  <c r="AU194" i="1"/>
  <c r="AW194" i="1" s="1"/>
  <c r="AO194" i="1"/>
  <c r="V194" i="1"/>
  <c r="O194" i="1"/>
  <c r="AK194" i="1" s="1"/>
  <c r="R194" i="1"/>
  <c r="H194" i="1"/>
  <c r="K194" i="1"/>
  <c r="J194" i="1"/>
  <c r="I194" i="1"/>
  <c r="AI193" i="1"/>
  <c r="U222" i="3"/>
  <c r="AQ193" i="1"/>
  <c r="T222" i="3" s="1"/>
  <c r="O193" i="1"/>
  <c r="AK193" i="1" s="1"/>
  <c r="K193" i="1"/>
  <c r="J193" i="1"/>
  <c r="I193" i="1"/>
  <c r="H193" i="1"/>
  <c r="AU192" i="1"/>
  <c r="AW192" i="1" s="1"/>
  <c r="AO192" i="1"/>
  <c r="V192" i="1"/>
  <c r="H192" i="1"/>
  <c r="I192" i="1"/>
  <c r="K192" i="1"/>
  <c r="O192" i="1"/>
  <c r="AK192" i="1" s="1"/>
  <c r="J192" i="1"/>
  <c r="U419" i="3"/>
  <c r="AQ191" i="1"/>
  <c r="AI191" i="1"/>
  <c r="AU191" i="1"/>
  <c r="AW191" i="1" s="1"/>
  <c r="V191" i="1"/>
  <c r="AO191" i="1"/>
  <c r="H191" i="1"/>
  <c r="I191" i="1"/>
  <c r="K191" i="1"/>
  <c r="J191" i="1"/>
  <c r="O191" i="1"/>
  <c r="AK191" i="1" s="1"/>
  <c r="AI190" i="1"/>
  <c r="AQ190" i="1"/>
  <c r="T220" i="3" s="1"/>
  <c r="U220" i="3"/>
  <c r="V190" i="1"/>
  <c r="AU190" i="1"/>
  <c r="AW190" i="1" s="1"/>
  <c r="AO190" i="1"/>
  <c r="I190" i="1"/>
  <c r="O190" i="1"/>
  <c r="AK190" i="1" s="1"/>
  <c r="J190" i="1"/>
  <c r="K190" i="1"/>
  <c r="R190" i="1"/>
  <c r="H190" i="1"/>
  <c r="AI189" i="1"/>
  <c r="U218" i="3"/>
  <c r="AQ189" i="1"/>
  <c r="T218" i="3" s="1"/>
  <c r="AO189" i="1"/>
  <c r="V189" i="1"/>
  <c r="AU189" i="1"/>
  <c r="AW189" i="1" s="1"/>
  <c r="O189" i="1"/>
  <c r="AK189" i="1" s="1"/>
  <c r="H189" i="1"/>
  <c r="R189" i="1"/>
  <c r="I189" i="1"/>
  <c r="J189" i="1"/>
  <c r="K189" i="1"/>
  <c r="U215" i="3"/>
  <c r="AI188" i="1"/>
  <c r="AQ188" i="1"/>
  <c r="T215" i="3" s="1"/>
  <c r="V188" i="1"/>
  <c r="AO188" i="1"/>
  <c r="AU188" i="1"/>
  <c r="AW188" i="1" s="1"/>
  <c r="O188" i="1"/>
  <c r="AK188" i="1" s="1"/>
  <c r="K188" i="1"/>
  <c r="J188" i="1"/>
  <c r="I188" i="1"/>
  <c r="H188" i="1"/>
  <c r="R188" i="1"/>
  <c r="AQ187" i="1"/>
  <c r="T214" i="3" s="1"/>
  <c r="AI187" i="1"/>
  <c r="U214" i="3"/>
  <c r="AO187" i="1"/>
  <c r="AU187" i="1"/>
  <c r="AW187" i="1" s="1"/>
  <c r="V187" i="1"/>
  <c r="O187" i="1"/>
  <c r="AK187" i="1" s="1"/>
  <c r="K187" i="1"/>
  <c r="I187" i="1"/>
  <c r="R187" i="1"/>
  <c r="H187" i="1"/>
  <c r="J187" i="1"/>
  <c r="AQ186" i="1"/>
  <c r="T213" i="3" s="1"/>
  <c r="AI186" i="1"/>
  <c r="U213" i="3"/>
  <c r="AU186" i="1"/>
  <c r="AW186" i="1" s="1"/>
  <c r="AO186" i="1"/>
  <c r="V186" i="1"/>
  <c r="R186" i="1"/>
  <c r="O186" i="1"/>
  <c r="AK186" i="1" s="1"/>
  <c r="K186" i="1"/>
  <c r="I186" i="1"/>
  <c r="H186" i="1"/>
  <c r="J186" i="1"/>
  <c r="U212" i="3"/>
  <c r="AQ185" i="1"/>
  <c r="T212" i="3" s="1"/>
  <c r="AI185" i="1"/>
  <c r="V185" i="1"/>
  <c r="AO185" i="1"/>
  <c r="AU185" i="1"/>
  <c r="AW185" i="1" s="1"/>
  <c r="H185" i="1"/>
  <c r="I185" i="1"/>
  <c r="J185" i="1"/>
  <c r="K185" i="1"/>
  <c r="O185" i="1"/>
  <c r="AK185" i="1" s="1"/>
  <c r="R185" i="1"/>
  <c r="AQ184" i="1"/>
  <c r="T211" i="3" s="1"/>
  <c r="U211" i="3"/>
  <c r="AI184" i="1"/>
  <c r="AU184" i="1"/>
  <c r="AW184" i="1" s="1"/>
  <c r="AO184" i="1"/>
  <c r="V184" i="1"/>
  <c r="H184" i="1"/>
  <c r="J184" i="1"/>
  <c r="R184" i="1"/>
  <c r="O184" i="1"/>
  <c r="AK184" i="1" s="1"/>
  <c r="K184" i="1"/>
  <c r="I184" i="1"/>
  <c r="U210" i="3"/>
  <c r="AI183" i="1"/>
  <c r="AQ183" i="1"/>
  <c r="T210" i="3" s="1"/>
  <c r="AU183" i="1"/>
  <c r="AW183" i="1" s="1"/>
  <c r="AO183" i="1"/>
  <c r="V183" i="1"/>
  <c r="R183" i="1"/>
  <c r="O183" i="1"/>
  <c r="AK183" i="1" s="1"/>
  <c r="K183" i="1"/>
  <c r="J183" i="1"/>
  <c r="I183" i="1"/>
  <c r="H183" i="1"/>
  <c r="U562" i="3"/>
  <c r="U209" i="3"/>
  <c r="AQ182" i="1"/>
  <c r="AI182" i="1"/>
  <c r="AU182" i="1"/>
  <c r="AW182" i="1" s="1"/>
  <c r="AO182" i="1"/>
  <c r="V182" i="1"/>
  <c r="J182" i="1"/>
  <c r="H182" i="1"/>
  <c r="I182" i="1"/>
  <c r="K182" i="1"/>
  <c r="O182" i="1"/>
  <c r="AK182" i="1" s="1"/>
  <c r="R182" i="1"/>
  <c r="U208" i="3"/>
  <c r="AI181" i="1"/>
  <c r="AQ181" i="1"/>
  <c r="T208" i="3" s="1"/>
  <c r="V181" i="1"/>
  <c r="AU181" i="1"/>
  <c r="AW181" i="1" s="1"/>
  <c r="AO181" i="1"/>
  <c r="K181" i="1"/>
  <c r="O181" i="1"/>
  <c r="AK181" i="1" s="1"/>
  <c r="J181" i="1"/>
  <c r="H181" i="1"/>
  <c r="R181" i="1"/>
  <c r="I181" i="1"/>
  <c r="U415" i="3"/>
  <c r="AQ180" i="1"/>
  <c r="AI180" i="1"/>
  <c r="U391" i="3"/>
  <c r="V180" i="1"/>
  <c r="AU180" i="1"/>
  <c r="AW180" i="1" s="1"/>
  <c r="AO180" i="1"/>
  <c r="H180" i="1"/>
  <c r="O180" i="1"/>
  <c r="AK180" i="1" s="1"/>
  <c r="K180" i="1"/>
  <c r="I180" i="1"/>
  <c r="J180" i="1"/>
  <c r="AI179" i="1"/>
  <c r="AQ179" i="1"/>
  <c r="T205" i="3" s="1"/>
  <c r="U205" i="3"/>
  <c r="V179" i="1"/>
  <c r="AO179" i="1"/>
  <c r="AU179" i="1"/>
  <c r="AW179" i="1" s="1"/>
  <c r="H179" i="1"/>
  <c r="R179" i="1"/>
  <c r="O179" i="1"/>
  <c r="AK179" i="1" s="1"/>
  <c r="J179" i="1"/>
  <c r="K179" i="1"/>
  <c r="I179" i="1"/>
  <c r="AI178" i="1"/>
  <c r="U204" i="3"/>
  <c r="AQ178" i="1"/>
  <c r="T204" i="3" s="1"/>
  <c r="V178" i="1"/>
  <c r="AU178" i="1"/>
  <c r="AW178" i="1" s="1"/>
  <c r="AO178" i="1"/>
  <c r="O178" i="1"/>
  <c r="AK178" i="1" s="1"/>
  <c r="K178" i="1"/>
  <c r="J178" i="1"/>
  <c r="I178" i="1"/>
  <c r="R178" i="1"/>
  <c r="H178" i="1"/>
  <c r="AI177" i="1"/>
  <c r="U203" i="3"/>
  <c r="AQ177" i="1"/>
  <c r="T203" i="3" s="1"/>
  <c r="V177" i="1"/>
  <c r="AU177" i="1"/>
  <c r="AW177" i="1" s="1"/>
  <c r="AO177" i="1"/>
  <c r="O177" i="1"/>
  <c r="AK177" i="1" s="1"/>
  <c r="K177" i="1"/>
  <c r="J177" i="1"/>
  <c r="I177" i="1"/>
  <c r="H177" i="1"/>
  <c r="R177" i="1"/>
  <c r="AI176" i="1"/>
  <c r="AQ176" i="1"/>
  <c r="T202" i="3" s="1"/>
  <c r="U202" i="3"/>
  <c r="V176" i="1"/>
  <c r="AO176" i="1"/>
  <c r="AU176" i="1"/>
  <c r="AW176" i="1" s="1"/>
  <c r="J176" i="1"/>
  <c r="I176" i="1"/>
  <c r="K176" i="1"/>
  <c r="O176" i="1"/>
  <c r="AK176" i="1" s="1"/>
  <c r="R176" i="1"/>
  <c r="H176" i="1"/>
  <c r="U198" i="3"/>
  <c r="AQ175" i="1"/>
  <c r="T198" i="3" s="1"/>
  <c r="AI175" i="1"/>
  <c r="V175" i="1"/>
  <c r="AO175" i="1"/>
  <c r="AU175" i="1"/>
  <c r="AW175" i="1" s="1"/>
  <c r="R175" i="1"/>
  <c r="I175" i="1"/>
  <c r="O175" i="1"/>
  <c r="AK175" i="1" s="1"/>
  <c r="K175" i="1"/>
  <c r="J175" i="1"/>
  <c r="H175" i="1"/>
  <c r="AQ174" i="1"/>
  <c r="T197" i="3" s="1"/>
  <c r="U197" i="3"/>
  <c r="AI174" i="1"/>
  <c r="V174" i="1"/>
  <c r="AO174" i="1"/>
  <c r="AU174" i="1"/>
  <c r="AW174" i="1" s="1"/>
  <c r="H174" i="1"/>
  <c r="I174" i="1"/>
  <c r="J174" i="1"/>
  <c r="K174" i="1"/>
  <c r="O174" i="1"/>
  <c r="AK174" i="1" s="1"/>
  <c r="R174" i="1"/>
  <c r="AQ173" i="1"/>
  <c r="AI173" i="1"/>
  <c r="AU173" i="1"/>
  <c r="AW173" i="1" s="1"/>
  <c r="V173" i="1"/>
  <c r="AO173" i="1"/>
  <c r="H173" i="1"/>
  <c r="J173" i="1"/>
  <c r="I173" i="1"/>
  <c r="K173" i="1"/>
  <c r="O173" i="1"/>
  <c r="AK173" i="1" s="1"/>
  <c r="U196" i="3"/>
  <c r="AQ172" i="1"/>
  <c r="T196" i="3" s="1"/>
  <c r="AI172" i="1"/>
  <c r="AO172" i="1"/>
  <c r="AU172" i="1"/>
  <c r="AW172" i="1" s="1"/>
  <c r="V172" i="1"/>
  <c r="J172" i="1"/>
  <c r="I172" i="1"/>
  <c r="O172" i="1"/>
  <c r="AK172" i="1" s="1"/>
  <c r="R172" i="1"/>
  <c r="H172" i="1"/>
  <c r="K172" i="1"/>
  <c r="AI171" i="1"/>
  <c r="AQ171" i="1"/>
  <c r="T195" i="3" s="1"/>
  <c r="U195" i="3"/>
  <c r="AU171" i="1"/>
  <c r="AW171" i="1" s="1"/>
  <c r="AO171" i="1"/>
  <c r="V171" i="1"/>
  <c r="R171" i="1"/>
  <c r="O171" i="1"/>
  <c r="AK171" i="1" s="1"/>
  <c r="K171" i="1"/>
  <c r="J171" i="1"/>
  <c r="I171" i="1"/>
  <c r="H171" i="1"/>
  <c r="AI170" i="1"/>
  <c r="AQ170" i="1"/>
  <c r="T194" i="3" s="1"/>
  <c r="U194" i="3"/>
  <c r="AO170" i="1"/>
  <c r="AU170" i="1"/>
  <c r="AW170" i="1" s="1"/>
  <c r="V170" i="1"/>
  <c r="H170" i="1"/>
  <c r="R170" i="1"/>
  <c r="O170" i="1"/>
  <c r="AK170" i="1" s="1"/>
  <c r="K170" i="1"/>
  <c r="J170" i="1"/>
  <c r="I170" i="1"/>
  <c r="AI169" i="1"/>
  <c r="AQ169" i="1"/>
  <c r="T193" i="3" s="1"/>
  <c r="U193" i="3"/>
  <c r="V169" i="1"/>
  <c r="AU169" i="1"/>
  <c r="AW169" i="1" s="1"/>
  <c r="AO169" i="1"/>
  <c r="K169" i="1"/>
  <c r="R169" i="1"/>
  <c r="O169" i="1"/>
  <c r="AK169" i="1" s="1"/>
  <c r="J169" i="1"/>
  <c r="I169" i="1"/>
  <c r="H169" i="1"/>
  <c r="AI168" i="1"/>
  <c r="U192" i="3"/>
  <c r="AQ168" i="1"/>
  <c r="T192" i="3" s="1"/>
  <c r="V168" i="1"/>
  <c r="AO168" i="1"/>
  <c r="AU168" i="1"/>
  <c r="AW168" i="1" s="1"/>
  <c r="K168" i="1"/>
  <c r="O168" i="1"/>
  <c r="AK168" i="1" s="1"/>
  <c r="J168" i="1"/>
  <c r="I168" i="1"/>
  <c r="H168" i="1"/>
  <c r="R168" i="1"/>
  <c r="U191" i="3"/>
  <c r="AQ167" i="1"/>
  <c r="T191" i="3" s="1"/>
  <c r="AI167" i="1"/>
  <c r="AO167" i="1"/>
  <c r="V167" i="1"/>
  <c r="AU167" i="1"/>
  <c r="AW167" i="1" s="1"/>
  <c r="I167" i="1"/>
  <c r="R167" i="1"/>
  <c r="O167" i="1"/>
  <c r="AK167" i="1" s="1"/>
  <c r="K167" i="1"/>
  <c r="J167" i="1"/>
  <c r="H167" i="1"/>
  <c r="AQ166" i="1"/>
  <c r="T190" i="3" s="1"/>
  <c r="AI166" i="1"/>
  <c r="U190" i="3"/>
  <c r="V166" i="1"/>
  <c r="AO166" i="1"/>
  <c r="AU166" i="1"/>
  <c r="AW166" i="1" s="1"/>
  <c r="I166" i="1"/>
  <c r="J166" i="1"/>
  <c r="K166" i="1"/>
  <c r="O166" i="1"/>
  <c r="AK166" i="1" s="1"/>
  <c r="R166" i="1"/>
  <c r="H166" i="1"/>
  <c r="U189" i="3"/>
  <c r="AI165" i="1"/>
  <c r="AQ165" i="1"/>
  <c r="T189" i="3" s="1"/>
  <c r="AU165" i="1"/>
  <c r="AW165" i="1" s="1"/>
  <c r="V165" i="1"/>
  <c r="AO165" i="1"/>
  <c r="R165" i="1"/>
  <c r="O165" i="1"/>
  <c r="AK165" i="1" s="1"/>
  <c r="K165" i="1"/>
  <c r="J165" i="1"/>
  <c r="I165" i="1"/>
  <c r="H165" i="1"/>
  <c r="AQ164" i="1"/>
  <c r="T188" i="3" s="1"/>
  <c r="AI164" i="1"/>
  <c r="U188" i="3"/>
  <c r="AU164" i="1"/>
  <c r="AW164" i="1" s="1"/>
  <c r="AO164" i="1"/>
  <c r="V164" i="1"/>
  <c r="J164" i="1"/>
  <c r="I164" i="1"/>
  <c r="H164" i="1"/>
  <c r="R164" i="1"/>
  <c r="O164" i="1"/>
  <c r="AK164" i="1" s="1"/>
  <c r="K164" i="1"/>
  <c r="AQ163" i="1"/>
  <c r="T187" i="3" s="1"/>
  <c r="U187" i="3"/>
  <c r="AI163" i="1"/>
  <c r="V163" i="1"/>
  <c r="AO163" i="1"/>
  <c r="AU163" i="1"/>
  <c r="AW163" i="1" s="1"/>
  <c r="H163" i="1"/>
  <c r="I163" i="1"/>
  <c r="J163" i="1"/>
  <c r="K163" i="1"/>
  <c r="O163" i="1"/>
  <c r="AK163" i="1" s="1"/>
  <c r="R163" i="1"/>
  <c r="AQ162" i="1"/>
  <c r="AI162" i="1"/>
  <c r="AU162" i="1"/>
  <c r="AW162" i="1" s="1"/>
  <c r="AO162" i="1"/>
  <c r="V162" i="1"/>
  <c r="K162" i="1"/>
  <c r="J162" i="1"/>
  <c r="I162" i="1"/>
  <c r="H162" i="1"/>
  <c r="O162" i="1"/>
  <c r="AK162" i="1" s="1"/>
  <c r="AQ161" i="1"/>
  <c r="T186" i="3" s="1"/>
  <c r="U186" i="3"/>
  <c r="AI161" i="1"/>
  <c r="V161" i="1"/>
  <c r="AU161" i="1"/>
  <c r="AW161" i="1" s="1"/>
  <c r="AO161" i="1"/>
  <c r="H161" i="1"/>
  <c r="O161" i="1"/>
  <c r="AK161" i="1" s="1"/>
  <c r="R161" i="1"/>
  <c r="K161" i="1"/>
  <c r="J161" i="1"/>
  <c r="I161" i="1"/>
  <c r="AJ160" i="1"/>
  <c r="I93" i="2"/>
  <c r="AQ160" i="1"/>
  <c r="T183" i="3" s="1"/>
  <c r="U183" i="3"/>
  <c r="AI160" i="1"/>
  <c r="H93" i="2"/>
  <c r="AO160" i="1"/>
  <c r="V160" i="1"/>
  <c r="AU160" i="1"/>
  <c r="AW160" i="1" s="1"/>
  <c r="C93" i="2"/>
  <c r="H160" i="1"/>
  <c r="K160" i="1"/>
  <c r="J160" i="1"/>
  <c r="I160" i="1"/>
  <c r="D93" i="2"/>
  <c r="O93" i="2" s="1"/>
  <c r="O160" i="1"/>
  <c r="AK160" i="1" s="1"/>
  <c r="R160" i="1"/>
  <c r="AQ159" i="1"/>
  <c r="T182" i="3" s="1"/>
  <c r="U182" i="3"/>
  <c r="AI159" i="1"/>
  <c r="AO159" i="1"/>
  <c r="V159" i="1"/>
  <c r="AU159" i="1"/>
  <c r="AW159" i="1" s="1"/>
  <c r="R159" i="1"/>
  <c r="O159" i="1"/>
  <c r="AK159" i="1" s="1"/>
  <c r="K159" i="1"/>
  <c r="J159" i="1"/>
  <c r="I159" i="1"/>
  <c r="H159" i="1"/>
  <c r="AI158" i="1"/>
  <c r="AQ158" i="1"/>
  <c r="T180" i="3" s="1"/>
  <c r="U180" i="3"/>
  <c r="AU158" i="1"/>
  <c r="AW158" i="1" s="1"/>
  <c r="V158" i="1"/>
  <c r="AO158" i="1"/>
  <c r="R158" i="1"/>
  <c r="I158" i="1"/>
  <c r="K158" i="1"/>
  <c r="O158" i="1"/>
  <c r="AK158" i="1" s="1"/>
  <c r="H158" i="1"/>
  <c r="J158" i="1"/>
  <c r="U179" i="3"/>
  <c r="AI157" i="1"/>
  <c r="AQ157" i="1"/>
  <c r="T179" i="3" s="1"/>
  <c r="AO157" i="1"/>
  <c r="V157" i="1"/>
  <c r="AU157" i="1"/>
  <c r="AW157" i="1" s="1"/>
  <c r="O157" i="1"/>
  <c r="AK157" i="1" s="1"/>
  <c r="K157" i="1"/>
  <c r="J157" i="1"/>
  <c r="I157" i="1"/>
  <c r="H157" i="1"/>
  <c r="R157" i="1"/>
  <c r="U580" i="3"/>
  <c r="AQ156" i="1"/>
  <c r="AI156" i="1"/>
  <c r="U177" i="3"/>
  <c r="AU156" i="1"/>
  <c r="AW156" i="1" s="1"/>
  <c r="AO156" i="1"/>
  <c r="V156" i="1"/>
  <c r="R156" i="1"/>
  <c r="O156" i="1"/>
  <c r="AK156" i="1" s="1"/>
  <c r="K156" i="1"/>
  <c r="J156" i="1"/>
  <c r="I156" i="1"/>
  <c r="H156" i="1"/>
  <c r="U176" i="3"/>
  <c r="AI155" i="1"/>
  <c r="AQ155" i="1"/>
  <c r="T176" i="3" s="1"/>
  <c r="V155" i="1"/>
  <c r="AO155" i="1"/>
  <c r="AU155" i="1"/>
  <c r="AW155" i="1" s="1"/>
  <c r="K155" i="1"/>
  <c r="J155" i="1"/>
  <c r="I155" i="1"/>
  <c r="H155" i="1"/>
  <c r="O155" i="1"/>
  <c r="AK155" i="1" s="1"/>
  <c r="R155" i="1"/>
  <c r="U174" i="3"/>
  <c r="AQ154" i="1"/>
  <c r="U559" i="3"/>
  <c r="AI154" i="1"/>
  <c r="AU154" i="1"/>
  <c r="AW154" i="1" s="1"/>
  <c r="V154" i="1"/>
  <c r="AO154" i="1"/>
  <c r="J154" i="1"/>
  <c r="I154" i="1"/>
  <c r="H154" i="1"/>
  <c r="R154" i="1"/>
  <c r="O154" i="1"/>
  <c r="AK154" i="1" s="1"/>
  <c r="K154" i="1"/>
  <c r="AQ153" i="1"/>
  <c r="AI153" i="1"/>
  <c r="AU153" i="1"/>
  <c r="AW153" i="1" s="1"/>
  <c r="AO153" i="1"/>
  <c r="V153" i="1"/>
  <c r="I153" i="1"/>
  <c r="J153" i="1"/>
  <c r="K153" i="1"/>
  <c r="O153" i="1"/>
  <c r="AK153" i="1" s="1"/>
  <c r="H153" i="1"/>
  <c r="AI152" i="1"/>
  <c r="AQ152" i="1"/>
  <c r="U345" i="3"/>
  <c r="V152" i="1"/>
  <c r="AO152" i="1"/>
  <c r="AU152" i="1"/>
  <c r="AW152" i="1" s="1"/>
  <c r="K152" i="1"/>
  <c r="H152" i="1"/>
  <c r="I152" i="1"/>
  <c r="J152" i="1"/>
  <c r="O152" i="1"/>
  <c r="AK152" i="1" s="1"/>
  <c r="AQ151" i="1"/>
  <c r="T173" i="3" s="1"/>
  <c r="AI151" i="1"/>
  <c r="U173" i="3"/>
  <c r="AU151" i="1"/>
  <c r="AW151" i="1" s="1"/>
  <c r="AO151" i="1"/>
  <c r="V151" i="1"/>
  <c r="O151" i="1"/>
  <c r="AK151" i="1" s="1"/>
  <c r="K151" i="1"/>
  <c r="J151" i="1"/>
  <c r="I151" i="1"/>
  <c r="H151" i="1"/>
  <c r="R151" i="1"/>
  <c r="AI150" i="1"/>
  <c r="U591" i="3"/>
  <c r="AQ150" i="1"/>
  <c r="U172" i="3"/>
  <c r="V150" i="1"/>
  <c r="AU150" i="1"/>
  <c r="AW150" i="1" s="1"/>
  <c r="AO150" i="1"/>
  <c r="I150" i="1"/>
  <c r="R150" i="1"/>
  <c r="H150" i="1"/>
  <c r="J150" i="1"/>
  <c r="K150" i="1"/>
  <c r="O150" i="1"/>
  <c r="AK150" i="1" s="1"/>
  <c r="AI149" i="1"/>
  <c r="AQ149" i="1"/>
  <c r="T171" i="3" s="1"/>
  <c r="U171" i="3"/>
  <c r="AU149" i="1"/>
  <c r="AW149" i="1" s="1"/>
  <c r="AO149" i="1"/>
  <c r="V149" i="1"/>
  <c r="K149" i="1"/>
  <c r="J149" i="1"/>
  <c r="R149" i="1"/>
  <c r="H149" i="1"/>
  <c r="I149" i="1"/>
  <c r="O149" i="1"/>
  <c r="AK149" i="1" s="1"/>
  <c r="AI148" i="1"/>
  <c r="U170" i="3"/>
  <c r="AQ148" i="1"/>
  <c r="T170" i="3" s="1"/>
  <c r="V148" i="1"/>
  <c r="AU148" i="1"/>
  <c r="AW148" i="1" s="1"/>
  <c r="AO148" i="1"/>
  <c r="H148" i="1"/>
  <c r="K148" i="1"/>
  <c r="J148" i="1"/>
  <c r="R148" i="1"/>
  <c r="O148" i="1"/>
  <c r="AK148" i="1" s="1"/>
  <c r="I148" i="1"/>
  <c r="AQ147" i="1"/>
  <c r="T168" i="3" s="1"/>
  <c r="U168" i="3"/>
  <c r="AI147" i="1"/>
  <c r="AO147" i="1"/>
  <c r="AU147" i="1"/>
  <c r="AW147" i="1" s="1"/>
  <c r="V147" i="1"/>
  <c r="K147" i="1"/>
  <c r="R147" i="1"/>
  <c r="H147" i="1"/>
  <c r="I147" i="1"/>
  <c r="J147" i="1"/>
  <c r="O147" i="1"/>
  <c r="AK147" i="1" s="1"/>
  <c r="J146" i="1"/>
  <c r="O146" i="1"/>
  <c r="AK146" i="1" s="1"/>
  <c r="I146" i="1"/>
  <c r="H146" i="1"/>
  <c r="K146" i="1"/>
  <c r="AO145" i="1"/>
  <c r="V145" i="1"/>
  <c r="AU145" i="1"/>
  <c r="AW145" i="1" s="1"/>
  <c r="H145" i="1"/>
  <c r="I145" i="1"/>
  <c r="J145" i="1"/>
  <c r="O145" i="1"/>
  <c r="AK145" i="1" s="1"/>
  <c r="K145" i="1"/>
  <c r="AI144" i="1"/>
  <c r="AQ144" i="1"/>
  <c r="T165" i="3" s="1"/>
  <c r="AO144" i="1"/>
  <c r="AU144" i="1"/>
  <c r="AW144" i="1" s="1"/>
  <c r="V144" i="1"/>
  <c r="K144" i="1"/>
  <c r="O144" i="1"/>
  <c r="AK144" i="1" s="1"/>
  <c r="J144" i="1"/>
  <c r="H144" i="1"/>
  <c r="I144" i="1"/>
  <c r="AI143" i="1"/>
  <c r="AQ143" i="1"/>
  <c r="AU143" i="1"/>
  <c r="AW143" i="1" s="1"/>
  <c r="AO143" i="1"/>
  <c r="V143" i="1"/>
  <c r="K143" i="1"/>
  <c r="H143" i="1"/>
  <c r="J143" i="1"/>
  <c r="O143" i="1"/>
  <c r="AK143" i="1" s="1"/>
  <c r="I143" i="1"/>
  <c r="AQ142" i="1"/>
  <c r="T164" i="3" s="1"/>
  <c r="AI142" i="1"/>
  <c r="AU142" i="1"/>
  <c r="AW142" i="1" s="1"/>
  <c r="V142" i="1"/>
  <c r="AO142" i="1"/>
  <c r="I142" i="1"/>
  <c r="J142" i="1"/>
  <c r="K142" i="1"/>
  <c r="O142" i="1"/>
  <c r="AK142" i="1" s="1"/>
  <c r="H142" i="1"/>
  <c r="AQ141" i="1"/>
  <c r="T163" i="3" s="1"/>
  <c r="AI141" i="1"/>
  <c r="AU141" i="1"/>
  <c r="AW141" i="1" s="1"/>
  <c r="AO141" i="1"/>
  <c r="V141" i="1"/>
  <c r="O141" i="1"/>
  <c r="AK141" i="1" s="1"/>
  <c r="K141" i="1"/>
  <c r="H141" i="1"/>
  <c r="I141" i="1"/>
  <c r="J141" i="1"/>
  <c r="AI140" i="1"/>
  <c r="AQ140" i="1"/>
  <c r="T159" i="3" s="1"/>
  <c r="V140" i="1"/>
  <c r="AO140" i="1"/>
  <c r="AU140" i="1"/>
  <c r="AW140" i="1" s="1"/>
  <c r="H140" i="1"/>
  <c r="I140" i="1"/>
  <c r="O140" i="1"/>
  <c r="AK140" i="1" s="1"/>
  <c r="K140" i="1"/>
  <c r="J140" i="1"/>
  <c r="AQ139" i="1"/>
  <c r="U158" i="3"/>
  <c r="AI139" i="1"/>
  <c r="U561" i="3"/>
  <c r="AU139" i="1"/>
  <c r="AW139" i="1" s="1"/>
  <c r="AO139" i="1"/>
  <c r="V139" i="1"/>
  <c r="J139" i="1"/>
  <c r="K139" i="1"/>
  <c r="R139" i="1"/>
  <c r="H139" i="1"/>
  <c r="I139" i="1"/>
  <c r="O139" i="1"/>
  <c r="AK139" i="1" s="1"/>
  <c r="U157" i="3"/>
  <c r="AI138" i="1"/>
  <c r="AQ138" i="1"/>
  <c r="T157" i="3" s="1"/>
  <c r="AU138" i="1"/>
  <c r="AW138" i="1" s="1"/>
  <c r="AO138" i="1"/>
  <c r="V138" i="1"/>
  <c r="O138" i="1"/>
  <c r="AK138" i="1" s="1"/>
  <c r="K138" i="1"/>
  <c r="J138" i="1"/>
  <c r="I138" i="1"/>
  <c r="H138" i="1"/>
  <c r="R138" i="1"/>
  <c r="AQ137" i="1"/>
  <c r="T156" i="3" s="1"/>
  <c r="U156" i="3"/>
  <c r="AI137" i="1"/>
  <c r="V137" i="1"/>
  <c r="AO137" i="1"/>
  <c r="AU137" i="1"/>
  <c r="AW137" i="1" s="1"/>
  <c r="I137" i="1"/>
  <c r="R137" i="1"/>
  <c r="O137" i="1"/>
  <c r="AK137" i="1" s="1"/>
  <c r="K137" i="1"/>
  <c r="H137" i="1"/>
  <c r="J137" i="1"/>
  <c r="U155" i="3"/>
  <c r="AQ136" i="1"/>
  <c r="T155" i="3" s="1"/>
  <c r="AI136" i="1"/>
  <c r="AO136" i="1"/>
  <c r="AU136" i="1"/>
  <c r="AW136" i="1" s="1"/>
  <c r="V136" i="1"/>
  <c r="J136" i="1"/>
  <c r="K136" i="1"/>
  <c r="O136" i="1"/>
  <c r="AK136" i="1" s="1"/>
  <c r="H136" i="1"/>
  <c r="I136" i="1"/>
  <c r="R136" i="1"/>
  <c r="AQ135" i="1"/>
  <c r="T154" i="3" s="1"/>
  <c r="AI135" i="1"/>
  <c r="U154" i="3"/>
  <c r="AU135" i="1"/>
  <c r="AW135" i="1" s="1"/>
  <c r="AO135" i="1"/>
  <c r="V135" i="1"/>
  <c r="O135" i="1"/>
  <c r="AK135" i="1" s="1"/>
  <c r="K135" i="1"/>
  <c r="I135" i="1"/>
  <c r="H135" i="1"/>
  <c r="R135" i="1"/>
  <c r="J135" i="1"/>
  <c r="AQ134" i="1"/>
  <c r="T153" i="3" s="1"/>
  <c r="U153" i="3"/>
  <c r="AI134" i="1"/>
  <c r="AO134" i="1"/>
  <c r="AU134" i="1"/>
  <c r="AW134" i="1" s="1"/>
  <c r="V134" i="1"/>
  <c r="O134" i="1"/>
  <c r="AK134" i="1" s="1"/>
  <c r="J134" i="1"/>
  <c r="I134" i="1"/>
  <c r="H134" i="1"/>
  <c r="R134" i="1"/>
  <c r="K134" i="1"/>
  <c r="U152" i="3"/>
  <c r="AI133" i="1"/>
  <c r="AQ133" i="1"/>
  <c r="T152" i="3" s="1"/>
  <c r="AU133" i="1"/>
  <c r="AW133" i="1" s="1"/>
  <c r="V133" i="1"/>
  <c r="AO133" i="1"/>
  <c r="K133" i="1"/>
  <c r="R133" i="1"/>
  <c r="O133" i="1"/>
  <c r="AK133" i="1" s="1"/>
  <c r="H133" i="1"/>
  <c r="I133" i="1"/>
  <c r="J133" i="1"/>
  <c r="U588" i="3"/>
  <c r="AI132" i="1"/>
  <c r="AQ132" i="1"/>
  <c r="U151" i="3"/>
  <c r="AU132" i="1"/>
  <c r="AW132" i="1" s="1"/>
  <c r="AO132" i="1"/>
  <c r="V132" i="1"/>
  <c r="H132" i="1"/>
  <c r="O132" i="1"/>
  <c r="AK132" i="1" s="1"/>
  <c r="K132" i="1"/>
  <c r="J132" i="1"/>
  <c r="I132" i="1"/>
  <c r="R132" i="1"/>
  <c r="AQ131" i="1"/>
  <c r="T150" i="3" s="1"/>
  <c r="AI131" i="1"/>
  <c r="U150" i="3"/>
  <c r="AU131" i="1"/>
  <c r="AW131" i="1" s="1"/>
  <c r="V131" i="1"/>
  <c r="AO131" i="1"/>
  <c r="K131" i="1"/>
  <c r="O131" i="1"/>
  <c r="AK131" i="1" s="1"/>
  <c r="J131" i="1"/>
  <c r="I131" i="1"/>
  <c r="H131" i="1"/>
  <c r="R131" i="1"/>
  <c r="U148" i="3"/>
  <c r="AI130" i="1"/>
  <c r="AQ130" i="1"/>
  <c r="T148" i="3" s="1"/>
  <c r="AO130" i="1"/>
  <c r="AU130" i="1"/>
  <c r="AW130" i="1" s="1"/>
  <c r="V130" i="1"/>
  <c r="I130" i="1"/>
  <c r="K130" i="1"/>
  <c r="O130" i="1"/>
  <c r="AK130" i="1" s="1"/>
  <c r="R130" i="1"/>
  <c r="H130" i="1"/>
  <c r="J130" i="1"/>
  <c r="U146" i="3"/>
  <c r="U590" i="3"/>
  <c r="AQ129" i="1"/>
  <c r="AI129" i="1"/>
  <c r="AO129" i="1"/>
  <c r="AU129" i="1"/>
  <c r="AW129" i="1" s="1"/>
  <c r="V129" i="1"/>
  <c r="J129" i="1"/>
  <c r="I129" i="1"/>
  <c r="H129" i="1"/>
  <c r="O129" i="1"/>
  <c r="AK129" i="1" s="1"/>
  <c r="K129" i="1"/>
  <c r="R129" i="1"/>
  <c r="AI128" i="1"/>
  <c r="U144" i="3"/>
  <c r="AQ128" i="1"/>
  <c r="T144" i="3" s="1"/>
  <c r="AO128" i="1"/>
  <c r="AU128" i="1"/>
  <c r="AW128" i="1" s="1"/>
  <c r="V128" i="1"/>
  <c r="K128" i="1"/>
  <c r="H128" i="1"/>
  <c r="I128" i="1"/>
  <c r="J128" i="1"/>
  <c r="R128" i="1"/>
  <c r="O128" i="1"/>
  <c r="AK128" i="1" s="1"/>
  <c r="U143" i="3"/>
  <c r="AQ127" i="1"/>
  <c r="T143" i="3" s="1"/>
  <c r="AI127" i="1"/>
  <c r="AU127" i="1"/>
  <c r="AW127" i="1" s="1"/>
  <c r="AO127" i="1"/>
  <c r="V127" i="1"/>
  <c r="H127" i="1"/>
  <c r="O127" i="1"/>
  <c r="AK127" i="1" s="1"/>
  <c r="K127" i="1"/>
  <c r="I127" i="1"/>
  <c r="R127" i="1"/>
  <c r="J127" i="1"/>
  <c r="AI126" i="1"/>
  <c r="AQ126" i="1"/>
  <c r="T142" i="3" s="1"/>
  <c r="U142" i="3"/>
  <c r="AU126" i="1"/>
  <c r="AW126" i="1" s="1"/>
  <c r="V126" i="1"/>
  <c r="AO126" i="1"/>
  <c r="K126" i="1"/>
  <c r="J126" i="1"/>
  <c r="I126" i="1"/>
  <c r="O126" i="1"/>
  <c r="AK126" i="1" s="1"/>
  <c r="R126" i="1"/>
  <c r="H126" i="1"/>
  <c r="AI125" i="1"/>
  <c r="U555" i="3"/>
  <c r="AQ125" i="1"/>
  <c r="U141" i="3"/>
  <c r="AO125" i="1"/>
  <c r="V125" i="1"/>
  <c r="AU125" i="1"/>
  <c r="AW125" i="1" s="1"/>
  <c r="O125" i="1"/>
  <c r="AK125" i="1" s="1"/>
  <c r="K125" i="1"/>
  <c r="J125" i="1"/>
  <c r="I125" i="1"/>
  <c r="H125" i="1"/>
  <c r="R125" i="1"/>
  <c r="AQ124" i="1"/>
  <c r="T140" i="3" s="1"/>
  <c r="AI124" i="1"/>
  <c r="U140" i="3"/>
  <c r="AO124" i="1"/>
  <c r="AU124" i="1"/>
  <c r="AW124" i="1" s="1"/>
  <c r="V124" i="1"/>
  <c r="R124" i="1"/>
  <c r="K124" i="1"/>
  <c r="O124" i="1"/>
  <c r="AK124" i="1" s="1"/>
  <c r="J124" i="1"/>
  <c r="H124" i="1"/>
  <c r="I124" i="1"/>
  <c r="U139" i="3"/>
  <c r="AI123" i="1"/>
  <c r="AQ123" i="1"/>
  <c r="T139" i="3" s="1"/>
  <c r="AU123" i="1"/>
  <c r="AW123" i="1" s="1"/>
  <c r="AO123" i="1"/>
  <c r="V123" i="1"/>
  <c r="I123" i="1"/>
  <c r="H123" i="1"/>
  <c r="R123" i="1"/>
  <c r="O123" i="1"/>
  <c r="AK123" i="1" s="1"/>
  <c r="K123" i="1"/>
  <c r="J123" i="1"/>
  <c r="AI122" i="1"/>
  <c r="AQ122" i="1"/>
  <c r="U581" i="3"/>
  <c r="U138" i="3"/>
  <c r="AO122" i="1"/>
  <c r="V122" i="1"/>
  <c r="AU122" i="1"/>
  <c r="AW122" i="1" s="1"/>
  <c r="R122" i="1"/>
  <c r="K122" i="1"/>
  <c r="J122" i="1"/>
  <c r="I122" i="1"/>
  <c r="H122" i="1"/>
  <c r="O122" i="1"/>
  <c r="AK122" i="1" s="1"/>
  <c r="AQ121" i="1"/>
  <c r="T137" i="3" s="1"/>
  <c r="U137" i="3"/>
  <c r="AI121" i="1"/>
  <c r="AU121" i="1"/>
  <c r="AW121" i="1" s="1"/>
  <c r="V121" i="1"/>
  <c r="AO121" i="1"/>
  <c r="H121" i="1"/>
  <c r="I121" i="1"/>
  <c r="J121" i="1"/>
  <c r="K121" i="1"/>
  <c r="O121" i="1"/>
  <c r="AK121" i="1" s="1"/>
  <c r="R121" i="1"/>
  <c r="AI120" i="1"/>
  <c r="AQ120" i="1"/>
  <c r="T136" i="3" s="1"/>
  <c r="U136" i="3"/>
  <c r="AO120" i="1"/>
  <c r="AU120" i="1"/>
  <c r="AW120" i="1" s="1"/>
  <c r="V120" i="1"/>
  <c r="H120" i="1"/>
  <c r="R120" i="1"/>
  <c r="I120" i="1"/>
  <c r="J120" i="1"/>
  <c r="K120" i="1"/>
  <c r="O120" i="1"/>
  <c r="AK120" i="1" s="1"/>
  <c r="U134" i="3"/>
  <c r="AQ119" i="1"/>
  <c r="T134" i="3" s="1"/>
  <c r="AI119" i="1"/>
  <c r="AO119" i="1"/>
  <c r="AU119" i="1"/>
  <c r="AW119" i="1" s="1"/>
  <c r="V119" i="1"/>
  <c r="I119" i="1"/>
  <c r="H119" i="1"/>
  <c r="O119" i="1"/>
  <c r="AK119" i="1" s="1"/>
  <c r="R119" i="1"/>
  <c r="K119" i="1"/>
  <c r="J119" i="1"/>
  <c r="AQ118" i="1"/>
  <c r="U232" i="3"/>
  <c r="AI118" i="1"/>
  <c r="AO118" i="1"/>
  <c r="AU118" i="1"/>
  <c r="AW118" i="1" s="1"/>
  <c r="V118" i="1"/>
  <c r="H118" i="1"/>
  <c r="I118" i="1"/>
  <c r="J118" i="1"/>
  <c r="K118" i="1"/>
  <c r="O118" i="1"/>
  <c r="AK118" i="1" s="1"/>
  <c r="AI117" i="1"/>
  <c r="AQ117" i="1"/>
  <c r="T131" i="3" s="1"/>
  <c r="U131" i="3"/>
  <c r="V117" i="1"/>
  <c r="AO117" i="1"/>
  <c r="AU117" i="1"/>
  <c r="AW117" i="1" s="1"/>
  <c r="J117" i="1"/>
  <c r="K117" i="1"/>
  <c r="O117" i="1"/>
  <c r="AK117" i="1" s="1"/>
  <c r="H117" i="1"/>
  <c r="R117" i="1"/>
  <c r="I117" i="1"/>
  <c r="U536" i="3"/>
  <c r="U135" i="3"/>
  <c r="AI116" i="1"/>
  <c r="AQ116" i="1"/>
  <c r="V116" i="1"/>
  <c r="AO116" i="1"/>
  <c r="AU116" i="1"/>
  <c r="AW116" i="1" s="1"/>
  <c r="H116" i="1"/>
  <c r="I116" i="1"/>
  <c r="R116" i="1"/>
  <c r="J116" i="1"/>
  <c r="K116" i="1"/>
  <c r="O116" i="1"/>
  <c r="AK116" i="1" s="1"/>
  <c r="AQ115" i="1"/>
  <c r="T130" i="3" s="1"/>
  <c r="U130" i="3"/>
  <c r="AI115" i="1"/>
  <c r="AO115" i="1"/>
  <c r="V115" i="1"/>
  <c r="AU115" i="1"/>
  <c r="AW115" i="1" s="1"/>
  <c r="H115" i="1"/>
  <c r="O115" i="1"/>
  <c r="AK115" i="1" s="1"/>
  <c r="R115" i="1"/>
  <c r="K115" i="1"/>
  <c r="J115" i="1"/>
  <c r="I115" i="1"/>
  <c r="AI114" i="1"/>
  <c r="AQ114" i="1"/>
  <c r="T127" i="3" s="1"/>
  <c r="U127" i="3"/>
  <c r="V114" i="1"/>
  <c r="AU114" i="1"/>
  <c r="AW114" i="1" s="1"/>
  <c r="AO114" i="1"/>
  <c r="I114" i="1"/>
  <c r="H114" i="1"/>
  <c r="R114" i="1"/>
  <c r="J114" i="1"/>
  <c r="O114" i="1"/>
  <c r="AK114" i="1" s="1"/>
  <c r="K114" i="1"/>
  <c r="AQ113" i="1"/>
  <c r="AI113" i="1"/>
  <c r="U589" i="3"/>
  <c r="U126" i="3"/>
  <c r="AU113" i="1"/>
  <c r="AW113" i="1" s="1"/>
  <c r="AO113" i="1"/>
  <c r="V113" i="1"/>
  <c r="H113" i="1"/>
  <c r="R113" i="1"/>
  <c r="O113" i="1"/>
  <c r="AK113" i="1" s="1"/>
  <c r="K113" i="1"/>
  <c r="J113" i="1"/>
  <c r="I113" i="1"/>
  <c r="AQ112" i="1"/>
  <c r="AI112" i="1"/>
  <c r="U236" i="3"/>
  <c r="AU112" i="1"/>
  <c r="AW112" i="1" s="1"/>
  <c r="AO112" i="1"/>
  <c r="V112" i="1"/>
  <c r="O112" i="1"/>
  <c r="AK112" i="1" s="1"/>
  <c r="K112" i="1"/>
  <c r="J112" i="1"/>
  <c r="I112" i="1"/>
  <c r="H112" i="1"/>
  <c r="U124" i="3"/>
  <c r="O111" i="1"/>
  <c r="AK111" i="1" s="1"/>
  <c r="R111" i="1"/>
  <c r="K111" i="1"/>
  <c r="J111" i="1"/>
  <c r="I111" i="1"/>
  <c r="H111" i="1"/>
  <c r="AI110" i="1"/>
  <c r="U122" i="3"/>
  <c r="AQ110" i="1"/>
  <c r="T122" i="3" s="1"/>
  <c r="AU110" i="1"/>
  <c r="AW110" i="1" s="1"/>
  <c r="V110" i="1"/>
  <c r="AO110" i="1"/>
  <c r="J110" i="1"/>
  <c r="O110" i="1"/>
  <c r="AK110" i="1" s="1"/>
  <c r="K110" i="1"/>
  <c r="I110" i="1"/>
  <c r="H110" i="1"/>
  <c r="R110" i="1"/>
  <c r="U121" i="3"/>
  <c r="AQ109" i="1"/>
  <c r="T121" i="3" s="1"/>
  <c r="AI109" i="1"/>
  <c r="AU109" i="1"/>
  <c r="AW109" i="1" s="1"/>
  <c r="V109" i="1"/>
  <c r="AO109" i="1"/>
  <c r="J109" i="1"/>
  <c r="O109" i="1"/>
  <c r="AK109" i="1" s="1"/>
  <c r="R109" i="1"/>
  <c r="K109" i="1"/>
  <c r="I109" i="1"/>
  <c r="H109" i="1"/>
  <c r="U119" i="3"/>
  <c r="AI108" i="1"/>
  <c r="AQ108" i="1"/>
  <c r="T119" i="3" s="1"/>
  <c r="AO108" i="1"/>
  <c r="V108" i="1"/>
  <c r="AU108" i="1"/>
  <c r="AW108" i="1" s="1"/>
  <c r="K108" i="1"/>
  <c r="J108" i="1"/>
  <c r="I108" i="1"/>
  <c r="H108" i="1"/>
  <c r="O108" i="1"/>
  <c r="AK108" i="1" s="1"/>
  <c r="R108" i="1"/>
  <c r="U118" i="3"/>
  <c r="AI107" i="1"/>
  <c r="AQ107" i="1"/>
  <c r="T118" i="3" s="1"/>
  <c r="V107" i="1"/>
  <c r="AU107" i="1"/>
  <c r="AW107" i="1" s="1"/>
  <c r="AO107" i="1"/>
  <c r="K107" i="1"/>
  <c r="J107" i="1"/>
  <c r="I107" i="1"/>
  <c r="H107" i="1"/>
  <c r="O107" i="1"/>
  <c r="AK107" i="1" s="1"/>
  <c r="R107" i="1"/>
  <c r="AQ106" i="1"/>
  <c r="T117" i="3" s="1"/>
  <c r="U117" i="3"/>
  <c r="AI106" i="1"/>
  <c r="AU106" i="1"/>
  <c r="AW106" i="1" s="1"/>
  <c r="V106" i="1"/>
  <c r="AO106" i="1"/>
  <c r="O106" i="1"/>
  <c r="AK106" i="1" s="1"/>
  <c r="I106" i="1"/>
  <c r="H106" i="1"/>
  <c r="K106" i="1"/>
  <c r="J106" i="1"/>
  <c r="R106" i="1"/>
  <c r="AQ105" i="1"/>
  <c r="T115" i="3" s="1"/>
  <c r="U115" i="3"/>
  <c r="AI105" i="1"/>
  <c r="V105" i="1"/>
  <c r="AU105" i="1"/>
  <c r="AW105" i="1" s="1"/>
  <c r="AO105" i="1"/>
  <c r="R105" i="1"/>
  <c r="K105" i="1"/>
  <c r="J105" i="1"/>
  <c r="I105" i="1"/>
  <c r="H105" i="1"/>
  <c r="O105" i="1"/>
  <c r="AK105" i="1" s="1"/>
  <c r="U229" i="3"/>
  <c r="AQ104" i="1"/>
  <c r="AI104" i="1"/>
  <c r="V104" i="1"/>
  <c r="AU104" i="1"/>
  <c r="AW104" i="1" s="1"/>
  <c r="AO104" i="1"/>
  <c r="I104" i="1"/>
  <c r="J104" i="1"/>
  <c r="K104" i="1"/>
  <c r="O104" i="1"/>
  <c r="AK104" i="1" s="1"/>
  <c r="H104" i="1"/>
  <c r="I99" i="2"/>
  <c r="AJ103" i="1"/>
  <c r="AQ103" i="1"/>
  <c r="T114" i="3" s="1"/>
  <c r="U114" i="3"/>
  <c r="AI103" i="1"/>
  <c r="H99" i="2"/>
  <c r="V103" i="1"/>
  <c r="AO103" i="1"/>
  <c r="AU103" i="1"/>
  <c r="AW103" i="1" s="1"/>
  <c r="C99" i="2"/>
  <c r="R103" i="1"/>
  <c r="H103" i="1"/>
  <c r="I103" i="1"/>
  <c r="J103" i="1"/>
  <c r="K103" i="1"/>
  <c r="O103" i="1"/>
  <c r="AK103" i="1" s="1"/>
  <c r="D99" i="2"/>
  <c r="O99" i="2" s="1"/>
  <c r="AQ102" i="1"/>
  <c r="T113" i="3" s="1"/>
  <c r="AI102" i="1"/>
  <c r="U113" i="3"/>
  <c r="AO102" i="1"/>
  <c r="V102" i="1"/>
  <c r="AU102" i="1"/>
  <c r="AW102" i="1" s="1"/>
  <c r="R102" i="1"/>
  <c r="O102" i="1"/>
  <c r="AK102" i="1" s="1"/>
  <c r="K102" i="1"/>
  <c r="I102" i="1"/>
  <c r="H102" i="1"/>
  <c r="J102" i="1"/>
  <c r="U542" i="3"/>
  <c r="U109" i="3"/>
  <c r="AQ101" i="1"/>
  <c r="AI101" i="1"/>
  <c r="V101" i="1"/>
  <c r="AO101" i="1"/>
  <c r="AU101" i="1"/>
  <c r="AW101" i="1" s="1"/>
  <c r="R101" i="1"/>
  <c r="O101" i="1"/>
  <c r="AK101" i="1" s="1"/>
  <c r="K101" i="1"/>
  <c r="J101" i="1"/>
  <c r="H101" i="1"/>
  <c r="I101" i="1"/>
  <c r="I97" i="2"/>
  <c r="AJ100" i="1"/>
  <c r="U108" i="3"/>
  <c r="H97" i="2"/>
  <c r="AQ100" i="1"/>
  <c r="T108" i="3" s="1"/>
  <c r="AI100" i="1"/>
  <c r="C97" i="2"/>
  <c r="AO100" i="1"/>
  <c r="V100" i="1"/>
  <c r="AU100" i="1"/>
  <c r="AW100" i="1" s="1"/>
  <c r="R100" i="1"/>
  <c r="I100" i="1"/>
  <c r="O100" i="1"/>
  <c r="AK100" i="1" s="1"/>
  <c r="K100" i="1"/>
  <c r="J100" i="1"/>
  <c r="H100" i="1"/>
  <c r="D97" i="2"/>
  <c r="V99" i="1"/>
  <c r="AO99" i="1"/>
  <c r="AU99" i="1"/>
  <c r="AW99" i="1" s="1"/>
  <c r="I99" i="1"/>
  <c r="H99" i="1"/>
  <c r="J99" i="1"/>
  <c r="K99" i="1"/>
  <c r="O99" i="1"/>
  <c r="AK99" i="1" s="1"/>
  <c r="AI98" i="1"/>
  <c r="AQ98" i="1"/>
  <c r="T106" i="3" s="1"/>
  <c r="AU98" i="1"/>
  <c r="AW98" i="1" s="1"/>
  <c r="V98" i="1"/>
  <c r="AO98" i="1"/>
  <c r="O98" i="1"/>
  <c r="AK98" i="1" s="1"/>
  <c r="K98" i="1"/>
  <c r="J98" i="1"/>
  <c r="I98" i="1"/>
  <c r="H98" i="1"/>
  <c r="AI97" i="1"/>
  <c r="AQ97" i="1"/>
  <c r="T105" i="3" s="1"/>
  <c r="V97" i="1"/>
  <c r="AO97" i="1"/>
  <c r="AU97" i="1"/>
  <c r="AW97" i="1" s="1"/>
  <c r="I97" i="1"/>
  <c r="K97" i="1"/>
  <c r="J97" i="1"/>
  <c r="H97" i="1"/>
  <c r="O97" i="1"/>
  <c r="AK97" i="1" s="1"/>
  <c r="AQ96" i="1"/>
  <c r="T104" i="3" s="1"/>
  <c r="AI96" i="1"/>
  <c r="V96" i="1"/>
  <c r="AU96" i="1"/>
  <c r="AW96" i="1" s="1"/>
  <c r="AO96" i="1"/>
  <c r="K96" i="1"/>
  <c r="O96" i="1"/>
  <c r="AK96" i="1" s="1"/>
  <c r="H96" i="1"/>
  <c r="I96" i="1"/>
  <c r="J96" i="1"/>
  <c r="U579" i="3"/>
  <c r="AQ95" i="1"/>
  <c r="U578" i="3"/>
  <c r="AI95" i="1"/>
  <c r="AU95" i="1"/>
  <c r="AW95" i="1" s="1"/>
  <c r="AO95" i="1"/>
  <c r="V95" i="1"/>
  <c r="O95" i="1"/>
  <c r="AK95" i="1" s="1"/>
  <c r="K95" i="1"/>
  <c r="J95" i="1"/>
  <c r="H95" i="1"/>
  <c r="I95" i="1"/>
  <c r="AQ94" i="1"/>
  <c r="T102" i="3" s="1"/>
  <c r="AI94" i="1"/>
  <c r="V94" i="1"/>
  <c r="AU94" i="1"/>
  <c r="AW94" i="1" s="1"/>
  <c r="AO94" i="1"/>
  <c r="K94" i="1"/>
  <c r="O94" i="1"/>
  <c r="AK94" i="1" s="1"/>
  <c r="H94" i="1"/>
  <c r="I94" i="1"/>
  <c r="J94" i="1"/>
  <c r="AQ93" i="1"/>
  <c r="AI93" i="1"/>
  <c r="U392" i="3"/>
  <c r="AU93" i="1"/>
  <c r="AW93" i="1" s="1"/>
  <c r="AO93" i="1"/>
  <c r="V93" i="1"/>
  <c r="H93" i="1"/>
  <c r="K93" i="1"/>
  <c r="O93" i="1"/>
  <c r="AK93" i="1" s="1"/>
  <c r="I93" i="1"/>
  <c r="J93" i="1"/>
  <c r="AQ92" i="1"/>
  <c r="T98" i="3" s="1"/>
  <c r="AI92" i="1"/>
  <c r="AU92" i="1"/>
  <c r="AW92" i="1" s="1"/>
  <c r="AO92" i="1"/>
  <c r="V92" i="1"/>
  <c r="J92" i="1"/>
  <c r="K92" i="1"/>
  <c r="H92" i="1"/>
  <c r="I92" i="1"/>
  <c r="O92" i="1"/>
  <c r="AK92" i="1" s="1"/>
  <c r="AQ91" i="1"/>
  <c r="T97" i="3" s="1"/>
  <c r="AI91" i="1"/>
  <c r="AU91" i="1"/>
  <c r="AW91" i="1" s="1"/>
  <c r="AO91" i="1"/>
  <c r="V91" i="1"/>
  <c r="I91" i="1"/>
  <c r="H91" i="1"/>
  <c r="O91" i="1"/>
  <c r="AK91" i="1" s="1"/>
  <c r="K91" i="1"/>
  <c r="J91" i="1"/>
  <c r="AQ90" i="1"/>
  <c r="U178" i="3"/>
  <c r="AI90" i="1"/>
  <c r="V90" i="1"/>
  <c r="AO90" i="1"/>
  <c r="AU90" i="1"/>
  <c r="AW90" i="1" s="1"/>
  <c r="H90" i="1"/>
  <c r="I90" i="1"/>
  <c r="J90" i="1"/>
  <c r="K90" i="1"/>
  <c r="O90" i="1"/>
  <c r="AK90" i="1" s="1"/>
  <c r="AQ89" i="1"/>
  <c r="T95" i="3" s="1"/>
  <c r="AI89" i="1"/>
  <c r="AO89" i="1"/>
  <c r="AU89" i="1"/>
  <c r="AW89" i="1" s="1"/>
  <c r="V89" i="1"/>
  <c r="K89" i="1"/>
  <c r="J89" i="1"/>
  <c r="I89" i="1"/>
  <c r="H89" i="1"/>
  <c r="O89" i="1"/>
  <c r="AK89" i="1" s="1"/>
  <c r="U185" i="3"/>
  <c r="AQ88" i="1"/>
  <c r="AI88" i="1"/>
  <c r="U538" i="3"/>
  <c r="U226" i="3"/>
  <c r="AO88" i="1"/>
  <c r="V88" i="1"/>
  <c r="AU88" i="1"/>
  <c r="AW88" i="1" s="1"/>
  <c r="H88" i="1"/>
  <c r="K88" i="1"/>
  <c r="J88" i="1"/>
  <c r="O88" i="1"/>
  <c r="AK88" i="1" s="1"/>
  <c r="I88" i="1"/>
  <c r="AQ87" i="1"/>
  <c r="AI87" i="1"/>
  <c r="U583" i="3"/>
  <c r="U582" i="3"/>
  <c r="V87" i="1"/>
  <c r="AO87" i="1"/>
  <c r="AU87" i="1"/>
  <c r="AW87" i="1" s="1"/>
  <c r="I87" i="1"/>
  <c r="H87" i="1"/>
  <c r="J87" i="1"/>
  <c r="K87" i="1"/>
  <c r="O87" i="1"/>
  <c r="AK87" i="1" s="1"/>
  <c r="U200" i="3"/>
  <c r="AQ86" i="1"/>
  <c r="AI86" i="1"/>
  <c r="U201" i="3"/>
  <c r="AU86" i="1"/>
  <c r="AW86" i="1" s="1"/>
  <c r="V86" i="1"/>
  <c r="AO86" i="1"/>
  <c r="I86" i="1"/>
  <c r="H86" i="1"/>
  <c r="J86" i="1"/>
  <c r="K86" i="1"/>
  <c r="O86" i="1"/>
  <c r="AK86" i="1" s="1"/>
  <c r="AI85" i="1"/>
  <c r="AQ85" i="1"/>
  <c r="T93" i="3" s="1"/>
  <c r="AO85" i="1"/>
  <c r="AU85" i="1"/>
  <c r="AW85" i="1" s="1"/>
  <c r="V85" i="1"/>
  <c r="O85" i="1"/>
  <c r="AK85" i="1" s="1"/>
  <c r="K85" i="1"/>
  <c r="H85" i="1"/>
  <c r="I85" i="1"/>
  <c r="J85" i="1"/>
  <c r="AI84" i="1"/>
  <c r="AQ84" i="1"/>
  <c r="T91" i="3" s="1"/>
  <c r="AO84" i="1"/>
  <c r="AU84" i="1"/>
  <c r="AW84" i="1" s="1"/>
  <c r="V84" i="1"/>
  <c r="O84" i="1"/>
  <c r="AK84" i="1" s="1"/>
  <c r="K84" i="1"/>
  <c r="I84" i="1"/>
  <c r="H84" i="1"/>
  <c r="J84" i="1"/>
  <c r="AQ83" i="1"/>
  <c r="AI83" i="1"/>
  <c r="U207" i="3"/>
  <c r="U184" i="3"/>
  <c r="AO83" i="1"/>
  <c r="V83" i="1"/>
  <c r="AU83" i="1"/>
  <c r="AW83" i="1" s="1"/>
  <c r="O83" i="1"/>
  <c r="AK83" i="1" s="1"/>
  <c r="K83" i="1"/>
  <c r="J83" i="1"/>
  <c r="I83" i="1"/>
  <c r="H83" i="1"/>
  <c r="AQ82" i="1"/>
  <c r="AI82" i="1"/>
  <c r="AO82" i="1"/>
  <c r="V82" i="1"/>
  <c r="AU82" i="1"/>
  <c r="AW82" i="1" s="1"/>
  <c r="O82" i="1"/>
  <c r="AK82" i="1" s="1"/>
  <c r="K82" i="1"/>
  <c r="J82" i="1"/>
  <c r="I82" i="1"/>
  <c r="H82" i="1"/>
  <c r="AQ81" i="1"/>
  <c r="T90" i="3" s="1"/>
  <c r="AI81" i="1"/>
  <c r="AU81" i="1"/>
  <c r="AW81" i="1" s="1"/>
  <c r="AO81" i="1"/>
  <c r="V81" i="1"/>
  <c r="I81" i="1"/>
  <c r="H81" i="1"/>
  <c r="O81" i="1"/>
  <c r="AK81" i="1" s="1"/>
  <c r="K81" i="1"/>
  <c r="J81" i="1"/>
  <c r="AI80" i="1"/>
  <c r="AQ80" i="1"/>
  <c r="T89" i="3" s="1"/>
  <c r="AO80" i="1"/>
  <c r="AU80" i="1"/>
  <c r="AW80" i="1" s="1"/>
  <c r="V80" i="1"/>
  <c r="I80" i="1"/>
  <c r="O80" i="1"/>
  <c r="AK80" i="1" s="1"/>
  <c r="K80" i="1"/>
  <c r="J80" i="1"/>
  <c r="H80" i="1"/>
  <c r="AI79" i="1"/>
  <c r="AQ79" i="1"/>
  <c r="T88" i="3" s="1"/>
  <c r="AO79" i="1"/>
  <c r="V79" i="1"/>
  <c r="AU79" i="1"/>
  <c r="AW79" i="1" s="1"/>
  <c r="O79" i="1"/>
  <c r="AK79" i="1" s="1"/>
  <c r="K79" i="1"/>
  <c r="J79" i="1"/>
  <c r="I79" i="1"/>
  <c r="H79" i="1"/>
  <c r="AQ78" i="1"/>
  <c r="AI78" i="1"/>
  <c r="U403" i="3"/>
  <c r="AU78" i="1"/>
  <c r="AW78" i="1" s="1"/>
  <c r="AO78" i="1"/>
  <c r="V78" i="1"/>
  <c r="J78" i="1"/>
  <c r="I78" i="1"/>
  <c r="H78" i="1"/>
  <c r="O78" i="1"/>
  <c r="AK78" i="1" s="1"/>
  <c r="K78" i="1"/>
  <c r="AQ77" i="1"/>
  <c r="T87" i="3" s="1"/>
  <c r="AI77" i="1"/>
  <c r="V77" i="1"/>
  <c r="AU77" i="1"/>
  <c r="AW77" i="1" s="1"/>
  <c r="AO77" i="1"/>
  <c r="O77" i="1"/>
  <c r="AK77" i="1" s="1"/>
  <c r="K77" i="1"/>
  <c r="J77" i="1"/>
  <c r="I77" i="1"/>
  <c r="H77" i="1"/>
  <c r="AQ76" i="1"/>
  <c r="T86" i="3" s="1"/>
  <c r="AI76" i="1"/>
  <c r="AU76" i="1"/>
  <c r="AW76" i="1" s="1"/>
  <c r="AO76" i="1"/>
  <c r="V76" i="1"/>
  <c r="J76" i="1"/>
  <c r="I76" i="1"/>
  <c r="H76" i="1"/>
  <c r="O76" i="1"/>
  <c r="AK76" i="1" s="1"/>
  <c r="K76" i="1"/>
  <c r="U160" i="3"/>
  <c r="U206" i="3"/>
  <c r="AI75" i="1"/>
  <c r="AQ75" i="1"/>
  <c r="AO75" i="1"/>
  <c r="AU75" i="1"/>
  <c r="AW75" i="1" s="1"/>
  <c r="V75" i="1"/>
  <c r="O75" i="1"/>
  <c r="AK75" i="1" s="1"/>
  <c r="K75" i="1"/>
  <c r="J75" i="1"/>
  <c r="I75" i="1"/>
  <c r="H75" i="1"/>
  <c r="U551" i="3"/>
  <c r="AQ74" i="1"/>
  <c r="AI74" i="1"/>
  <c r="AU74" i="1"/>
  <c r="AW74" i="1" s="1"/>
  <c r="AO74" i="1"/>
  <c r="V74" i="1"/>
  <c r="H74" i="1"/>
  <c r="O74" i="1"/>
  <c r="AK74" i="1" s="1"/>
  <c r="K74" i="1"/>
  <c r="J74" i="1"/>
  <c r="I74" i="1"/>
  <c r="AQ73" i="1"/>
  <c r="T83" i="3" s="1"/>
  <c r="AI73" i="1"/>
  <c r="AO73" i="1"/>
  <c r="AU73" i="1"/>
  <c r="AW73" i="1" s="1"/>
  <c r="V73" i="1"/>
  <c r="J73" i="1"/>
  <c r="O73" i="1"/>
  <c r="AK73" i="1" s="1"/>
  <c r="H73" i="1"/>
  <c r="I73" i="1"/>
  <c r="K73" i="1"/>
  <c r="AI72" i="1"/>
  <c r="AQ72" i="1"/>
  <c r="T82" i="3" s="1"/>
  <c r="AU72" i="1"/>
  <c r="AW72" i="1" s="1"/>
  <c r="V72" i="1"/>
  <c r="AO72" i="1"/>
  <c r="H72" i="1"/>
  <c r="I72" i="1"/>
  <c r="J72" i="1"/>
  <c r="K72" i="1"/>
  <c r="O72" i="1"/>
  <c r="AK72" i="1" s="1"/>
  <c r="AI71" i="1"/>
  <c r="AQ71" i="1"/>
  <c r="T80" i="3" s="1"/>
  <c r="V71" i="1"/>
  <c r="AO71" i="1"/>
  <c r="AU71" i="1"/>
  <c r="AW71" i="1" s="1"/>
  <c r="J71" i="1"/>
  <c r="K71" i="1"/>
  <c r="O71" i="1"/>
  <c r="AK71" i="1" s="1"/>
  <c r="I71" i="1"/>
  <c r="H71" i="1"/>
  <c r="U79" i="3"/>
  <c r="AQ70" i="1"/>
  <c r="T79" i="3" s="1"/>
  <c r="AI70" i="1"/>
  <c r="AU70" i="1"/>
  <c r="AW70" i="1" s="1"/>
  <c r="V70" i="1"/>
  <c r="AO70" i="1"/>
  <c r="O70" i="1"/>
  <c r="AK70" i="1" s="1"/>
  <c r="K70" i="1"/>
  <c r="J70" i="1"/>
  <c r="I70" i="1"/>
  <c r="H70" i="1"/>
  <c r="R70" i="1"/>
  <c r="U78" i="3"/>
  <c r="AQ69" i="1"/>
  <c r="T78" i="3" s="1"/>
  <c r="AI69" i="1"/>
  <c r="V69" i="1"/>
  <c r="AU69" i="1"/>
  <c r="AW69" i="1" s="1"/>
  <c r="AO69" i="1"/>
  <c r="K69" i="1"/>
  <c r="O69" i="1"/>
  <c r="AK69" i="1" s="1"/>
  <c r="H69" i="1"/>
  <c r="I69" i="1"/>
  <c r="J69" i="1"/>
  <c r="R69" i="1"/>
  <c r="AI68" i="1"/>
  <c r="AQ68" i="1"/>
  <c r="U77" i="3"/>
  <c r="U550" i="3"/>
  <c r="AO68" i="1"/>
  <c r="V68" i="1"/>
  <c r="AU68" i="1"/>
  <c r="AW68" i="1" s="1"/>
  <c r="I68" i="1"/>
  <c r="H68" i="1"/>
  <c r="R68" i="1"/>
  <c r="O68" i="1"/>
  <c r="AK68" i="1" s="1"/>
  <c r="K68" i="1"/>
  <c r="J68" i="1"/>
  <c r="AQ67" i="1"/>
  <c r="T76" i="3" s="1"/>
  <c r="U76" i="3"/>
  <c r="AI67" i="1"/>
  <c r="AO67" i="1"/>
  <c r="V67" i="1"/>
  <c r="AU67" i="1"/>
  <c r="AW67" i="1" s="1"/>
  <c r="I67" i="1"/>
  <c r="J67" i="1"/>
  <c r="R67" i="1"/>
  <c r="H67" i="1"/>
  <c r="O67" i="1"/>
  <c r="AK67" i="1" s="1"/>
  <c r="K67" i="1"/>
  <c r="U181" i="3"/>
  <c r="AI66" i="1"/>
  <c r="U147" i="3"/>
  <c r="AQ66" i="1"/>
  <c r="V66" i="1"/>
  <c r="AU66" i="1"/>
  <c r="AW66" i="1" s="1"/>
  <c r="AO66" i="1"/>
  <c r="K66" i="1"/>
  <c r="O66" i="1"/>
  <c r="AK66" i="1" s="1"/>
  <c r="R66" i="1"/>
  <c r="H66" i="1"/>
  <c r="I66" i="1"/>
  <c r="J66" i="1"/>
  <c r="U161" i="3"/>
  <c r="AQ65" i="1"/>
  <c r="AI65" i="1"/>
  <c r="U162" i="3"/>
  <c r="V65" i="1"/>
  <c r="AU65" i="1"/>
  <c r="AW65" i="1" s="1"/>
  <c r="AO65" i="1"/>
  <c r="K65" i="1"/>
  <c r="O65" i="1"/>
  <c r="AK65" i="1" s="1"/>
  <c r="R65" i="1"/>
  <c r="H65" i="1"/>
  <c r="I65" i="1"/>
  <c r="J65" i="1"/>
  <c r="AI64" i="1"/>
  <c r="AQ64" i="1"/>
  <c r="U169" i="3"/>
  <c r="U149" i="3"/>
  <c r="AU64" i="1"/>
  <c r="AW64" i="1" s="1"/>
  <c r="AO64" i="1"/>
  <c r="V64" i="1"/>
  <c r="H64" i="1"/>
  <c r="I64" i="1"/>
  <c r="J64" i="1"/>
  <c r="K64" i="1"/>
  <c r="R64" i="1"/>
  <c r="O64" i="1"/>
  <c r="AK64" i="1" s="1"/>
  <c r="AI63" i="1"/>
  <c r="AQ63" i="1"/>
  <c r="U175" i="3"/>
  <c r="U125" i="3"/>
  <c r="V63" i="1"/>
  <c r="AO63" i="1"/>
  <c r="AU63" i="1"/>
  <c r="AW63" i="1" s="1"/>
  <c r="I63" i="1"/>
  <c r="K63" i="1"/>
  <c r="J63" i="1"/>
  <c r="F63" i="1"/>
  <c r="Q63" i="1" s="1"/>
  <c r="O63" i="1"/>
  <c r="AK63" i="1" s="1"/>
  <c r="R63" i="1"/>
  <c r="H63" i="1"/>
  <c r="AI62" i="1"/>
  <c r="AQ62" i="1"/>
  <c r="T69" i="3" s="1"/>
  <c r="U69" i="3"/>
  <c r="AO62" i="1"/>
  <c r="AU62" i="1"/>
  <c r="AW62" i="1" s="1"/>
  <c r="V62" i="1"/>
  <c r="K62" i="1"/>
  <c r="F62" i="1"/>
  <c r="Q62" i="1" s="1"/>
  <c r="J62" i="1"/>
  <c r="H62" i="1"/>
  <c r="I62" i="1"/>
  <c r="O62" i="1"/>
  <c r="AK62" i="1" s="1"/>
  <c r="R62" i="1"/>
  <c r="AI61" i="1"/>
  <c r="AQ61" i="1"/>
  <c r="U145" i="3"/>
  <c r="U132" i="3"/>
  <c r="AU61" i="1"/>
  <c r="AW61" i="1" s="1"/>
  <c r="V61" i="1"/>
  <c r="AO61" i="1"/>
  <c r="O61" i="1"/>
  <c r="AK61" i="1" s="1"/>
  <c r="H61" i="1"/>
  <c r="K61" i="1"/>
  <c r="J61" i="1"/>
  <c r="I61" i="1"/>
  <c r="F61" i="1"/>
  <c r="Q61" i="1" s="1"/>
  <c r="R61" i="1" s="1"/>
  <c r="AI60" i="1"/>
  <c r="AQ60" i="1"/>
  <c r="AU60" i="1"/>
  <c r="AW60" i="1" s="1"/>
  <c r="AO60" i="1"/>
  <c r="V60" i="1"/>
  <c r="J60" i="1"/>
  <c r="O60" i="1"/>
  <c r="AK60" i="1" s="1"/>
  <c r="K60" i="1"/>
  <c r="I60" i="1"/>
  <c r="H60" i="1"/>
  <c r="U592" i="3"/>
  <c r="AQ59" i="1"/>
  <c r="U66" i="3"/>
  <c r="AI59" i="1"/>
  <c r="V59" i="1"/>
  <c r="AO59" i="1"/>
  <c r="AU59" i="1"/>
  <c r="AW59" i="1" s="1"/>
  <c r="P59" i="1"/>
  <c r="F59" i="1"/>
  <c r="Q59" i="1" s="1"/>
  <c r="R59" i="1" s="1"/>
  <c r="H59" i="1"/>
  <c r="I59" i="1"/>
  <c r="O59" i="1"/>
  <c r="AK59" i="1" s="1"/>
  <c r="K59" i="1"/>
  <c r="J59" i="1"/>
  <c r="AQ58" i="1"/>
  <c r="U123" i="3"/>
  <c r="U133" i="3"/>
  <c r="AI58" i="1"/>
  <c r="V58" i="1"/>
  <c r="AU58" i="1"/>
  <c r="AW58" i="1" s="1"/>
  <c r="AO58" i="1"/>
  <c r="J58" i="1"/>
  <c r="K58" i="1"/>
  <c r="H58" i="1"/>
  <c r="O58" i="1"/>
  <c r="AK58" i="1" s="1"/>
  <c r="I58" i="1"/>
  <c r="F58" i="1"/>
  <c r="Q58" i="1" s="1"/>
  <c r="R58" i="1"/>
  <c r="U64" i="3"/>
  <c r="AI57" i="1"/>
  <c r="AQ57" i="1"/>
  <c r="T64" i="3" s="1"/>
  <c r="V57" i="1"/>
  <c r="AU57" i="1"/>
  <c r="AW57" i="1" s="1"/>
  <c r="AO57" i="1"/>
  <c r="F57" i="1"/>
  <c r="Q57" i="1" s="1"/>
  <c r="P57" i="1"/>
  <c r="K57" i="1"/>
  <c r="J57" i="1"/>
  <c r="I57" i="1"/>
  <c r="O57" i="1"/>
  <c r="AK57" i="1" s="1"/>
  <c r="H57" i="1"/>
  <c r="R57" i="1"/>
  <c r="AI56" i="1"/>
  <c r="U535" i="3"/>
  <c r="U65" i="3"/>
  <c r="AQ56" i="1"/>
  <c r="V56" i="1"/>
  <c r="AO56" i="1"/>
  <c r="AU56" i="1"/>
  <c r="AW56" i="1" s="1"/>
  <c r="P56" i="1"/>
  <c r="F56" i="1"/>
  <c r="Q56" i="1" s="1"/>
  <c r="R56" i="1"/>
  <c r="K56" i="1"/>
  <c r="J56" i="1"/>
  <c r="I56" i="1"/>
  <c r="H56" i="1"/>
  <c r="O56" i="1"/>
  <c r="AK56" i="1" s="1"/>
  <c r="AI55" i="1"/>
  <c r="U452" i="3"/>
  <c r="U364" i="3"/>
  <c r="U81" i="3"/>
  <c r="AQ55" i="1"/>
  <c r="AU55" i="1"/>
  <c r="AW55" i="1" s="1"/>
  <c r="V55" i="1"/>
  <c r="AO55" i="1"/>
  <c r="F55" i="1"/>
  <c r="Q55" i="1" s="1"/>
  <c r="P55" i="1"/>
  <c r="H55" i="1"/>
  <c r="I55" i="1"/>
  <c r="J55" i="1"/>
  <c r="K55" i="1"/>
  <c r="R55" i="1"/>
  <c r="O55" i="1"/>
  <c r="AK55" i="1" s="1"/>
  <c r="U552" i="3"/>
  <c r="U553" i="3"/>
  <c r="U62" i="3"/>
  <c r="AQ54" i="1"/>
  <c r="AI54" i="1"/>
  <c r="V54" i="1"/>
  <c r="AU54" i="1"/>
  <c r="AW54" i="1" s="1"/>
  <c r="AO54" i="1"/>
  <c r="P54" i="1"/>
  <c r="F54" i="1"/>
  <c r="Q54" i="1" s="1"/>
  <c r="O54" i="1"/>
  <c r="AK54" i="1" s="1"/>
  <c r="R54" i="1"/>
  <c r="J54" i="1"/>
  <c r="I54" i="1"/>
  <c r="H54" i="1"/>
  <c r="K54" i="1"/>
  <c r="U61" i="3"/>
  <c r="AQ53" i="1"/>
  <c r="T61" i="3" s="1"/>
  <c r="AI53" i="1"/>
  <c r="AO53" i="1"/>
  <c r="AU53" i="1"/>
  <c r="AW53" i="1" s="1"/>
  <c r="V53" i="1"/>
  <c r="F53" i="1"/>
  <c r="Q53" i="1" s="1"/>
  <c r="P53" i="1"/>
  <c r="K53" i="1"/>
  <c r="J53" i="1"/>
  <c r="H53" i="1"/>
  <c r="R53" i="1"/>
  <c r="O53" i="1"/>
  <c r="AK53" i="1" s="1"/>
  <c r="I53" i="1"/>
  <c r="U59" i="3"/>
  <c r="AI52" i="1"/>
  <c r="AQ52" i="1"/>
  <c r="T59" i="3" s="1"/>
  <c r="AU52" i="1"/>
  <c r="AW52" i="1" s="1"/>
  <c r="V52" i="1"/>
  <c r="AO52" i="1"/>
  <c r="P52" i="1"/>
  <c r="F52" i="1"/>
  <c r="Q52" i="1" s="1"/>
  <c r="I52" i="1"/>
  <c r="K52" i="1"/>
  <c r="J52" i="1"/>
  <c r="H52" i="1"/>
  <c r="R52" i="1"/>
  <c r="O52" i="1"/>
  <c r="AK52" i="1" s="1"/>
  <c r="U57" i="3"/>
  <c r="AQ51" i="1"/>
  <c r="T57" i="3" s="1"/>
  <c r="AI51" i="1"/>
  <c r="V51" i="1"/>
  <c r="AU51" i="1"/>
  <c r="AW51" i="1" s="1"/>
  <c r="AO51" i="1"/>
  <c r="P51" i="1"/>
  <c r="F51" i="1"/>
  <c r="Q51" i="1" s="1"/>
  <c r="O51" i="1"/>
  <c r="AK51" i="1" s="1"/>
  <c r="K51" i="1"/>
  <c r="J51" i="1"/>
  <c r="H51" i="1"/>
  <c r="R51" i="1"/>
  <c r="I51" i="1"/>
  <c r="U56" i="3"/>
  <c r="AQ50" i="1"/>
  <c r="T56" i="3" s="1"/>
  <c r="AI50" i="1"/>
  <c r="AU50" i="1"/>
  <c r="AW50" i="1" s="1"/>
  <c r="V50" i="1"/>
  <c r="AO50" i="1"/>
  <c r="O50" i="1"/>
  <c r="AK50" i="1" s="1"/>
  <c r="H50" i="1"/>
  <c r="I50" i="1"/>
  <c r="J50" i="1"/>
  <c r="K50" i="1"/>
  <c r="F50" i="1"/>
  <c r="Q50" i="1" s="1"/>
  <c r="R50" i="1" s="1"/>
  <c r="U55" i="3"/>
  <c r="AI49" i="1"/>
  <c r="AQ49" i="1"/>
  <c r="T55" i="3" s="1"/>
  <c r="AO49" i="1"/>
  <c r="AU49" i="1"/>
  <c r="AW49" i="1" s="1"/>
  <c r="V49" i="1"/>
  <c r="P49" i="1"/>
  <c r="F49" i="1"/>
  <c r="Q49" i="1" s="1"/>
  <c r="O49" i="1"/>
  <c r="AK49" i="1" s="1"/>
  <c r="K49" i="1"/>
  <c r="J49" i="1"/>
  <c r="I49" i="1"/>
  <c r="H49" i="1"/>
  <c r="R49" i="1"/>
  <c r="AI48" i="1"/>
  <c r="U54" i="3"/>
  <c r="AQ48" i="1"/>
  <c r="T54" i="3" s="1"/>
  <c r="AU48" i="1"/>
  <c r="AW48" i="1" s="1"/>
  <c r="AO48" i="1"/>
  <c r="V48" i="1"/>
  <c r="F48" i="1"/>
  <c r="Q48" i="1" s="1"/>
  <c r="P48" i="1"/>
  <c r="I48" i="1"/>
  <c r="H48" i="1"/>
  <c r="R48" i="1"/>
  <c r="O48" i="1"/>
  <c r="AK48" i="1" s="1"/>
  <c r="K48" i="1"/>
  <c r="J48" i="1"/>
  <c r="AJ47" i="1"/>
  <c r="I96" i="2"/>
  <c r="AI47" i="1"/>
  <c r="U111" i="3"/>
  <c r="H96" i="2"/>
  <c r="AQ47" i="1"/>
  <c r="U112" i="3"/>
  <c r="AK47" i="1"/>
  <c r="Z47" i="1"/>
  <c r="AA47" i="1" s="1"/>
  <c r="N96" i="2" s="1"/>
  <c r="AM47" i="1"/>
  <c r="C96" i="2"/>
  <c r="V47" i="1"/>
  <c r="AO47" i="1"/>
  <c r="AP47" i="1" s="1"/>
  <c r="AU47" i="1"/>
  <c r="AW47" i="1" s="1"/>
  <c r="P47" i="1"/>
  <c r="F47" i="1"/>
  <c r="Q47" i="1" s="1"/>
  <c r="D96" i="2"/>
  <c r="K47" i="1"/>
  <c r="J47" i="1"/>
  <c r="I47" i="1"/>
  <c r="H47" i="1"/>
  <c r="R47" i="1"/>
  <c r="U539" i="3"/>
  <c r="U52" i="3"/>
  <c r="AQ46" i="1"/>
  <c r="U584" i="3"/>
  <c r="AI46" i="1"/>
  <c r="AU46" i="1"/>
  <c r="AW46" i="1" s="1"/>
  <c r="V46" i="1"/>
  <c r="AO46" i="1"/>
  <c r="P46" i="1"/>
  <c r="F46" i="1"/>
  <c r="Q46" i="1" s="1"/>
  <c r="O46" i="1"/>
  <c r="AK46" i="1" s="1"/>
  <c r="R46" i="1"/>
  <c r="H46" i="1"/>
  <c r="I46" i="1"/>
  <c r="J46" i="1"/>
  <c r="K46" i="1"/>
  <c r="AQ45" i="1"/>
  <c r="T51" i="3" s="1"/>
  <c r="U51" i="3"/>
  <c r="AI45" i="1"/>
  <c r="AU45" i="1"/>
  <c r="AW45" i="1" s="1"/>
  <c r="AO45" i="1"/>
  <c r="V45" i="1"/>
  <c r="P45" i="1"/>
  <c r="F45" i="1"/>
  <c r="Q45" i="1" s="1"/>
  <c r="R45" i="1"/>
  <c r="O45" i="1"/>
  <c r="AK45" i="1" s="1"/>
  <c r="K45" i="1"/>
  <c r="J45" i="1"/>
  <c r="I45" i="1"/>
  <c r="H45" i="1"/>
  <c r="AQ44" i="1"/>
  <c r="T50" i="3" s="1"/>
  <c r="AI44" i="1"/>
  <c r="U50" i="3"/>
  <c r="AO44" i="1"/>
  <c r="AU44" i="1"/>
  <c r="AW44" i="1" s="1"/>
  <c r="V44" i="1"/>
  <c r="F44" i="1"/>
  <c r="Q44" i="1" s="1"/>
  <c r="P44" i="1"/>
  <c r="R44" i="1"/>
  <c r="H44" i="1"/>
  <c r="I44" i="1"/>
  <c r="O44" i="1"/>
  <c r="AK44" i="1" s="1"/>
  <c r="K44" i="1"/>
  <c r="J44" i="1"/>
  <c r="AI43" i="1"/>
  <c r="AQ43" i="1"/>
  <c r="T48" i="3" s="1"/>
  <c r="U48" i="3"/>
  <c r="V43" i="1"/>
  <c r="AO43" i="1"/>
  <c r="AU43" i="1"/>
  <c r="AW43" i="1" s="1"/>
  <c r="F43" i="1"/>
  <c r="Q43" i="1" s="1"/>
  <c r="P43" i="1"/>
  <c r="K43" i="1"/>
  <c r="J43" i="1"/>
  <c r="O43" i="1"/>
  <c r="AK43" i="1" s="1"/>
  <c r="I43" i="1"/>
  <c r="H43" i="1"/>
  <c r="R43" i="1"/>
  <c r="U46" i="3"/>
  <c r="AQ42" i="1"/>
  <c r="T46" i="3" s="1"/>
  <c r="AI42" i="1"/>
  <c r="AO42" i="1"/>
  <c r="V42" i="1"/>
  <c r="AU42" i="1"/>
  <c r="AW42" i="1" s="1"/>
  <c r="P42" i="1"/>
  <c r="F42" i="1"/>
  <c r="Q42" i="1" s="1"/>
  <c r="R42" i="1"/>
  <c r="I42" i="1"/>
  <c r="J42" i="1"/>
  <c r="K42" i="1"/>
  <c r="O42" i="1"/>
  <c r="AK42" i="1" s="1"/>
  <c r="H42" i="1"/>
  <c r="AJ41" i="1"/>
  <c r="I94" i="2"/>
  <c r="U110" i="3"/>
  <c r="H94" i="2"/>
  <c r="AI41" i="1"/>
  <c r="AQ41" i="1"/>
  <c r="U96" i="3"/>
  <c r="V41" i="1"/>
  <c r="AU41" i="1"/>
  <c r="AW41" i="1" s="1"/>
  <c r="AO41" i="1"/>
  <c r="C94" i="2"/>
  <c r="P41" i="1"/>
  <c r="F41" i="1"/>
  <c r="Q41" i="1" s="1"/>
  <c r="D94" i="2"/>
  <c r="O94" i="2" s="1"/>
  <c r="H41" i="1"/>
  <c r="I41" i="1"/>
  <c r="J41" i="1"/>
  <c r="K41" i="1"/>
  <c r="R41" i="1"/>
  <c r="O41" i="1"/>
  <c r="AK41" i="1" s="1"/>
  <c r="AJ40" i="1"/>
  <c r="I86" i="2"/>
  <c r="H86" i="2"/>
  <c r="AI40" i="1"/>
  <c r="U563" i="3"/>
  <c r="U45" i="3"/>
  <c r="AQ40" i="1"/>
  <c r="U565" i="3"/>
  <c r="U564" i="3"/>
  <c r="C86" i="2"/>
  <c r="AO40" i="1"/>
  <c r="V40" i="1"/>
  <c r="AU40" i="1"/>
  <c r="AW40" i="1" s="1"/>
  <c r="P40" i="1"/>
  <c r="F40" i="1"/>
  <c r="Q40" i="1" s="1"/>
  <c r="D86" i="2"/>
  <c r="O86" i="2" s="1"/>
  <c r="K40" i="1"/>
  <c r="J40" i="1"/>
  <c r="I40" i="1"/>
  <c r="R40" i="1"/>
  <c r="H40" i="1"/>
  <c r="O40" i="1"/>
  <c r="AK40" i="1" s="1"/>
  <c r="U199" i="3"/>
  <c r="U216" i="3"/>
  <c r="U217" i="3"/>
  <c r="U219" i="3"/>
  <c r="AI39" i="1"/>
  <c r="AQ39" i="1"/>
  <c r="V39" i="1"/>
  <c r="AU39" i="1"/>
  <c r="AW39" i="1" s="1"/>
  <c r="AO39" i="1"/>
  <c r="P39" i="1"/>
  <c r="F39" i="1"/>
  <c r="Q39" i="1" s="1"/>
  <c r="O39" i="1"/>
  <c r="AK39" i="1" s="1"/>
  <c r="R39" i="1"/>
  <c r="K39" i="1"/>
  <c r="J39" i="1"/>
  <c r="I39" i="1"/>
  <c r="H39" i="1"/>
  <c r="U40" i="3"/>
  <c r="AQ38" i="1"/>
  <c r="T40" i="3" s="1"/>
  <c r="AI38" i="1"/>
  <c r="AU38" i="1"/>
  <c r="AW38" i="1" s="1"/>
  <c r="AO38" i="1"/>
  <c r="V38" i="1"/>
  <c r="F38" i="1"/>
  <c r="Q38" i="1" s="1"/>
  <c r="P38" i="1"/>
  <c r="K38" i="1"/>
  <c r="I38" i="1"/>
  <c r="O38" i="1"/>
  <c r="AK38" i="1" s="1"/>
  <c r="R38" i="1"/>
  <c r="H38" i="1"/>
  <c r="J38" i="1"/>
  <c r="AI37" i="1"/>
  <c r="AQ37" i="1"/>
  <c r="T38" i="3" s="1"/>
  <c r="U38" i="3"/>
  <c r="V37" i="1"/>
  <c r="AU37" i="1"/>
  <c r="AW37" i="1" s="1"/>
  <c r="AO37" i="1"/>
  <c r="P37" i="1"/>
  <c r="F37" i="1"/>
  <c r="Q37" i="1" s="1"/>
  <c r="O37" i="1"/>
  <c r="AK37" i="1" s="1"/>
  <c r="K37" i="1"/>
  <c r="R37" i="1"/>
  <c r="H37" i="1"/>
  <c r="I37" i="1"/>
  <c r="J37" i="1"/>
  <c r="U85" i="3"/>
  <c r="AI36" i="1"/>
  <c r="AQ36" i="1"/>
  <c r="U99" i="3"/>
  <c r="V36" i="1"/>
  <c r="AO36" i="1"/>
  <c r="AU36" i="1"/>
  <c r="AW36" i="1" s="1"/>
  <c r="P36" i="1"/>
  <c r="F36" i="1"/>
  <c r="Q36" i="1" s="1"/>
  <c r="R36" i="1"/>
  <c r="H36" i="1"/>
  <c r="J36" i="1"/>
  <c r="O36" i="1"/>
  <c r="AK36" i="1" s="1"/>
  <c r="K36" i="1"/>
  <c r="I36" i="1"/>
  <c r="U74" i="3"/>
  <c r="U120" i="3"/>
  <c r="AI35" i="1"/>
  <c r="AQ35" i="1"/>
  <c r="AU35" i="1"/>
  <c r="AW35" i="1" s="1"/>
  <c r="AO35" i="1"/>
  <c r="V35" i="1"/>
  <c r="F35" i="1"/>
  <c r="Q35" i="1" s="1"/>
  <c r="P35" i="1"/>
  <c r="R35" i="1"/>
  <c r="J35" i="1"/>
  <c r="K35" i="1"/>
  <c r="O35" i="1"/>
  <c r="AK35" i="1" s="1"/>
  <c r="H35" i="1"/>
  <c r="I35" i="1"/>
  <c r="AQ34" i="1"/>
  <c r="U37" i="3"/>
  <c r="U568" i="3"/>
  <c r="U567" i="3"/>
  <c r="AI34" i="1"/>
  <c r="V34" i="1"/>
  <c r="AO34" i="1"/>
  <c r="AU34" i="1"/>
  <c r="AW34" i="1" s="1"/>
  <c r="P34" i="1"/>
  <c r="F34" i="1"/>
  <c r="Q34" i="1" s="1"/>
  <c r="J34" i="1"/>
  <c r="K34" i="1"/>
  <c r="I34" i="1"/>
  <c r="H34" i="1"/>
  <c r="O34" i="1"/>
  <c r="R34" i="1"/>
  <c r="AQ33" i="1"/>
  <c r="T36" i="3" s="1"/>
  <c r="U36" i="3"/>
  <c r="AI33" i="1"/>
  <c r="AU33" i="1"/>
  <c r="AW33" i="1" s="1"/>
  <c r="V33" i="1"/>
  <c r="AO33" i="1"/>
  <c r="F33" i="1"/>
  <c r="Q33" i="1" s="1"/>
  <c r="P33" i="1"/>
  <c r="K33" i="1"/>
  <c r="J33" i="1"/>
  <c r="I33" i="1"/>
  <c r="H33" i="1"/>
  <c r="R33" i="1"/>
  <c r="O33" i="1"/>
  <c r="AK33" i="1" s="1"/>
  <c r="AI32" i="1"/>
  <c r="AQ32" i="1"/>
  <c r="T32" i="3" s="1"/>
  <c r="U32" i="3"/>
  <c r="V32" i="1"/>
  <c r="AU32" i="1"/>
  <c r="AW32" i="1" s="1"/>
  <c r="AO32" i="1"/>
  <c r="O32" i="1"/>
  <c r="AK32" i="1" s="1"/>
  <c r="H32" i="1"/>
  <c r="I32" i="1"/>
  <c r="F32" i="1"/>
  <c r="Q32" i="1" s="1"/>
  <c r="R32" i="1" s="1"/>
  <c r="K32" i="1"/>
  <c r="J32" i="1"/>
  <c r="U31" i="3"/>
  <c r="AI31" i="1"/>
  <c r="AQ31" i="1"/>
  <c r="T31" i="3" s="1"/>
  <c r="AO31" i="1"/>
  <c r="AU31" i="1"/>
  <c r="AW31" i="1" s="1"/>
  <c r="V31" i="1"/>
  <c r="P31" i="1"/>
  <c r="F31" i="1"/>
  <c r="Q31" i="1" s="1"/>
  <c r="O31" i="1"/>
  <c r="AK31" i="1" s="1"/>
  <c r="R31" i="1"/>
  <c r="K31" i="1"/>
  <c r="J31" i="1"/>
  <c r="I31" i="1"/>
  <c r="H31" i="1"/>
  <c r="U29" i="3"/>
  <c r="AI30" i="1"/>
  <c r="AQ30" i="1"/>
  <c r="T29" i="3" s="1"/>
  <c r="V30" i="1"/>
  <c r="AO30" i="1"/>
  <c r="AU30" i="1"/>
  <c r="AW30" i="1" s="1"/>
  <c r="F30" i="1"/>
  <c r="Q30" i="1" s="1"/>
  <c r="P30" i="1"/>
  <c r="J30" i="1"/>
  <c r="H30" i="1"/>
  <c r="I30" i="1"/>
  <c r="K30" i="1"/>
  <c r="O30" i="1"/>
  <c r="AK30" i="1" s="1"/>
  <c r="R30" i="1"/>
  <c r="AJ29" i="1"/>
  <c r="I85" i="2"/>
  <c r="AI29" i="1"/>
  <c r="H85" i="2"/>
  <c r="U28" i="3"/>
  <c r="U554" i="3"/>
  <c r="AQ29" i="1"/>
  <c r="AU29" i="1"/>
  <c r="AW29" i="1" s="1"/>
  <c r="C85" i="2"/>
  <c r="V29" i="1"/>
  <c r="AO29" i="1"/>
  <c r="P29" i="1"/>
  <c r="F29" i="1"/>
  <c r="Q29" i="1" s="1"/>
  <c r="H29" i="1"/>
  <c r="K29" i="1"/>
  <c r="R29" i="1"/>
  <c r="D85" i="2"/>
  <c r="J29" i="1"/>
  <c r="I29" i="1"/>
  <c r="O29" i="1"/>
  <c r="AK29" i="1" s="1"/>
  <c r="U100" i="3"/>
  <c r="AQ28" i="1"/>
  <c r="U67" i="3"/>
  <c r="AI28" i="1"/>
  <c r="V28" i="1"/>
  <c r="AO28" i="1"/>
  <c r="AU28" i="1"/>
  <c r="AW28" i="1" s="1"/>
  <c r="P28" i="1"/>
  <c r="F28" i="1"/>
  <c r="Q28" i="1" s="1"/>
  <c r="O28" i="1"/>
  <c r="AK28" i="1" s="1"/>
  <c r="I28" i="1"/>
  <c r="J28" i="1"/>
  <c r="R28" i="1"/>
  <c r="K28" i="1"/>
  <c r="H28" i="1"/>
  <c r="AI27" i="1"/>
  <c r="U24" i="3"/>
  <c r="AQ27" i="1"/>
  <c r="T24" i="3" s="1"/>
  <c r="V27" i="1"/>
  <c r="AU27" i="1"/>
  <c r="AW27" i="1" s="1"/>
  <c r="AO27" i="1"/>
  <c r="F27" i="1"/>
  <c r="Q27" i="1" s="1"/>
  <c r="P27" i="1"/>
  <c r="R27" i="1"/>
  <c r="K27" i="1"/>
  <c r="O27" i="1"/>
  <c r="AK27" i="1" s="1"/>
  <c r="J27" i="1"/>
  <c r="I27" i="1"/>
  <c r="H27" i="1"/>
  <c r="AJ26" i="1"/>
  <c r="I84" i="2"/>
  <c r="H84" i="2"/>
  <c r="AI26" i="1"/>
  <c r="U23" i="3"/>
  <c r="AQ26" i="1"/>
  <c r="T23" i="3" s="1"/>
  <c r="C84" i="2"/>
  <c r="V26" i="1"/>
  <c r="AO26" i="1"/>
  <c r="AU26" i="1"/>
  <c r="AW26" i="1" s="1"/>
  <c r="P26" i="1"/>
  <c r="F26" i="1"/>
  <c r="Q26" i="1" s="1"/>
  <c r="R26" i="1"/>
  <c r="K26" i="1"/>
  <c r="O26" i="1"/>
  <c r="AK26" i="1" s="1"/>
  <c r="D84" i="2"/>
  <c r="J26" i="1"/>
  <c r="I26" i="1"/>
  <c r="H26" i="1"/>
  <c r="U75" i="3"/>
  <c r="U44" i="3"/>
  <c r="AI25" i="1"/>
  <c r="AQ25" i="1"/>
  <c r="AU25" i="1"/>
  <c r="AW25" i="1" s="1"/>
  <c r="AO25" i="1"/>
  <c r="V25" i="1"/>
  <c r="P25" i="1"/>
  <c r="F25" i="1"/>
  <c r="Q25" i="1" s="1"/>
  <c r="I25" i="1"/>
  <c r="R25" i="1"/>
  <c r="J25" i="1"/>
  <c r="O25" i="1"/>
  <c r="AK25" i="1" s="1"/>
  <c r="H25" i="1"/>
  <c r="K25" i="1"/>
  <c r="U49" i="3"/>
  <c r="AQ24" i="1"/>
  <c r="U73" i="3"/>
  <c r="AI24" i="1"/>
  <c r="AU24" i="1"/>
  <c r="AW24" i="1" s="1"/>
  <c r="V24" i="1"/>
  <c r="AO24" i="1"/>
  <c r="H24" i="1"/>
  <c r="K24" i="1"/>
  <c r="I24" i="1"/>
  <c r="J24" i="1"/>
  <c r="R24" i="1"/>
  <c r="O24" i="1"/>
  <c r="AK24" i="1" s="1"/>
  <c r="U20" i="3"/>
  <c r="AQ23" i="1"/>
  <c r="T20" i="3" s="1"/>
  <c r="AI23" i="1"/>
  <c r="V23" i="1"/>
  <c r="AU23" i="1"/>
  <c r="AW23" i="1" s="1"/>
  <c r="AO23" i="1"/>
  <c r="F23" i="1"/>
  <c r="Q23" i="1" s="1"/>
  <c r="P23" i="1"/>
  <c r="I23" i="1"/>
  <c r="K23" i="1"/>
  <c r="R23" i="1"/>
  <c r="O23" i="1"/>
  <c r="AK23" i="1" s="1"/>
  <c r="J23" i="1"/>
  <c r="H23" i="1"/>
  <c r="AI22" i="1"/>
  <c r="AQ22" i="1"/>
  <c r="T18" i="3" s="1"/>
  <c r="U18" i="3"/>
  <c r="AU22" i="1"/>
  <c r="AW22" i="1" s="1"/>
  <c r="V22" i="1"/>
  <c r="AO22" i="1"/>
  <c r="F22" i="1"/>
  <c r="Q22" i="1" s="1"/>
  <c r="P22" i="1"/>
  <c r="H22" i="1"/>
  <c r="R22" i="1"/>
  <c r="K22" i="1"/>
  <c r="J22" i="1"/>
  <c r="I22" i="1"/>
  <c r="O22" i="1"/>
  <c r="AK22" i="1" s="1"/>
  <c r="AI21" i="1"/>
  <c r="U16" i="3"/>
  <c r="AQ21" i="1"/>
  <c r="T16" i="3" s="1"/>
  <c r="AO21" i="1"/>
  <c r="V21" i="1"/>
  <c r="AU21" i="1"/>
  <c r="AW21" i="1" s="1"/>
  <c r="P21" i="1"/>
  <c r="F21" i="1"/>
  <c r="Q21" i="1" s="1"/>
  <c r="R21" i="1"/>
  <c r="K21" i="1"/>
  <c r="J21" i="1"/>
  <c r="I21" i="1"/>
  <c r="H21" i="1"/>
  <c r="O21" i="1"/>
  <c r="AK21" i="1" s="1"/>
  <c r="AI20" i="1"/>
  <c r="U13" i="3"/>
  <c r="AQ20" i="1"/>
  <c r="T13" i="3" s="1"/>
  <c r="AU20" i="1"/>
  <c r="AW20" i="1" s="1"/>
  <c r="AO20" i="1"/>
  <c r="V20" i="1"/>
  <c r="F20" i="1"/>
  <c r="Q20" i="1" s="1"/>
  <c r="P20" i="1"/>
  <c r="H20" i="1"/>
  <c r="O20" i="1"/>
  <c r="AK20" i="1" s="1"/>
  <c r="K20" i="1"/>
  <c r="J20" i="1"/>
  <c r="I20" i="1"/>
  <c r="R20" i="1"/>
  <c r="U53" i="3"/>
  <c r="AI19" i="1"/>
  <c r="AQ19" i="1"/>
  <c r="U47" i="3"/>
  <c r="U41" i="3"/>
  <c r="AO19" i="1"/>
  <c r="AU19" i="1"/>
  <c r="AW19" i="1" s="1"/>
  <c r="V19" i="1"/>
  <c r="P19" i="1"/>
  <c r="F19" i="1"/>
  <c r="Q19" i="1" s="1"/>
  <c r="J19" i="1"/>
  <c r="H19" i="1"/>
  <c r="I19" i="1"/>
  <c r="O19" i="1"/>
  <c r="AK19" i="1" s="1"/>
  <c r="K19" i="1"/>
  <c r="R19" i="1"/>
  <c r="AQ18" i="1"/>
  <c r="T12" i="3" s="1"/>
  <c r="AI18" i="1"/>
  <c r="U12" i="3"/>
  <c r="AO18" i="1"/>
  <c r="AU18" i="1"/>
  <c r="AW18" i="1" s="1"/>
  <c r="V18" i="1"/>
  <c r="F18" i="1"/>
  <c r="Q18" i="1" s="1"/>
  <c r="P18" i="1"/>
  <c r="D80" i="2"/>
  <c r="H18" i="1"/>
  <c r="O18" i="1"/>
  <c r="AK18" i="1" s="1"/>
  <c r="I18" i="1"/>
  <c r="J18" i="1"/>
  <c r="D38" i="2"/>
  <c r="K18" i="1"/>
  <c r="G6" i="1"/>
  <c r="R18" i="1"/>
  <c r="U11" i="3"/>
  <c r="AI17" i="1"/>
  <c r="AQ17" i="1"/>
  <c r="T11" i="3" s="1"/>
  <c r="AO17" i="1"/>
  <c r="AU17" i="1"/>
  <c r="AW17" i="1" s="1"/>
  <c r="V17" i="1"/>
  <c r="K17" i="1"/>
  <c r="H17" i="1"/>
  <c r="I17" i="1"/>
  <c r="J17" i="1"/>
  <c r="F17" i="1"/>
  <c r="Q17" i="1" s="1"/>
  <c r="O17" i="1"/>
  <c r="AK17" i="1" s="1"/>
  <c r="R17" i="1"/>
  <c r="AQ16" i="1"/>
  <c r="T10" i="3" s="1"/>
  <c r="AI16" i="1"/>
  <c r="U10" i="3"/>
  <c r="AU16" i="1"/>
  <c r="AW16" i="1" s="1"/>
  <c r="V16" i="1"/>
  <c r="AO16" i="1"/>
  <c r="I16" i="1"/>
  <c r="O16" i="1"/>
  <c r="AK16" i="1" s="1"/>
  <c r="K16" i="1"/>
  <c r="H16" i="1"/>
  <c r="F16" i="1"/>
  <c r="Q16" i="1" s="1"/>
  <c r="R16" i="1" s="1"/>
  <c r="J16" i="1"/>
  <c r="AQ15" i="1"/>
  <c r="T9" i="3" s="1"/>
  <c r="U9" i="3"/>
  <c r="AI15" i="1"/>
  <c r="AU15" i="1"/>
  <c r="AW15" i="1" s="1"/>
  <c r="V15" i="1"/>
  <c r="AO15" i="1"/>
  <c r="P15" i="1"/>
  <c r="F15" i="1"/>
  <c r="Q15" i="1" s="1"/>
  <c r="J15" i="1"/>
  <c r="K15" i="1"/>
  <c r="I15" i="1"/>
  <c r="O15" i="1"/>
  <c r="AK15" i="1" s="1"/>
  <c r="R15" i="1"/>
  <c r="H15" i="1"/>
  <c r="AI14" i="1"/>
  <c r="U8" i="3"/>
  <c r="AQ14" i="1"/>
  <c r="T8" i="3" s="1"/>
  <c r="AO14" i="1"/>
  <c r="AU14" i="1"/>
  <c r="AW14" i="1" s="1"/>
  <c r="V14" i="1"/>
  <c r="P14" i="1"/>
  <c r="F14" i="1"/>
  <c r="Q14" i="1" s="1"/>
  <c r="K14" i="1"/>
  <c r="J14" i="1"/>
  <c r="I14" i="1"/>
  <c r="H14" i="1"/>
  <c r="O14" i="1"/>
  <c r="AK14" i="1" s="1"/>
  <c r="R14" i="1"/>
  <c r="U60" i="3"/>
  <c r="U58" i="3"/>
  <c r="U22" i="3"/>
  <c r="U116" i="3"/>
  <c r="AQ13" i="1"/>
  <c r="U42" i="3"/>
  <c r="AI13" i="1"/>
  <c r="V13" i="1"/>
  <c r="AU13" i="1"/>
  <c r="AW13" i="1" s="1"/>
  <c r="AO13" i="1"/>
  <c r="F13" i="1"/>
  <c r="Q13" i="1" s="1"/>
  <c r="P13" i="1"/>
  <c r="O13" i="1"/>
  <c r="AK13" i="1" s="1"/>
  <c r="K13" i="1"/>
  <c r="I13" i="1"/>
  <c r="H13" i="1"/>
  <c r="J13" i="1"/>
  <c r="R13" i="1"/>
  <c r="U14" i="3"/>
  <c r="U27" i="3"/>
  <c r="AQ12" i="1"/>
  <c r="AI12" i="1"/>
  <c r="U234" i="3"/>
  <c r="U43" i="3"/>
  <c r="AO12" i="1"/>
  <c r="AU12" i="1"/>
  <c r="AW12" i="1" s="1"/>
  <c r="V12" i="1"/>
  <c r="P12" i="1"/>
  <c r="F12" i="1"/>
  <c r="Q12" i="1" s="1"/>
  <c r="J12" i="1"/>
  <c r="H12" i="1"/>
  <c r="K12" i="1"/>
  <c r="I12" i="1"/>
  <c r="O12" i="1"/>
  <c r="AK12" i="1" s="1"/>
  <c r="R12" i="1"/>
  <c r="U21" i="3"/>
  <c r="U34" i="3"/>
  <c r="AI11" i="1"/>
  <c r="AQ11" i="1"/>
  <c r="U63" i="3"/>
  <c r="U26" i="3"/>
  <c r="AU11" i="1"/>
  <c r="AW11" i="1" s="1"/>
  <c r="AO11" i="1"/>
  <c r="V11" i="1"/>
  <c r="P11" i="1"/>
  <c r="F11" i="1"/>
  <c r="Q11" i="1" s="1"/>
  <c r="J11" i="1"/>
  <c r="H11" i="1"/>
  <c r="I11" i="1"/>
  <c r="R11" i="1"/>
  <c r="O11" i="1"/>
  <c r="AK11" i="1" s="1"/>
  <c r="K11" i="1"/>
  <c r="U92" i="3"/>
  <c r="AI10" i="1"/>
  <c r="AQ10" i="1"/>
  <c r="U496" i="3"/>
  <c r="U70" i="3"/>
  <c r="U71" i="3"/>
  <c r="U15" i="3"/>
  <c r="U72" i="3"/>
  <c r="V10" i="1"/>
  <c r="AU10" i="1"/>
  <c r="AW10" i="1" s="1"/>
  <c r="AO10" i="1"/>
  <c r="F10" i="1"/>
  <c r="Q10" i="1" s="1"/>
  <c r="P10" i="1"/>
  <c r="O10" i="1"/>
  <c r="AK10" i="1" s="1"/>
  <c r="H10" i="1"/>
  <c r="R10" i="1"/>
  <c r="I10" i="1"/>
  <c r="J10" i="1"/>
  <c r="K10" i="1"/>
  <c r="U68" i="3"/>
  <c r="AI9" i="1"/>
  <c r="U25" i="3"/>
  <c r="U19" i="3"/>
  <c r="U35" i="3"/>
  <c r="AQ9" i="1"/>
  <c r="AU9" i="1"/>
  <c r="AW9" i="1" s="1"/>
  <c r="AO9" i="1"/>
  <c r="V9" i="1"/>
  <c r="F9" i="1"/>
  <c r="Q9" i="1" s="1"/>
  <c r="P9" i="1"/>
  <c r="K9" i="1"/>
  <c r="I9" i="1"/>
  <c r="R9" i="1"/>
  <c r="H9" i="1"/>
  <c r="J9" i="1"/>
  <c r="O9" i="1"/>
  <c r="AK9" i="1" s="1"/>
  <c r="AQ8" i="1"/>
  <c r="U477" i="3"/>
  <c r="U17" i="3"/>
  <c r="U33" i="3"/>
  <c r="AI8" i="1"/>
  <c r="U39" i="3"/>
  <c r="U30" i="3"/>
  <c r="AU426" i="1"/>
  <c r="AW426" i="1" s="1"/>
  <c r="AU379" i="1"/>
  <c r="AW379" i="1" s="1"/>
  <c r="V8" i="1"/>
  <c r="AU193" i="1"/>
  <c r="AW193" i="1" s="1"/>
  <c r="AO8" i="1"/>
  <c r="AU146" i="1"/>
  <c r="AW146" i="1" s="1"/>
  <c r="AU8" i="1"/>
  <c r="AW8" i="1" s="1"/>
  <c r="F8" i="1"/>
  <c r="Q8" i="1" s="1"/>
  <c r="P8" i="1"/>
  <c r="J8" i="1"/>
  <c r="I8" i="1"/>
  <c r="K8" i="1"/>
  <c r="O8" i="1"/>
  <c r="H8" i="1"/>
  <c r="R8" i="1"/>
  <c r="AN6" i="1"/>
  <c r="E119" i="2"/>
  <c r="F399" i="1" l="1"/>
  <c r="Q399" i="1" s="1"/>
  <c r="R399" i="1" s="1"/>
  <c r="P399" i="1"/>
  <c r="F197" i="1"/>
  <c r="Q197" i="1" s="1"/>
  <c r="R197" i="1" s="1"/>
  <c r="P197" i="1"/>
  <c r="H71" i="2"/>
  <c r="K71" i="2" s="1"/>
  <c r="C71" i="2"/>
  <c r="O102" i="2"/>
  <c r="AP356" i="1"/>
  <c r="O88" i="2"/>
  <c r="AP260" i="1"/>
  <c r="C114" i="2"/>
  <c r="AP192" i="1"/>
  <c r="AP325" i="1"/>
  <c r="AP125" i="1"/>
  <c r="O97" i="2"/>
  <c r="AP92" i="1"/>
  <c r="AP454" i="1"/>
  <c r="O96" i="2"/>
  <c r="AP33" i="1"/>
  <c r="H114" i="2"/>
  <c r="K114" i="2" s="1"/>
  <c r="K50" i="2"/>
  <c r="M50" i="2"/>
  <c r="K44" i="2"/>
  <c r="M44" i="2"/>
  <c r="K45" i="2"/>
  <c r="M45" i="2"/>
  <c r="M40" i="2"/>
  <c r="K40" i="2"/>
  <c r="M82" i="2"/>
  <c r="K82" i="2"/>
  <c r="M77" i="2"/>
  <c r="K77" i="2"/>
  <c r="K43" i="2"/>
  <c r="M43" i="2"/>
  <c r="K46" i="2"/>
  <c r="M46" i="2"/>
  <c r="M79" i="2"/>
  <c r="K79" i="2"/>
  <c r="M75" i="2"/>
  <c r="K75" i="2"/>
  <c r="E12" i="2"/>
  <c r="E13" i="2"/>
  <c r="B22" i="2"/>
  <c r="E14" i="2"/>
  <c r="E7" i="2"/>
  <c r="B11" i="2"/>
  <c r="AJ6" i="1"/>
  <c r="K49" i="2"/>
  <c r="M49" i="2"/>
  <c r="K83" i="2"/>
  <c r="M83" i="2"/>
  <c r="K69" i="2"/>
  <c r="M69" i="2"/>
  <c r="K76" i="2"/>
  <c r="M76" i="2"/>
  <c r="AF99" i="1"/>
  <c r="AE6" i="1"/>
  <c r="G119" i="2"/>
  <c r="B10" i="2"/>
  <c r="AI6" i="1"/>
  <c r="AQ6" i="1"/>
  <c r="K39" i="2"/>
  <c r="M39" i="2"/>
  <c r="K53" i="2"/>
  <c r="M53" i="2"/>
  <c r="K78" i="2"/>
  <c r="M78" i="2"/>
  <c r="K41" i="2"/>
  <c r="M41" i="2"/>
  <c r="P473" i="1"/>
  <c r="F473" i="1"/>
  <c r="Q473" i="1" s="1"/>
  <c r="R473" i="1" s="1"/>
  <c r="P472" i="1"/>
  <c r="F472" i="1"/>
  <c r="Q472" i="1" s="1"/>
  <c r="R472" i="1" s="1"/>
  <c r="P426" i="1"/>
  <c r="F426" i="1"/>
  <c r="Q426" i="1" s="1"/>
  <c r="R426" i="1" s="1"/>
  <c r="P425" i="1"/>
  <c r="F425" i="1"/>
  <c r="Q425" i="1" s="1"/>
  <c r="R425" i="1" s="1"/>
  <c r="P424" i="1"/>
  <c r="F424" i="1"/>
  <c r="Q424" i="1" s="1"/>
  <c r="R424" i="1" s="1"/>
  <c r="P423" i="1"/>
  <c r="F423" i="1"/>
  <c r="Q423" i="1" s="1"/>
  <c r="R423" i="1" s="1"/>
  <c r="P422" i="1"/>
  <c r="F422" i="1"/>
  <c r="Q422" i="1" s="1"/>
  <c r="R422" i="1" s="1"/>
  <c r="P421" i="1"/>
  <c r="F421" i="1"/>
  <c r="Q421" i="1" s="1"/>
  <c r="R421" i="1" s="1"/>
  <c r="P420" i="1"/>
  <c r="F420" i="1"/>
  <c r="Q420" i="1" s="1"/>
  <c r="R420" i="1" s="1"/>
  <c r="P419" i="1"/>
  <c r="F419" i="1"/>
  <c r="Q419" i="1" s="1"/>
  <c r="R419" i="1" s="1"/>
  <c r="P418" i="1"/>
  <c r="F418" i="1"/>
  <c r="Q418" i="1" s="1"/>
  <c r="R418" i="1" s="1"/>
  <c r="P417" i="1"/>
  <c r="F417" i="1"/>
  <c r="Q417" i="1" s="1"/>
  <c r="R417" i="1" s="1"/>
  <c r="P416" i="1"/>
  <c r="F416" i="1"/>
  <c r="Q416" i="1" s="1"/>
  <c r="R416" i="1" s="1"/>
  <c r="P415" i="1"/>
  <c r="F415" i="1"/>
  <c r="Q415" i="1" s="1"/>
  <c r="R415" i="1" s="1"/>
  <c r="P180" i="1"/>
  <c r="F180" i="1"/>
  <c r="Q180" i="1" s="1"/>
  <c r="R180" i="1" s="1"/>
  <c r="P379" i="1"/>
  <c r="F379" i="1"/>
  <c r="Q379" i="1" s="1"/>
  <c r="R379" i="1" s="1"/>
  <c r="P191" i="1"/>
  <c r="F191" i="1"/>
  <c r="Q191" i="1" s="1"/>
  <c r="R191" i="1" s="1"/>
  <c r="P378" i="1"/>
  <c r="F378" i="1"/>
  <c r="Q378" i="1" s="1"/>
  <c r="R378" i="1" s="1"/>
  <c r="P377" i="1"/>
  <c r="F377" i="1"/>
  <c r="Q377" i="1" s="1"/>
  <c r="R377" i="1" s="1"/>
  <c r="P376" i="1"/>
  <c r="F376" i="1"/>
  <c r="Q376" i="1" s="1"/>
  <c r="R376" i="1" s="1"/>
  <c r="P375" i="1"/>
  <c r="F375" i="1"/>
  <c r="Q375" i="1" s="1"/>
  <c r="R375" i="1" s="1"/>
  <c r="P374" i="1"/>
  <c r="F374" i="1"/>
  <c r="Q374" i="1" s="1"/>
  <c r="R374" i="1" s="1"/>
  <c r="P373" i="1"/>
  <c r="F373" i="1"/>
  <c r="Q373" i="1" s="1"/>
  <c r="R373" i="1" s="1"/>
  <c r="P372" i="1"/>
  <c r="F372" i="1"/>
  <c r="Q372" i="1" s="1"/>
  <c r="R372" i="1" s="1"/>
  <c r="P371" i="1"/>
  <c r="F371" i="1"/>
  <c r="Q371" i="1" s="1"/>
  <c r="R371" i="1" s="1"/>
  <c r="P370" i="1"/>
  <c r="F370" i="1"/>
  <c r="Q370" i="1" s="1"/>
  <c r="R370" i="1" s="1"/>
  <c r="P369" i="1"/>
  <c r="F369" i="1"/>
  <c r="Q369" i="1" s="1"/>
  <c r="R369" i="1" s="1"/>
  <c r="P368" i="1"/>
  <c r="F368" i="1"/>
  <c r="Q368" i="1" s="1"/>
  <c r="R368" i="1" s="1"/>
  <c r="P367" i="1"/>
  <c r="F367" i="1"/>
  <c r="Q367" i="1" s="1"/>
  <c r="R367" i="1" s="1"/>
  <c r="P366" i="1"/>
  <c r="F366" i="1"/>
  <c r="Q366" i="1" s="1"/>
  <c r="R366" i="1" s="1"/>
  <c r="P365" i="1"/>
  <c r="F365" i="1"/>
  <c r="Q365" i="1" s="1"/>
  <c r="R365" i="1" s="1"/>
  <c r="P364" i="1"/>
  <c r="F364" i="1"/>
  <c r="Q364" i="1" s="1"/>
  <c r="R364" i="1" s="1"/>
  <c r="P363" i="1"/>
  <c r="F363" i="1"/>
  <c r="Q363" i="1" s="1"/>
  <c r="R363" i="1" s="1"/>
  <c r="P362" i="1"/>
  <c r="F362" i="1"/>
  <c r="Q362" i="1" s="1"/>
  <c r="R362" i="1" s="1"/>
  <c r="P361" i="1"/>
  <c r="F361" i="1"/>
  <c r="Q361" i="1" s="1"/>
  <c r="R361" i="1" s="1"/>
  <c r="P360" i="1"/>
  <c r="F360" i="1"/>
  <c r="Q360" i="1" s="1"/>
  <c r="R360" i="1" s="1"/>
  <c r="P237" i="1"/>
  <c r="F237" i="1"/>
  <c r="Q237" i="1" s="1"/>
  <c r="R237" i="1" s="1"/>
  <c r="P333" i="1"/>
  <c r="F333" i="1"/>
  <c r="Q333" i="1" s="1"/>
  <c r="R333" i="1" s="1"/>
  <c r="P332" i="1"/>
  <c r="F332" i="1"/>
  <c r="Q332" i="1" s="1"/>
  <c r="R332" i="1" s="1"/>
  <c r="P331" i="1"/>
  <c r="F331" i="1"/>
  <c r="Q331" i="1" s="1"/>
  <c r="R331" i="1" s="1"/>
  <c r="P330" i="1"/>
  <c r="F330" i="1"/>
  <c r="Q330" i="1" s="1"/>
  <c r="R330" i="1" s="1"/>
  <c r="P329" i="1"/>
  <c r="F329" i="1"/>
  <c r="Q329" i="1" s="1"/>
  <c r="R329" i="1" s="1"/>
  <c r="P328" i="1"/>
  <c r="F328" i="1"/>
  <c r="Q328" i="1" s="1"/>
  <c r="R328" i="1" s="1"/>
  <c r="P327" i="1"/>
  <c r="F327" i="1"/>
  <c r="Q327" i="1" s="1"/>
  <c r="R327" i="1" s="1"/>
  <c r="P326" i="1"/>
  <c r="F326" i="1"/>
  <c r="Q326" i="1" s="1"/>
  <c r="R326" i="1" s="1"/>
  <c r="P325" i="1"/>
  <c r="F325" i="1"/>
  <c r="Q325" i="1" s="1"/>
  <c r="R325" i="1" s="1"/>
  <c r="P324" i="1"/>
  <c r="F324" i="1"/>
  <c r="Q324" i="1" s="1"/>
  <c r="R324" i="1" s="1"/>
  <c r="P323" i="1"/>
  <c r="F323" i="1"/>
  <c r="Q323" i="1" s="1"/>
  <c r="R323" i="1" s="1"/>
  <c r="P322" i="1"/>
  <c r="F322" i="1"/>
  <c r="Q322" i="1" s="1"/>
  <c r="R322" i="1" s="1"/>
  <c r="P321" i="1"/>
  <c r="F321" i="1"/>
  <c r="Q321" i="1" s="1"/>
  <c r="R321" i="1" s="1"/>
  <c r="P320" i="1"/>
  <c r="F320" i="1"/>
  <c r="Q320" i="1" s="1"/>
  <c r="R320" i="1" s="1"/>
  <c r="P319" i="1"/>
  <c r="F319" i="1"/>
  <c r="Q319" i="1" s="1"/>
  <c r="R319" i="1" s="1"/>
  <c r="P318" i="1"/>
  <c r="F318" i="1"/>
  <c r="Q318" i="1" s="1"/>
  <c r="R318" i="1" s="1"/>
  <c r="P317" i="1"/>
  <c r="F317" i="1"/>
  <c r="Q317" i="1" s="1"/>
  <c r="R317" i="1" s="1"/>
  <c r="P316" i="1"/>
  <c r="F316" i="1"/>
  <c r="Q316" i="1" s="1"/>
  <c r="R316" i="1" s="1"/>
  <c r="P315" i="1"/>
  <c r="F315" i="1"/>
  <c r="Q315" i="1" s="1"/>
  <c r="R315" i="1" s="1"/>
  <c r="P314" i="1"/>
  <c r="F314" i="1"/>
  <c r="Q314" i="1" s="1"/>
  <c r="R314" i="1" s="1"/>
  <c r="P313" i="1"/>
  <c r="F313" i="1"/>
  <c r="Q313" i="1" s="1"/>
  <c r="R313" i="1" s="1"/>
  <c r="P312" i="1"/>
  <c r="F312" i="1"/>
  <c r="Q312" i="1" s="1"/>
  <c r="R312" i="1" s="1"/>
  <c r="P311" i="1"/>
  <c r="F311" i="1"/>
  <c r="Q311" i="1" s="1"/>
  <c r="R311" i="1" s="1"/>
  <c r="P238" i="1"/>
  <c r="F238" i="1"/>
  <c r="Q238" i="1" s="1"/>
  <c r="R238" i="1" s="1"/>
  <c r="P286" i="1"/>
  <c r="F286" i="1"/>
  <c r="Q286" i="1" s="1"/>
  <c r="R286" i="1" s="1"/>
  <c r="P285" i="1"/>
  <c r="F285" i="1"/>
  <c r="Q285" i="1" s="1"/>
  <c r="R285" i="1" s="1"/>
  <c r="P284" i="1"/>
  <c r="F284" i="1"/>
  <c r="Q284" i="1" s="1"/>
  <c r="R284" i="1" s="1"/>
  <c r="P283" i="1"/>
  <c r="F283" i="1"/>
  <c r="Q283" i="1" s="1"/>
  <c r="R283" i="1" s="1"/>
  <c r="P282" i="1"/>
  <c r="F282" i="1"/>
  <c r="Q282" i="1" s="1"/>
  <c r="R282" i="1" s="1"/>
  <c r="P281" i="1"/>
  <c r="F281" i="1"/>
  <c r="Q281" i="1" s="1"/>
  <c r="R281" i="1" s="1"/>
  <c r="P280" i="1"/>
  <c r="F280" i="1"/>
  <c r="Q280" i="1" s="1"/>
  <c r="R280" i="1" s="1"/>
  <c r="P279" i="1"/>
  <c r="F279" i="1"/>
  <c r="Q279" i="1" s="1"/>
  <c r="R279" i="1" s="1"/>
  <c r="P278" i="1"/>
  <c r="F278" i="1"/>
  <c r="Q278" i="1" s="1"/>
  <c r="R278" i="1" s="1"/>
  <c r="P277" i="1"/>
  <c r="F277" i="1"/>
  <c r="Q277" i="1" s="1"/>
  <c r="R277" i="1" s="1"/>
  <c r="P162" i="1"/>
  <c r="F162" i="1"/>
  <c r="Q162" i="1" s="1"/>
  <c r="R162" i="1" s="1"/>
  <c r="P276" i="1"/>
  <c r="F276" i="1"/>
  <c r="Q276" i="1" s="1"/>
  <c r="R276" i="1" s="1"/>
  <c r="P275" i="1"/>
  <c r="F275" i="1"/>
  <c r="Q275" i="1" s="1"/>
  <c r="R275" i="1" s="1"/>
  <c r="P274" i="1"/>
  <c r="F274" i="1"/>
  <c r="Q274" i="1" s="1"/>
  <c r="R274" i="1" s="1"/>
  <c r="P273" i="1"/>
  <c r="F273" i="1"/>
  <c r="Q273" i="1" s="1"/>
  <c r="R273" i="1" s="1"/>
  <c r="P173" i="1"/>
  <c r="F173" i="1"/>
  <c r="Q173" i="1" s="1"/>
  <c r="R173" i="1" s="1"/>
  <c r="P272" i="1"/>
  <c r="F272" i="1"/>
  <c r="Q272" i="1" s="1"/>
  <c r="R272" i="1" s="1"/>
  <c r="P271" i="1"/>
  <c r="F271" i="1"/>
  <c r="Q271" i="1" s="1"/>
  <c r="R271" i="1" s="1"/>
  <c r="P270" i="1"/>
  <c r="F270" i="1"/>
  <c r="Q270" i="1" s="1"/>
  <c r="R270" i="1" s="1"/>
  <c r="P269" i="1"/>
  <c r="F269" i="1"/>
  <c r="Q269" i="1" s="1"/>
  <c r="R269" i="1" s="1"/>
  <c r="P268" i="1"/>
  <c r="F268" i="1"/>
  <c r="Q268" i="1" s="1"/>
  <c r="R268" i="1" s="1"/>
  <c r="P267" i="1"/>
  <c r="F267" i="1"/>
  <c r="Q267" i="1" s="1"/>
  <c r="R267" i="1" s="1"/>
  <c r="P266" i="1"/>
  <c r="F266" i="1"/>
  <c r="Q266" i="1" s="1"/>
  <c r="R266" i="1" s="1"/>
  <c r="P264" i="1"/>
  <c r="F264" i="1"/>
  <c r="Q264" i="1" s="1"/>
  <c r="R264" i="1" s="1"/>
  <c r="P263" i="1"/>
  <c r="F263" i="1"/>
  <c r="Q263" i="1" s="1"/>
  <c r="R263" i="1" s="1"/>
  <c r="P262" i="1"/>
  <c r="F262" i="1"/>
  <c r="Q262" i="1" s="1"/>
  <c r="R262" i="1" s="1"/>
  <c r="P261" i="1"/>
  <c r="F261" i="1"/>
  <c r="Q261" i="1" s="1"/>
  <c r="R261" i="1" s="1"/>
  <c r="P260" i="1"/>
  <c r="F260" i="1"/>
  <c r="Q260" i="1" s="1"/>
  <c r="R260" i="1" s="1"/>
  <c r="P259" i="1"/>
  <c r="F259" i="1"/>
  <c r="Q259" i="1" s="1"/>
  <c r="R259" i="1" s="1"/>
  <c r="P258" i="1"/>
  <c r="F258" i="1"/>
  <c r="Q258" i="1" s="1"/>
  <c r="R258" i="1" s="1"/>
  <c r="P257" i="1"/>
  <c r="F257" i="1"/>
  <c r="Q257" i="1" s="1"/>
  <c r="R257" i="1" s="1"/>
  <c r="P256" i="1"/>
  <c r="F256" i="1"/>
  <c r="Q256" i="1" s="1"/>
  <c r="R256" i="1" s="1"/>
  <c r="P255" i="1"/>
  <c r="F255" i="1"/>
  <c r="Q255" i="1" s="1"/>
  <c r="R255" i="1" s="1"/>
  <c r="P254" i="1"/>
  <c r="F254" i="1"/>
  <c r="Q254" i="1" s="1"/>
  <c r="R254" i="1" s="1"/>
  <c r="P253" i="1"/>
  <c r="F253" i="1"/>
  <c r="Q253" i="1" s="1"/>
  <c r="R253" i="1" s="1"/>
  <c r="P143" i="1"/>
  <c r="F143" i="1"/>
  <c r="Q143" i="1" s="1"/>
  <c r="R143" i="1" s="1"/>
  <c r="P153" i="1"/>
  <c r="F153" i="1"/>
  <c r="Q153" i="1" s="1"/>
  <c r="R153" i="1" s="1"/>
  <c r="P252" i="1"/>
  <c r="F252" i="1"/>
  <c r="Q252" i="1" s="1"/>
  <c r="R252" i="1" s="1"/>
  <c r="P118" i="1"/>
  <c r="F118" i="1"/>
  <c r="Q118" i="1" s="1"/>
  <c r="R118" i="1" s="1"/>
  <c r="P251" i="1"/>
  <c r="F251" i="1"/>
  <c r="Q251" i="1" s="1"/>
  <c r="R251" i="1" s="1"/>
  <c r="P250" i="1"/>
  <c r="F250" i="1"/>
  <c r="Q250" i="1" s="1"/>
  <c r="R250" i="1" s="1"/>
  <c r="P249" i="1"/>
  <c r="F249" i="1"/>
  <c r="Q249" i="1" s="1"/>
  <c r="R249" i="1" s="1"/>
  <c r="P248" i="1"/>
  <c r="F248" i="1"/>
  <c r="Q248" i="1" s="1"/>
  <c r="R248" i="1" s="1"/>
  <c r="P247" i="1"/>
  <c r="F247" i="1"/>
  <c r="Q247" i="1" s="1"/>
  <c r="R247" i="1" s="1"/>
  <c r="P246" i="1"/>
  <c r="F246" i="1"/>
  <c r="Q246" i="1" s="1"/>
  <c r="R246" i="1" s="1"/>
  <c r="P245" i="1"/>
  <c r="F245" i="1"/>
  <c r="Q245" i="1" s="1"/>
  <c r="R245" i="1" s="1"/>
  <c r="P244" i="1"/>
  <c r="F244" i="1"/>
  <c r="Q244" i="1" s="1"/>
  <c r="R244" i="1" s="1"/>
  <c r="P243" i="1"/>
  <c r="F243" i="1"/>
  <c r="Q243" i="1" s="1"/>
  <c r="R243" i="1" s="1"/>
  <c r="P242" i="1"/>
  <c r="F242" i="1"/>
  <c r="Q242" i="1" s="1"/>
  <c r="R242" i="1" s="1"/>
  <c r="P241" i="1"/>
  <c r="F241" i="1"/>
  <c r="Q241" i="1" s="1"/>
  <c r="R241" i="1" s="1"/>
  <c r="P240" i="1"/>
  <c r="F240" i="1"/>
  <c r="Q240" i="1" s="1"/>
  <c r="R240" i="1" s="1"/>
  <c r="P239" i="1"/>
  <c r="F239" i="1"/>
  <c r="Q239" i="1" s="1"/>
  <c r="R239" i="1" s="1"/>
  <c r="P235" i="1"/>
  <c r="F235" i="1"/>
  <c r="Q235" i="1" s="1"/>
  <c r="R235" i="1" s="1"/>
  <c r="P234" i="1"/>
  <c r="F234" i="1"/>
  <c r="Q234" i="1" s="1"/>
  <c r="R234" i="1" s="1"/>
  <c r="P233" i="1"/>
  <c r="F233" i="1"/>
  <c r="Q233" i="1" s="1"/>
  <c r="R233" i="1" s="1"/>
  <c r="P232" i="1"/>
  <c r="F232" i="1"/>
  <c r="Q232" i="1" s="1"/>
  <c r="R232" i="1" s="1"/>
  <c r="P231" i="1"/>
  <c r="F231" i="1"/>
  <c r="Q231" i="1" s="1"/>
  <c r="R231" i="1" s="1"/>
  <c r="P229" i="1"/>
  <c r="F229" i="1"/>
  <c r="Q229" i="1" s="1"/>
  <c r="R229" i="1" s="1"/>
  <c r="P228" i="1"/>
  <c r="F228" i="1"/>
  <c r="Q228" i="1" s="1"/>
  <c r="R228" i="1" s="1"/>
  <c r="P227" i="1"/>
  <c r="F227" i="1"/>
  <c r="Q227" i="1" s="1"/>
  <c r="R227" i="1" s="1"/>
  <c r="P226" i="1"/>
  <c r="F226" i="1"/>
  <c r="Q226" i="1" s="1"/>
  <c r="R226" i="1" s="1"/>
  <c r="P225" i="1"/>
  <c r="F225" i="1"/>
  <c r="Q225" i="1" s="1"/>
  <c r="R225" i="1" s="1"/>
  <c r="P112" i="1"/>
  <c r="F112" i="1"/>
  <c r="Q112" i="1" s="1"/>
  <c r="R112" i="1" s="1"/>
  <c r="P224" i="1"/>
  <c r="F224" i="1"/>
  <c r="Q224" i="1" s="1"/>
  <c r="R224" i="1" s="1"/>
  <c r="P222" i="1"/>
  <c r="F222" i="1"/>
  <c r="Q222" i="1" s="1"/>
  <c r="R222" i="1" s="1"/>
  <c r="P220" i="1"/>
  <c r="F220" i="1"/>
  <c r="Q220" i="1" s="1"/>
  <c r="R220" i="1" s="1"/>
  <c r="P219" i="1"/>
  <c r="F219" i="1"/>
  <c r="Q219" i="1" s="1"/>
  <c r="R219" i="1" s="1"/>
  <c r="P218" i="1"/>
  <c r="F218" i="1"/>
  <c r="Q218" i="1" s="1"/>
  <c r="R218" i="1" s="1"/>
  <c r="P217" i="1"/>
  <c r="F217" i="1"/>
  <c r="Q217" i="1" s="1"/>
  <c r="R217" i="1" s="1"/>
  <c r="P152" i="1"/>
  <c r="F152" i="1"/>
  <c r="Q152" i="1" s="1"/>
  <c r="R152" i="1" s="1"/>
  <c r="P216" i="1"/>
  <c r="F216" i="1"/>
  <c r="Q216" i="1" s="1"/>
  <c r="R216" i="1" s="1"/>
  <c r="P215" i="1"/>
  <c r="F215" i="1"/>
  <c r="Q215" i="1" s="1"/>
  <c r="R215" i="1" s="1"/>
  <c r="P214" i="1"/>
  <c r="F214" i="1"/>
  <c r="Q214" i="1" s="1"/>
  <c r="R214" i="1" s="1"/>
  <c r="P212" i="1"/>
  <c r="F212" i="1"/>
  <c r="Q212" i="1" s="1"/>
  <c r="R212" i="1" s="1"/>
  <c r="P211" i="1"/>
  <c r="F211" i="1"/>
  <c r="Q211" i="1" s="1"/>
  <c r="R211" i="1" s="1"/>
  <c r="P104" i="1"/>
  <c r="F104" i="1"/>
  <c r="Q104" i="1" s="1"/>
  <c r="R104" i="1" s="1"/>
  <c r="P209" i="1"/>
  <c r="F209" i="1"/>
  <c r="Q209" i="1" s="1"/>
  <c r="R209" i="1" s="1"/>
  <c r="P90" i="1"/>
  <c r="F90" i="1"/>
  <c r="Q90" i="1" s="1"/>
  <c r="R90" i="1" s="1"/>
  <c r="P60" i="1"/>
  <c r="F60" i="1"/>
  <c r="Q60" i="1" s="1"/>
  <c r="R60" i="1" s="1"/>
  <c r="L6" i="1"/>
  <c r="P208" i="1"/>
  <c r="F208" i="1"/>
  <c r="Q208" i="1" s="1"/>
  <c r="R208" i="1" s="1"/>
  <c r="P207" i="1"/>
  <c r="F207" i="1"/>
  <c r="Q207" i="1" s="1"/>
  <c r="R207" i="1" s="1"/>
  <c r="P206" i="1"/>
  <c r="F206" i="1"/>
  <c r="Q206" i="1" s="1"/>
  <c r="R206" i="1" s="1"/>
  <c r="P193" i="1"/>
  <c r="F193" i="1"/>
  <c r="Q193" i="1" s="1"/>
  <c r="R193" i="1" s="1"/>
  <c r="P192" i="1"/>
  <c r="F192" i="1"/>
  <c r="Q192" i="1" s="1"/>
  <c r="R192" i="1" s="1"/>
  <c r="P146" i="1"/>
  <c r="F146" i="1"/>
  <c r="Q146" i="1" s="1"/>
  <c r="R146" i="1" s="1"/>
  <c r="P145" i="1"/>
  <c r="F145" i="1"/>
  <c r="Q145" i="1" s="1"/>
  <c r="R145" i="1" s="1"/>
  <c r="P144" i="1"/>
  <c r="F144" i="1"/>
  <c r="Q144" i="1" s="1"/>
  <c r="R144" i="1" s="1"/>
  <c r="P142" i="1"/>
  <c r="F142" i="1"/>
  <c r="Q142" i="1" s="1"/>
  <c r="R142" i="1" s="1"/>
  <c r="P141" i="1"/>
  <c r="F141" i="1"/>
  <c r="Q141" i="1" s="1"/>
  <c r="R141" i="1" s="1"/>
  <c r="P140" i="1"/>
  <c r="F140" i="1"/>
  <c r="Q140" i="1" s="1"/>
  <c r="R140" i="1" s="1"/>
  <c r="P82" i="1"/>
  <c r="F82" i="1"/>
  <c r="Q82" i="1" s="1"/>
  <c r="R82" i="1" s="1"/>
  <c r="P93" i="1"/>
  <c r="F93" i="1"/>
  <c r="Q93" i="1" s="1"/>
  <c r="R93" i="1" s="1"/>
  <c r="P99" i="1"/>
  <c r="F99" i="1"/>
  <c r="Q99" i="1" s="1"/>
  <c r="R99" i="1" s="1"/>
  <c r="P98" i="1"/>
  <c r="F98" i="1"/>
  <c r="Q98" i="1" s="1"/>
  <c r="R98" i="1" s="1"/>
  <c r="P97" i="1"/>
  <c r="F97" i="1"/>
  <c r="Q97" i="1" s="1"/>
  <c r="R97" i="1" s="1"/>
  <c r="P96" i="1"/>
  <c r="F96" i="1"/>
  <c r="Q96" i="1" s="1"/>
  <c r="R96" i="1" s="1"/>
  <c r="P95" i="1"/>
  <c r="F95" i="1"/>
  <c r="Q95" i="1" s="1"/>
  <c r="R95" i="1" s="1"/>
  <c r="P94" i="1"/>
  <c r="F94" i="1"/>
  <c r="Q94" i="1" s="1"/>
  <c r="R94" i="1" s="1"/>
  <c r="P78" i="1"/>
  <c r="F78" i="1"/>
  <c r="Q78" i="1" s="1"/>
  <c r="R78" i="1" s="1"/>
  <c r="P92" i="1"/>
  <c r="F92" i="1"/>
  <c r="Q92" i="1" s="1"/>
  <c r="R92" i="1" s="1"/>
  <c r="P91" i="1"/>
  <c r="F91" i="1"/>
  <c r="Q91" i="1" s="1"/>
  <c r="R91" i="1" s="1"/>
  <c r="P89" i="1"/>
  <c r="F89" i="1"/>
  <c r="Q89" i="1" s="1"/>
  <c r="R89" i="1" s="1"/>
  <c r="P87" i="1"/>
  <c r="F87" i="1"/>
  <c r="Q87" i="1" s="1"/>
  <c r="R87" i="1" s="1"/>
  <c r="P85" i="1"/>
  <c r="F85" i="1"/>
  <c r="Q85" i="1" s="1"/>
  <c r="R85" i="1" s="1"/>
  <c r="P84" i="1"/>
  <c r="F84" i="1"/>
  <c r="Q84" i="1" s="1"/>
  <c r="R84" i="1" s="1"/>
  <c r="P81" i="1"/>
  <c r="F81" i="1"/>
  <c r="Q81" i="1" s="1"/>
  <c r="R81" i="1" s="1"/>
  <c r="P80" i="1"/>
  <c r="F80" i="1"/>
  <c r="Q80" i="1" s="1"/>
  <c r="R80" i="1" s="1"/>
  <c r="P79" i="1"/>
  <c r="F79" i="1"/>
  <c r="Q79" i="1" s="1"/>
  <c r="R79" i="1" s="1"/>
  <c r="P77" i="1"/>
  <c r="F77" i="1"/>
  <c r="Q77" i="1" s="1"/>
  <c r="R77" i="1" s="1"/>
  <c r="P76" i="1"/>
  <c r="F76" i="1"/>
  <c r="Q76" i="1" s="1"/>
  <c r="R76" i="1" s="1"/>
  <c r="P74" i="1"/>
  <c r="F74" i="1"/>
  <c r="Q74" i="1" s="1"/>
  <c r="R74" i="1" s="1"/>
  <c r="P73" i="1"/>
  <c r="F73" i="1"/>
  <c r="Q73" i="1" s="1"/>
  <c r="R73" i="1" s="1"/>
  <c r="P72" i="1"/>
  <c r="F72" i="1"/>
  <c r="Q72" i="1" s="1"/>
  <c r="R72" i="1" s="1"/>
  <c r="P71" i="1"/>
  <c r="F71" i="1"/>
  <c r="Q71" i="1" s="1"/>
  <c r="R71" i="1" s="1"/>
  <c r="S6" i="3"/>
  <c r="D6" i="3"/>
  <c r="K66" i="2"/>
  <c r="M66" i="2"/>
  <c r="Z474" i="1"/>
  <c r="AA474" i="1" s="1"/>
  <c r="AM474" i="1"/>
  <c r="Z473" i="1"/>
  <c r="AA473" i="1" s="1"/>
  <c r="AM473" i="1"/>
  <c r="Z472" i="1"/>
  <c r="AA472" i="1" s="1"/>
  <c r="AM472" i="1"/>
  <c r="Z471" i="1"/>
  <c r="AA471" i="1" s="1"/>
  <c r="AM471" i="1"/>
  <c r="Z470" i="1"/>
  <c r="AA470" i="1" s="1"/>
  <c r="AM470" i="1"/>
  <c r="Z469" i="1"/>
  <c r="AA469" i="1" s="1"/>
  <c r="AM469" i="1"/>
  <c r="Z468" i="1"/>
  <c r="AA468" i="1" s="1"/>
  <c r="AM468" i="1"/>
  <c r="Z467" i="1"/>
  <c r="AA467" i="1" s="1"/>
  <c r="AM467" i="1"/>
  <c r="Z466" i="1"/>
  <c r="AA466" i="1" s="1"/>
  <c r="AM466" i="1"/>
  <c r="Z465" i="1"/>
  <c r="AA465" i="1" s="1"/>
  <c r="AM465" i="1"/>
  <c r="Z464" i="1"/>
  <c r="AA464" i="1" s="1"/>
  <c r="AM464" i="1"/>
  <c r="Z463" i="1"/>
  <c r="AA463" i="1" s="1"/>
  <c r="AM463" i="1"/>
  <c r="Z462" i="1"/>
  <c r="AA462" i="1" s="1"/>
  <c r="AM462" i="1"/>
  <c r="Z461" i="1"/>
  <c r="AA461" i="1" s="1"/>
  <c r="AM461" i="1"/>
  <c r="Z460" i="1"/>
  <c r="AA460" i="1" s="1"/>
  <c r="AM460" i="1"/>
  <c r="Z459" i="1"/>
  <c r="AA459" i="1" s="1"/>
  <c r="AM459" i="1"/>
  <c r="Z458" i="1"/>
  <c r="AA458" i="1" s="1"/>
  <c r="AM458" i="1"/>
  <c r="Z457" i="1"/>
  <c r="AA457" i="1" s="1"/>
  <c r="AM457" i="1"/>
  <c r="Z456" i="1"/>
  <c r="AA456" i="1" s="1"/>
  <c r="AM456" i="1"/>
  <c r="Z455" i="1"/>
  <c r="AA455" i="1" s="1"/>
  <c r="AM455" i="1"/>
  <c r="Z454" i="1"/>
  <c r="AA454" i="1" s="1"/>
  <c r="AM454" i="1"/>
  <c r="Z453" i="1"/>
  <c r="AA453" i="1" s="1"/>
  <c r="N69" i="2" s="1"/>
  <c r="AM453" i="1"/>
  <c r="Z452" i="1"/>
  <c r="AA452" i="1" s="1"/>
  <c r="AM452" i="1"/>
  <c r="Z451" i="1"/>
  <c r="AA451" i="1" s="1"/>
  <c r="AM451" i="1"/>
  <c r="Z450" i="1"/>
  <c r="AA450" i="1" s="1"/>
  <c r="AM450" i="1"/>
  <c r="Z449" i="1"/>
  <c r="AA449" i="1" s="1"/>
  <c r="AM449" i="1"/>
  <c r="Z448" i="1"/>
  <c r="AA448" i="1" s="1"/>
  <c r="AM448" i="1"/>
  <c r="Z447" i="1"/>
  <c r="AA447" i="1" s="1"/>
  <c r="N68" i="2" s="1"/>
  <c r="AM447" i="1"/>
  <c r="K113" i="2"/>
  <c r="M113" i="2"/>
  <c r="Z446" i="1"/>
  <c r="AA446" i="1" s="1"/>
  <c r="AM446" i="1"/>
  <c r="Z445" i="1"/>
  <c r="AA445" i="1" s="1"/>
  <c r="AM445" i="1"/>
  <c r="Z444" i="1"/>
  <c r="AA444" i="1" s="1"/>
  <c r="AM444" i="1"/>
  <c r="Z443" i="1"/>
  <c r="AA443" i="1" s="1"/>
  <c r="AM443" i="1"/>
  <c r="Z442" i="1"/>
  <c r="AA442" i="1" s="1"/>
  <c r="AM442" i="1"/>
  <c r="Z441" i="1"/>
  <c r="AA441" i="1" s="1"/>
  <c r="AM441" i="1"/>
  <c r="Z440" i="1"/>
  <c r="AA440" i="1" s="1"/>
  <c r="AM440" i="1"/>
  <c r="Z439" i="1"/>
  <c r="AA439" i="1" s="1"/>
  <c r="AM439" i="1"/>
  <c r="Z438" i="1"/>
  <c r="AA438" i="1" s="1"/>
  <c r="AM438" i="1"/>
  <c r="Z437" i="1"/>
  <c r="AA437" i="1" s="1"/>
  <c r="AM437" i="1"/>
  <c r="Z436" i="1"/>
  <c r="AA436" i="1" s="1"/>
  <c r="AM436" i="1"/>
  <c r="K112" i="2"/>
  <c r="M112" i="2"/>
  <c r="Z435" i="1"/>
  <c r="AA435" i="1" s="1"/>
  <c r="N112" i="2" s="1"/>
  <c r="AM435" i="1"/>
  <c r="Z434" i="1"/>
  <c r="AA434" i="1" s="1"/>
  <c r="AM434" i="1"/>
  <c r="Z433" i="1"/>
  <c r="AA433" i="1" s="1"/>
  <c r="AM433" i="1"/>
  <c r="Z432" i="1"/>
  <c r="AA432" i="1" s="1"/>
  <c r="AM432" i="1"/>
  <c r="Z431" i="1"/>
  <c r="AA431" i="1" s="1"/>
  <c r="AM431" i="1"/>
  <c r="Z430" i="1"/>
  <c r="AA430" i="1" s="1"/>
  <c r="AM430" i="1"/>
  <c r="Z429" i="1"/>
  <c r="AA429" i="1" s="1"/>
  <c r="AM429" i="1"/>
  <c r="Z428" i="1"/>
  <c r="AA428" i="1" s="1"/>
  <c r="AM428" i="1"/>
  <c r="K107" i="2"/>
  <c r="M107" i="2"/>
  <c r="Z427" i="1"/>
  <c r="AA427" i="1" s="1"/>
  <c r="AM427" i="1"/>
  <c r="AP426" i="1"/>
  <c r="Z426" i="1"/>
  <c r="AA426" i="1" s="1"/>
  <c r="AM426" i="1"/>
  <c r="Z425" i="1"/>
  <c r="AA425" i="1" s="1"/>
  <c r="AM425" i="1"/>
  <c r="Z424" i="1"/>
  <c r="AA424" i="1" s="1"/>
  <c r="AM424" i="1"/>
  <c r="AK423" i="1"/>
  <c r="Z423" i="1"/>
  <c r="AA423" i="1" s="1"/>
  <c r="AM423" i="1"/>
  <c r="Z422" i="1"/>
  <c r="AA422" i="1" s="1"/>
  <c r="AM422" i="1"/>
  <c r="Z421" i="1"/>
  <c r="AA421" i="1" s="1"/>
  <c r="AM421" i="1"/>
  <c r="Z420" i="1"/>
  <c r="AA420" i="1" s="1"/>
  <c r="AM420" i="1"/>
  <c r="Z419" i="1"/>
  <c r="AA419" i="1" s="1"/>
  <c r="AM419" i="1"/>
  <c r="Z418" i="1"/>
  <c r="AA418" i="1" s="1"/>
  <c r="AM418" i="1"/>
  <c r="Z417" i="1"/>
  <c r="AA417" i="1" s="1"/>
  <c r="AM417" i="1"/>
  <c r="Z416" i="1"/>
  <c r="AA416" i="1" s="1"/>
  <c r="AM416" i="1"/>
  <c r="Z415" i="1"/>
  <c r="AA415" i="1" s="1"/>
  <c r="AM415" i="1"/>
  <c r="Z414" i="1"/>
  <c r="AA414" i="1" s="1"/>
  <c r="AM414" i="1"/>
  <c r="K110" i="2"/>
  <c r="M110" i="2"/>
  <c r="Z413" i="1"/>
  <c r="AA413" i="1" s="1"/>
  <c r="AM413" i="1"/>
  <c r="K111" i="2"/>
  <c r="M111" i="2"/>
  <c r="Z412" i="1"/>
  <c r="AA412" i="1" s="1"/>
  <c r="N111" i="2" s="1"/>
  <c r="AM412" i="1"/>
  <c r="Z411" i="1"/>
  <c r="AA411" i="1" s="1"/>
  <c r="AM411" i="1"/>
  <c r="Z410" i="1"/>
  <c r="AA410" i="1" s="1"/>
  <c r="AM410" i="1"/>
  <c r="Z409" i="1"/>
  <c r="AA409" i="1" s="1"/>
  <c r="AM409" i="1"/>
  <c r="Z408" i="1"/>
  <c r="AA408" i="1" s="1"/>
  <c r="AM408" i="1"/>
  <c r="Z407" i="1"/>
  <c r="AA407" i="1" s="1"/>
  <c r="AM407" i="1"/>
  <c r="Z406" i="1"/>
  <c r="AA406" i="1" s="1"/>
  <c r="AM406" i="1"/>
  <c r="Z405" i="1"/>
  <c r="AA405" i="1" s="1"/>
  <c r="AM405" i="1"/>
  <c r="Z404" i="1"/>
  <c r="AA404" i="1" s="1"/>
  <c r="AM404" i="1"/>
  <c r="Z403" i="1"/>
  <c r="AA403" i="1" s="1"/>
  <c r="AM403" i="1"/>
  <c r="Z402" i="1"/>
  <c r="AA402" i="1" s="1"/>
  <c r="AM402" i="1"/>
  <c r="Z401" i="1"/>
  <c r="AA401" i="1" s="1"/>
  <c r="AM401" i="1"/>
  <c r="Z400" i="1"/>
  <c r="AA400" i="1" s="1"/>
  <c r="AM400" i="1"/>
  <c r="Z399" i="1"/>
  <c r="AA399" i="1" s="1"/>
  <c r="AM399" i="1"/>
  <c r="Z398" i="1"/>
  <c r="AA398" i="1" s="1"/>
  <c r="N56" i="2" s="1"/>
  <c r="AM398" i="1"/>
  <c r="Z397" i="1"/>
  <c r="AA397" i="1" s="1"/>
  <c r="N66" i="2" s="1"/>
  <c r="AM397" i="1"/>
  <c r="Z396" i="1"/>
  <c r="AA396" i="1" s="1"/>
  <c r="AM396" i="1"/>
  <c r="Z395" i="1"/>
  <c r="AA395" i="1" s="1"/>
  <c r="AM395" i="1"/>
  <c r="K102" i="2"/>
  <c r="M102" i="2"/>
  <c r="Z394" i="1"/>
  <c r="AA394" i="1" s="1"/>
  <c r="AM394" i="1"/>
  <c r="Z393" i="1"/>
  <c r="AA393" i="1" s="1"/>
  <c r="AM393" i="1"/>
  <c r="Z392" i="1"/>
  <c r="AA392" i="1" s="1"/>
  <c r="AM392" i="1"/>
  <c r="Z391" i="1"/>
  <c r="AA391" i="1" s="1"/>
  <c r="AM391" i="1"/>
  <c r="Z390" i="1"/>
  <c r="AA390" i="1" s="1"/>
  <c r="AM390" i="1"/>
  <c r="Z389" i="1"/>
  <c r="AA389" i="1" s="1"/>
  <c r="AM389" i="1"/>
  <c r="Z388" i="1"/>
  <c r="AA388" i="1" s="1"/>
  <c r="AM388" i="1"/>
  <c r="Z387" i="1"/>
  <c r="AA387" i="1" s="1"/>
  <c r="AM387" i="1"/>
  <c r="Z386" i="1"/>
  <c r="AA386" i="1" s="1"/>
  <c r="AM386" i="1"/>
  <c r="K98" i="2"/>
  <c r="M98" i="2"/>
  <c r="Z385" i="1"/>
  <c r="AA385" i="1" s="1"/>
  <c r="N65" i="2" s="1"/>
  <c r="AM385" i="1"/>
  <c r="Z384" i="1"/>
  <c r="AA384" i="1" s="1"/>
  <c r="AM384" i="1"/>
  <c r="Z383" i="1"/>
  <c r="AA383" i="1" s="1"/>
  <c r="AM383" i="1"/>
  <c r="Z382" i="1"/>
  <c r="AA382" i="1" s="1"/>
  <c r="AM382" i="1"/>
  <c r="Z381" i="1"/>
  <c r="AA381" i="1" s="1"/>
  <c r="AM381" i="1"/>
  <c r="Z380" i="1"/>
  <c r="AA380" i="1" s="1"/>
  <c r="AM380" i="1"/>
  <c r="Z379" i="1"/>
  <c r="AA379" i="1" s="1"/>
  <c r="AM379" i="1"/>
  <c r="Z378" i="1"/>
  <c r="AA378" i="1" s="1"/>
  <c r="AM378" i="1"/>
  <c r="Z377" i="1"/>
  <c r="AA377" i="1" s="1"/>
  <c r="AM377" i="1"/>
  <c r="Z376" i="1"/>
  <c r="AA376" i="1" s="1"/>
  <c r="AM376" i="1"/>
  <c r="Z375" i="1"/>
  <c r="AA375" i="1" s="1"/>
  <c r="AM375" i="1"/>
  <c r="Z374" i="1"/>
  <c r="AA374" i="1" s="1"/>
  <c r="N106" i="2" s="1"/>
  <c r="AM374" i="1"/>
  <c r="Z373" i="1"/>
  <c r="AA373" i="1" s="1"/>
  <c r="AM373" i="1"/>
  <c r="Z372" i="1"/>
  <c r="AA372" i="1" s="1"/>
  <c r="AM372" i="1"/>
  <c r="Z371" i="1"/>
  <c r="AA371" i="1" s="1"/>
  <c r="AM371" i="1"/>
  <c r="Z370" i="1"/>
  <c r="AA370" i="1" s="1"/>
  <c r="AM370" i="1"/>
  <c r="Z369" i="1"/>
  <c r="AA369" i="1" s="1"/>
  <c r="AM369" i="1"/>
  <c r="Z368" i="1"/>
  <c r="AA368" i="1" s="1"/>
  <c r="AM368" i="1"/>
  <c r="Z367" i="1"/>
  <c r="AA367" i="1" s="1"/>
  <c r="AM367" i="1"/>
  <c r="Z366" i="1"/>
  <c r="AA366" i="1" s="1"/>
  <c r="AM366" i="1"/>
  <c r="Z365" i="1"/>
  <c r="AA365" i="1" s="1"/>
  <c r="N59" i="2" s="1"/>
  <c r="AM365" i="1"/>
  <c r="Z364" i="1"/>
  <c r="AA364" i="1" s="1"/>
  <c r="AM364" i="1"/>
  <c r="Z363" i="1"/>
  <c r="AA363" i="1" s="1"/>
  <c r="AM363" i="1"/>
  <c r="Z362" i="1"/>
  <c r="AA362" i="1" s="1"/>
  <c r="AM362" i="1"/>
  <c r="Z361" i="1"/>
  <c r="AA361" i="1" s="1"/>
  <c r="AM361" i="1"/>
  <c r="Z360" i="1"/>
  <c r="AA360" i="1" s="1"/>
  <c r="AM360" i="1"/>
  <c r="Z359" i="1"/>
  <c r="AA359" i="1" s="1"/>
  <c r="AM359" i="1"/>
  <c r="Z358" i="1"/>
  <c r="AA358" i="1" s="1"/>
  <c r="AM358" i="1"/>
  <c r="Z357" i="1"/>
  <c r="AA357" i="1" s="1"/>
  <c r="AM357" i="1"/>
  <c r="Z356" i="1"/>
  <c r="AA356" i="1" s="1"/>
  <c r="AM356" i="1"/>
  <c r="Z355" i="1"/>
  <c r="AA355" i="1" s="1"/>
  <c r="AM355" i="1"/>
  <c r="Z354" i="1"/>
  <c r="AA354" i="1" s="1"/>
  <c r="AM354" i="1"/>
  <c r="Z353" i="1"/>
  <c r="AA353" i="1" s="1"/>
  <c r="AM353" i="1"/>
  <c r="Z352" i="1"/>
  <c r="AA352" i="1" s="1"/>
  <c r="AM352" i="1"/>
  <c r="Z351" i="1"/>
  <c r="AA351" i="1" s="1"/>
  <c r="AM351" i="1"/>
  <c r="Z350" i="1"/>
  <c r="AA350" i="1" s="1"/>
  <c r="AM350" i="1"/>
  <c r="Z349" i="1"/>
  <c r="AA349" i="1" s="1"/>
  <c r="AM349" i="1"/>
  <c r="Z348" i="1"/>
  <c r="AA348" i="1" s="1"/>
  <c r="AM348" i="1"/>
  <c r="K81" i="2"/>
  <c r="M81" i="2"/>
  <c r="Z347" i="1"/>
  <c r="AA347" i="1" s="1"/>
  <c r="AM347" i="1"/>
  <c r="Z346" i="1"/>
  <c r="AA346" i="1" s="1"/>
  <c r="AM346" i="1"/>
  <c r="Z345" i="1"/>
  <c r="AA345" i="1" s="1"/>
  <c r="AM345" i="1"/>
  <c r="Z344" i="1"/>
  <c r="AA344" i="1" s="1"/>
  <c r="AM344" i="1"/>
  <c r="Z343" i="1"/>
  <c r="AA343" i="1" s="1"/>
  <c r="AM343" i="1"/>
  <c r="Z342" i="1"/>
  <c r="AA342" i="1" s="1"/>
  <c r="AM342" i="1"/>
  <c r="K100" i="2"/>
  <c r="M100" i="2"/>
  <c r="Z341" i="1"/>
  <c r="AA341" i="1" s="1"/>
  <c r="N100" i="2" s="1"/>
  <c r="AM341" i="1"/>
  <c r="T485" i="3"/>
  <c r="T501" i="3"/>
  <c r="K108" i="2"/>
  <c r="M108" i="2"/>
  <c r="Z340" i="1"/>
  <c r="AA340" i="1" s="1"/>
  <c r="AM340" i="1"/>
  <c r="Z339" i="1"/>
  <c r="AA339" i="1" s="1"/>
  <c r="AM339" i="1"/>
  <c r="K90" i="2"/>
  <c r="M90" i="2"/>
  <c r="Z338" i="1"/>
  <c r="AA338" i="1" s="1"/>
  <c r="AM338" i="1"/>
  <c r="Z337" i="1"/>
  <c r="AA337" i="1" s="1"/>
  <c r="AM337" i="1"/>
  <c r="Z336" i="1"/>
  <c r="AA336" i="1" s="1"/>
  <c r="AM336" i="1"/>
  <c r="Z335" i="1"/>
  <c r="AA335" i="1" s="1"/>
  <c r="AM335" i="1"/>
  <c r="Z334" i="1"/>
  <c r="AA334" i="1" s="1"/>
  <c r="AM334" i="1"/>
  <c r="AP333" i="1"/>
  <c r="Z333" i="1"/>
  <c r="AA333" i="1" s="1"/>
  <c r="AM333" i="1"/>
  <c r="Z332" i="1"/>
  <c r="AA332" i="1" s="1"/>
  <c r="AM332" i="1"/>
  <c r="Z331" i="1"/>
  <c r="AA331" i="1" s="1"/>
  <c r="AM331" i="1"/>
  <c r="Z330" i="1"/>
  <c r="AA330" i="1" s="1"/>
  <c r="AM330" i="1"/>
  <c r="Z329" i="1"/>
  <c r="AA329" i="1" s="1"/>
  <c r="AM329" i="1"/>
  <c r="Z328" i="1"/>
  <c r="AA328" i="1" s="1"/>
  <c r="AM328" i="1"/>
  <c r="Z327" i="1"/>
  <c r="AA327" i="1" s="1"/>
  <c r="AM327" i="1"/>
  <c r="Z326" i="1"/>
  <c r="AA326" i="1" s="1"/>
  <c r="AM326" i="1"/>
  <c r="Z325" i="1"/>
  <c r="AA325" i="1" s="1"/>
  <c r="AM325" i="1"/>
  <c r="Z324" i="1"/>
  <c r="AA324" i="1" s="1"/>
  <c r="AM324" i="1"/>
  <c r="Z323" i="1"/>
  <c r="AA323" i="1" s="1"/>
  <c r="AM323" i="1"/>
  <c r="Z322" i="1"/>
  <c r="AA322" i="1" s="1"/>
  <c r="AM322" i="1"/>
  <c r="Z321" i="1"/>
  <c r="AA321" i="1" s="1"/>
  <c r="AM321" i="1"/>
  <c r="Z320" i="1"/>
  <c r="AA320" i="1" s="1"/>
  <c r="AM320" i="1"/>
  <c r="Z319" i="1"/>
  <c r="AA319" i="1" s="1"/>
  <c r="AM319" i="1"/>
  <c r="Z318" i="1"/>
  <c r="AA318" i="1" s="1"/>
  <c r="AM318" i="1"/>
  <c r="Z317" i="1"/>
  <c r="AA317" i="1" s="1"/>
  <c r="AM317" i="1"/>
  <c r="Z316" i="1"/>
  <c r="AA316" i="1" s="1"/>
  <c r="AM316" i="1"/>
  <c r="Z315" i="1"/>
  <c r="AA315" i="1" s="1"/>
  <c r="AM315" i="1"/>
  <c r="T357" i="3"/>
  <c r="T557" i="3"/>
  <c r="Z314" i="1"/>
  <c r="AA314" i="1" s="1"/>
  <c r="AM314" i="1"/>
  <c r="Z313" i="1"/>
  <c r="AA313" i="1" s="1"/>
  <c r="AM313" i="1"/>
  <c r="Z312" i="1"/>
  <c r="AA312" i="1" s="1"/>
  <c r="AM312" i="1"/>
  <c r="Z311" i="1"/>
  <c r="AA311" i="1" s="1"/>
  <c r="AM311" i="1"/>
  <c r="Z310" i="1"/>
  <c r="AA310" i="1" s="1"/>
  <c r="AM310" i="1"/>
  <c r="Z309" i="1"/>
  <c r="AA309" i="1" s="1"/>
  <c r="AM309" i="1"/>
  <c r="K89" i="2"/>
  <c r="M89" i="2"/>
  <c r="Z308" i="1"/>
  <c r="AA308" i="1" s="1"/>
  <c r="N64" i="2" s="1"/>
  <c r="AM308" i="1"/>
  <c r="Z307" i="1"/>
  <c r="AA307" i="1" s="1"/>
  <c r="AM307" i="1"/>
  <c r="T483" i="3"/>
  <c r="T469" i="3"/>
  <c r="Z306" i="1"/>
  <c r="AA306" i="1" s="1"/>
  <c r="AM306" i="1"/>
  <c r="Z305" i="1"/>
  <c r="AA305" i="1" s="1"/>
  <c r="AM305" i="1"/>
  <c r="Z304" i="1"/>
  <c r="AA304" i="1" s="1"/>
  <c r="AM304" i="1"/>
  <c r="Z303" i="1"/>
  <c r="AA303" i="1" s="1"/>
  <c r="AM303" i="1"/>
  <c r="Z302" i="1"/>
  <c r="AA302" i="1" s="1"/>
  <c r="AM302" i="1"/>
  <c r="Z301" i="1"/>
  <c r="AA301" i="1" s="1"/>
  <c r="AM301" i="1"/>
  <c r="T341" i="3"/>
  <c r="T556" i="3"/>
  <c r="Z300" i="1"/>
  <c r="AA300" i="1" s="1"/>
  <c r="AM300" i="1"/>
  <c r="Z299" i="1"/>
  <c r="AA299" i="1" s="1"/>
  <c r="AM299" i="1"/>
  <c r="Z298" i="1"/>
  <c r="AA298" i="1" s="1"/>
  <c r="AM298" i="1"/>
  <c r="K109" i="2"/>
  <c r="M109" i="2"/>
  <c r="Z297" i="1"/>
  <c r="AA297" i="1" s="1"/>
  <c r="N109" i="2" s="1"/>
  <c r="AM297" i="1"/>
  <c r="T470" i="3"/>
  <c r="T456" i="3"/>
  <c r="Z296" i="1"/>
  <c r="AA296" i="1" s="1"/>
  <c r="N57" i="2" s="1"/>
  <c r="AM296" i="1"/>
  <c r="Z295" i="1"/>
  <c r="AA295" i="1" s="1"/>
  <c r="AM295" i="1"/>
  <c r="Z294" i="1"/>
  <c r="AA294" i="1" s="1"/>
  <c r="AM294" i="1"/>
  <c r="Z293" i="1"/>
  <c r="AA293" i="1" s="1"/>
  <c r="AM293" i="1"/>
  <c r="T334" i="3"/>
  <c r="T566" i="3"/>
  <c r="Z292" i="1"/>
  <c r="AA292" i="1" s="1"/>
  <c r="AM292" i="1"/>
  <c r="AM291" i="1"/>
  <c r="Z291" i="1"/>
  <c r="AA291" i="1" s="1"/>
  <c r="K91" i="2"/>
  <c r="M91" i="2"/>
  <c r="Z290" i="1"/>
  <c r="AA290" i="1" s="1"/>
  <c r="AM290" i="1"/>
  <c r="Z289" i="1"/>
  <c r="AA289" i="1" s="1"/>
  <c r="AM289" i="1"/>
  <c r="K88" i="2"/>
  <c r="M88" i="2"/>
  <c r="Z288" i="1"/>
  <c r="AA288" i="1" s="1"/>
  <c r="AM288" i="1"/>
  <c r="D6" i="2"/>
  <c r="E6" i="2"/>
  <c r="Z287" i="1"/>
  <c r="AA287" i="1" s="1"/>
  <c r="AM287" i="1"/>
  <c r="AP286" i="1"/>
  <c r="Z286" i="1"/>
  <c r="AA286" i="1" s="1"/>
  <c r="AM286" i="1"/>
  <c r="Z285" i="1"/>
  <c r="AA285" i="1" s="1"/>
  <c r="AM285" i="1"/>
  <c r="Z284" i="1"/>
  <c r="AA284" i="1" s="1"/>
  <c r="AM284" i="1"/>
  <c r="Z283" i="1"/>
  <c r="AA283" i="1" s="1"/>
  <c r="AM283" i="1"/>
  <c r="Z282" i="1"/>
  <c r="AA282" i="1" s="1"/>
  <c r="AM282" i="1"/>
  <c r="Z281" i="1"/>
  <c r="AA281" i="1" s="1"/>
  <c r="AM281" i="1"/>
  <c r="Z280" i="1"/>
  <c r="AA280" i="1" s="1"/>
  <c r="AM280" i="1"/>
  <c r="Z279" i="1"/>
  <c r="AA279" i="1" s="1"/>
  <c r="AM279" i="1"/>
  <c r="Z278" i="1"/>
  <c r="AA278" i="1" s="1"/>
  <c r="AM278" i="1"/>
  <c r="Z277" i="1"/>
  <c r="AA277" i="1" s="1"/>
  <c r="AM277" i="1"/>
  <c r="Z276" i="1"/>
  <c r="AA276" i="1" s="1"/>
  <c r="AM276" i="1"/>
  <c r="Z275" i="1"/>
  <c r="AA275" i="1" s="1"/>
  <c r="AM275" i="1"/>
  <c r="Z274" i="1"/>
  <c r="AA274" i="1" s="1"/>
  <c r="AM274" i="1"/>
  <c r="Z273" i="1"/>
  <c r="AA273" i="1" s="1"/>
  <c r="AM273" i="1"/>
  <c r="Z272" i="1"/>
  <c r="AA272" i="1" s="1"/>
  <c r="AM272" i="1"/>
  <c r="Z271" i="1"/>
  <c r="AA271" i="1" s="1"/>
  <c r="AM271" i="1"/>
  <c r="Z270" i="1"/>
  <c r="AA270" i="1" s="1"/>
  <c r="AM270" i="1"/>
  <c r="Z269" i="1"/>
  <c r="AA269" i="1" s="1"/>
  <c r="AM269" i="1"/>
  <c r="Z268" i="1"/>
  <c r="AA268" i="1" s="1"/>
  <c r="AM268" i="1"/>
  <c r="Z267" i="1"/>
  <c r="AA267" i="1" s="1"/>
  <c r="N91" i="2" s="1"/>
  <c r="AM267" i="1"/>
  <c r="Z266" i="1"/>
  <c r="AA266" i="1" s="1"/>
  <c r="AM266" i="1"/>
  <c r="T424" i="3"/>
  <c r="T446" i="3"/>
  <c r="Z265" i="1"/>
  <c r="AA265" i="1" s="1"/>
  <c r="AM265" i="1"/>
  <c r="Z264" i="1"/>
  <c r="AA264" i="1" s="1"/>
  <c r="AM264" i="1"/>
  <c r="T558" i="3"/>
  <c r="T302" i="3"/>
  <c r="Z263" i="1"/>
  <c r="AA263" i="1" s="1"/>
  <c r="AM263" i="1"/>
  <c r="Z262" i="1"/>
  <c r="AA262" i="1" s="1"/>
  <c r="AM262" i="1"/>
  <c r="Z261" i="1"/>
  <c r="AA261" i="1" s="1"/>
  <c r="AM261" i="1"/>
  <c r="Z260" i="1"/>
  <c r="AA260" i="1" s="1"/>
  <c r="AM260" i="1"/>
  <c r="Z259" i="1"/>
  <c r="AA259" i="1" s="1"/>
  <c r="AM259" i="1"/>
  <c r="Z258" i="1"/>
  <c r="AA258" i="1" s="1"/>
  <c r="AM258" i="1"/>
  <c r="Z257" i="1"/>
  <c r="AA257" i="1" s="1"/>
  <c r="AM257" i="1"/>
  <c r="Z256" i="1"/>
  <c r="AA256" i="1" s="1"/>
  <c r="AM256" i="1"/>
  <c r="Z255" i="1"/>
  <c r="AA255" i="1" s="1"/>
  <c r="AM255" i="1"/>
  <c r="Z254" i="1"/>
  <c r="AA254" i="1" s="1"/>
  <c r="AM254" i="1"/>
  <c r="Z253" i="1"/>
  <c r="AA253" i="1" s="1"/>
  <c r="AM253" i="1"/>
  <c r="K95" i="2"/>
  <c r="M95" i="2"/>
  <c r="Z252" i="1"/>
  <c r="AA252" i="1" s="1"/>
  <c r="AM252" i="1"/>
  <c r="Z251" i="1"/>
  <c r="AA251" i="1" s="1"/>
  <c r="AM251" i="1"/>
  <c r="Z250" i="1"/>
  <c r="AA250" i="1" s="1"/>
  <c r="AM250" i="1"/>
  <c r="Z249" i="1"/>
  <c r="AA249" i="1" s="1"/>
  <c r="AM249" i="1"/>
  <c r="Z248" i="1"/>
  <c r="AA248" i="1" s="1"/>
  <c r="AM248" i="1"/>
  <c r="Z247" i="1"/>
  <c r="AA247" i="1" s="1"/>
  <c r="AM247" i="1"/>
  <c r="Z246" i="1"/>
  <c r="AA246" i="1" s="1"/>
  <c r="AM246" i="1"/>
  <c r="Z245" i="1"/>
  <c r="AA245" i="1" s="1"/>
  <c r="AM245" i="1"/>
  <c r="Z244" i="1"/>
  <c r="AA244" i="1" s="1"/>
  <c r="AM244" i="1"/>
  <c r="Z243" i="1"/>
  <c r="AA243" i="1" s="1"/>
  <c r="AM243" i="1"/>
  <c r="Z242" i="1"/>
  <c r="AA242" i="1" s="1"/>
  <c r="AM242" i="1"/>
  <c r="Z241" i="1"/>
  <c r="AA241" i="1" s="1"/>
  <c r="AM241" i="1"/>
  <c r="K87" i="2"/>
  <c r="M87" i="2"/>
  <c r="Z240" i="1"/>
  <c r="AA240" i="1" s="1"/>
  <c r="AM240" i="1"/>
  <c r="Z239" i="1"/>
  <c r="AA239" i="1" s="1"/>
  <c r="AM239" i="1"/>
  <c r="T343" i="3"/>
  <c r="T498" i="3"/>
  <c r="Z238" i="1"/>
  <c r="AA238" i="1" s="1"/>
  <c r="AM238" i="1"/>
  <c r="T400" i="3"/>
  <c r="T425" i="3"/>
  <c r="Z237" i="1"/>
  <c r="AA237" i="1" s="1"/>
  <c r="AM237" i="1"/>
  <c r="T409" i="3"/>
  <c r="T410" i="3"/>
  <c r="Z236" i="1"/>
  <c r="AA236" i="1" s="1"/>
  <c r="AM236" i="1"/>
  <c r="Z235" i="1"/>
  <c r="AA235" i="1" s="1"/>
  <c r="AM235" i="1"/>
  <c r="Z234" i="1"/>
  <c r="AA234" i="1" s="1"/>
  <c r="AM234" i="1"/>
  <c r="Z233" i="1"/>
  <c r="AA233" i="1" s="1"/>
  <c r="AM233" i="1"/>
  <c r="Z232" i="1"/>
  <c r="AA232" i="1" s="1"/>
  <c r="AM232" i="1"/>
  <c r="Z231" i="1"/>
  <c r="AA231" i="1" s="1"/>
  <c r="AM231" i="1"/>
  <c r="T407" i="3"/>
  <c r="T408" i="3"/>
  <c r="Z230" i="1"/>
  <c r="AA230" i="1" s="1"/>
  <c r="AM230" i="1"/>
  <c r="Z229" i="1"/>
  <c r="AA229" i="1" s="1"/>
  <c r="AM229" i="1"/>
  <c r="T585" i="3"/>
  <c r="T265" i="3"/>
  <c r="Z228" i="1"/>
  <c r="AA228" i="1" s="1"/>
  <c r="AM228" i="1"/>
  <c r="Z227" i="1"/>
  <c r="AA227" i="1" s="1"/>
  <c r="AM227" i="1"/>
  <c r="Z226" i="1"/>
  <c r="AA226" i="1" s="1"/>
  <c r="AM226" i="1"/>
  <c r="Z225" i="1"/>
  <c r="AA225" i="1" s="1"/>
  <c r="AM225" i="1"/>
  <c r="T541" i="3"/>
  <c r="T259" i="3"/>
  <c r="Z224" i="1"/>
  <c r="AA224" i="1" s="1"/>
  <c r="AM224" i="1"/>
  <c r="T394" i="3"/>
  <c r="T404" i="3"/>
  <c r="Z223" i="1"/>
  <c r="AA223" i="1" s="1"/>
  <c r="AM223" i="1"/>
  <c r="Z222" i="1"/>
  <c r="AA222" i="1" s="1"/>
  <c r="AM222" i="1"/>
  <c r="T383" i="3"/>
  <c r="T405" i="3"/>
  <c r="Z221" i="1"/>
  <c r="AA221" i="1" s="1"/>
  <c r="AM221" i="1"/>
  <c r="Z220" i="1"/>
  <c r="AA220" i="1" s="1"/>
  <c r="AM220" i="1"/>
  <c r="Z219" i="1"/>
  <c r="AA219" i="1" s="1"/>
  <c r="AM219" i="1"/>
  <c r="Z218" i="1"/>
  <c r="AA218" i="1" s="1"/>
  <c r="AM218" i="1"/>
  <c r="Z217" i="1"/>
  <c r="AA217" i="1" s="1"/>
  <c r="AM217" i="1"/>
  <c r="Z216" i="1"/>
  <c r="AA216" i="1" s="1"/>
  <c r="AM216" i="1"/>
  <c r="Z215" i="1"/>
  <c r="AA215" i="1" s="1"/>
  <c r="AM215" i="1"/>
  <c r="Z214" i="1"/>
  <c r="AA214" i="1" s="1"/>
  <c r="AM214" i="1"/>
  <c r="T388" i="3"/>
  <c r="T393" i="3"/>
  <c r="Z213" i="1"/>
  <c r="AA213" i="1" s="1"/>
  <c r="AM213" i="1"/>
  <c r="Z212" i="1"/>
  <c r="AA212" i="1" s="1"/>
  <c r="AM212" i="1"/>
  <c r="Z211" i="1"/>
  <c r="AA211" i="1" s="1"/>
  <c r="AM211" i="1"/>
  <c r="T366" i="3"/>
  <c r="T406" i="3"/>
  <c r="Z210" i="1"/>
  <c r="AA210" i="1" s="1"/>
  <c r="AM210" i="1"/>
  <c r="Z209" i="1"/>
  <c r="AA209" i="1" s="1"/>
  <c r="AM209" i="1"/>
  <c r="Z208" i="1"/>
  <c r="AA208" i="1" s="1"/>
  <c r="AM208" i="1"/>
  <c r="Z207" i="1"/>
  <c r="AA207" i="1" s="1"/>
  <c r="AM207" i="1"/>
  <c r="Z206" i="1"/>
  <c r="AA206" i="1" s="1"/>
  <c r="AM206" i="1"/>
  <c r="Z205" i="1"/>
  <c r="AA205" i="1" s="1"/>
  <c r="AM205" i="1"/>
  <c r="T238" i="3"/>
  <c r="T540" i="3"/>
  <c r="Z204" i="1"/>
  <c r="AA204" i="1" s="1"/>
  <c r="AM204" i="1"/>
  <c r="T237" i="3"/>
  <c r="T560" i="3"/>
  <c r="Z203" i="1"/>
  <c r="AA203" i="1" s="1"/>
  <c r="AM203" i="1"/>
  <c r="Z202" i="1"/>
  <c r="AA202" i="1" s="1"/>
  <c r="AM202" i="1"/>
  <c r="K92" i="2"/>
  <c r="M92" i="2"/>
  <c r="Z201" i="1"/>
  <c r="AA201" i="1" s="1"/>
  <c r="AM201" i="1"/>
  <c r="K105" i="2"/>
  <c r="M105" i="2"/>
  <c r="Z200" i="1"/>
  <c r="AA200" i="1" s="1"/>
  <c r="N105" i="2" s="1"/>
  <c r="AM200" i="1"/>
  <c r="Z199" i="1"/>
  <c r="AA199" i="1" s="1"/>
  <c r="AM199" i="1"/>
  <c r="K104" i="2"/>
  <c r="M104" i="2"/>
  <c r="Z198" i="1"/>
  <c r="AA198" i="1" s="1"/>
  <c r="N104" i="2" s="1"/>
  <c r="AM198" i="1"/>
  <c r="Z197" i="1"/>
  <c r="AA197" i="1" s="1"/>
  <c r="AM197" i="1"/>
  <c r="Z196" i="1"/>
  <c r="AA196" i="1" s="1"/>
  <c r="AM196" i="1"/>
  <c r="Z195" i="1"/>
  <c r="AA195" i="1" s="1"/>
  <c r="AM195" i="1"/>
  <c r="Z194" i="1"/>
  <c r="AA194" i="1" s="1"/>
  <c r="AM194" i="1"/>
  <c r="AP193" i="1"/>
  <c r="Z193" i="1"/>
  <c r="AA193" i="1" s="1"/>
  <c r="AM193" i="1"/>
  <c r="Z192" i="1"/>
  <c r="AA192" i="1" s="1"/>
  <c r="AM192" i="1"/>
  <c r="T419" i="3"/>
  <c r="T527" i="3"/>
  <c r="T537" i="3"/>
  <c r="T442" i="3"/>
  <c r="T492" i="3"/>
  <c r="Z191" i="1"/>
  <c r="AA191" i="1" s="1"/>
  <c r="AM191" i="1"/>
  <c r="Z190" i="1"/>
  <c r="AA190" i="1" s="1"/>
  <c r="AM190" i="1"/>
  <c r="Z189" i="1"/>
  <c r="AA189" i="1" s="1"/>
  <c r="AM189" i="1"/>
  <c r="Z188" i="1"/>
  <c r="AA188" i="1" s="1"/>
  <c r="AM188" i="1"/>
  <c r="Z187" i="1"/>
  <c r="AA187" i="1" s="1"/>
  <c r="AM187" i="1"/>
  <c r="Z186" i="1"/>
  <c r="AA186" i="1" s="1"/>
  <c r="AM186" i="1"/>
  <c r="Z185" i="1"/>
  <c r="AA185" i="1" s="1"/>
  <c r="AM185" i="1"/>
  <c r="Z184" i="1"/>
  <c r="AA184" i="1" s="1"/>
  <c r="AM184" i="1"/>
  <c r="Z183" i="1"/>
  <c r="AA183" i="1" s="1"/>
  <c r="AM183" i="1"/>
  <c r="T209" i="3"/>
  <c r="T562" i="3"/>
  <c r="Z182" i="1"/>
  <c r="AA182" i="1" s="1"/>
  <c r="AM182" i="1"/>
  <c r="Z181" i="1"/>
  <c r="AA181" i="1" s="1"/>
  <c r="AM181" i="1"/>
  <c r="T391" i="3"/>
  <c r="T415" i="3"/>
  <c r="T445" i="3"/>
  <c r="Z180" i="1"/>
  <c r="AA180" i="1" s="1"/>
  <c r="AM180" i="1"/>
  <c r="Z179" i="1"/>
  <c r="AA179" i="1" s="1"/>
  <c r="AM179" i="1"/>
  <c r="Z178" i="1"/>
  <c r="AA178" i="1" s="1"/>
  <c r="AM178" i="1"/>
  <c r="Z177" i="1"/>
  <c r="AA177" i="1" s="1"/>
  <c r="AM177" i="1"/>
  <c r="Z176" i="1"/>
  <c r="AA176" i="1" s="1"/>
  <c r="AM176" i="1"/>
  <c r="Z175" i="1"/>
  <c r="AA175" i="1" s="1"/>
  <c r="AM175" i="1"/>
  <c r="Z174" i="1"/>
  <c r="AA174" i="1" s="1"/>
  <c r="AM174" i="1"/>
  <c r="T312" i="3"/>
  <c r="T344" i="3"/>
  <c r="Z173" i="1"/>
  <c r="AA173" i="1" s="1"/>
  <c r="AM173" i="1"/>
  <c r="Z172" i="1"/>
  <c r="AA172" i="1" s="1"/>
  <c r="AM172" i="1"/>
  <c r="Z171" i="1"/>
  <c r="AA171" i="1" s="1"/>
  <c r="AM171" i="1"/>
  <c r="Z170" i="1"/>
  <c r="AA170" i="1" s="1"/>
  <c r="AM170" i="1"/>
  <c r="Z169" i="1"/>
  <c r="AA169" i="1" s="1"/>
  <c r="AM169" i="1"/>
  <c r="Z168" i="1"/>
  <c r="AA168" i="1" s="1"/>
  <c r="AM168" i="1"/>
  <c r="Z167" i="1"/>
  <c r="AA167" i="1" s="1"/>
  <c r="AM167" i="1"/>
  <c r="Z166" i="1"/>
  <c r="AA166" i="1" s="1"/>
  <c r="AM166" i="1"/>
  <c r="Z165" i="1"/>
  <c r="AA165" i="1" s="1"/>
  <c r="AM165" i="1"/>
  <c r="Z164" i="1"/>
  <c r="AA164" i="1" s="1"/>
  <c r="AM164" i="1"/>
  <c r="Z163" i="1"/>
  <c r="AA163" i="1" s="1"/>
  <c r="AM163" i="1"/>
  <c r="T327" i="3"/>
  <c r="T317" i="3"/>
  <c r="Z162" i="1"/>
  <c r="AA162" i="1" s="1"/>
  <c r="AM162" i="1"/>
  <c r="Z161" i="1"/>
  <c r="AA161" i="1" s="1"/>
  <c r="AM161" i="1"/>
  <c r="K93" i="2"/>
  <c r="M93" i="2"/>
  <c r="Z160" i="1"/>
  <c r="AA160" i="1" s="1"/>
  <c r="AM160" i="1"/>
  <c r="Z159" i="1"/>
  <c r="AA159" i="1" s="1"/>
  <c r="AM159" i="1"/>
  <c r="Z158" i="1"/>
  <c r="AA158" i="1" s="1"/>
  <c r="AM158" i="1"/>
  <c r="Z157" i="1"/>
  <c r="AA157" i="1" s="1"/>
  <c r="AM157" i="1"/>
  <c r="T177" i="3"/>
  <c r="T580" i="3"/>
  <c r="Z156" i="1"/>
  <c r="AA156" i="1" s="1"/>
  <c r="AM156" i="1"/>
  <c r="Z155" i="1"/>
  <c r="AA155" i="1" s="1"/>
  <c r="AM155" i="1"/>
  <c r="T174" i="3"/>
  <c r="T559" i="3"/>
  <c r="Z154" i="1"/>
  <c r="AA154" i="1" s="1"/>
  <c r="AM154" i="1"/>
  <c r="T288" i="3"/>
  <c r="T307" i="3"/>
  <c r="Z153" i="1"/>
  <c r="AA153" i="1" s="1"/>
  <c r="AM153" i="1"/>
  <c r="T253" i="3"/>
  <c r="T345" i="3"/>
  <c r="Z152" i="1"/>
  <c r="AA152" i="1" s="1"/>
  <c r="AM152" i="1"/>
  <c r="Z151" i="1"/>
  <c r="AA151" i="1" s="1"/>
  <c r="AM151" i="1"/>
  <c r="T172" i="3"/>
  <c r="T591" i="3"/>
  <c r="Z150" i="1"/>
  <c r="AA150" i="1" s="1"/>
  <c r="AM150" i="1"/>
  <c r="Z149" i="1"/>
  <c r="AA149" i="1" s="1"/>
  <c r="AM149" i="1"/>
  <c r="Z148" i="1"/>
  <c r="AA148" i="1" s="1"/>
  <c r="AM148" i="1"/>
  <c r="Z147" i="1"/>
  <c r="AA147" i="1" s="1"/>
  <c r="AM147" i="1"/>
  <c r="AP146" i="1"/>
  <c r="Z146" i="1"/>
  <c r="AA146" i="1" s="1"/>
  <c r="AM146" i="1"/>
  <c r="Z145" i="1"/>
  <c r="AA145" i="1" s="1"/>
  <c r="AM145" i="1"/>
  <c r="Z144" i="1"/>
  <c r="AA144" i="1" s="1"/>
  <c r="AM144" i="1"/>
  <c r="T289" i="3"/>
  <c r="T290" i="3"/>
  <c r="Z143" i="1"/>
  <c r="AA143" i="1" s="1"/>
  <c r="AM143" i="1"/>
  <c r="Z142" i="1"/>
  <c r="AA142" i="1" s="1"/>
  <c r="AM142" i="1"/>
  <c r="Z141" i="1"/>
  <c r="AA141" i="1" s="1"/>
  <c r="AM141" i="1"/>
  <c r="Z140" i="1"/>
  <c r="AA140" i="1" s="1"/>
  <c r="AM140" i="1"/>
  <c r="T158" i="3"/>
  <c r="T561" i="3"/>
  <c r="Z139" i="1"/>
  <c r="AA139" i="1" s="1"/>
  <c r="N101" i="2" s="1"/>
  <c r="AM139" i="1"/>
  <c r="Z138" i="1"/>
  <c r="AA138" i="1" s="1"/>
  <c r="AM138" i="1"/>
  <c r="Z137" i="1"/>
  <c r="AA137" i="1" s="1"/>
  <c r="AM137" i="1"/>
  <c r="Z136" i="1"/>
  <c r="AA136" i="1" s="1"/>
  <c r="AM136" i="1"/>
  <c r="Z135" i="1"/>
  <c r="AA135" i="1" s="1"/>
  <c r="AM135" i="1"/>
  <c r="Z134" i="1"/>
  <c r="AA134" i="1" s="1"/>
  <c r="AM134" i="1"/>
  <c r="Z133" i="1"/>
  <c r="AA133" i="1" s="1"/>
  <c r="AM133" i="1"/>
  <c r="T151" i="3"/>
  <c r="T588" i="3"/>
  <c r="Z132" i="1"/>
  <c r="AA132" i="1" s="1"/>
  <c r="AM132" i="1"/>
  <c r="Z131" i="1"/>
  <c r="AA131" i="1" s="1"/>
  <c r="AM131" i="1"/>
  <c r="Z130" i="1"/>
  <c r="AA130" i="1" s="1"/>
  <c r="AM130" i="1"/>
  <c r="T146" i="3"/>
  <c r="T590" i="3"/>
  <c r="Z129" i="1"/>
  <c r="AA129" i="1" s="1"/>
  <c r="AM129" i="1"/>
  <c r="Z128" i="1"/>
  <c r="AA128" i="1" s="1"/>
  <c r="AM128" i="1"/>
  <c r="Z127" i="1"/>
  <c r="AA127" i="1" s="1"/>
  <c r="AM127" i="1"/>
  <c r="Z126" i="1"/>
  <c r="AA126" i="1" s="1"/>
  <c r="AM126" i="1"/>
  <c r="T141" i="3"/>
  <c r="T555" i="3"/>
  <c r="Z125" i="1"/>
  <c r="AA125" i="1" s="1"/>
  <c r="AM125" i="1"/>
  <c r="Z124" i="1"/>
  <c r="AA124" i="1" s="1"/>
  <c r="AM124" i="1"/>
  <c r="Z123" i="1"/>
  <c r="AA123" i="1" s="1"/>
  <c r="AM123" i="1"/>
  <c r="T138" i="3"/>
  <c r="T581" i="3"/>
  <c r="Z122" i="1"/>
  <c r="AA122" i="1" s="1"/>
  <c r="AM122" i="1"/>
  <c r="Z121" i="1"/>
  <c r="AA121" i="1" s="1"/>
  <c r="AM121" i="1"/>
  <c r="Z120" i="1"/>
  <c r="AA120" i="1" s="1"/>
  <c r="AM120" i="1"/>
  <c r="Z119" i="1"/>
  <c r="AA119" i="1" s="1"/>
  <c r="AM119" i="1"/>
  <c r="T232" i="3"/>
  <c r="T286" i="3"/>
  <c r="Z118" i="1"/>
  <c r="AA118" i="1" s="1"/>
  <c r="AM118" i="1"/>
  <c r="Z117" i="1"/>
  <c r="AA117" i="1" s="1"/>
  <c r="AM117" i="1"/>
  <c r="T135" i="3"/>
  <c r="T536" i="3"/>
  <c r="Z116" i="1"/>
  <c r="AA116" i="1" s="1"/>
  <c r="AM116" i="1"/>
  <c r="Z115" i="1"/>
  <c r="AA115" i="1" s="1"/>
  <c r="AM115" i="1"/>
  <c r="Z114" i="1"/>
  <c r="AA114" i="1" s="1"/>
  <c r="AM114" i="1"/>
  <c r="T126" i="3"/>
  <c r="T589" i="3"/>
  <c r="Z113" i="1"/>
  <c r="AA113" i="1" s="1"/>
  <c r="AM113" i="1"/>
  <c r="T236" i="3"/>
  <c r="T260" i="3"/>
  <c r="Z112" i="1"/>
  <c r="AA112" i="1" s="1"/>
  <c r="AM112" i="1"/>
  <c r="Z111" i="1"/>
  <c r="AA111" i="1" s="1"/>
  <c r="AM111" i="1"/>
  <c r="Z110" i="1"/>
  <c r="AA110" i="1" s="1"/>
  <c r="AM110" i="1"/>
  <c r="Z109" i="1"/>
  <c r="AA109" i="1" s="1"/>
  <c r="AM109" i="1"/>
  <c r="Z108" i="1"/>
  <c r="AA108" i="1" s="1"/>
  <c r="AM108" i="1"/>
  <c r="Z107" i="1"/>
  <c r="AA107" i="1" s="1"/>
  <c r="AM107" i="1"/>
  <c r="Z106" i="1"/>
  <c r="AA106" i="1" s="1"/>
  <c r="AM106" i="1"/>
  <c r="Z105" i="1"/>
  <c r="AA105" i="1" s="1"/>
  <c r="AM105" i="1"/>
  <c r="T229" i="3"/>
  <c r="T246" i="3"/>
  <c r="Z104" i="1"/>
  <c r="AA104" i="1" s="1"/>
  <c r="AM104" i="1"/>
  <c r="K99" i="2"/>
  <c r="M99" i="2"/>
  <c r="Z103" i="1"/>
  <c r="AA103" i="1" s="1"/>
  <c r="AM103" i="1"/>
  <c r="Z102" i="1"/>
  <c r="AA102" i="1" s="1"/>
  <c r="AM102" i="1"/>
  <c r="T109" i="3"/>
  <c r="T542" i="3"/>
  <c r="Z101" i="1"/>
  <c r="AA101" i="1" s="1"/>
  <c r="AM101" i="1"/>
  <c r="K97" i="2"/>
  <c r="M97" i="2"/>
  <c r="Z100" i="1"/>
  <c r="AA100" i="1" s="1"/>
  <c r="N97" i="2" s="1"/>
  <c r="AM100" i="1"/>
  <c r="Z99" i="1"/>
  <c r="AA99" i="1" s="1"/>
  <c r="AM99" i="1"/>
  <c r="Z98" i="1"/>
  <c r="AA98" i="1" s="1"/>
  <c r="AM98" i="1"/>
  <c r="Z97" i="1"/>
  <c r="AA97" i="1" s="1"/>
  <c r="AM97" i="1"/>
  <c r="Z96" i="1"/>
  <c r="AA96" i="1" s="1"/>
  <c r="AM96" i="1"/>
  <c r="T103" i="3"/>
  <c r="T578" i="3"/>
  <c r="T579" i="3"/>
  <c r="Z95" i="1"/>
  <c r="AA95" i="1" s="1"/>
  <c r="AM95" i="1"/>
  <c r="Z94" i="1"/>
  <c r="AA94" i="1" s="1"/>
  <c r="AM94" i="1"/>
  <c r="T128" i="3"/>
  <c r="T392" i="3"/>
  <c r="Z93" i="1"/>
  <c r="AA93" i="1" s="1"/>
  <c r="AM93" i="1"/>
  <c r="Z92" i="1"/>
  <c r="AA92" i="1" s="1"/>
  <c r="AM92" i="1"/>
  <c r="Z91" i="1"/>
  <c r="AA91" i="1" s="1"/>
  <c r="AM91" i="1"/>
  <c r="T178" i="3"/>
  <c r="T244" i="3"/>
  <c r="Z90" i="1"/>
  <c r="AA90" i="1" s="1"/>
  <c r="AM90" i="1"/>
  <c r="Z89" i="1"/>
  <c r="AA89" i="1" s="1"/>
  <c r="AM89" i="1"/>
  <c r="T185" i="3"/>
  <c r="T226" i="3"/>
  <c r="T538" i="3"/>
  <c r="Z88" i="1"/>
  <c r="AA88" i="1" s="1"/>
  <c r="AM88" i="1"/>
  <c r="T94" i="3"/>
  <c r="T583" i="3"/>
  <c r="T582" i="3"/>
  <c r="Z87" i="1"/>
  <c r="AA87" i="1" s="1"/>
  <c r="AM87" i="1"/>
  <c r="T200" i="3"/>
  <c r="T201" i="3"/>
  <c r="Z86" i="1"/>
  <c r="AA86" i="1" s="1"/>
  <c r="N93" i="2" s="1"/>
  <c r="AM86" i="1"/>
  <c r="Z85" i="1"/>
  <c r="AA85" i="1" s="1"/>
  <c r="AM85" i="1"/>
  <c r="Z84" i="1"/>
  <c r="AA84" i="1" s="1"/>
  <c r="AM84" i="1"/>
  <c r="T184" i="3"/>
  <c r="T207" i="3"/>
  <c r="Z83" i="1"/>
  <c r="AA83" i="1" s="1"/>
  <c r="AM83" i="1"/>
  <c r="T129" i="3"/>
  <c r="T300" i="3"/>
  <c r="Z82" i="1"/>
  <c r="AA82" i="1" s="1"/>
  <c r="AM82" i="1"/>
  <c r="Z81" i="1"/>
  <c r="AA81" i="1" s="1"/>
  <c r="AM81" i="1"/>
  <c r="Z80" i="1"/>
  <c r="AA80" i="1" s="1"/>
  <c r="AM80" i="1"/>
  <c r="Z79" i="1"/>
  <c r="AA79" i="1" s="1"/>
  <c r="AM79" i="1"/>
  <c r="T101" i="3"/>
  <c r="T403" i="3"/>
  <c r="Z78" i="1"/>
  <c r="AA78" i="1" s="1"/>
  <c r="AM78" i="1"/>
  <c r="Z77" i="1"/>
  <c r="AA77" i="1" s="1"/>
  <c r="AM77" i="1"/>
  <c r="Z76" i="1"/>
  <c r="AA76" i="1" s="1"/>
  <c r="AM76" i="1"/>
  <c r="T160" i="3"/>
  <c r="T206" i="3"/>
  <c r="Z75" i="1"/>
  <c r="AA75" i="1" s="1"/>
  <c r="AM75" i="1"/>
  <c r="T84" i="3"/>
  <c r="T551" i="3"/>
  <c r="Z74" i="1"/>
  <c r="AA74" i="1" s="1"/>
  <c r="AM74" i="1"/>
  <c r="Z73" i="1"/>
  <c r="AA73" i="1" s="1"/>
  <c r="AM73" i="1"/>
  <c r="Z72" i="1"/>
  <c r="AA72" i="1" s="1"/>
  <c r="AM72" i="1"/>
  <c r="Z71" i="1"/>
  <c r="AA71" i="1" s="1"/>
  <c r="AM71" i="1"/>
  <c r="Z70" i="1"/>
  <c r="AA70" i="1" s="1"/>
  <c r="AM70" i="1"/>
  <c r="Z69" i="1"/>
  <c r="AA69" i="1" s="1"/>
  <c r="AM69" i="1"/>
  <c r="T77" i="3"/>
  <c r="T550" i="3"/>
  <c r="Z68" i="1"/>
  <c r="AA68" i="1" s="1"/>
  <c r="AM68" i="1"/>
  <c r="Z67" i="1"/>
  <c r="AA67" i="1" s="1"/>
  <c r="AM67" i="1"/>
  <c r="T147" i="3"/>
  <c r="T181" i="3"/>
  <c r="Z66" i="1"/>
  <c r="AA66" i="1" s="1"/>
  <c r="AM66" i="1"/>
  <c r="T161" i="3"/>
  <c r="T162" i="3"/>
  <c r="Z65" i="1"/>
  <c r="AA65" i="1" s="1"/>
  <c r="N49" i="2" s="1"/>
  <c r="AM65" i="1"/>
  <c r="T149" i="3"/>
  <c r="T169" i="3"/>
  <c r="Z64" i="1"/>
  <c r="AA64" i="1" s="1"/>
  <c r="AM64" i="1"/>
  <c r="T125" i="3"/>
  <c r="T175" i="3"/>
  <c r="Z63" i="1"/>
  <c r="AA63" i="1" s="1"/>
  <c r="AM63" i="1"/>
  <c r="Z62" i="1"/>
  <c r="AA62" i="1" s="1"/>
  <c r="AM62" i="1"/>
  <c r="T132" i="3"/>
  <c r="T145" i="3"/>
  <c r="Z61" i="1"/>
  <c r="AA61" i="1" s="1"/>
  <c r="AM61" i="1"/>
  <c r="T262" i="3"/>
  <c r="T270" i="3"/>
  <c r="T243" i="3"/>
  <c r="T249" i="3"/>
  <c r="Z60" i="1"/>
  <c r="AA60" i="1" s="1"/>
  <c r="AM60" i="1"/>
  <c r="T66" i="3"/>
  <c r="T592" i="3"/>
  <c r="Z59" i="1"/>
  <c r="AA59" i="1" s="1"/>
  <c r="AM59" i="1"/>
  <c r="T123" i="3"/>
  <c r="T133" i="3"/>
  <c r="Z58" i="1"/>
  <c r="AA58" i="1" s="1"/>
  <c r="AM58" i="1"/>
  <c r="AM57" i="1"/>
  <c r="Z57" i="1"/>
  <c r="AA57" i="1" s="1"/>
  <c r="T65" i="3"/>
  <c r="T535" i="3"/>
  <c r="Z56" i="1"/>
  <c r="AA56" i="1" s="1"/>
  <c r="AM56" i="1"/>
  <c r="T81" i="3"/>
  <c r="T364" i="3"/>
  <c r="T452" i="3"/>
  <c r="AM55" i="1"/>
  <c r="Z55" i="1"/>
  <c r="AA55" i="1" s="1"/>
  <c r="T62" i="3"/>
  <c r="T552" i="3"/>
  <c r="T553" i="3"/>
  <c r="Z54" i="1"/>
  <c r="AA54" i="1" s="1"/>
  <c r="AM54" i="1"/>
  <c r="Z53" i="1"/>
  <c r="AA53" i="1" s="1"/>
  <c r="AM53" i="1"/>
  <c r="Z52" i="1"/>
  <c r="AA52" i="1" s="1"/>
  <c r="AM52" i="1"/>
  <c r="Z51" i="1"/>
  <c r="AA51" i="1" s="1"/>
  <c r="AM51" i="1"/>
  <c r="Z50" i="1"/>
  <c r="AA50" i="1" s="1"/>
  <c r="AM50" i="1"/>
  <c r="Z49" i="1"/>
  <c r="AA49" i="1" s="1"/>
  <c r="AM49" i="1"/>
  <c r="Z48" i="1"/>
  <c r="AA48" i="1" s="1"/>
  <c r="AM48" i="1"/>
  <c r="K96" i="2"/>
  <c r="M96" i="2"/>
  <c r="T111" i="3"/>
  <c r="T112" i="3"/>
  <c r="T52" i="3"/>
  <c r="T539" i="3"/>
  <c r="T584" i="3"/>
  <c r="Z46" i="1"/>
  <c r="AA46" i="1" s="1"/>
  <c r="AM46" i="1"/>
  <c r="Z45" i="1"/>
  <c r="AA45" i="1" s="1"/>
  <c r="AM45" i="1"/>
  <c r="AM44" i="1"/>
  <c r="Z44" i="1"/>
  <c r="AA44" i="1" s="1"/>
  <c r="Z43" i="1"/>
  <c r="AA43" i="1" s="1"/>
  <c r="AM43" i="1"/>
  <c r="Z42" i="1"/>
  <c r="AA42" i="1" s="1"/>
  <c r="AM42" i="1"/>
  <c r="K94" i="2"/>
  <c r="M94" i="2"/>
  <c r="T96" i="3"/>
  <c r="T110" i="3"/>
  <c r="Z41" i="1"/>
  <c r="AA41" i="1" s="1"/>
  <c r="AM41" i="1"/>
  <c r="K86" i="2"/>
  <c r="M86" i="2"/>
  <c r="T45" i="3"/>
  <c r="T563" i="3"/>
  <c r="T564" i="3"/>
  <c r="T565" i="3"/>
  <c r="Z40" i="1"/>
  <c r="AA40" i="1" s="1"/>
  <c r="AM40" i="1"/>
  <c r="T199" i="3"/>
  <c r="T216" i="3"/>
  <c r="T217" i="3"/>
  <c r="T219" i="3"/>
  <c r="Z39" i="1"/>
  <c r="AA39" i="1" s="1"/>
  <c r="AM39" i="1"/>
  <c r="Z38" i="1"/>
  <c r="AA38" i="1" s="1"/>
  <c r="AM38" i="1"/>
  <c r="Z37" i="1"/>
  <c r="AA37" i="1" s="1"/>
  <c r="AM37" i="1"/>
  <c r="T85" i="3"/>
  <c r="T99" i="3"/>
  <c r="AM36" i="1"/>
  <c r="Z36" i="1"/>
  <c r="AA36" i="1" s="1"/>
  <c r="T74" i="3"/>
  <c r="T120" i="3"/>
  <c r="Z35" i="1"/>
  <c r="AA35" i="1" s="1"/>
  <c r="AM35" i="1"/>
  <c r="T37" i="3"/>
  <c r="T567" i="3"/>
  <c r="T568" i="3"/>
  <c r="Z34" i="1"/>
  <c r="AA34" i="1" s="1"/>
  <c r="AM34" i="1"/>
  <c r="Z33" i="1"/>
  <c r="AA33" i="1" s="1"/>
  <c r="AM33" i="1"/>
  <c r="Z32" i="1"/>
  <c r="AA32" i="1" s="1"/>
  <c r="AM32" i="1"/>
  <c r="Z31" i="1"/>
  <c r="AA31" i="1" s="1"/>
  <c r="AM31" i="1"/>
  <c r="AM30" i="1"/>
  <c r="Z30" i="1"/>
  <c r="AA30" i="1" s="1"/>
  <c r="K85" i="2"/>
  <c r="M85" i="2"/>
  <c r="T28" i="3"/>
  <c r="T554" i="3"/>
  <c r="Z29" i="1"/>
  <c r="AA29" i="1" s="1"/>
  <c r="AM29" i="1"/>
  <c r="T67" i="3"/>
  <c r="T100" i="3"/>
  <c r="Z28" i="1"/>
  <c r="AA28" i="1" s="1"/>
  <c r="AM28" i="1"/>
  <c r="Z27" i="1"/>
  <c r="AA27" i="1" s="1"/>
  <c r="AM27" i="1"/>
  <c r="K84" i="2"/>
  <c r="M84" i="2"/>
  <c r="AM26" i="1"/>
  <c r="Z26" i="1"/>
  <c r="AA26" i="1" s="1"/>
  <c r="T44" i="3"/>
  <c r="T75" i="3"/>
  <c r="Z25" i="1"/>
  <c r="AA25" i="1" s="1"/>
  <c r="AM25" i="1"/>
  <c r="T49" i="3"/>
  <c r="T73" i="3"/>
  <c r="Z24" i="1"/>
  <c r="AA24" i="1" s="1"/>
  <c r="AM24" i="1"/>
  <c r="Z23" i="1"/>
  <c r="AA23" i="1" s="1"/>
  <c r="AM23" i="1"/>
  <c r="AM22" i="1"/>
  <c r="Z22" i="1"/>
  <c r="AA22" i="1" s="1"/>
  <c r="Z21" i="1"/>
  <c r="AA21" i="1" s="1"/>
  <c r="AM21" i="1"/>
  <c r="Z20" i="1"/>
  <c r="AA20" i="1" s="1"/>
  <c r="AM20" i="1"/>
  <c r="T41" i="3"/>
  <c r="T47" i="3"/>
  <c r="T53" i="3"/>
  <c r="Z19" i="1"/>
  <c r="AA19" i="1" s="1"/>
  <c r="AM19" i="1"/>
  <c r="AM18" i="1"/>
  <c r="Z18" i="1"/>
  <c r="AA18" i="1" s="1"/>
  <c r="N80" i="2" s="1"/>
  <c r="O38" i="2"/>
  <c r="D71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7" i="2"/>
  <c r="O68" i="2"/>
  <c r="O69" i="2"/>
  <c r="O70" i="2"/>
  <c r="O76" i="2"/>
  <c r="O77" i="2"/>
  <c r="O78" i="2"/>
  <c r="O79" i="2"/>
  <c r="O81" i="2"/>
  <c r="O82" i="2"/>
  <c r="O101" i="2"/>
  <c r="O103" i="2"/>
  <c r="O106" i="2"/>
  <c r="S8" i="1"/>
  <c r="T8" i="1" s="1"/>
  <c r="S12" i="1"/>
  <c r="T12" i="1" s="1"/>
  <c r="S18" i="1"/>
  <c r="T18" i="1" s="1"/>
  <c r="S21" i="1"/>
  <c r="T21" i="1" s="1"/>
  <c r="S23" i="1"/>
  <c r="T23" i="1" s="1"/>
  <c r="S26" i="1"/>
  <c r="T26" i="1" s="1"/>
  <c r="S28" i="1"/>
  <c r="T28" i="1" s="1"/>
  <c r="S29" i="1"/>
  <c r="T29" i="1" s="1"/>
  <c r="S35" i="1"/>
  <c r="T35" i="1" s="1"/>
  <c r="S37" i="1"/>
  <c r="T37" i="1" s="1"/>
  <c r="S39" i="1"/>
  <c r="T39" i="1" s="1"/>
  <c r="S41" i="1"/>
  <c r="T41" i="1" s="1"/>
  <c r="S46" i="1"/>
  <c r="T46" i="1" s="1"/>
  <c r="S47" i="1"/>
  <c r="T47" i="1" s="1"/>
  <c r="S49" i="1"/>
  <c r="T49" i="1" s="1"/>
  <c r="S52" i="1"/>
  <c r="T52" i="1" s="1"/>
  <c r="S54" i="1"/>
  <c r="T54" i="1" s="1"/>
  <c r="S57" i="1"/>
  <c r="T57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474" i="1"/>
  <c r="T474" i="1" s="1"/>
  <c r="S288" i="1"/>
  <c r="T288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287" i="1"/>
  <c r="T287" i="1" s="1"/>
  <c r="S289" i="1"/>
  <c r="T289" i="1" s="1"/>
  <c r="S290" i="1"/>
  <c r="T290" i="1" s="1"/>
  <c r="S293" i="1"/>
  <c r="T293" i="1" s="1"/>
  <c r="S333" i="1"/>
  <c r="T333" i="1" s="1"/>
  <c r="S334" i="1"/>
  <c r="T334" i="1" s="1"/>
  <c r="S338" i="1"/>
  <c r="T338" i="1" s="1"/>
  <c r="S339" i="1"/>
  <c r="T339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291" i="1"/>
  <c r="T291" i="1" s="1"/>
  <c r="S292" i="1"/>
  <c r="T292" i="1" s="1"/>
  <c r="S335" i="1"/>
  <c r="T335" i="1" s="1"/>
  <c r="S336" i="1"/>
  <c r="T336" i="1" s="1"/>
  <c r="S337" i="1"/>
  <c r="T337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C6" i="2"/>
  <c r="O6" i="1"/>
  <c r="B31" i="2" s="1"/>
  <c r="S9" i="1"/>
  <c r="T9" i="1" s="1"/>
  <c r="S14" i="1"/>
  <c r="T14" i="1" s="1"/>
  <c r="S15" i="1"/>
  <c r="T15" i="1" s="1"/>
  <c r="S16" i="1"/>
  <c r="T16" i="1" s="1"/>
  <c r="S17" i="1"/>
  <c r="T17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" i="1"/>
  <c r="T10" i="1" s="1"/>
  <c r="S13" i="1"/>
  <c r="T13" i="1" s="1"/>
  <c r="S30" i="1"/>
  <c r="T30" i="1" s="1"/>
  <c r="S32" i="1"/>
  <c r="T32" i="1" s="1"/>
  <c r="S34" i="1"/>
  <c r="T34" i="1" s="1"/>
  <c r="S40" i="1"/>
  <c r="T40" i="1" s="1"/>
  <c r="S45" i="1"/>
  <c r="T45" i="1" s="1"/>
  <c r="S51" i="1"/>
  <c r="T51" i="1" s="1"/>
  <c r="S55" i="1"/>
  <c r="T55" i="1" s="1"/>
  <c r="S58" i="1"/>
  <c r="T58" i="1" s="1"/>
  <c r="S61" i="1"/>
  <c r="T61" i="1" s="1"/>
  <c r="S62" i="1"/>
  <c r="T62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9" i="1"/>
  <c r="T19" i="1" s="1"/>
  <c r="S24" i="1"/>
  <c r="T24" i="1" s="1"/>
  <c r="S33" i="1"/>
  <c r="T33" i="1" s="1"/>
  <c r="S36" i="1"/>
  <c r="T36" i="1" s="1"/>
  <c r="S38" i="1"/>
  <c r="T38" i="1" s="1"/>
  <c r="S42" i="1"/>
  <c r="T42" i="1" s="1"/>
  <c r="S48" i="1"/>
  <c r="T48" i="1" s="1"/>
  <c r="S50" i="1"/>
  <c r="T50" i="1" s="1"/>
  <c r="S59" i="1"/>
  <c r="T59" i="1" s="1"/>
  <c r="S60" i="1"/>
  <c r="T60" i="1" s="1"/>
  <c r="S63" i="1"/>
  <c r="T63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1" i="1"/>
  <c r="T11" i="1" s="1"/>
  <c r="S20" i="1"/>
  <c r="T20" i="1" s="1"/>
  <c r="S22" i="1"/>
  <c r="T22" i="1" s="1"/>
  <c r="S25" i="1"/>
  <c r="T25" i="1" s="1"/>
  <c r="S27" i="1"/>
  <c r="T27" i="1" s="1"/>
  <c r="S31" i="1"/>
  <c r="T31" i="1" s="1"/>
  <c r="S43" i="1"/>
  <c r="T43" i="1" s="1"/>
  <c r="S44" i="1"/>
  <c r="T44" i="1" s="1"/>
  <c r="S53" i="1"/>
  <c r="T53" i="1" s="1"/>
  <c r="S56" i="1"/>
  <c r="T56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Z17" i="1"/>
  <c r="AA17" i="1" s="1"/>
  <c r="AM17" i="1"/>
  <c r="Z16" i="1"/>
  <c r="AA16" i="1" s="1"/>
  <c r="AM16" i="1"/>
  <c r="Z15" i="1"/>
  <c r="AA15" i="1" s="1"/>
  <c r="AM15" i="1"/>
  <c r="Z14" i="1"/>
  <c r="AA14" i="1" s="1"/>
  <c r="AM14" i="1"/>
  <c r="T22" i="3"/>
  <c r="T42" i="3"/>
  <c r="T58" i="3"/>
  <c r="T60" i="3"/>
  <c r="T116" i="3"/>
  <c r="AM13" i="1"/>
  <c r="Z13" i="1"/>
  <c r="AA13" i="1" s="1"/>
  <c r="T14" i="3"/>
  <c r="T27" i="3"/>
  <c r="T43" i="3"/>
  <c r="T234" i="3"/>
  <c r="Z12" i="1"/>
  <c r="AA12" i="1" s="1"/>
  <c r="AM12" i="1"/>
  <c r="T21" i="3"/>
  <c r="T26" i="3"/>
  <c r="T34" i="3"/>
  <c r="T63" i="3"/>
  <c r="Z11" i="1"/>
  <c r="AA11" i="1" s="1"/>
  <c r="AM11" i="1"/>
  <c r="T15" i="3"/>
  <c r="T70" i="3"/>
  <c r="T71" i="3"/>
  <c r="T72" i="3"/>
  <c r="T92" i="3"/>
  <c r="T496" i="3"/>
  <c r="Z10" i="1"/>
  <c r="AA10" i="1" s="1"/>
  <c r="AM10" i="1"/>
  <c r="T19" i="3"/>
  <c r="T25" i="3"/>
  <c r="T35" i="3"/>
  <c r="T68" i="3"/>
  <c r="AM9" i="1"/>
  <c r="Z9" i="1"/>
  <c r="AA9" i="1" s="1"/>
  <c r="T17" i="3"/>
  <c r="T30" i="3"/>
  <c r="T33" i="3"/>
  <c r="T39" i="3"/>
  <c r="T477" i="3"/>
  <c r="AP8" i="1"/>
  <c r="C15" i="2"/>
  <c r="AO6" i="1"/>
  <c r="B15" i="2" s="1"/>
  <c r="C7" i="2"/>
  <c r="Z8" i="1"/>
  <c r="AM8" i="1"/>
  <c r="C12" i="2"/>
  <c r="C8" i="2"/>
  <c r="C14" i="2"/>
  <c r="C13" i="2"/>
  <c r="C9" i="2"/>
  <c r="I114" i="2"/>
  <c r="M114" i="2" s="1"/>
  <c r="I71" i="2"/>
  <c r="M71" i="2" s="1"/>
  <c r="AP456" i="1"/>
  <c r="AP439" i="1"/>
  <c r="AP401" i="1"/>
  <c r="AP392" i="1"/>
  <c r="AP334" i="1"/>
  <c r="AP474" i="1"/>
  <c r="AP473" i="1"/>
  <c r="AP472" i="1"/>
  <c r="AP471" i="1"/>
  <c r="AP465" i="1"/>
  <c r="AP462" i="1"/>
  <c r="AP455" i="1"/>
  <c r="AP430" i="1"/>
  <c r="AP396" i="1"/>
  <c r="AP390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22" i="1"/>
  <c r="AP393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33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7" i="1"/>
  <c r="AP329" i="1"/>
  <c r="AP328" i="1"/>
  <c r="AP327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2" i="1"/>
  <c r="O87" i="2"/>
  <c r="AP291" i="1"/>
  <c r="AP290" i="1"/>
  <c r="AP289" i="1"/>
  <c r="AP288" i="1"/>
  <c r="AP287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02" i="1"/>
  <c r="AP199" i="1"/>
  <c r="AP198" i="1"/>
  <c r="AP194" i="1"/>
  <c r="AP358" i="1"/>
  <c r="AP332" i="1"/>
  <c r="AP295" i="1"/>
  <c r="AP294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1" i="1"/>
  <c r="AP200" i="1"/>
  <c r="AP196" i="1"/>
  <c r="AP195" i="1"/>
  <c r="AP338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431" i="1"/>
  <c r="AP425" i="1"/>
  <c r="AP391" i="1"/>
  <c r="AP331" i="1"/>
  <c r="AP293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93" i="1"/>
  <c r="AP466" i="1"/>
  <c r="AP461" i="1"/>
  <c r="AP457" i="1"/>
  <c r="AP437" i="1"/>
  <c r="AP435" i="1"/>
  <c r="AP428" i="1"/>
  <c r="AP424" i="1"/>
  <c r="AP400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460" i="1"/>
  <c r="AP440" i="1"/>
  <c r="AP433" i="1"/>
  <c r="AP398" i="1"/>
  <c r="AP397" i="1"/>
  <c r="AP394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39" i="1"/>
  <c r="AP37" i="1"/>
  <c r="AP36" i="1"/>
  <c r="AP467" i="1"/>
  <c r="AP438" i="1"/>
  <c r="AP434" i="1"/>
  <c r="AP427" i="1"/>
  <c r="AP403" i="1"/>
  <c r="AP399" i="1"/>
  <c r="AP58" i="1"/>
  <c r="AP57" i="1"/>
  <c r="AP56" i="1"/>
  <c r="AP55" i="1"/>
  <c r="AP54" i="1"/>
  <c r="AP53" i="1"/>
  <c r="AP52" i="1"/>
  <c r="AP51" i="1"/>
  <c r="AP50" i="1"/>
  <c r="AP49" i="1"/>
  <c r="AP48" i="1"/>
  <c r="AP46" i="1"/>
  <c r="AP45" i="1"/>
  <c r="AP44" i="1"/>
  <c r="AP43" i="1"/>
  <c r="AP42" i="1"/>
  <c r="AP41" i="1"/>
  <c r="AP40" i="1"/>
  <c r="AP38" i="1"/>
  <c r="AP35" i="1"/>
  <c r="AP34" i="1"/>
  <c r="AP470" i="1"/>
  <c r="AP463" i="1"/>
  <c r="AP458" i="1"/>
  <c r="AP441" i="1"/>
  <c r="AP429" i="1"/>
  <c r="AP402" i="1"/>
  <c r="AP335" i="1"/>
  <c r="AP326" i="1"/>
  <c r="AP296" i="1"/>
  <c r="AP32" i="1"/>
  <c r="AP31" i="1"/>
  <c r="AP30" i="1"/>
  <c r="AP29" i="1"/>
  <c r="O85" i="2"/>
  <c r="AP28" i="1"/>
  <c r="AP27" i="1"/>
  <c r="AP26" i="1"/>
  <c r="O84" i="2"/>
  <c r="AP25" i="1"/>
  <c r="AP24" i="1"/>
  <c r="AP23" i="1"/>
  <c r="AP22" i="1"/>
  <c r="AP21" i="1"/>
  <c r="AP20" i="1"/>
  <c r="AP19" i="1"/>
  <c r="AP18" i="1"/>
  <c r="O80" i="2"/>
  <c r="AP17" i="1"/>
  <c r="AP16" i="1"/>
  <c r="AP15" i="1"/>
  <c r="AP14" i="1"/>
  <c r="AP13" i="1"/>
  <c r="AP12" i="1"/>
  <c r="AP11" i="1"/>
  <c r="AP10" i="1"/>
  <c r="AP9" i="1"/>
  <c r="V6" i="1"/>
  <c r="J6" i="1"/>
  <c r="I6" i="1"/>
  <c r="K6" i="1"/>
  <c r="H6" i="1"/>
  <c r="AP464" i="1"/>
  <c r="AP459" i="1"/>
  <c r="AP436" i="1"/>
  <c r="AP432" i="1"/>
  <c r="AP395" i="1"/>
  <c r="AP357" i="1"/>
  <c r="AP336" i="1"/>
  <c r="O83" i="2"/>
  <c r="D114" i="2"/>
  <c r="D14" i="2"/>
  <c r="D13" i="2"/>
  <c r="D12" i="2"/>
  <c r="D9" i="2"/>
  <c r="D8" i="2"/>
  <c r="D7" i="2"/>
  <c r="C10" i="2"/>
  <c r="AK34" i="1"/>
  <c r="AK8" i="1"/>
  <c r="AK6" i="1" s="1"/>
  <c r="C11" i="2"/>
  <c r="N60" i="2" l="1"/>
  <c r="N78" i="2"/>
  <c r="D11" i="2"/>
  <c r="E11" i="2"/>
  <c r="B20" i="2"/>
  <c r="AF6" i="1"/>
  <c r="B24" i="2"/>
  <c r="B19" i="2"/>
  <c r="D10" i="2"/>
  <c r="E10" i="2"/>
  <c r="B23" i="2"/>
  <c r="P6" i="1"/>
  <c r="F6" i="1"/>
  <c r="B30" i="2" s="1"/>
  <c r="N113" i="2"/>
  <c r="N70" i="2"/>
  <c r="N107" i="2"/>
  <c r="N61" i="2"/>
  <c r="N110" i="2"/>
  <c r="N67" i="2"/>
  <c r="N102" i="2"/>
  <c r="N63" i="2"/>
  <c r="N108" i="2"/>
  <c r="N62" i="2"/>
  <c r="N98" i="2"/>
  <c r="N58" i="2"/>
  <c r="N103" i="2"/>
  <c r="N54" i="2"/>
  <c r="N87" i="2"/>
  <c r="N48" i="2"/>
  <c r="N53" i="2"/>
  <c r="N90" i="2"/>
  <c r="N92" i="2"/>
  <c r="N52" i="2"/>
  <c r="N50" i="2"/>
  <c r="N88" i="2"/>
  <c r="N55" i="2"/>
  <c r="N99" i="2"/>
  <c r="N45" i="2"/>
  <c r="N89" i="2"/>
  <c r="N51" i="2"/>
  <c r="N83" i="2"/>
  <c r="N40" i="2"/>
  <c r="N82" i="2"/>
  <c r="N94" i="2"/>
  <c r="N47" i="2"/>
  <c r="N86" i="2"/>
  <c r="N41" i="2"/>
  <c r="N77" i="2"/>
  <c r="N43" i="2"/>
  <c r="N46" i="2"/>
  <c r="N79" i="2"/>
  <c r="N85" i="2"/>
  <c r="N42" i="2"/>
  <c r="B32" i="2"/>
  <c r="B33" i="2"/>
  <c r="F6" i="2"/>
  <c r="G6" i="2"/>
  <c r="F15" i="2"/>
  <c r="B25" i="2"/>
  <c r="G15" i="2"/>
  <c r="E15" i="2"/>
  <c r="D15" i="2"/>
  <c r="G7" i="2"/>
  <c r="F7" i="2"/>
  <c r="B26" i="2" s="1"/>
  <c r="AA8" i="1"/>
  <c r="Z6" i="1"/>
  <c r="F12" i="2"/>
  <c r="G12" i="2"/>
  <c r="F8" i="2"/>
  <c r="B27" i="2" s="1"/>
  <c r="G8" i="2"/>
  <c r="F14" i="2"/>
  <c r="G14" i="2"/>
  <c r="G13" i="2"/>
  <c r="F13" i="2"/>
  <c r="F9" i="2"/>
  <c r="G9" i="2"/>
  <c r="B21" i="2"/>
  <c r="G10" i="2"/>
  <c r="F10" i="2"/>
  <c r="F11" i="2"/>
  <c r="G11" i="2"/>
  <c r="R6" i="1"/>
  <c r="Q6" i="1" s="1"/>
  <c r="N95" i="2"/>
  <c r="N44" i="2"/>
  <c r="N81" i="2"/>
  <c r="N84" i="2"/>
  <c r="O71" i="2"/>
  <c r="O114" i="2"/>
  <c r="N76" i="2"/>
  <c r="N38" i="2"/>
  <c r="AP6" i="1"/>
  <c r="AM6" i="1"/>
  <c r="N75" i="2" l="1"/>
  <c r="N114" i="2" s="1"/>
  <c r="N39" i="2"/>
  <c r="N71" i="2" s="1"/>
  <c r="A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Media ponderada: peso neto total ÷ CBM total.</t>
        </r>
      </text>
    </comment>
    <comment ref="AT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Media simple de días entre la 1ª recepción y la fecha de implantación.</t>
        </r>
      </text>
    </comment>
    <comment ref="D1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 encontrado en Odoo con este código. Código mal escrito en el PL: existen 2621JA13 y 2622JA13.</t>
        </r>
      </text>
    </comment>
    <comment ref="D19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2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6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6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1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Valores fijos sacados de Odoo el 27/10/2026 (no se recalculan).</t>
        </r>
      </text>
    </comment>
  </commentList>
</comments>
</file>

<file path=xl/sharedStrings.xml><?xml version="1.0" encoding="utf-8"?>
<sst xmlns="http://schemas.openxmlformats.org/spreadsheetml/2006/main" count="8483" uniqueCount="1148">
  <si>
    <t>KOROSHI · MASTER OI 26/27 · por modelo</t>
  </si>
  <si>
    <t>Una fila por modelo del packing list (sin color). Datos PL desde la hoja «Detalle por artículo»; datos Odoo en verde. Fuente Odoo: nath.tuctuc.com (KOROSHI, empresa 8), extraído el 27/10/2026. Ordenado por CBM total de mayor a menor.</t>
  </si>
  <si>
    <t>Implantación = lo que sale a cada tienda (pedidos S-666…) en los 5 días siguientes a su primer envío del modelo, tienda a tienda (hojas «Implantación / Reposición por tienda»); el resto = reposición. % sobre lo comprado. W- = web. Peso neto = bruto − cartones × 1,2 kg.</t>
  </si>
  <si>
    <t>Aire expedición: densidad &lt; 120 kg/m³ → 20 %; &gt; 200 kg/m³ → 10 %; resto 15 %. Palet = 1,54 m³ (redondeo arriba). TEU = 28 m³. Ubicación = medio palet (0,77 m³); columna = 0,385 m³. ABC: A hasta el 50 % del CBM, B hasta el 84 %, C el resto.</t>
  </si>
  <si>
    <t>Fila 6 = totales (sumas hasta el último registro; medias ponderadas). Gris = modelo no encontrado en Odoo.</t>
  </si>
  <si>
    <t>TOTAL</t>
  </si>
  <si>
    <t>Género</t>
  </si>
  <si>
    <t>Familia</t>
  </si>
  <si>
    <t>Subfamilia</t>
  </si>
  <si>
    <t>Modelo</t>
  </si>
  <si>
    <t>Nº packing
lists</t>
  </si>
  <si>
    <t>Densidad
(kg/m³)</t>
  </si>
  <si>
    <t>CBM total
(m³)</t>
  </si>
  <si>
    <t>Palets
necesarios</t>
  </si>
  <si>
    <t>Ubicaciones
necesarias</t>
  </si>
  <si>
    <t>Columnas
necesarias</t>
  </si>
  <si>
    <t>TEUs
compra</t>
  </si>
  <si>
    <t>Peso neto
(kg)</t>
  </si>
  <si>
    <t>Uds
compradas (PL)</t>
  </si>
  <si>
    <t>Cartones</t>
  </si>
  <si>
    <t>Litros / ud</t>
  </si>
  <si>
    <t>Gramos / ud
(neto)</t>
  </si>
  <si>
    <t>% aire
expedición</t>
  </si>
  <si>
    <t>CBM
expedición (m³)</t>
  </si>
  <si>
    <t>% CBM
acumulado</t>
  </si>
  <si>
    <t>ABC
volumen</t>
  </si>
  <si>
    <t>Recibido
(uds)</t>
  </si>
  <si>
    <t>Recibido −
comprado</t>
  </si>
  <si>
    <t>1ª
recepción</t>
  </si>
  <si>
    <t>Última
recepción</t>
  </si>
  <si>
    <t>Pendiente
recibir (uds)</t>
  </si>
  <si>
    <t>Pendiente
recibir (m³)</t>
  </si>
  <si>
    <t>TEUs
pendientes</t>
  </si>
  <si>
    <t>Salidas
totales (uds)</t>
  </si>
  <si>
    <t>Implantación
(uds)</t>
  </si>
  <si>
    <t>Reposición
(uds)</t>
  </si>
  <si>
    <t>Tiendas con
implantación</t>
  </si>
  <si>
    <t>% tiendas
implantadas</t>
  </si>
  <si>
    <t>Web
(uds)</t>
  </si>
  <si>
    <t>Otros
(uds)</t>
  </si>
  <si>
    <t>% implantación
(s/ comprado)</t>
  </si>
  <si>
    <t>% reposición
(s/ comprado)</t>
  </si>
  <si>
    <t>Implantación
(m³)</t>
  </si>
  <si>
    <t>Stock
actual (uds)</t>
  </si>
  <si>
    <t>Stock
actual (m³)</t>
  </si>
  <si>
    <t>% stock
(s/ recibido)</t>
  </si>
  <si>
    <t>Pendiente servir
(comprado − salidas)</t>
  </si>
  <si>
    <t>Pendiente servir
(m³)</t>
  </si>
  <si>
    <t>Eficacia
(impl. + repos. / comprado)</t>
  </si>
  <si>
    <t>1er pedido
tienda</t>
  </si>
  <si>
    <t>Fecha
implantación</t>
  </si>
  <si>
    <t>Días recepción
→ implantación</t>
  </si>
  <si>
    <t>Ranking
compra</t>
  </si>
  <si>
    <t>Ranking
salidas</t>
  </si>
  <si>
    <t>Dif. ranking
(+ vende mejor)</t>
  </si>
  <si>
    <t>MUJER</t>
  </si>
  <si>
    <t>CHAQUETA MUJER</t>
  </si>
  <si>
    <t>PLUMIFERO</t>
  </si>
  <si>
    <t>2622JA49</t>
  </si>
  <si>
    <t>2622JA07</t>
  </si>
  <si>
    <t>2622JA77</t>
  </si>
  <si>
    <t>2622JA50</t>
  </si>
  <si>
    <t>2622JA51</t>
  </si>
  <si>
    <t>HOMBRE</t>
  </si>
  <si>
    <t>CHAQUETA HOMBRE</t>
  </si>
  <si>
    <t>2621JA59</t>
  </si>
  <si>
    <t>CAZADORA</t>
  </si>
  <si>
    <t>2621JA16</t>
  </si>
  <si>
    <t>2621JA61</t>
  </si>
  <si>
    <t>2621JA49</t>
  </si>
  <si>
    <t>2621JA57</t>
  </si>
  <si>
    <t>PARKA</t>
  </si>
  <si>
    <t>2621JA18</t>
  </si>
  <si>
    <t>2621JA54</t>
  </si>
  <si>
    <t>2621JA56</t>
  </si>
  <si>
    <t>2621JA00</t>
  </si>
  <si>
    <t>2621JA22</t>
  </si>
  <si>
    <t>2622JA72</t>
  </si>
  <si>
    <t>2622JA56</t>
  </si>
  <si>
    <t>2622JA76</t>
  </si>
  <si>
    <t>ABRIGO</t>
  </si>
  <si>
    <t>2621JA62</t>
  </si>
  <si>
    <t>2621JA44</t>
  </si>
  <si>
    <t>2622JA12</t>
  </si>
  <si>
    <t>SUDADERA HOMBRE</t>
  </si>
  <si>
    <t>HIGH NECK</t>
  </si>
  <si>
    <t>2621SU17</t>
  </si>
  <si>
    <t>SUDADERA</t>
  </si>
  <si>
    <t>2621JA95</t>
  </si>
  <si>
    <t>2621JA63</t>
  </si>
  <si>
    <t>2621JA23</t>
  </si>
  <si>
    <t>2622JA60</t>
  </si>
  <si>
    <t>2622JA16</t>
  </si>
  <si>
    <t>SUDADERA MUJER</t>
  </si>
  <si>
    <t>HOODIE</t>
  </si>
  <si>
    <t>2622SU02</t>
  </si>
  <si>
    <t>2622JA48</t>
  </si>
  <si>
    <t>2622JA04</t>
  </si>
  <si>
    <t>2621JA07</t>
  </si>
  <si>
    <t>TRICOT MUJER</t>
  </si>
  <si>
    <t>JERSEY</t>
  </si>
  <si>
    <t>2622TR00</t>
  </si>
  <si>
    <t>PANTALON LARGO HOMBRE</t>
  </si>
  <si>
    <t>JOGGER</t>
  </si>
  <si>
    <t>2621PT87</t>
  </si>
  <si>
    <t>CALZADO HOMBRE</t>
  </si>
  <si>
    <t>BOTÍN</t>
  </si>
  <si>
    <t>2621XC04</t>
  </si>
  <si>
    <t>2621JA84</t>
  </si>
  <si>
    <t>2621JA65</t>
  </si>
  <si>
    <t>TRICOT HOMBRE</t>
  </si>
  <si>
    <t>JERSEY HIGH NECK</t>
  </si>
  <si>
    <t>2621TR17</t>
  </si>
  <si>
    <t>2621TR24</t>
  </si>
  <si>
    <t>2621JA67</t>
  </si>
  <si>
    <t>BOTA</t>
  </si>
  <si>
    <t>2621XC05</t>
  </si>
  <si>
    <t>2621JA40</t>
  </si>
  <si>
    <t>2711JA06</t>
  </si>
  <si>
    <t>2711JA09</t>
  </si>
  <si>
    <t>GIRL</t>
  </si>
  <si>
    <t>CHAQUETA GIRL</t>
  </si>
  <si>
    <t>PLANA</t>
  </si>
  <si>
    <t>2625JA03</t>
  </si>
  <si>
    <t>2621JA51</t>
  </si>
  <si>
    <t>2621JA64</t>
  </si>
  <si>
    <t>2621SU18</t>
  </si>
  <si>
    <t>2621JA41</t>
  </si>
  <si>
    <t>2621TR18</t>
  </si>
  <si>
    <t>2621JA05</t>
  </si>
  <si>
    <t>2621JA55</t>
  </si>
  <si>
    <t>2622JA59</t>
  </si>
  <si>
    <t>JEANS</t>
  </si>
  <si>
    <t>2711PT01</t>
  </si>
  <si>
    <t>2621JA53</t>
  </si>
  <si>
    <t>2621TR10</t>
  </si>
  <si>
    <t>2621JA17</t>
  </si>
  <si>
    <t>2621JA15</t>
  </si>
  <si>
    <t>BOY</t>
  </si>
  <si>
    <t>CHAQUETA BOY</t>
  </si>
  <si>
    <t>2624JA04</t>
  </si>
  <si>
    <t>2622JA10</t>
  </si>
  <si>
    <t>2622JA54</t>
  </si>
  <si>
    <t>2621SU06</t>
  </si>
  <si>
    <t>2621JA04</t>
  </si>
  <si>
    <t>2622JA78</t>
  </si>
  <si>
    <t>2622SU03</t>
  </si>
  <si>
    <t>2622JA63</t>
  </si>
  <si>
    <t>2621JA13</t>
  </si>
  <si>
    <t>2621SU13</t>
  </si>
  <si>
    <t>2622TR74</t>
  </si>
  <si>
    <t>2621JA66</t>
  </si>
  <si>
    <t>2621JA10</t>
  </si>
  <si>
    <t>2621TR30</t>
  </si>
  <si>
    <t>2621JA27</t>
  </si>
  <si>
    <t>2621SU04</t>
  </si>
  <si>
    <t>2622JA30</t>
  </si>
  <si>
    <t>2621JA45</t>
  </si>
  <si>
    <t>2624JA07</t>
  </si>
  <si>
    <t>2621JA60</t>
  </si>
  <si>
    <t>2622JA90</t>
  </si>
  <si>
    <t>CHALECO</t>
  </si>
  <si>
    <t>2621JA68</t>
  </si>
  <si>
    <t>2621TR73</t>
  </si>
  <si>
    <t>2621JA42</t>
  </si>
  <si>
    <t>2621JA96</t>
  </si>
  <si>
    <t>2621JA71</t>
  </si>
  <si>
    <t>2621JA14</t>
  </si>
  <si>
    <t>2621TR05</t>
  </si>
  <si>
    <t>2621TR15</t>
  </si>
  <si>
    <t>2621JA19</t>
  </si>
  <si>
    <t>CAMISA MANGA LARGA HOMBRE</t>
  </si>
  <si>
    <t>SOBRECAMISA</t>
  </si>
  <si>
    <t>2621CL56</t>
  </si>
  <si>
    <t>2622JA18</t>
  </si>
  <si>
    <t>2621TR46</t>
  </si>
  <si>
    <t>2621JA09</t>
  </si>
  <si>
    <t>2622JA89</t>
  </si>
  <si>
    <t>RUNNER</t>
  </si>
  <si>
    <t>2621XC07</t>
  </si>
  <si>
    <t>2621TR48</t>
  </si>
  <si>
    <t>2622JA75</t>
  </si>
  <si>
    <t>BOLSOS MUJER</t>
  </si>
  <si>
    <t>GRANDE</t>
  </si>
  <si>
    <t>2622ZB04</t>
  </si>
  <si>
    <t>2621PT84</t>
  </si>
  <si>
    <t>2621XC02</t>
  </si>
  <si>
    <t>2621JA06</t>
  </si>
  <si>
    <t>2711JA08</t>
  </si>
  <si>
    <t>2622SU07</t>
  </si>
  <si>
    <t>2622JA26</t>
  </si>
  <si>
    <t>2622JA61</t>
  </si>
  <si>
    <t>262JA13</t>
  </si>
  <si>
    <t>2621PT85</t>
  </si>
  <si>
    <t>2622TR08</t>
  </si>
  <si>
    <t>2711JA11</t>
  </si>
  <si>
    <t>2711JA32</t>
  </si>
  <si>
    <t>2621TR32</t>
  </si>
  <si>
    <t>2621TR07</t>
  </si>
  <si>
    <t>2621CL59</t>
  </si>
  <si>
    <t>2621JA47</t>
  </si>
  <si>
    <t>2622JA15</t>
  </si>
  <si>
    <t>2622JA17</t>
  </si>
  <si>
    <t>2621TR70</t>
  </si>
  <si>
    <t>2621JA29</t>
  </si>
  <si>
    <t>2621JA01</t>
  </si>
  <si>
    <t>2621SU32</t>
  </si>
  <si>
    <t>2621TR34</t>
  </si>
  <si>
    <t>2621JA03</t>
  </si>
  <si>
    <t>2621JA08</t>
  </si>
  <si>
    <t>2622TR25</t>
  </si>
  <si>
    <t>2621JA28</t>
  </si>
  <si>
    <t>2621JA31</t>
  </si>
  <si>
    <t>2622TR01</t>
  </si>
  <si>
    <t>2621TR68</t>
  </si>
  <si>
    <t>2621TR35</t>
  </si>
  <si>
    <t>2711JA02</t>
  </si>
  <si>
    <t>2622JA24</t>
  </si>
  <si>
    <t>2621CL58</t>
  </si>
  <si>
    <t>2621JA12</t>
  </si>
  <si>
    <t>CARGO</t>
  </si>
  <si>
    <t>2621PT08</t>
  </si>
  <si>
    <t>2622JA73</t>
  </si>
  <si>
    <t>2621PT37</t>
  </si>
  <si>
    <t>2621TR13</t>
  </si>
  <si>
    <t>2621TR59</t>
  </si>
  <si>
    <t>2621CL64</t>
  </si>
  <si>
    <t>2624JA65</t>
  </si>
  <si>
    <t>2622JA14</t>
  </si>
  <si>
    <t>2624JA02</t>
  </si>
  <si>
    <t>2621PT35</t>
  </si>
  <si>
    <t>2622JA11</t>
  </si>
  <si>
    <t>2622TR71</t>
  </si>
  <si>
    <t>2711PT19</t>
  </si>
  <si>
    <t>2622SU57</t>
  </si>
  <si>
    <t>2622TR17</t>
  </si>
  <si>
    <t>2621PT03</t>
  </si>
  <si>
    <t>2622SU01</t>
  </si>
  <si>
    <t>2621TR50</t>
  </si>
  <si>
    <t>2621PT61</t>
  </si>
  <si>
    <t>2622JA93</t>
  </si>
  <si>
    <t>2621JA11</t>
  </si>
  <si>
    <t>2622JA44</t>
  </si>
  <si>
    <t>2622JA02</t>
  </si>
  <si>
    <t>2621PT05</t>
  </si>
  <si>
    <t>2621JA69</t>
  </si>
  <si>
    <t>2711PT33</t>
  </si>
  <si>
    <t>2621TR41</t>
  </si>
  <si>
    <t>2621TR77</t>
  </si>
  <si>
    <t>2622JA00</t>
  </si>
  <si>
    <t>2621JA46</t>
  </si>
  <si>
    <t>2621PT10</t>
  </si>
  <si>
    <t>2621TR58</t>
  </si>
  <si>
    <t>2621SU52</t>
  </si>
  <si>
    <t>2625JA02</t>
  </si>
  <si>
    <t>PANTALON LARGO MUJER</t>
  </si>
  <si>
    <t>2622PT06</t>
  </si>
  <si>
    <t>2622JA08</t>
  </si>
  <si>
    <t>2622JA88</t>
  </si>
  <si>
    <t>2625JA01</t>
  </si>
  <si>
    <t>2621SU10</t>
  </si>
  <si>
    <t>2622SU06</t>
  </si>
  <si>
    <t>2621SU08</t>
  </si>
  <si>
    <t>CAMISETA MANGA LARGA HOMBRE</t>
  </si>
  <si>
    <t>CAMISETA MANGA LARGA</t>
  </si>
  <si>
    <t>2621ML02</t>
  </si>
  <si>
    <t>2711SU31</t>
  </si>
  <si>
    <t>2621PT86</t>
  </si>
  <si>
    <t>2621ML07</t>
  </si>
  <si>
    <t>2625JA60</t>
  </si>
  <si>
    <t>2622SU09</t>
  </si>
  <si>
    <t>2621PT11</t>
  </si>
  <si>
    <t>2621PT62</t>
  </si>
  <si>
    <t>2621PT60</t>
  </si>
  <si>
    <t>2621CL63</t>
  </si>
  <si>
    <t>2622TR11</t>
  </si>
  <si>
    <t>2621JA50</t>
  </si>
  <si>
    <t>2621PT18</t>
  </si>
  <si>
    <t>2621PT30</t>
  </si>
  <si>
    <t>2621TR72</t>
  </si>
  <si>
    <t>2621SU09</t>
  </si>
  <si>
    <t>2621PT63</t>
  </si>
  <si>
    <t>2711JA71</t>
  </si>
  <si>
    <t>MEDIANO</t>
  </si>
  <si>
    <t>2622ZB06</t>
  </si>
  <si>
    <t>2622TR39</t>
  </si>
  <si>
    <t>CHAQUETA</t>
  </si>
  <si>
    <t>2621SU60</t>
  </si>
  <si>
    <t>POLO MANGA LARGA HOMBRE</t>
  </si>
  <si>
    <t>POLO MANGA LARGA</t>
  </si>
  <si>
    <t>2621PL08</t>
  </si>
  <si>
    <t>2621TR61</t>
  </si>
  <si>
    <t>2621PT06</t>
  </si>
  <si>
    <t>2621SU01</t>
  </si>
  <si>
    <t>2621PT64</t>
  </si>
  <si>
    <t>2621PT40</t>
  </si>
  <si>
    <t>2621TR36</t>
  </si>
  <si>
    <t>2622TR20</t>
  </si>
  <si>
    <t>2622PT65</t>
  </si>
  <si>
    <t>2622PT46</t>
  </si>
  <si>
    <t>2622TR10</t>
  </si>
  <si>
    <t>2621SU36</t>
  </si>
  <si>
    <t>VESTIDOS</t>
  </si>
  <si>
    <t>MANGA LARGA</t>
  </si>
  <si>
    <t>2622VS15</t>
  </si>
  <si>
    <t>2621SU28</t>
  </si>
  <si>
    <t>2622TR26</t>
  </si>
  <si>
    <t>2712PT05</t>
  </si>
  <si>
    <t>2621TR76</t>
  </si>
  <si>
    <t>2621SU34</t>
  </si>
  <si>
    <t>2621PL21</t>
  </si>
  <si>
    <t>2621PL26</t>
  </si>
  <si>
    <t>2622PT69</t>
  </si>
  <si>
    <t>2622JA19</t>
  </si>
  <si>
    <t>CAMISETA MANGA LARGA MUJER</t>
  </si>
  <si>
    <t>NORMAL</t>
  </si>
  <si>
    <t>2622ML51</t>
  </si>
  <si>
    <t>2621PL28</t>
  </si>
  <si>
    <t>2622TR40</t>
  </si>
  <si>
    <t>2621PT54</t>
  </si>
  <si>
    <t>2622TR06</t>
  </si>
  <si>
    <t>2624JA67</t>
  </si>
  <si>
    <t>2711TR12</t>
  </si>
  <si>
    <t>2622VS19</t>
  </si>
  <si>
    <t>2711TR49</t>
  </si>
  <si>
    <t>2621SU38</t>
  </si>
  <si>
    <t>2621SU37</t>
  </si>
  <si>
    <t>2711PT25</t>
  </si>
  <si>
    <t>2711JA25</t>
  </si>
  <si>
    <t>FALDA MUJER</t>
  </si>
  <si>
    <t>FALDA PANTALON</t>
  </si>
  <si>
    <t>2622FA03</t>
  </si>
  <si>
    <t>2621ML13</t>
  </si>
  <si>
    <t>2621PT13</t>
  </si>
  <si>
    <t>2711JA26</t>
  </si>
  <si>
    <t>2622ML20</t>
  </si>
  <si>
    <t>2621PT50</t>
  </si>
  <si>
    <t>2622TR12</t>
  </si>
  <si>
    <t>2621TR44</t>
  </si>
  <si>
    <t>2624JA12</t>
  </si>
  <si>
    <t>2621SU22</t>
  </si>
  <si>
    <t>2621SU23</t>
  </si>
  <si>
    <t>2622TR04</t>
  </si>
  <si>
    <t>2622TR76</t>
  </si>
  <si>
    <t>2622PT29</t>
  </si>
  <si>
    <t>2711SU33</t>
  </si>
  <si>
    <t>2622PT01</t>
  </si>
  <si>
    <t>LEGGING</t>
  </si>
  <si>
    <t>2622PT40</t>
  </si>
  <si>
    <t>2622TR03</t>
  </si>
  <si>
    <t>2711SU38</t>
  </si>
  <si>
    <t>2622PT62</t>
  </si>
  <si>
    <t>2621TR56</t>
  </si>
  <si>
    <t>2621PT14</t>
  </si>
  <si>
    <t>2621TR75</t>
  </si>
  <si>
    <t>2622TR15</t>
  </si>
  <si>
    <t>2622TR30</t>
  </si>
  <si>
    <t>2622TR72</t>
  </si>
  <si>
    <t>2621PT26</t>
  </si>
  <si>
    <t>2622ML25</t>
  </si>
  <si>
    <t>2621ML00</t>
  </si>
  <si>
    <t>2621ML25</t>
  </si>
  <si>
    <t>2622PT23</t>
  </si>
  <si>
    <t>CAMISA MANGA LARGA</t>
  </si>
  <si>
    <t>2621CL48</t>
  </si>
  <si>
    <t>2621PT51</t>
  </si>
  <si>
    <t>2622TR18</t>
  </si>
  <si>
    <t>2622TR27</t>
  </si>
  <si>
    <t>2711TR34</t>
  </si>
  <si>
    <t>2622PT30</t>
  </si>
  <si>
    <t>2622PT61</t>
  </si>
  <si>
    <t>2622PT63</t>
  </si>
  <si>
    <t>2621CL04</t>
  </si>
  <si>
    <t>2621CL60</t>
  </si>
  <si>
    <t>2621TR45</t>
  </si>
  <si>
    <t>2622TR02</t>
  </si>
  <si>
    <t>2624JA08</t>
  </si>
  <si>
    <t>2712PT14</t>
  </si>
  <si>
    <t>2622PT16</t>
  </si>
  <si>
    <t>2622PT18</t>
  </si>
  <si>
    <t>2621PT89</t>
  </si>
  <si>
    <t>2621PT90</t>
  </si>
  <si>
    <t>2621SU03</t>
  </si>
  <si>
    <t>2621PT22</t>
  </si>
  <si>
    <t>2621PT52</t>
  </si>
  <si>
    <t>2621ML12</t>
  </si>
  <si>
    <t>2622PT09</t>
  </si>
  <si>
    <t>2621CL62</t>
  </si>
  <si>
    <t>2621PT23</t>
  </si>
  <si>
    <t>2622ML00</t>
  </si>
  <si>
    <t>2622TR22</t>
  </si>
  <si>
    <t>2622TR28</t>
  </si>
  <si>
    <t>2622PT67</t>
  </si>
  <si>
    <t>PANTALON LARGO BOY</t>
  </si>
  <si>
    <t>2624PT03</t>
  </si>
  <si>
    <t>CARDIGAN</t>
  </si>
  <si>
    <t>2621TR60</t>
  </si>
  <si>
    <t>2622PT00</t>
  </si>
  <si>
    <t>2621PT88</t>
  </si>
  <si>
    <t>2622ML02</t>
  </si>
  <si>
    <t>2621ML22</t>
  </si>
  <si>
    <t>2621SU02</t>
  </si>
  <si>
    <t>2622PT26</t>
  </si>
  <si>
    <t>2621PT27</t>
  </si>
  <si>
    <t>2622PT27</t>
  </si>
  <si>
    <t>2624PT01</t>
  </si>
  <si>
    <t>2622PT14</t>
  </si>
  <si>
    <t>CAMISA MANGA LARGA BOY</t>
  </si>
  <si>
    <t>2624CL58</t>
  </si>
  <si>
    <t>2711SU34</t>
  </si>
  <si>
    <t>2711SU40</t>
  </si>
  <si>
    <t>2621ML05</t>
  </si>
  <si>
    <t>2621CL03</t>
  </si>
  <si>
    <t>2622VS06</t>
  </si>
  <si>
    <t>2622ML06</t>
  </si>
  <si>
    <t>2621CL47</t>
  </si>
  <si>
    <t>2622PT41</t>
  </si>
  <si>
    <t>2622PT04</t>
  </si>
  <si>
    <t>2621SU41</t>
  </si>
  <si>
    <t>2621PL04</t>
  </si>
  <si>
    <t>2621PL06</t>
  </si>
  <si>
    <t>2621CL05</t>
  </si>
  <si>
    <t>2621PT04</t>
  </si>
  <si>
    <t>2622PT15</t>
  </si>
  <si>
    <t>2622PT50</t>
  </si>
  <si>
    <t>2622PT02</t>
  </si>
  <si>
    <t>SUDADERA BOY</t>
  </si>
  <si>
    <t>PUNTO</t>
  </si>
  <si>
    <t>2624SU04</t>
  </si>
  <si>
    <t>2622PT34</t>
  </si>
  <si>
    <t>2621CL51</t>
  </si>
  <si>
    <t>2622FA02</t>
  </si>
  <si>
    <t>2622PT28</t>
  </si>
  <si>
    <t>2622PT47</t>
  </si>
  <si>
    <t>2621SU61</t>
  </si>
  <si>
    <t>2621CL53</t>
  </si>
  <si>
    <t>2621PL50</t>
  </si>
  <si>
    <t>2622PT49</t>
  </si>
  <si>
    <t>2622ML18</t>
  </si>
  <si>
    <t>2622PT12</t>
  </si>
  <si>
    <t>2622VS25</t>
  </si>
  <si>
    <t>2621CL50</t>
  </si>
  <si>
    <t>TOP MUJER</t>
  </si>
  <si>
    <t>T-TSHIRT</t>
  </si>
  <si>
    <t>2622TP07</t>
  </si>
  <si>
    <t>MIDI</t>
  </si>
  <si>
    <t>2622FA10</t>
  </si>
  <si>
    <t>2622PT07</t>
  </si>
  <si>
    <t>2622PT39</t>
  </si>
  <si>
    <t>2622PT42</t>
  </si>
  <si>
    <t>2622PT24</t>
  </si>
  <si>
    <t>2622PT71</t>
  </si>
  <si>
    <t>2711SU42</t>
  </si>
  <si>
    <t>2622PT17</t>
  </si>
  <si>
    <t>2622PT20</t>
  </si>
  <si>
    <t>2621ML10</t>
  </si>
  <si>
    <t>2621CL61</t>
  </si>
  <si>
    <t>2621ML36</t>
  </si>
  <si>
    <t>2621PL44</t>
  </si>
  <si>
    <t>2622PT11</t>
  </si>
  <si>
    <t>2622PT48</t>
  </si>
  <si>
    <t>2622VS17</t>
  </si>
  <si>
    <t>2622ML13</t>
  </si>
  <si>
    <t>2622PT08</t>
  </si>
  <si>
    <t>2622FA54</t>
  </si>
  <si>
    <t>2622FA01</t>
  </si>
  <si>
    <t>2621ML08</t>
  </si>
  <si>
    <t>2621ML09</t>
  </si>
  <si>
    <t>2622ML07</t>
  </si>
  <si>
    <t>2622PT33</t>
  </si>
  <si>
    <t>PANTALON LARGO GIRL</t>
  </si>
  <si>
    <t>2625PT04</t>
  </si>
  <si>
    <t>2622VS34</t>
  </si>
  <si>
    <t>2621PL27</t>
  </si>
  <si>
    <t>2622ML17</t>
  </si>
  <si>
    <t>2622ML41</t>
  </si>
  <si>
    <t>2622VS01</t>
  </si>
  <si>
    <t>2622VS05</t>
  </si>
  <si>
    <t>2621CL01</t>
  </si>
  <si>
    <t>2621CL52</t>
  </si>
  <si>
    <t>CUELLO ALTO</t>
  </si>
  <si>
    <t>2622ML84</t>
  </si>
  <si>
    <t>2622ML08</t>
  </si>
  <si>
    <t>2622ML15</t>
  </si>
  <si>
    <t>2622ML79</t>
  </si>
  <si>
    <t>2622VS16</t>
  </si>
  <si>
    <t>2622VS00</t>
  </si>
  <si>
    <t>2624PT60</t>
  </si>
  <si>
    <t>2621ML26</t>
  </si>
  <si>
    <t>2621CL54</t>
  </si>
  <si>
    <t>2622VS21</t>
  </si>
  <si>
    <t>2624PT35</t>
  </si>
  <si>
    <t>VESTIDOS GIRL</t>
  </si>
  <si>
    <t>2625VS07</t>
  </si>
  <si>
    <t>2621PL09</t>
  </si>
  <si>
    <t>2621ML20</t>
  </si>
  <si>
    <t>2622ML42</t>
  </si>
  <si>
    <t>2622ML14</t>
  </si>
  <si>
    <t>2622VS31</t>
  </si>
  <si>
    <t>2621ML19</t>
  </si>
  <si>
    <t>2621PL13</t>
  </si>
  <si>
    <t>2621ML14</t>
  </si>
  <si>
    <t>TRICOT BOY</t>
  </si>
  <si>
    <t>TRICOT</t>
  </si>
  <si>
    <t>2624TR01</t>
  </si>
  <si>
    <t>2624TR02</t>
  </si>
  <si>
    <t>2621PL12</t>
  </si>
  <si>
    <t>SUDADERA GIRL</t>
  </si>
  <si>
    <t>2625SU03</t>
  </si>
  <si>
    <t>BLUSAS</t>
  </si>
  <si>
    <t>2622BL25</t>
  </si>
  <si>
    <t>2622ML19</t>
  </si>
  <si>
    <t>2622ML31</t>
  </si>
  <si>
    <t>2621ML65</t>
  </si>
  <si>
    <t>2622ML11</t>
  </si>
  <si>
    <t>2622ML22</t>
  </si>
  <si>
    <t>2622ML37</t>
  </si>
  <si>
    <t>2624SU01</t>
  </si>
  <si>
    <t>2622ML26</t>
  </si>
  <si>
    <t>TRICOT GIRL</t>
  </si>
  <si>
    <t>2625TR02</t>
  </si>
  <si>
    <t>2625TR22</t>
  </si>
  <si>
    <t>2621CL30</t>
  </si>
  <si>
    <t>2621CL31</t>
  </si>
  <si>
    <t>2622FA05</t>
  </si>
  <si>
    <t>FLUIDO</t>
  </si>
  <si>
    <t>2622PT92</t>
  </si>
  <si>
    <t>UNISEX</t>
  </si>
  <si>
    <t>COMPLEMENTOS UNISEX</t>
  </si>
  <si>
    <t>COMPL UNISEX</t>
  </si>
  <si>
    <t>2623HA02</t>
  </si>
  <si>
    <t>2622ML09</t>
  </si>
  <si>
    <t>2622ML16</t>
  </si>
  <si>
    <t>2622ML21</t>
  </si>
  <si>
    <t>2622ML01</t>
  </si>
  <si>
    <t>2622VS36</t>
  </si>
  <si>
    <t>2622ML38</t>
  </si>
  <si>
    <t>2622FA69</t>
  </si>
  <si>
    <t>2624SU03</t>
  </si>
  <si>
    <t>2625TR20</t>
  </si>
  <si>
    <t>CINTURONES HOMBRE</t>
  </si>
  <si>
    <t>CINTURONES</t>
  </si>
  <si>
    <t>2621ZC01</t>
  </si>
  <si>
    <t>2622FA19</t>
  </si>
  <si>
    <t>2622ML33</t>
  </si>
  <si>
    <t>2622VS37</t>
  </si>
  <si>
    <t>2621ZC04</t>
  </si>
  <si>
    <t>2621ZC10</t>
  </si>
  <si>
    <t>2625PT02</t>
  </si>
  <si>
    <t>2625PT03</t>
  </si>
  <si>
    <t>2622BL05</t>
  </si>
  <si>
    <t>2622TR21</t>
  </si>
  <si>
    <t>2622BL01</t>
  </si>
  <si>
    <t>2622VS29</t>
  </si>
  <si>
    <t>SIN MANGAS</t>
  </si>
  <si>
    <t>2622VS39</t>
  </si>
  <si>
    <t>2625PT01</t>
  </si>
  <si>
    <t>2622TP09</t>
  </si>
  <si>
    <t>2622BL12</t>
  </si>
  <si>
    <t>2622BL11</t>
  </si>
  <si>
    <t>2625SU01</t>
  </si>
  <si>
    <t>2625VS05</t>
  </si>
  <si>
    <t>2622BL21</t>
  </si>
  <si>
    <t>2622BL00</t>
  </si>
  <si>
    <t>2622BL03</t>
  </si>
  <si>
    <t>2622BL02</t>
  </si>
  <si>
    <t>CINTURONES MUJER</t>
  </si>
  <si>
    <t>REGULAR</t>
  </si>
  <si>
    <t>2622ZC05</t>
  </si>
  <si>
    <t>CAMISETA MANGA LARGA BOY</t>
  </si>
  <si>
    <t>2624ML01</t>
  </si>
  <si>
    <t>2624ML02</t>
  </si>
  <si>
    <t>2625TR21</t>
  </si>
  <si>
    <t>2622BL04</t>
  </si>
  <si>
    <t>2622BL15</t>
  </si>
  <si>
    <t>2622BL06</t>
  </si>
  <si>
    <t>CAMISETA MANGA LARGA GIRL</t>
  </si>
  <si>
    <t>2625ML26</t>
  </si>
  <si>
    <t>2622BL24</t>
  </si>
  <si>
    <t>2623HA03</t>
  </si>
  <si>
    <t>2625ML01</t>
  </si>
  <si>
    <t>2621PT28</t>
  </si>
  <si>
    <t>2621PT29</t>
  </si>
  <si>
    <t>2621PT31</t>
  </si>
  <si>
    <t>2621PT32</t>
  </si>
  <si>
    <t>2621PT34</t>
  </si>
  <si>
    <t>2621PT39</t>
  </si>
  <si>
    <t>2621PT20</t>
  </si>
  <si>
    <t>2621PT44</t>
  </si>
  <si>
    <t>2621PT55</t>
  </si>
  <si>
    <t>2621PT42</t>
  </si>
  <si>
    <t>2621PT21</t>
  </si>
  <si>
    <t>2621PT15</t>
  </si>
  <si>
    <t>2621PT41</t>
  </si>
  <si>
    <t>2621PT07</t>
  </si>
  <si>
    <t>2621PT09</t>
  </si>
  <si>
    <t>2621PT17</t>
  </si>
  <si>
    <t>2625ML02</t>
  </si>
  <si>
    <t>2625SU02</t>
  </si>
  <si>
    <t>KOROSHI · MASTER OI 26/27 · Indicadores</t>
  </si>
  <si>
    <t>Fuente Odoo: nath.tuctuc.com (KOROSHI, empresa 8), extraído el 27/10/2026. Modelos del packing list (hoja MASTER por modelo).</t>
  </si>
  <si>
    <t>Foto global</t>
  </si>
  <si>
    <t>Concepto</t>
  </si>
  <si>
    <t>Uds</t>
  </si>
  <si>
    <t>m³</t>
  </si>
  <si>
    <t>% uds s/ comprado</t>
  </si>
  <si>
    <t>% uds s/ recibido</t>
  </si>
  <si>
    <t>TEUs</t>
  </si>
  <si>
    <t>Palets</t>
  </si>
  <si>
    <t>Cómo se calcula</t>
  </si>
  <si>
    <t>Comprado (packing list)</t>
  </si>
  <si>
    <t>Suma del PL (hoja Detalle).</t>
  </si>
  <si>
    <t>Recibido en Odoo</t>
  </si>
  <si>
    <t>Entradas validadas (recepciones) del modelo.</t>
  </si>
  <si>
    <t>Pendiente de recibir</t>
  </si>
  <si>
    <t>Recepciones abiertas en Odoo.</t>
  </si>
  <si>
    <t>Salidas totales</t>
  </si>
  <si>
    <t>Implantación + reposición + web + otros.</t>
  </si>
  <si>
    <t xml:space="preserve">   Implantación inicial</t>
  </si>
  <si>
    <t>Por tienda: lo que sale a cada tienda en los 5 días siguientes a su primer envío del modelo.</t>
  </si>
  <si>
    <t xml:space="preserve">   Reposición</t>
  </si>
  <si>
    <t>Resto de salidas a cada tienda (S-666…).</t>
  </si>
  <si>
    <t xml:space="preserve">   Web</t>
  </si>
  <si>
    <t>Pedidos W-.</t>
  </si>
  <si>
    <t xml:space="preserve">   Otros</t>
  </si>
  <si>
    <t>Otros orígenes.</t>
  </si>
  <si>
    <t>Stock actual</t>
  </si>
  <si>
    <t>Stock en Odoo hoy.</t>
  </si>
  <si>
    <t>Pendiente de servir (comprado − salidas)</t>
  </si>
  <si>
    <t>Lo que queda por salir de lo comprado.</t>
  </si>
  <si>
    <t>Indicadores clave</t>
  </si>
  <si>
    <t>Indicador</t>
  </si>
  <si>
    <t>Valor</t>
  </si>
  <si>
    <t>% implantación (s/ comprado)</t>
  </si>
  <si>
    <t>Implantación por tienda ÷ uds compradas.</t>
  </si>
  <si>
    <t>% reposición (s/ comprado)</t>
  </si>
  <si>
    <t>Reposición ÷ uds compradas.</t>
  </si>
  <si>
    <t>% implantación en m³ (s/ m³ comprados)</t>
  </si>
  <si>
    <t>De todos los m³ de la temporada, cuántos han ido a implantación.</t>
  </si>
  <si>
    <t>% stock (s/ recibido)</t>
  </si>
  <si>
    <t>Stock actual ÷ recibido.</t>
  </si>
  <si>
    <t>Eficacia (implantación + reposición / comprado)</t>
  </si>
  <si>
    <t>Lo que ha ido a tiendas de lo comprado.</t>
  </si>
  <si>
    <t>% tiendas implantadas (media por modelo)</t>
  </si>
  <si>
    <t>De las tiendas físicas, cuántas han recibido implantación de cada modelo.</t>
  </si>
  <si>
    <t>% volumen que queda (pendiente servir m³ / comprado m³)</t>
  </si>
  <si>
    <t>Volumen que falta por salir.</t>
  </si>
  <si>
    <t>TEUs recibidos</t>
  </si>
  <si>
    <t>m³ recibidos ÷ 28.</t>
  </si>
  <si>
    <t>TEUs pendientes de recibir</t>
  </si>
  <si>
    <t>m³ pendientes ÷ 28.</t>
  </si>
  <si>
    <t>Días medios 1ª recepción → implantación</t>
  </si>
  <si>
    <t>Media por modelo.</t>
  </si>
  <si>
    <t>Días mediana 1ª recepción → implantación</t>
  </si>
  <si>
    <t>Mediana por modelo.</t>
  </si>
  <si>
    <t>Densidad media (kg/m³)</t>
  </si>
  <si>
    <t>Peso neto ÷ CBM (ponderada).</t>
  </si>
  <si>
    <t>Litros por unidad (media ponderada)</t>
  </si>
  <si>
    <t>CBM ÷ uds × 1.000.</t>
  </si>
  <si>
    <t>Modelos clase A (50 % del CBM)</t>
  </si>
  <si>
    <t>Ordenados por CBM de mayor a menor.</t>
  </si>
  <si>
    <t>Modelos clase A+B (84 % del CBM)</t>
  </si>
  <si>
    <t>Modelos sin salidas</t>
  </si>
  <si>
    <t>Recibidos pero sin ninguna salida.</t>
  </si>
  <si>
    <t>Por familia</t>
  </si>
  <si>
    <t>Grupo</t>
  </si>
  <si>
    <t>Modelos</t>
  </si>
  <si>
    <t>Comprado uds</t>
  </si>
  <si>
    <t>CBM comprado</t>
  </si>
  <si>
    <t>Recibido uds</t>
  </si>
  <si>
    <t>Pendiente recibir uds</t>
  </si>
  <si>
    <t>Salidas uds</t>
  </si>
  <si>
    <t>Implantación uds</t>
  </si>
  <si>
    <t>Reposición uds</t>
  </si>
  <si>
    <t>Stock uds</t>
  </si>
  <si>
    <t>Eficacia</t>
  </si>
  <si>
    <t>TEUs pendientes</t>
  </si>
  <si>
    <t>% del CBM</t>
  </si>
  <si>
    <t>Por subfamilia</t>
  </si>
  <si>
    <t>Fuera del packing list (Odoo, códigos 26/27 que no están en el PL)</t>
  </si>
  <si>
    <t>Reposición / web / otros uds</t>
  </si>
  <si>
    <t>Modelos fuera del PL</t>
  </si>
  <si>
    <t>4.361 / 194 / 97</t>
  </si>
  <si>
    <t>Total Odoo 26/27 (PL + fuera de PL)</t>
  </si>
  <si>
    <t>Notas</t>
  </si>
  <si>
    <t>• El PL va por modelo (sin color). En Odoo se suman todos los colores y tallas del modelo (nombre del producto que empieza por el código).</t>
  </si>
  <si>
    <t>• «262JA13» en el PL está mal escrito: en Odoo existen 2621JA13 y 2622JA13. Queda sin datos de Odoo hasta corregir el PL.</t>
  </si>
  <si>
    <t>• Sin datos en Odoo: 262JA13, 2711JA71, 2621ZC01, 2621PT15, 2621PT41 (filas en gris en MASTER por modelo).</t>
  </si>
  <si>
    <t>• Implantación: salidas a tienda (pedidos S-666…) con fecha dentro de los 5 días siguientes al primer pedido de tienda del modelo. Fecha de implantación = primera salida a tienda.</t>
  </si>
  <si>
    <t>• Los m³ de recibido, pendiente, salidas y stock = uds × litros/ud del PL (volumen del packing list, sin aire).</t>
  </si>
  <si>
    <t>• Peso neto estimado = bruto − cartones × 1,2 kg hasta que el proveedor dé el neto en el PL.</t>
  </si>
  <si>
    <t>• Líneas del PL con CBM o uds a 0 (en rojo en la hoja Detalle): no se han borrado; hay que completarlas para que los totales sean fiables.</t>
  </si>
  <si>
    <t>• Las hojas «Resumen por familia» y «Resumen por artículo» son las del Excel original (20/10, sin fórmulas); la referencia buena es MASTER por modelo.</t>
  </si>
  <si>
    <t>KOROSHI — Volúmenes por Artículo (I27/V27)</t>
  </si>
  <si>
    <t>Generado: 20/10/2026 | 109 PLs | 627 líneas</t>
  </si>
  <si>
    <t xml:space="preserve">KPI: </t>
  </si>
  <si>
    <t>porcentaje de lo que nos queda y de lo que nos queda en m3</t>
  </si>
  <si>
    <t>cbm total</t>
  </si>
  <si>
    <t>subarea total</t>
  </si>
  <si>
    <t>peso total neto</t>
  </si>
  <si>
    <t>pendientes de servir</t>
  </si>
  <si>
    <t>ordenando la cantidad comprada funcion ranking de compra</t>
  </si>
  <si>
    <t>foto actual de como esta todo</t>
  </si>
  <si>
    <t>uds / total</t>
  </si>
  <si>
    <t>porcentaje implantacion total</t>
  </si>
  <si>
    <t>unidades plantacion total</t>
  </si>
  <si>
    <t>y el resto con la palabra implatacion</t>
  </si>
  <si>
    <t xml:space="preserve">porcentaje de implantacion total historico, cantidades y porcentajes </t>
  </si>
  <si>
    <t>salidas/stock</t>
  </si>
  <si>
    <t>cual seria el esfuerzo necesario con lo que hoy nos queda una compactacion y un cambio a estanteria alta con lo que nos queda de campaña</t>
  </si>
  <si>
    <t>Fila 6: sumas hasta la última fila; D, P, Q, R y S son medias ponderadas. Rojo = línea con CBM o uds a 0 (revisar en el PL, no borrada). T y U salen de la hoja MASTER por modelo (valor del modelo entero).</t>
  </si>
  <si>
    <t>KG/M3</t>
  </si>
  <si>
    <t>CBM Total</t>
  </si>
  <si>
    <t xml:space="preserve">Num Palet / Necesario </t>
  </si>
  <si>
    <t>Uds (pcs)</t>
  </si>
  <si>
    <t>Temporada</t>
  </si>
  <si>
    <t>Artículo</t>
  </si>
  <si>
    <t>PL</t>
  </si>
  <si>
    <t>Peso Bruto Total (kg)</t>
  </si>
  <si>
    <t>Peso Neto Modelo / KG</t>
  </si>
  <si>
    <t>CBM/Cartón</t>
  </si>
  <si>
    <t>CBM/Ud</t>
  </si>
  <si>
    <t>LITRO/UDS</t>
  </si>
  <si>
    <t>Neto individual en gramos</t>
  </si>
  <si>
    <t>Eficacia del modelo (implantación + reposición / comprado)</t>
  </si>
  <si>
    <t>Implantación + reposición (uds del modelo)</t>
  </si>
  <si>
    <t>,</t>
  </si>
  <si>
    <t>PL2134</t>
  </si>
  <si>
    <t>PL2098</t>
  </si>
  <si>
    <t>PL2099</t>
  </si>
  <si>
    <t>PL2117</t>
  </si>
  <si>
    <t>PL2097</t>
  </si>
  <si>
    <t>PL2126</t>
  </si>
  <si>
    <t>PL2057</t>
  </si>
  <si>
    <t>PL2132</t>
  </si>
  <si>
    <t>PL2094</t>
  </si>
  <si>
    <t>PL2051</t>
  </si>
  <si>
    <t>PL2050</t>
  </si>
  <si>
    <t>PL2102</t>
  </si>
  <si>
    <t>PL2090</t>
  </si>
  <si>
    <t>PL2100</t>
  </si>
  <si>
    <t>PL2039</t>
  </si>
  <si>
    <t>PL2095</t>
  </si>
  <si>
    <t>PL2120</t>
  </si>
  <si>
    <t>PL2065</t>
  </si>
  <si>
    <t>PL2108</t>
  </si>
  <si>
    <t>PL2138</t>
  </si>
  <si>
    <t>PL2152</t>
  </si>
  <si>
    <t>PL2125</t>
  </si>
  <si>
    <t>PL2076</t>
  </si>
  <si>
    <t>PL2130</t>
  </si>
  <si>
    <t>PL2110</t>
  </si>
  <si>
    <t>PL2127</t>
  </si>
  <si>
    <t>PL2040</t>
  </si>
  <si>
    <t>PL2136</t>
  </si>
  <si>
    <t>PL2091</t>
  </si>
  <si>
    <t>PL2074</t>
  </si>
  <si>
    <t>PL2056</t>
  </si>
  <si>
    <t>PL2111</t>
  </si>
  <si>
    <t>PL2088</t>
  </si>
  <si>
    <t>PL2080</t>
  </si>
  <si>
    <t>PL2101</t>
  </si>
  <si>
    <t>PL2104</t>
  </si>
  <si>
    <t>PL2042</t>
  </si>
  <si>
    <t>PL2096</t>
  </si>
  <si>
    <t>PL2150</t>
  </si>
  <si>
    <t>PL2064</t>
  </si>
  <si>
    <t>PL2084</t>
  </si>
  <si>
    <t>PL2129</t>
  </si>
  <si>
    <t>PL2093</t>
  </si>
  <si>
    <t>PL2043</t>
  </si>
  <si>
    <t>PL2106</t>
  </si>
  <si>
    <t>PL2072</t>
  </si>
  <si>
    <t>PL2067</t>
  </si>
  <si>
    <t>PL2144</t>
  </si>
  <si>
    <t>PL2143</t>
  </si>
  <si>
    <t>PL2105</t>
  </si>
  <si>
    <t>PL2047</t>
  </si>
  <si>
    <t>PL2128</t>
  </si>
  <si>
    <t>PL2053</t>
  </si>
  <si>
    <t>PL2107</t>
  </si>
  <si>
    <t>PL2063</t>
  </si>
  <si>
    <t>PL2151</t>
  </si>
  <si>
    <t>PL2052</t>
  </si>
  <si>
    <t>PL2062</t>
  </si>
  <si>
    <t>PL2082</t>
  </si>
  <si>
    <t>PL2145</t>
  </si>
  <si>
    <t>PL2046</t>
  </si>
  <si>
    <t>PL2154</t>
  </si>
  <si>
    <t>PL2075</t>
  </si>
  <si>
    <t>PL2087</t>
  </si>
  <si>
    <t>PL2026</t>
  </si>
  <si>
    <t>PL2122</t>
  </si>
  <si>
    <t>PL2119</t>
  </si>
  <si>
    <t>PL2148</t>
  </si>
  <si>
    <t>PL2025</t>
  </si>
  <si>
    <t>PL2070</t>
  </si>
  <si>
    <t>PL2139</t>
  </si>
  <si>
    <t>PL2155</t>
  </si>
  <si>
    <t>PL2140</t>
  </si>
  <si>
    <t>PL2033</t>
  </si>
  <si>
    <t>PL2049</t>
  </si>
  <si>
    <t>PL2131</t>
  </si>
  <si>
    <t>PL2066</t>
  </si>
  <si>
    <t>PL2061</t>
  </si>
  <si>
    <t>PL2141</t>
  </si>
  <si>
    <t>PL2038</t>
  </si>
  <si>
    <t>PL2054</t>
  </si>
  <si>
    <t>PL2079</t>
  </si>
  <si>
    <t>PL2083</t>
  </si>
  <si>
    <t>PL2089</t>
  </si>
  <si>
    <t>PL2029</t>
  </si>
  <si>
    <t>PL2077</t>
  </si>
  <si>
    <t>PL2081</t>
  </si>
  <si>
    <t>PL2028</t>
  </si>
  <si>
    <t>PL2060</t>
  </si>
  <si>
    <t>PL2112</t>
  </si>
  <si>
    <t>PL2041</t>
  </si>
  <si>
    <t>PL2086</t>
  </si>
  <si>
    <t>PL2031</t>
  </si>
  <si>
    <t>PL2045</t>
  </si>
  <si>
    <t>PL2034</t>
  </si>
  <si>
    <t>PL2085</t>
  </si>
  <si>
    <t>PL2071</t>
  </si>
  <si>
    <t>PL2109</t>
  </si>
  <si>
    <t>PL2137</t>
  </si>
  <si>
    <t>PL2073</t>
  </si>
  <si>
    <t>PL2078</t>
  </si>
  <si>
    <t>PL2024</t>
  </si>
  <si>
    <t>PL2116</t>
  </si>
  <si>
    <t>PL2068</t>
  </si>
  <si>
    <t>PL2030</t>
  </si>
  <si>
    <t>PL2048</t>
  </si>
  <si>
    <t>PL2092</t>
  </si>
  <si>
    <t>PL2124</t>
  </si>
  <si>
    <t>KOROSHI — Resumen de Volúmenes por Familia</t>
  </si>
  <si>
    <t>Nº Artículos</t>
  </si>
  <si>
    <t>Nº PLs</t>
  </si>
  <si>
    <t>Total Uds</t>
  </si>
  <si>
    <t>Total Cartones</t>
  </si>
  <si>
    <t>Peso Bruto (kg)</t>
  </si>
  <si>
    <t>CBM/Cartón Medio</t>
  </si>
  <si>
    <t>CBM/Ud Medio</t>
  </si>
  <si>
    <t>% Vol. Total</t>
  </si>
  <si>
    <t>?</t>
  </si>
  <si>
    <t>CALZADO MUJER</t>
  </si>
  <si>
    <t>KOROSHI — Volumen por Artículo (agregado)</t>
  </si>
  <si>
    <t>PLs</t>
  </si>
  <si>
    <t>2521JA20</t>
  </si>
  <si>
    <t>2521JA24</t>
  </si>
  <si>
    <t>2521JA50</t>
  </si>
  <si>
    <t>2522PT44</t>
  </si>
  <si>
    <t>2612CL04</t>
  </si>
  <si>
    <t>2622XC02</t>
  </si>
  <si>
    <t>2622XC03</t>
  </si>
  <si>
    <t>BOTIN</t>
  </si>
  <si>
    <t>2622XC05</t>
  </si>
  <si>
    <t>2622XC06</t>
  </si>
  <si>
    <t>2513HA02</t>
  </si>
  <si>
    <t>2513HA03</t>
  </si>
  <si>
    <t>KOROSHI · Implantación por tienda (modelos 26/27)</t>
  </si>
  <si>
    <t>Uds que salen a cada tienda en los 5 días siguientes a su primer envío del modelo (pedidos S-666 desde el 01/06/2026). Fila 6 = totales. Datos de Odoo del 28/10/2026.</t>
  </si>
  <si>
    <t>Tiendas físicas:</t>
  </si>
  <si>
    <t>sin About You, Zalando ni muestras (cambiar si hace falta)</t>
  </si>
  <si>
    <t>Total uds</t>
  </si>
  <si>
    <t>% de las
tiendas</t>
  </si>
  <si>
    <t>1ª tienda</t>
  </si>
  <si>
    <t>Última
tienda</t>
  </si>
  <si>
    <t>Días entre
1ª y última</t>
  </si>
  <si>
    <t>K1 - MAQUINISTA</t>
  </si>
  <si>
    <t>K7 - ISLAZUL</t>
  </si>
  <si>
    <t>K8 - ITAROA</t>
  </si>
  <si>
    <t>K9 - BALLONTI</t>
  </si>
  <si>
    <t>K10 - MAXCENTER</t>
  </si>
  <si>
    <t>K17 - MALLORCA</t>
  </si>
  <si>
    <t>K22 - VITORIA</t>
  </si>
  <si>
    <t>K24 - VALLADOLID</t>
  </si>
  <si>
    <t>K26 - MAGIC</t>
  </si>
  <si>
    <t>K29 - MARINEDA</t>
  </si>
  <si>
    <t>K31 - CONDOMINA</t>
  </si>
  <si>
    <t>K33 - PUERTO VENECIA</t>
  </si>
  <si>
    <t>K34 - GRAN VIA 2</t>
  </si>
  <si>
    <t>K37 - SALAMANCA</t>
  </si>
  <si>
    <t>K38 - ARTEA</t>
  </si>
  <si>
    <t>K40 - PALENCIA</t>
  </si>
  <si>
    <t>K41 - SANTANDER</t>
  </si>
  <si>
    <t>K42 - SPLAU</t>
  </si>
  <si>
    <t>K43 - LEÓN</t>
  </si>
  <si>
    <t>K44 - GIRONA</t>
  </si>
  <si>
    <t>K45 - LOGROÑO BERCEO</t>
  </si>
  <si>
    <t>K46 - IRÚN</t>
  </si>
  <si>
    <t>K48 - BONAIRE</t>
  </si>
  <si>
    <t>K49 - URBIL</t>
  </si>
  <si>
    <t>K55 - C.C. GRANCASA</t>
  </si>
  <si>
    <t>K56 - ROSALEDA</t>
  </si>
  <si>
    <t>K57 - LAS ROSAS</t>
  </si>
  <si>
    <t>K58 - EL MIRADOR</t>
  </si>
  <si>
    <t>K59 - NEVADA SHOPPING</t>
  </si>
  <si>
    <t>K60 - LOS PRADOS</t>
  </si>
  <si>
    <t>K61 - LA VITAL</t>
  </si>
  <si>
    <t>K62 - XANADU</t>
  </si>
  <si>
    <t>K63 - ALCALÁ MAGNA</t>
  </si>
  <si>
    <t>K65 - BARICENTRO</t>
  </si>
  <si>
    <t>K68 - SEVILLA LAGOH</t>
  </si>
  <si>
    <t>K69 - TARRAGONA</t>
  </si>
  <si>
    <t>K70 - REUS</t>
  </si>
  <si>
    <t>K72 - DIAGONAL MAR</t>
  </si>
  <si>
    <t>K73 - C/CARME 11-13 (LLEIDA)</t>
  </si>
  <si>
    <t>K74 - CC SALERA</t>
  </si>
  <si>
    <t>K77 - CC SANT CUGAT</t>
  </si>
  <si>
    <t>K78 - PLAZA NORTE 2</t>
  </si>
  <si>
    <t>K79 - PARQUE CORREDOR</t>
  </si>
  <si>
    <t>K80 - GRAN JONQUERA</t>
  </si>
  <si>
    <t>K81 - LA VAGUADA</t>
  </si>
  <si>
    <t>K82 - PARQUE PRINCIPADO</t>
  </si>
  <si>
    <t>K83 - GARBERA NEW</t>
  </si>
  <si>
    <t>K85 - PLATJA D'ARO</t>
  </si>
  <si>
    <t>K86 - L'ALJUB (ELX)</t>
  </si>
  <si>
    <t>12 (BARCELONA)</t>
  </si>
  <si>
    <t>ABOUT YOU</t>
  </si>
  <si>
    <t>ZALANDO ZFS</t>
  </si>
  <si>
    <t>K7777 MUESTRAS</t>
  </si>
  <si>
    <t>2622JA13</t>
  </si>
  <si>
    <t>2621PT01</t>
  </si>
  <si>
    <t>2621JA20</t>
  </si>
  <si>
    <t>2622PT44</t>
  </si>
  <si>
    <t>2621JA24</t>
  </si>
  <si>
    <t>2621zc01</t>
  </si>
  <si>
    <t>2611PT38</t>
  </si>
  <si>
    <t>2611UN02</t>
  </si>
  <si>
    <t>2611UN00</t>
  </si>
  <si>
    <t>2611PT36</t>
  </si>
  <si>
    <t>2621MC27</t>
  </si>
  <si>
    <t>2611UN05</t>
  </si>
  <si>
    <t>2611UN06</t>
  </si>
  <si>
    <t>2611MC00</t>
  </si>
  <si>
    <t>2621MC14</t>
  </si>
  <si>
    <t>2611UN10</t>
  </si>
  <si>
    <t>2621MC08</t>
  </si>
  <si>
    <t>26823</t>
  </si>
  <si>
    <t>26338</t>
  </si>
  <si>
    <t>2621MC42</t>
  </si>
  <si>
    <t>2611ZC08</t>
  </si>
  <si>
    <t>2611UN01</t>
  </si>
  <si>
    <t>2612JA10</t>
  </si>
  <si>
    <t>2611ZT05</t>
  </si>
  <si>
    <t>2612ZF01</t>
  </si>
  <si>
    <t>2611ZC02</t>
  </si>
  <si>
    <t>2611ZT03</t>
  </si>
  <si>
    <t>2611ZT01</t>
  </si>
  <si>
    <t>2611ZA11</t>
  </si>
  <si>
    <t>26332</t>
  </si>
  <si>
    <t>2611ZC09</t>
  </si>
  <si>
    <t>26866</t>
  </si>
  <si>
    <t>2611ZT06</t>
  </si>
  <si>
    <t>2611ZT04</t>
  </si>
  <si>
    <t>26854</t>
  </si>
  <si>
    <t>2611ZC07</t>
  </si>
  <si>
    <t>2621MC83</t>
  </si>
  <si>
    <t>2611ZA07</t>
  </si>
  <si>
    <t>2611ZA10</t>
  </si>
  <si>
    <t>2621MC07</t>
  </si>
  <si>
    <t>26331</t>
  </si>
  <si>
    <t>2611ZC05</t>
  </si>
  <si>
    <t>27400</t>
  </si>
  <si>
    <t>2611ZC01</t>
  </si>
  <si>
    <t>26334</t>
  </si>
  <si>
    <t>26345</t>
  </si>
  <si>
    <t>26342</t>
  </si>
  <si>
    <t>26356</t>
  </si>
  <si>
    <t>26815</t>
  </si>
  <si>
    <t>26822</t>
  </si>
  <si>
    <t>26849</t>
  </si>
  <si>
    <t>27407</t>
  </si>
  <si>
    <t>26339</t>
  </si>
  <si>
    <t>26366</t>
  </si>
  <si>
    <t>2612JA19</t>
  </si>
  <si>
    <t>26344</t>
  </si>
  <si>
    <t>26864</t>
  </si>
  <si>
    <t>26903</t>
  </si>
  <si>
    <t>27406</t>
  </si>
  <si>
    <t>2613HA04</t>
  </si>
  <si>
    <t>2611PT20</t>
  </si>
  <si>
    <t>2611ZT07</t>
  </si>
  <si>
    <t>26003</t>
  </si>
  <si>
    <t>26384</t>
  </si>
  <si>
    <t>26859</t>
  </si>
  <si>
    <t>27410</t>
  </si>
  <si>
    <t>2611XC04</t>
  </si>
  <si>
    <t>2611ZA05</t>
  </si>
  <si>
    <t>26000</t>
  </si>
  <si>
    <t>26026</t>
  </si>
  <si>
    <t>26027</t>
  </si>
  <si>
    <t>26206</t>
  </si>
  <si>
    <t>26257</t>
  </si>
  <si>
    <t>26336</t>
  </si>
  <si>
    <t>26348</t>
  </si>
  <si>
    <t>26369</t>
  </si>
  <si>
    <t>26820</t>
  </si>
  <si>
    <t>26851</t>
  </si>
  <si>
    <t>26863</t>
  </si>
  <si>
    <t>27402</t>
  </si>
  <si>
    <t>2621MC78</t>
  </si>
  <si>
    <t>26033</t>
  </si>
  <si>
    <t>26367</t>
  </si>
  <si>
    <t>27011</t>
  </si>
  <si>
    <t>2611ZA08</t>
  </si>
  <si>
    <t>2613HA07</t>
  </si>
  <si>
    <t>2611PT04</t>
  </si>
  <si>
    <t>26924</t>
  </si>
  <si>
    <t>27007</t>
  </si>
  <si>
    <t>2621MC66</t>
  </si>
  <si>
    <t>26022</t>
  </si>
  <si>
    <t>26343</t>
  </si>
  <si>
    <t>27016</t>
  </si>
  <si>
    <t>27408</t>
  </si>
  <si>
    <t>2612VS17</t>
  </si>
  <si>
    <t>2612VS13</t>
  </si>
  <si>
    <t>2612VS36</t>
  </si>
  <si>
    <t>2612VS82</t>
  </si>
  <si>
    <t>2612VS44</t>
  </si>
  <si>
    <t>2612VS08</t>
  </si>
  <si>
    <t>2612VS33</t>
  </si>
  <si>
    <t>2613SG20</t>
  </si>
  <si>
    <t>2612TR09</t>
  </si>
  <si>
    <t>26002</t>
  </si>
  <si>
    <t>26024</t>
  </si>
  <si>
    <t>26045</t>
  </si>
  <si>
    <t>26422</t>
  </si>
  <si>
    <t>26900</t>
  </si>
  <si>
    <t>27326</t>
  </si>
  <si>
    <t>2612VS95</t>
  </si>
  <si>
    <t>2611TR24</t>
  </si>
  <si>
    <t>26019</t>
  </si>
  <si>
    <t>26207</t>
  </si>
  <si>
    <t>26357</t>
  </si>
  <si>
    <t>26389</t>
  </si>
  <si>
    <t>26904</t>
  </si>
  <si>
    <t>26907</t>
  </si>
  <si>
    <t>26913</t>
  </si>
  <si>
    <t>27404</t>
  </si>
  <si>
    <t>27856</t>
  </si>
  <si>
    <t>2611TR13</t>
  </si>
  <si>
    <t>2612TR24</t>
  </si>
  <si>
    <t>26001</t>
  </si>
  <si>
    <t>26021</t>
  </si>
  <si>
    <t>26037</t>
  </si>
  <si>
    <t>26058</t>
  </si>
  <si>
    <t>26080</t>
  </si>
  <si>
    <t>26083</t>
  </si>
  <si>
    <t>26214</t>
  </si>
  <si>
    <t>26254</t>
  </si>
  <si>
    <t>26351</t>
  </si>
  <si>
    <t>26355</t>
  </si>
  <si>
    <t>26442</t>
  </si>
  <si>
    <t>26816</t>
  </si>
  <si>
    <t>26819</t>
  </si>
  <si>
    <t>26861</t>
  </si>
  <si>
    <t>26867</t>
  </si>
  <si>
    <t>26915</t>
  </si>
  <si>
    <t>27010</t>
  </si>
  <si>
    <t>27018</t>
  </si>
  <si>
    <t>27405</t>
  </si>
  <si>
    <t>2611TR09</t>
  </si>
  <si>
    <t>2611JA05</t>
  </si>
  <si>
    <t>2621MC43</t>
  </si>
  <si>
    <t>2613HA05</t>
  </si>
  <si>
    <t>26014</t>
  </si>
  <si>
    <t>26017</t>
  </si>
  <si>
    <t>26031</t>
  </si>
  <si>
    <t>26082</t>
  </si>
  <si>
    <t>26085</t>
  </si>
  <si>
    <t>26087</t>
  </si>
  <si>
    <t>26089</t>
  </si>
  <si>
    <t>26210</t>
  </si>
  <si>
    <t>26211</t>
  </si>
  <si>
    <t>26212</t>
  </si>
  <si>
    <t>26255</t>
  </si>
  <si>
    <t>26258</t>
  </si>
  <si>
    <t>26905</t>
  </si>
  <si>
    <t>27003</t>
  </si>
  <si>
    <t>27301</t>
  </si>
  <si>
    <t>2612VS30</t>
  </si>
  <si>
    <t>26H09</t>
  </si>
  <si>
    <t>2611CL03</t>
  </si>
  <si>
    <t>2611JA19</t>
  </si>
  <si>
    <t>2611JA18</t>
  </si>
  <si>
    <t>2611JA09</t>
  </si>
  <si>
    <t>2612JA25</t>
  </si>
  <si>
    <t>2613SG22</t>
  </si>
  <si>
    <t>2613SG01</t>
  </si>
  <si>
    <t>2621MC53</t>
  </si>
  <si>
    <t>2621MC72</t>
  </si>
  <si>
    <t>2611MC20</t>
  </si>
  <si>
    <t>2621MC77</t>
  </si>
  <si>
    <t>2612TR10</t>
  </si>
  <si>
    <t>2611JA02</t>
  </si>
  <si>
    <t>2614MC02</t>
  </si>
  <si>
    <t>2612TR30</t>
  </si>
  <si>
    <t>26060</t>
  </si>
  <si>
    <t>26090</t>
  </si>
  <si>
    <t>26365</t>
  </si>
  <si>
    <t>27316</t>
  </si>
  <si>
    <t>27325</t>
  </si>
  <si>
    <t>26B2</t>
  </si>
  <si>
    <t>2612PS71</t>
  </si>
  <si>
    <t>2612PT15</t>
  </si>
  <si>
    <t>2612PS03</t>
  </si>
  <si>
    <t>2612PS07</t>
  </si>
  <si>
    <t>2612TP05</t>
  </si>
  <si>
    <t>2612TR25</t>
  </si>
  <si>
    <t>2611PT13</t>
  </si>
  <si>
    <t>2612PT21</t>
  </si>
  <si>
    <t>26BL03</t>
  </si>
  <si>
    <t>2612PT31</t>
  </si>
  <si>
    <t>2611JA99</t>
  </si>
  <si>
    <t>2611CC36</t>
  </si>
  <si>
    <t>2611JA06</t>
  </si>
  <si>
    <t>2611PT93</t>
  </si>
  <si>
    <t>2612PS82</t>
  </si>
  <si>
    <t>2611JA21</t>
  </si>
  <si>
    <t>2611JA04</t>
  </si>
  <si>
    <t>2612JA21</t>
  </si>
  <si>
    <t>2611PT01</t>
  </si>
  <si>
    <t>2612JA27</t>
  </si>
  <si>
    <t>2612JA07</t>
  </si>
  <si>
    <t>2612PT60</t>
  </si>
  <si>
    <t>2612VS49</t>
  </si>
  <si>
    <t>2612PT11</t>
  </si>
  <si>
    <t>2612TP19</t>
  </si>
  <si>
    <t>2612PT01</t>
  </si>
  <si>
    <t>2612TR06</t>
  </si>
  <si>
    <t>27S12</t>
  </si>
  <si>
    <t>2611PT30</t>
  </si>
  <si>
    <t>2613SG06</t>
  </si>
  <si>
    <t>2613SG19</t>
  </si>
  <si>
    <t>2613SG17</t>
  </si>
  <si>
    <t>2612JA20</t>
  </si>
  <si>
    <t>2621MC40</t>
  </si>
  <si>
    <t>2612JA00</t>
  </si>
  <si>
    <t>2613SG16</t>
  </si>
  <si>
    <t>2612PT02</t>
  </si>
  <si>
    <t>2612PT06</t>
  </si>
  <si>
    <t>2612JA71</t>
  </si>
  <si>
    <t>2612TR12</t>
  </si>
  <si>
    <t>2611PT31</t>
  </si>
  <si>
    <t>KOROSHI · Reposición por tienda (modelos 26/27)</t>
  </si>
  <si>
    <t>Uds que salen a cada tienda después de esos 5 días (pedidos S-666 desde el 01/06/2026). Fila 6 = totales. Datos de Odoo del 28/10/2026.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</si>
</sst>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00"/>
    <numFmt numFmtId="165" formatCode="#,##0.000000"/>
    <numFmt numFmtId="166" formatCode="0.0"/>
    <numFmt numFmtId="167" formatCode="#,##0.000"/>
    <numFmt numFmtId="168" formatCode="0.000"/>
    <numFmt numFmtId="169" formatCode="0.0%"/>
    <numFmt numFmtId="170" formatCode="#,##0;[Red]\-#,##0;\-"/>
    <numFmt numFmtId="171" formatCode="#,##0.000;\-#,##0.000;\-"/>
    <numFmt numFmtId="172" formatCode="0.00;\-0.00;\-"/>
    <numFmt numFmtId="173" formatCode="#,##0.000;[Red]\-#,##0.000"/>
    <numFmt numFmtId="174" formatCode="\+0;\-0;0"/>
    <numFmt numFmtId="175" formatCode="0.000000"/>
    <numFmt numFmtId="176" formatCode="#,##0.0"/>
  </numFmts>
  <fonts count="18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FF"/>
      <name val="Arial"/>
    </font>
    <font>
      <sz val="9"/>
      <color rgb="FF008000"/>
      <name val="Arial"/>
    </font>
    <font>
      <sz val="9"/>
      <name val="Arial"/>
    </font>
    <font>
      <b/>
      <sz val="9"/>
      <name val="Arial"/>
    </font>
    <font>
      <b/>
      <sz val="14"/>
      <color rgb="FF2F5496"/>
      <name val="Arial"/>
    </font>
    <font>
      <sz val="11"/>
      <color theme="1"/>
      <name val="Arial"/>
    </font>
    <font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</patternFill>
    </fill>
    <fill>
      <patternFill patternType="solid">
        <fgColor rgb="FF7F6000"/>
      </patternFill>
    </fill>
    <fill>
      <patternFill patternType="solid">
        <fgColor rgb="FF548235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11" fillId="7" borderId="10" xfId="0" applyFont="1" applyFill="1" applyBorder="1"/>
    <xf numFmtId="1" fontId="11" fillId="7" borderId="10" xfId="0" applyNumberFormat="1" applyFont="1" applyFill="1" applyBorder="1"/>
    <xf numFmtId="3" fontId="11" fillId="7" borderId="10" xfId="0" applyNumberFormat="1" applyFont="1" applyFill="1" applyBorder="1"/>
    <xf numFmtId="167" fontId="11" fillId="7" borderId="10" xfId="0" applyNumberFormat="1" applyFont="1" applyFill="1" applyBorder="1"/>
    <xf numFmtId="2" fontId="11" fillId="7" borderId="10" xfId="0" applyNumberFormat="1" applyFont="1" applyFill="1" applyBorder="1"/>
    <xf numFmtId="168" fontId="11" fillId="7" borderId="10" xfId="0" applyNumberFormat="1" applyFont="1" applyFill="1" applyBorder="1"/>
    <xf numFmtId="9" fontId="11" fillId="7" borderId="10" xfId="0" applyNumberFormat="1" applyFont="1" applyFill="1" applyBorder="1"/>
    <xf numFmtId="169" fontId="11" fillId="7" borderId="10" xfId="0" applyNumberFormat="1" applyFont="1" applyFill="1" applyBorder="1"/>
    <xf numFmtId="170" fontId="11" fillId="7" borderId="10" xfId="0" applyNumberFormat="1" applyFont="1" applyFill="1" applyBorder="1"/>
    <xf numFmtId="14" fontId="11" fillId="7" borderId="10" xfId="0" applyNumberFormat="1" applyFont="1" applyFill="1" applyBorder="1"/>
    <xf numFmtId="171" fontId="11" fillId="7" borderId="10" xfId="0" applyNumberFormat="1" applyFont="1" applyFill="1" applyBorder="1"/>
    <xf numFmtId="172" fontId="11" fillId="7" borderId="10" xfId="0" applyNumberFormat="1" applyFont="1" applyFill="1" applyBorder="1"/>
    <xf numFmtId="38" fontId="11" fillId="7" borderId="10" xfId="0" applyNumberFormat="1" applyFont="1" applyFill="1" applyBorder="1"/>
    <xf numFmtId="173" fontId="11" fillId="7" borderId="10" xfId="0" applyNumberFormat="1" applyFont="1" applyFill="1" applyBorder="1"/>
    <xf numFmtId="174" fontId="11" fillId="7" borderId="10" xfId="0" applyNumberFormat="1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8" fillId="0" borderId="10" xfId="0" applyFont="1" applyBorder="1"/>
    <xf numFmtId="1" fontId="9" fillId="0" borderId="10" xfId="0" applyNumberFormat="1" applyFont="1" applyBorder="1"/>
    <xf numFmtId="3" fontId="10" fillId="0" borderId="10" xfId="0" applyNumberFormat="1" applyFont="1" applyBorder="1"/>
    <xf numFmtId="167" fontId="9" fillId="0" borderId="10" xfId="0" applyNumberFormat="1" applyFont="1" applyBorder="1"/>
    <xf numFmtId="2" fontId="10" fillId="0" borderId="10" xfId="0" applyNumberFormat="1" applyFont="1" applyBorder="1"/>
    <xf numFmtId="3" fontId="9" fillId="0" borderId="10" xfId="0" applyNumberFormat="1" applyFont="1" applyBorder="1"/>
    <xf numFmtId="168" fontId="10" fillId="0" borderId="10" xfId="0" applyNumberFormat="1" applyFont="1" applyBorder="1"/>
    <xf numFmtId="167" fontId="10" fillId="0" borderId="10" xfId="0" applyNumberFormat="1" applyFont="1" applyBorder="1"/>
    <xf numFmtId="9" fontId="10" fillId="0" borderId="10" xfId="0" applyNumberFormat="1" applyFont="1" applyBorder="1"/>
    <xf numFmtId="169" fontId="10" fillId="0" borderId="10" xfId="0" applyNumberFormat="1" applyFont="1" applyBorder="1"/>
    <xf numFmtId="0" fontId="10" fillId="0" borderId="10" xfId="0" applyFont="1" applyBorder="1"/>
    <xf numFmtId="3" fontId="8" fillId="0" borderId="10" xfId="0" applyNumberFormat="1" applyFont="1" applyBorder="1"/>
    <xf numFmtId="170" fontId="10" fillId="0" borderId="10" xfId="0" applyNumberFormat="1" applyFont="1" applyBorder="1"/>
    <xf numFmtId="14" fontId="8" fillId="0" borderId="10" xfId="0" applyNumberFormat="1" applyFont="1" applyBorder="1"/>
    <xf numFmtId="170" fontId="8" fillId="0" borderId="10" xfId="0" applyNumberFormat="1" applyFont="1" applyBorder="1"/>
    <xf numFmtId="171" fontId="10" fillId="0" borderId="10" xfId="0" applyNumberFormat="1" applyFont="1" applyBorder="1"/>
    <xf numFmtId="172" fontId="10" fillId="0" borderId="10" xfId="0" applyNumberFormat="1" applyFont="1" applyBorder="1"/>
    <xf numFmtId="1" fontId="10" fillId="0" borderId="10" xfId="0" applyNumberFormat="1" applyFont="1" applyBorder="1"/>
    <xf numFmtId="38" fontId="8" fillId="0" borderId="10" xfId="0" applyNumberFormat="1" applyFont="1" applyBorder="1"/>
    <xf numFmtId="173" fontId="10" fillId="0" borderId="10" xfId="0" applyNumberFormat="1" applyFont="1" applyBorder="1"/>
    <xf numFmtId="38" fontId="10" fillId="0" borderId="10" xfId="0" applyNumberFormat="1" applyFont="1" applyBorder="1"/>
    <xf numFmtId="174" fontId="10" fillId="0" borderId="10" xfId="0" applyNumberFormat="1" applyFont="1" applyBorder="1"/>
    <xf numFmtId="0" fontId="8" fillId="6" borderId="10" xfId="0" applyFont="1" applyFill="1" applyBorder="1"/>
    <xf numFmtId="1" fontId="9" fillId="6" borderId="10" xfId="0" applyNumberFormat="1" applyFont="1" applyFill="1" applyBorder="1"/>
    <xf numFmtId="3" fontId="10" fillId="6" borderId="10" xfId="0" applyNumberFormat="1" applyFont="1" applyFill="1" applyBorder="1"/>
    <xf numFmtId="167" fontId="9" fillId="6" borderId="10" xfId="0" applyNumberFormat="1" applyFont="1" applyFill="1" applyBorder="1"/>
    <xf numFmtId="2" fontId="10" fillId="6" borderId="10" xfId="0" applyNumberFormat="1" applyFont="1" applyFill="1" applyBorder="1"/>
    <xf numFmtId="3" fontId="9" fillId="6" borderId="10" xfId="0" applyNumberFormat="1" applyFont="1" applyFill="1" applyBorder="1"/>
    <xf numFmtId="168" fontId="10" fillId="6" borderId="10" xfId="0" applyNumberFormat="1" applyFont="1" applyFill="1" applyBorder="1"/>
    <xf numFmtId="167" fontId="10" fillId="6" borderId="10" xfId="0" applyNumberFormat="1" applyFont="1" applyFill="1" applyBorder="1"/>
    <xf numFmtId="9" fontId="10" fillId="6" borderId="10" xfId="0" applyNumberFormat="1" applyFont="1" applyFill="1" applyBorder="1"/>
    <xf numFmtId="169" fontId="10" fillId="6" borderId="10" xfId="0" applyNumberFormat="1" applyFont="1" applyFill="1" applyBorder="1"/>
    <xf numFmtId="0" fontId="10" fillId="6" borderId="10" xfId="0" applyFont="1" applyFill="1" applyBorder="1"/>
    <xf numFmtId="3" fontId="8" fillId="6" borderId="10" xfId="0" applyNumberFormat="1" applyFont="1" applyFill="1" applyBorder="1"/>
    <xf numFmtId="170" fontId="10" fillId="6" borderId="10" xfId="0" applyNumberFormat="1" applyFont="1" applyFill="1" applyBorder="1"/>
    <xf numFmtId="14" fontId="8" fillId="6" borderId="10" xfId="0" applyNumberFormat="1" applyFont="1" applyFill="1" applyBorder="1"/>
    <xf numFmtId="170" fontId="8" fillId="6" borderId="10" xfId="0" applyNumberFormat="1" applyFont="1" applyFill="1" applyBorder="1"/>
    <xf numFmtId="171" fontId="10" fillId="6" borderId="10" xfId="0" applyNumberFormat="1" applyFont="1" applyFill="1" applyBorder="1"/>
    <xf numFmtId="172" fontId="10" fillId="6" borderId="10" xfId="0" applyNumberFormat="1" applyFont="1" applyFill="1" applyBorder="1"/>
    <xf numFmtId="1" fontId="10" fillId="6" borderId="10" xfId="0" applyNumberFormat="1" applyFont="1" applyFill="1" applyBorder="1"/>
    <xf numFmtId="38" fontId="8" fillId="6" borderId="10" xfId="0" applyNumberFormat="1" applyFont="1" applyFill="1" applyBorder="1"/>
    <xf numFmtId="173" fontId="10" fillId="6" borderId="10" xfId="0" applyNumberFormat="1" applyFont="1" applyFill="1" applyBorder="1"/>
    <xf numFmtId="38" fontId="10" fillId="6" borderId="10" xfId="0" applyNumberFormat="1" applyFont="1" applyFill="1" applyBorder="1"/>
    <xf numFmtId="174" fontId="10" fillId="6" borderId="10" xfId="0" applyNumberFormat="1" applyFont="1" applyFill="1" applyBorder="1"/>
    <xf numFmtId="0" fontId="17" fillId="0" borderId="0" xfId="0" applyFont="1"/>
    <xf numFmtId="0" fontId="11" fillId="0" borderId="10" xfId="0" applyFont="1" applyBorder="1"/>
    <xf numFmtId="176" fontId="9" fillId="0" borderId="10" xfId="0" applyNumberFormat="1" applyFont="1" applyBorder="1"/>
    <xf numFmtId="169" fontId="9" fillId="0" borderId="10" xfId="0" applyNumberFormat="1" applyFont="1" applyBorder="1"/>
    <xf numFmtId="166" fontId="9" fillId="0" borderId="10" xfId="0" applyNumberFormat="1" applyFont="1" applyBorder="1"/>
    <xf numFmtId="169" fontId="11" fillId="0" borderId="10" xfId="0" applyNumberFormat="1" applyFont="1" applyBorder="1"/>
    <xf numFmtId="9" fontId="11" fillId="0" borderId="10" xfId="0" applyNumberFormat="1" applyFont="1" applyBorder="1"/>
    <xf numFmtId="166" fontId="11" fillId="0" borderId="10" xfId="0" applyNumberFormat="1" applyFont="1" applyBorder="1"/>
    <xf numFmtId="3" fontId="11" fillId="0" borderId="10" xfId="0" applyNumberFormat="1" applyFont="1" applyBorder="1"/>
    <xf numFmtId="168" fontId="11" fillId="0" borderId="10" xfId="0" applyNumberFormat="1" applyFont="1" applyBorder="1"/>
    <xf numFmtId="1" fontId="11" fillId="0" borderId="10" xfId="0" applyNumberFormat="1" applyFont="1" applyBorder="1"/>
    <xf numFmtId="0" fontId="11" fillId="7" borderId="0" xfId="0" applyFont="1" applyFill="1"/>
    <xf numFmtId="176" fontId="11" fillId="7" borderId="10" xfId="0" applyNumberFormat="1" applyFont="1" applyFill="1" applyBorder="1"/>
    <xf numFmtId="166" fontId="11" fillId="7" borderId="10" xfId="0" applyNumberFormat="1" applyFont="1" applyFill="1" applyBorder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3" fontId="13" fillId="0" borderId="0" xfId="0" applyNumberFormat="1" applyFont="1"/>
    <xf numFmtId="4" fontId="13" fillId="0" borderId="0" xfId="0" applyNumberFormat="1" applyFont="1"/>
    <xf numFmtId="167" fontId="13" fillId="0" borderId="0" xfId="0" applyNumberFormat="1" applyFont="1"/>
    <xf numFmtId="175" fontId="13" fillId="0" borderId="0" xfId="0" applyNumberFormat="1" applyFont="1"/>
    <xf numFmtId="168" fontId="13" fillId="0" borderId="0" xfId="0" applyNumberFormat="1" applyFont="1"/>
    <xf numFmtId="0" fontId="15" fillId="2" borderId="0" xfId="0" applyFont="1" applyFill="1" applyAlignment="1">
      <alignment horizontal="center" vertical="center" wrapText="1"/>
    </xf>
    <xf numFmtId="0" fontId="16" fillId="0" borderId="1" xfId="0" applyFont="1" applyBorder="1"/>
    <xf numFmtId="4" fontId="16" fillId="0" borderId="1" xfId="0" applyNumberFormat="1" applyFont="1" applyBorder="1"/>
    <xf numFmtId="3" fontId="16" fillId="0" borderId="1" xfId="0" applyNumberFormat="1" applyFont="1" applyBorder="1"/>
    <xf numFmtId="164" fontId="16" fillId="0" borderId="1" xfId="0" applyNumberFormat="1" applyFont="1" applyBorder="1"/>
    <xf numFmtId="165" fontId="16" fillId="0" borderId="1" xfId="0" applyNumberFormat="1" applyFont="1" applyBorder="1"/>
    <xf numFmtId="169" fontId="9" fillId="0" borderId="0" xfId="0" applyNumberFormat="1" applyFont="1"/>
    <xf numFmtId="3" fontId="9" fillId="0" borderId="0" xfId="0" applyNumberFormat="1" applyFont="1"/>
    <xf numFmtId="0" fontId="16" fillId="8" borderId="1" xfId="0" applyFont="1" applyFill="1" applyBorder="1"/>
    <xf numFmtId="3" fontId="13" fillId="8" borderId="0" xfId="0" applyNumberFormat="1" applyFont="1" applyFill="1"/>
    <xf numFmtId="4" fontId="16" fillId="8" borderId="1" xfId="0" applyNumberFormat="1" applyFont="1" applyFill="1" applyBorder="1"/>
    <xf numFmtId="3" fontId="16" fillId="8" borderId="1" xfId="0" applyNumberFormat="1" applyFont="1" applyFill="1" applyBorder="1"/>
    <xf numFmtId="167" fontId="13" fillId="8" borderId="0" xfId="0" applyNumberFormat="1" applyFont="1" applyFill="1"/>
    <xf numFmtId="164" fontId="16" fillId="8" borderId="1" xfId="0" applyNumberFormat="1" applyFont="1" applyFill="1" applyBorder="1"/>
    <xf numFmtId="165" fontId="16" fillId="8" borderId="1" xfId="0" applyNumberFormat="1" applyFont="1" applyFill="1" applyBorder="1"/>
    <xf numFmtId="168" fontId="13" fillId="8" borderId="0" xfId="0" applyNumberFormat="1" applyFont="1" applyFill="1"/>
    <xf numFmtId="169" fontId="9" fillId="8" borderId="0" xfId="0" applyNumberFormat="1" applyFont="1" applyFill="1"/>
    <xf numFmtId="3" fontId="9" fillId="8" borderId="0" xfId="0" applyNumberFormat="1" applyFont="1" applyFill="1"/>
    <xf numFmtId="0" fontId="11" fillId="0" borderId="0" xfId="0" applyFont="1"/>
    <xf numFmtId="0" fontId="8" fillId="9" borderId="0" xfId="0" applyFont="1" applyFill="1"/>
    <xf numFmtId="0" fontId="7" fillId="3" borderId="10" xfId="0" applyFont="1" applyFill="1" applyBorder="1" applyAlignment="1">
      <alignment horizontal="center" textRotation="90" wrapText="1"/>
    </xf>
    <xf numFmtId="3" fontId="10" fillId="0" borderId="0" xfId="0" applyNumberFormat="1" applyFont="1"/>
    <xf numFmtId="9" fontId="10" fillId="0" borderId="0" xfId="0" applyNumberFormat="1" applyFont="1"/>
    <xf numFmtId="14" fontId="10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ont>
        <sz val="9"/>
        <color rgb="FFC00000"/>
        <name val="Arial"/>
      </font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4"/>
  <sheetViews>
    <sheetView zoomScale="90" workbookViewId="0">
      <pane xSplit="5" ySplit="7" topLeftCell="F8" activePane="bottomRight" state="frozen"/>
      <selection pane="topRight"/>
      <selection pane="bottomLeft"/>
      <selection pane="bottomRight" activeCell="L13" sqref="L13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15" customWidth="1"/>
    <col min="4" max="4" width="10" customWidth="1"/>
    <col min="5" max="5" width="8" customWidth="1"/>
    <col min="6" max="7" width="9" customWidth="1"/>
    <col min="8" max="8" width="8" customWidth="1"/>
    <col min="9" max="9" width="13" customWidth="1"/>
    <col min="10" max="10" width="12.28515625" customWidth="1"/>
    <col min="11" max="11" width="7" customWidth="1"/>
    <col min="12" max="12" width="13" customWidth="1"/>
    <col min="13" max="13" width="10" customWidth="1"/>
    <col min="14" max="15" width="8" customWidth="1"/>
    <col min="16" max="16" width="9" customWidth="1"/>
    <col min="17" max="17" width="8" customWidth="1"/>
    <col min="18" max="18" width="10" customWidth="1"/>
    <col min="19" max="19" width="8" customWidth="1"/>
    <col min="20" max="20" width="6" customWidth="1"/>
    <col min="21" max="22" width="9" customWidth="1"/>
    <col min="23" max="26" width="10" customWidth="1"/>
    <col min="27" max="27" width="8" customWidth="1"/>
    <col min="28" max="30" width="10" customWidth="1"/>
    <col min="31" max="32" width="9" customWidth="1"/>
    <col min="33" max="34" width="7" customWidth="1"/>
    <col min="35" max="39" width="10" customWidth="1"/>
    <col min="40" max="40" width="9" customWidth="1"/>
    <col min="41" max="41" width="12" customWidth="1"/>
    <col min="42" max="42" width="11" customWidth="1"/>
    <col min="43" max="43" width="12" customWidth="1"/>
    <col min="44" max="46" width="10" customWidth="1"/>
    <col min="47" max="48" width="8" customWidth="1"/>
    <col min="49" max="49" width="10" customWidth="1"/>
  </cols>
  <sheetData>
    <row r="1" spans="1:49" ht="18" x14ac:dyDescent="0.25">
      <c r="A1" s="13" t="s">
        <v>0</v>
      </c>
    </row>
    <row r="2" spans="1:49" x14ac:dyDescent="0.25">
      <c r="A2" s="14" t="s">
        <v>1</v>
      </c>
    </row>
    <row r="3" spans="1:49" x14ac:dyDescent="0.25">
      <c r="A3" s="14" t="s">
        <v>2</v>
      </c>
    </row>
    <row r="4" spans="1:49" x14ac:dyDescent="0.25">
      <c r="A4" s="14" t="s">
        <v>3</v>
      </c>
    </row>
    <row r="5" spans="1:49" x14ac:dyDescent="0.25">
      <c r="A5" s="14" t="s">
        <v>4</v>
      </c>
    </row>
    <row r="6" spans="1:49" x14ac:dyDescent="0.25">
      <c r="A6" s="15" t="s">
        <v>5</v>
      </c>
      <c r="B6" s="15"/>
      <c r="C6" s="15"/>
      <c r="D6" s="15" t="str">
        <f>COUNTA(D8:D474)&amp;" modelos"</f>
        <v>467 modelos</v>
      </c>
      <c r="E6" s="16">
        <f>SUM(E8:E474)</f>
        <v>585</v>
      </c>
      <c r="F6" s="17">
        <f>IFERROR(L6/G6,0)</f>
        <v>139.91250540263536</v>
      </c>
      <c r="G6" s="18">
        <f t="shared" ref="G6:N6" si="0">SUM(G8:G474)</f>
        <v>2721.3566000000174</v>
      </c>
      <c r="H6" s="17">
        <f t="shared" si="0"/>
        <v>1990</v>
      </c>
      <c r="I6" s="17">
        <f t="shared" si="0"/>
        <v>3763</v>
      </c>
      <c r="J6" s="17">
        <f t="shared" si="0"/>
        <v>7265</v>
      </c>
      <c r="K6" s="19">
        <f t="shared" si="0"/>
        <v>97.191307142857639</v>
      </c>
      <c r="L6" s="18">
        <f t="shared" si="0"/>
        <v>380751.81999999983</v>
      </c>
      <c r="M6" s="17">
        <f t="shared" si="0"/>
        <v>543206</v>
      </c>
      <c r="N6" s="17">
        <f t="shared" si="0"/>
        <v>28627</v>
      </c>
      <c r="O6" s="20">
        <f>IFERROR(G6/M6*1000,0)</f>
        <v>5.0098058563418251</v>
      </c>
      <c r="P6" s="18">
        <f>IFERROR(L6/M6*1000,0)</f>
        <v>700.93448894157984</v>
      </c>
      <c r="Q6" s="21">
        <f>IFERROR(R6/G6-1,0)</f>
        <v>0.16596940290735263</v>
      </c>
      <c r="R6" s="18">
        <f>SUM(R8:R474)</f>
        <v>3173.0185300000035</v>
      </c>
      <c r="S6" s="22"/>
      <c r="T6" s="15"/>
      <c r="U6" s="17">
        <f>SUM(U8:U474)</f>
        <v>524645</v>
      </c>
      <c r="V6" s="23">
        <f>SUM(V8:V474)</f>
        <v>-13125</v>
      </c>
      <c r="W6" s="24">
        <f>MIN($W$8:$W$474)</f>
        <v>46188</v>
      </c>
      <c r="X6" s="24">
        <f>MAX($X$8:$X$474)</f>
        <v>46322</v>
      </c>
      <c r="Y6" s="23">
        <f t="shared" ref="Y6:AD6" si="1">SUM(Y8:Y474)</f>
        <v>53198</v>
      </c>
      <c r="Z6" s="25">
        <f t="shared" si="1"/>
        <v>312.15697542201701</v>
      </c>
      <c r="AA6" s="26">
        <f t="shared" si="1"/>
        <v>11.148463407929173</v>
      </c>
      <c r="AB6" s="17">
        <f t="shared" si="1"/>
        <v>278739</v>
      </c>
      <c r="AC6" s="17">
        <f t="shared" si="1"/>
        <v>191199</v>
      </c>
      <c r="AD6" s="17">
        <f t="shared" si="1"/>
        <v>84069</v>
      </c>
      <c r="AE6" s="16">
        <f>IFERROR(AVERAGE(AE8:AE474),0)</f>
        <v>37.471092077087796</v>
      </c>
      <c r="AF6" s="21">
        <f>IFERROR(AVERAGE(AF8:AF474),0)</f>
        <v>0.74942184154175562</v>
      </c>
      <c r="AG6" s="17">
        <f>SUM(AG8:AG474)</f>
        <v>1531</v>
      </c>
      <c r="AH6" s="17">
        <f>SUM(AH8:AH474)</f>
        <v>4638</v>
      </c>
      <c r="AI6" s="22">
        <f>IFERROR(AC6/M6,0)</f>
        <v>0.35198248914776348</v>
      </c>
      <c r="AJ6" s="22">
        <f>IFERROR(AD6/M6,0)</f>
        <v>0.15476449081932084</v>
      </c>
      <c r="AK6" s="18">
        <f>SUM(AK8:AK474)</f>
        <v>745.16204493350756</v>
      </c>
      <c r="AL6" s="27">
        <f>SUM(AL8:AL474)</f>
        <v>245432</v>
      </c>
      <c r="AM6" s="28">
        <f>SUM(AM8:AM474)</f>
        <v>1573.3121507230042</v>
      </c>
      <c r="AN6" s="22">
        <f>IFERROR(AL6/U6,0)</f>
        <v>0.46780584966977673</v>
      </c>
      <c r="AO6" s="27">
        <f>SUM(AO8:AO474)</f>
        <v>259031</v>
      </c>
      <c r="AP6" s="28">
        <f>SUM(AP8:AP474)</f>
        <v>1630.7644732240069</v>
      </c>
      <c r="AQ6" s="22">
        <f>IFERROR((AC6+AD6)/M6,0)</f>
        <v>0.50674697996708429</v>
      </c>
      <c r="AR6" s="24">
        <f>MIN($AR$8:$AR$474)</f>
        <v>46213</v>
      </c>
      <c r="AS6" s="24">
        <f>MIN($AS$8:$AS$474)</f>
        <v>46213</v>
      </c>
      <c r="AT6" s="16">
        <f>IFERROR(AVERAGE($AT$8:$AT$474),"")</f>
        <v>10.753554502369669</v>
      </c>
      <c r="AU6" s="16"/>
      <c r="AV6" s="16"/>
      <c r="AW6" s="29"/>
    </row>
    <row r="7" spans="1:49" ht="39.950000000000003" customHeight="1" x14ac:dyDescent="0.25">
      <c r="A7" s="30" t="s">
        <v>6</v>
      </c>
      <c r="B7" s="30" t="s">
        <v>7</v>
      </c>
      <c r="C7" s="30" t="s">
        <v>8</v>
      </c>
      <c r="D7" s="30" t="s">
        <v>9</v>
      </c>
      <c r="E7" s="30" t="s">
        <v>10</v>
      </c>
      <c r="F7" s="31" t="s">
        <v>11</v>
      </c>
      <c r="G7" s="30" t="s">
        <v>12</v>
      </c>
      <c r="H7" s="31" t="s">
        <v>13</v>
      </c>
      <c r="I7" s="31" t="s">
        <v>14</v>
      </c>
      <c r="J7" s="31" t="s">
        <v>15</v>
      </c>
      <c r="K7" s="31" t="s">
        <v>16</v>
      </c>
      <c r="L7" s="30" t="s">
        <v>17</v>
      </c>
      <c r="M7" s="30" t="s">
        <v>18</v>
      </c>
      <c r="N7" s="30" t="s">
        <v>19</v>
      </c>
      <c r="O7" s="31" t="s">
        <v>20</v>
      </c>
      <c r="P7" s="31" t="s">
        <v>21</v>
      </c>
      <c r="Q7" s="31" t="s">
        <v>22</v>
      </c>
      <c r="R7" s="31" t="s">
        <v>23</v>
      </c>
      <c r="S7" s="31" t="s">
        <v>24</v>
      </c>
      <c r="T7" s="31" t="s">
        <v>25</v>
      </c>
      <c r="U7" s="32" t="s">
        <v>26</v>
      </c>
      <c r="V7" s="31" t="s">
        <v>27</v>
      </c>
      <c r="W7" s="32" t="s">
        <v>28</v>
      </c>
      <c r="X7" s="32" t="s">
        <v>29</v>
      </c>
      <c r="Y7" s="32" t="s">
        <v>30</v>
      </c>
      <c r="Z7" s="31" t="s">
        <v>31</v>
      </c>
      <c r="AA7" s="31" t="s">
        <v>32</v>
      </c>
      <c r="AB7" s="32" t="s">
        <v>33</v>
      </c>
      <c r="AC7" s="32" t="s">
        <v>34</v>
      </c>
      <c r="AD7" s="32" t="s">
        <v>35</v>
      </c>
      <c r="AE7" s="31" t="s">
        <v>36</v>
      </c>
      <c r="AF7" s="31" t="s">
        <v>37</v>
      </c>
      <c r="AG7" s="32" t="s">
        <v>38</v>
      </c>
      <c r="AH7" s="32" t="s">
        <v>39</v>
      </c>
      <c r="AI7" s="31" t="s">
        <v>40</v>
      </c>
      <c r="AJ7" s="31" t="s">
        <v>41</v>
      </c>
      <c r="AK7" s="31" t="s">
        <v>42</v>
      </c>
      <c r="AL7" s="32" t="s">
        <v>43</v>
      </c>
      <c r="AM7" s="31" t="s">
        <v>44</v>
      </c>
      <c r="AN7" s="31" t="s">
        <v>45</v>
      </c>
      <c r="AO7" s="31" t="s">
        <v>46</v>
      </c>
      <c r="AP7" s="31" t="s">
        <v>47</v>
      </c>
      <c r="AQ7" s="31" t="s">
        <v>48</v>
      </c>
      <c r="AR7" s="32" t="s">
        <v>49</v>
      </c>
      <c r="AS7" s="32" t="s">
        <v>50</v>
      </c>
      <c r="AT7" s="31" t="s">
        <v>51</v>
      </c>
      <c r="AU7" s="31" t="s">
        <v>52</v>
      </c>
      <c r="AV7" s="31" t="s">
        <v>53</v>
      </c>
      <c r="AW7" s="31" t="s">
        <v>54</v>
      </c>
    </row>
    <row r="8" spans="1:49" x14ac:dyDescent="0.25">
      <c r="A8" s="33" t="s">
        <v>55</v>
      </c>
      <c r="B8" s="33" t="s">
        <v>56</v>
      </c>
      <c r="C8" s="33" t="s">
        <v>57</v>
      </c>
      <c r="D8" s="33" t="s">
        <v>58</v>
      </c>
      <c r="E8" s="34">
        <f>COUNTIF('Detalle por artículo'!$K$8:$K$592,D8)</f>
        <v>5</v>
      </c>
      <c r="F8" s="35">
        <f t="shared" ref="F8:F71" si="2">IFERROR(L8/G8,0)</f>
        <v>89.795094007050523</v>
      </c>
      <c r="G8" s="36">
        <f>SUMIF('Detalle por artículo'!$K$8:$K$592,$D8,'Detalle por artículo'!$E$8:$E$592)</f>
        <v>81.695999999999998</v>
      </c>
      <c r="H8" s="35">
        <f t="shared" ref="H8:H71" si="3">ROUNDUP(G8/1.54,0)</f>
        <v>54</v>
      </c>
      <c r="I8" s="35">
        <f t="shared" ref="I8:I71" si="4">ROUNDUP(G8/0.77,0)</f>
        <v>107</v>
      </c>
      <c r="J8" s="35">
        <f t="shared" ref="J8:J71" si="5">ROUNDUP(G8/0.385,0)</f>
        <v>213</v>
      </c>
      <c r="K8" s="37">
        <f t="shared" ref="K8:K71" si="6">G8/28</f>
        <v>2.9177142857142857</v>
      </c>
      <c r="L8" s="36">
        <f>SUMIF('Detalle por artículo'!$K$8:$K$592,$D8,'Detalle por artículo'!$O$8:$O$592)</f>
        <v>7335.9</v>
      </c>
      <c r="M8" s="38">
        <f>SUMIF('Detalle por artículo'!$K$8:$K$592,$D8,'Detalle por artículo'!$I$8:$I$592)</f>
        <v>6812</v>
      </c>
      <c r="N8" s="38">
        <f>SUMIF('Detalle por artículo'!$K$8:$K$592,$D8,'Detalle por artículo'!$M$8:$M$592)</f>
        <v>851</v>
      </c>
      <c r="O8" s="39">
        <f t="shared" ref="O8:O71" si="7">IFERROR(G8/M8*1000,0)</f>
        <v>11.992953611274221</v>
      </c>
      <c r="P8" s="40">
        <f t="shared" ref="P8:P71" si="8">IFERROR(L8/M8*1000,0)</f>
        <v>1076.9083969465648</v>
      </c>
      <c r="Q8" s="41">
        <f t="shared" ref="Q8:Q71" si="9">IF(F8=0,0,IF(F8&lt;120,0.2,IF(F8&gt;200,0.1,0.15)))</f>
        <v>0.2</v>
      </c>
      <c r="R8" s="40">
        <f t="shared" ref="R8:R71" si="10">G8*(1+Q8)</f>
        <v>98.035199999999989</v>
      </c>
      <c r="S8" s="42">
        <f>IFERROR(SUM($G$8:G8)/$G$6,0)</f>
        <v>3.0020321482307565E-2</v>
      </c>
      <c r="T8" s="43" t="str">
        <f t="shared" ref="T8:T71" si="11">IF(S8&lt;=0.5,"A",IF(S8&lt;=0.84,"B","C"))</f>
        <v>A</v>
      </c>
      <c r="U8" s="44">
        <v>6813</v>
      </c>
      <c r="V8" s="45">
        <f t="shared" ref="V8:V39" si="12">U8-M8</f>
        <v>1</v>
      </c>
      <c r="W8" s="46">
        <v>46258</v>
      </c>
      <c r="X8" s="46">
        <v>46259</v>
      </c>
      <c r="Y8" s="47">
        <v>28</v>
      </c>
      <c r="Z8" s="48">
        <f t="shared" ref="Z8:Z71" si="13">Y8*O8/1000</f>
        <v>0.33580270111567817</v>
      </c>
      <c r="AA8" s="49">
        <f t="shared" ref="AA8:AA71" si="14">Z8/28</f>
        <v>1.1992953611274221E-2</v>
      </c>
      <c r="AB8" s="44">
        <v>1449</v>
      </c>
      <c r="AC8" s="44">
        <f t="shared" ref="AC8:AC71" si="15">IFERROR(INDEX(IMP_TOT,MATCH(D8,IMP_MOD,0)),0)</f>
        <v>829</v>
      </c>
      <c r="AD8" s="44">
        <f t="shared" ref="AD8:AD71" si="16">IFERROR(INDEX(REP_TOT,MATCH(D8,REP_MOD,0)),0)</f>
        <v>556</v>
      </c>
      <c r="AE8" s="50">
        <f t="shared" ref="AE8:AE71" si="17">IFERROR(INDEX(IMP_NT,MATCH(D8,IMP_MOD,0)),0)</f>
        <v>46</v>
      </c>
      <c r="AF8" s="41">
        <f t="shared" ref="AF8:AF71" si="18">IFERROR(AE8/TIENDAS,0)</f>
        <v>0.92</v>
      </c>
      <c r="AG8" s="44">
        <v>33</v>
      </c>
      <c r="AH8" s="44">
        <v>32</v>
      </c>
      <c r="AI8" s="42">
        <f t="shared" ref="AI8:AI39" si="19">IFERROR(AC8/M8,0)</f>
        <v>0.12169700528479155</v>
      </c>
      <c r="AJ8" s="42">
        <f t="shared" ref="AJ8:AJ39" si="20">IFERROR(AD8/M8,0)</f>
        <v>8.1620669406928956E-2</v>
      </c>
      <c r="AK8" s="40">
        <f t="shared" ref="AK8:AK71" si="21">AC8*O8/1000</f>
        <v>9.9421585437463289</v>
      </c>
      <c r="AL8" s="51">
        <v>5356</v>
      </c>
      <c r="AM8" s="52">
        <f t="shared" ref="AM8:AM71" si="22">AL8*O8/1000</f>
        <v>64.234259541984727</v>
      </c>
      <c r="AN8" s="42">
        <f t="shared" ref="AN8:AN39" si="23">IFERROR(AL8/U8,0)</f>
        <v>0.78614413621018642</v>
      </c>
      <c r="AO8" s="53">
        <f t="shared" ref="AO8:AO39" si="24">M8-AB8</f>
        <v>5363</v>
      </c>
      <c r="AP8" s="52">
        <f t="shared" ref="AP8:AP39" si="25">AO8*O8/1000</f>
        <v>64.318210217263641</v>
      </c>
      <c r="AQ8" s="42">
        <f t="shared" ref="AQ8:AQ39" si="26">IFERROR((AC8+AD8)/M8,0)</f>
        <v>0.20331767469172049</v>
      </c>
      <c r="AR8" s="46">
        <v>46268</v>
      </c>
      <c r="AS8" s="46">
        <v>46268</v>
      </c>
      <c r="AT8" s="50">
        <f t="shared" ref="AT8:AT39" si="27">IF(OR(W8="",AS8=""),"",AS8-W8)</f>
        <v>10</v>
      </c>
      <c r="AU8" s="50">
        <f t="shared" ref="AU8:AU71" si="28">IF(M8=0,"",RANK(M8,$M$8:$M$474))</f>
        <v>1</v>
      </c>
      <c r="AV8" s="50">
        <f t="shared" ref="AV8:AV39" si="29">IF(AB8=0,"",RANK(AB8,$AB$8:$AB$474))</f>
        <v>26</v>
      </c>
      <c r="AW8" s="54">
        <f t="shared" ref="AW8:AW39" si="30">IF(OR(AU8="",AV8=""),"",AU8-AV8)</f>
        <v>-25</v>
      </c>
    </row>
    <row r="9" spans="1:49" x14ac:dyDescent="0.25">
      <c r="A9" s="33" t="s">
        <v>55</v>
      </c>
      <c r="B9" s="33" t="s">
        <v>56</v>
      </c>
      <c r="C9" s="33" t="s">
        <v>57</v>
      </c>
      <c r="D9" s="33" t="s">
        <v>59</v>
      </c>
      <c r="E9" s="34">
        <f>COUNTIF('Detalle por artículo'!$K$8:$K$592,D9)</f>
        <v>4</v>
      </c>
      <c r="F9" s="35">
        <f t="shared" si="2"/>
        <v>65.426864120550789</v>
      </c>
      <c r="G9" s="36">
        <f>SUMIF('Detalle por artículo'!$K$8:$K$592,$D9,'Detalle por artículo'!$E$8:$E$592)</f>
        <v>76.98</v>
      </c>
      <c r="H9" s="35">
        <f t="shared" si="3"/>
        <v>50</v>
      </c>
      <c r="I9" s="35">
        <f t="shared" si="4"/>
        <v>100</v>
      </c>
      <c r="J9" s="35">
        <f t="shared" si="5"/>
        <v>200</v>
      </c>
      <c r="K9" s="37">
        <f t="shared" si="6"/>
        <v>2.7492857142857146</v>
      </c>
      <c r="L9" s="36">
        <f>SUMIF('Detalle por artículo'!$K$8:$K$592,$D9,'Detalle por artículo'!$O$8:$O$592)</f>
        <v>5036.5599999999995</v>
      </c>
      <c r="M9" s="38">
        <f>SUMIF('Detalle por artículo'!$K$8:$K$592,$D9,'Detalle por artículo'!$I$8:$I$592)</f>
        <v>5606</v>
      </c>
      <c r="N9" s="38">
        <f>SUMIF('Detalle por artículo'!$K$8:$K$592,$D9,'Detalle por artículo'!$M$8:$M$592)</f>
        <v>802</v>
      </c>
      <c r="O9" s="39">
        <f t="shared" si="7"/>
        <v>13.731716018551552</v>
      </c>
      <c r="P9" s="40">
        <f t="shared" si="8"/>
        <v>898.42311808776299</v>
      </c>
      <c r="Q9" s="41">
        <f t="shared" si="9"/>
        <v>0.2</v>
      </c>
      <c r="R9" s="40">
        <f t="shared" si="10"/>
        <v>92.376000000000005</v>
      </c>
      <c r="S9" s="42">
        <f>IFERROR(SUM($G$8:G9)/$G$6,0)</f>
        <v>5.8307683748612359E-2</v>
      </c>
      <c r="T9" s="43" t="str">
        <f t="shared" si="11"/>
        <v>A</v>
      </c>
      <c r="U9" s="44">
        <v>5606</v>
      </c>
      <c r="V9" s="45">
        <f t="shared" si="12"/>
        <v>0</v>
      </c>
      <c r="W9" s="46">
        <v>46239</v>
      </c>
      <c r="X9" s="46">
        <v>46239</v>
      </c>
      <c r="Y9" s="47">
        <v>0</v>
      </c>
      <c r="Z9" s="48">
        <f t="shared" si="13"/>
        <v>0</v>
      </c>
      <c r="AA9" s="49">
        <f t="shared" si="14"/>
        <v>0</v>
      </c>
      <c r="AB9" s="44">
        <v>2006</v>
      </c>
      <c r="AC9" s="44">
        <f t="shared" si="15"/>
        <v>1372</v>
      </c>
      <c r="AD9" s="44">
        <f t="shared" si="16"/>
        <v>553</v>
      </c>
      <c r="AE9" s="50">
        <f t="shared" si="17"/>
        <v>41</v>
      </c>
      <c r="AF9" s="41">
        <f t="shared" si="18"/>
        <v>0.82</v>
      </c>
      <c r="AG9" s="44">
        <v>21</v>
      </c>
      <c r="AH9" s="44">
        <v>60</v>
      </c>
      <c r="AI9" s="42">
        <f t="shared" si="19"/>
        <v>0.24473778094898324</v>
      </c>
      <c r="AJ9" s="42">
        <f t="shared" si="20"/>
        <v>9.8644309668212624E-2</v>
      </c>
      <c r="AK9" s="40">
        <f t="shared" si="21"/>
        <v>18.839914377452729</v>
      </c>
      <c r="AL9" s="51">
        <v>3639</v>
      </c>
      <c r="AM9" s="52">
        <f t="shared" si="22"/>
        <v>49.969714591509096</v>
      </c>
      <c r="AN9" s="42">
        <f t="shared" si="23"/>
        <v>0.64912593649661077</v>
      </c>
      <c r="AO9" s="53">
        <f t="shared" si="24"/>
        <v>3600</v>
      </c>
      <c r="AP9" s="52">
        <f t="shared" si="25"/>
        <v>49.434177666785587</v>
      </c>
      <c r="AQ9" s="42">
        <f t="shared" si="26"/>
        <v>0.34338209061719588</v>
      </c>
      <c r="AR9" s="46">
        <v>46254</v>
      </c>
      <c r="AS9" s="46">
        <v>46255</v>
      </c>
      <c r="AT9" s="50">
        <f t="shared" si="27"/>
        <v>16</v>
      </c>
      <c r="AU9" s="50">
        <f t="shared" si="28"/>
        <v>7</v>
      </c>
      <c r="AV9" s="50">
        <f t="shared" si="29"/>
        <v>11</v>
      </c>
      <c r="AW9" s="54">
        <f t="shared" si="30"/>
        <v>-4</v>
      </c>
    </row>
    <row r="10" spans="1:49" x14ac:dyDescent="0.25">
      <c r="A10" s="33" t="s">
        <v>55</v>
      </c>
      <c r="B10" s="33" t="s">
        <v>56</v>
      </c>
      <c r="C10" s="33" t="s">
        <v>57</v>
      </c>
      <c r="D10" s="33" t="s">
        <v>60</v>
      </c>
      <c r="E10" s="34">
        <f>COUNTIF('Detalle por artículo'!$K$8:$K$592,D10)</f>
        <v>6</v>
      </c>
      <c r="F10" s="35">
        <f t="shared" si="2"/>
        <v>107.04091089633259</v>
      </c>
      <c r="G10" s="36">
        <f>SUMIF('Detalle por artículo'!$K$8:$K$592,$D10,'Detalle por artículo'!$E$8:$E$592)</f>
        <v>75.53</v>
      </c>
      <c r="H10" s="35">
        <f t="shared" si="3"/>
        <v>50</v>
      </c>
      <c r="I10" s="35">
        <f t="shared" si="4"/>
        <v>99</v>
      </c>
      <c r="J10" s="35">
        <f t="shared" si="5"/>
        <v>197</v>
      </c>
      <c r="K10" s="37">
        <f t="shared" si="6"/>
        <v>2.6975000000000002</v>
      </c>
      <c r="L10" s="36">
        <f>SUMIF('Detalle por artículo'!$K$8:$K$592,$D10,'Detalle por artículo'!$O$8:$O$592)</f>
        <v>8084.8</v>
      </c>
      <c r="M10" s="38">
        <f>SUMIF('Detalle por artículo'!$K$8:$K$592,$D10,'Detalle por artículo'!$I$8:$I$592)</f>
        <v>5459</v>
      </c>
      <c r="N10" s="38">
        <f>SUMIF('Detalle por artículo'!$K$8:$K$592,$D10,'Detalle por artículo'!$M$8:$M$592)</f>
        <v>780</v>
      </c>
      <c r="O10" s="39">
        <f t="shared" si="7"/>
        <v>13.835867374977102</v>
      </c>
      <c r="P10" s="40">
        <f t="shared" si="8"/>
        <v>1481.0038468583991</v>
      </c>
      <c r="Q10" s="41">
        <f t="shared" si="9"/>
        <v>0.2</v>
      </c>
      <c r="R10" s="40">
        <f t="shared" si="10"/>
        <v>90.635999999999996</v>
      </c>
      <c r="S10" s="42">
        <f>IFERROR(SUM($G$8:G10)/$G$6,0)</f>
        <v>8.6062223524839956E-2</v>
      </c>
      <c r="T10" s="43" t="str">
        <f t="shared" si="11"/>
        <v>A</v>
      </c>
      <c r="U10" s="44">
        <v>5465</v>
      </c>
      <c r="V10" s="45">
        <f t="shared" si="12"/>
        <v>6</v>
      </c>
      <c r="W10" s="46">
        <v>46258</v>
      </c>
      <c r="X10" s="46">
        <v>46283</v>
      </c>
      <c r="Y10" s="47">
        <v>28</v>
      </c>
      <c r="Z10" s="48">
        <f t="shared" si="13"/>
        <v>0.38740428649935887</v>
      </c>
      <c r="AA10" s="49">
        <f t="shared" si="14"/>
        <v>1.3835867374977103E-2</v>
      </c>
      <c r="AB10" s="44">
        <v>1246</v>
      </c>
      <c r="AC10" s="44">
        <f t="shared" si="15"/>
        <v>870</v>
      </c>
      <c r="AD10" s="44">
        <f t="shared" si="16"/>
        <v>363</v>
      </c>
      <c r="AE10" s="50">
        <f t="shared" si="17"/>
        <v>48</v>
      </c>
      <c r="AF10" s="41">
        <f t="shared" si="18"/>
        <v>0.96</v>
      </c>
      <c r="AG10" s="44">
        <v>13</v>
      </c>
      <c r="AH10" s="44">
        <v>0</v>
      </c>
      <c r="AI10" s="42">
        <f t="shared" si="19"/>
        <v>0.15936984795750136</v>
      </c>
      <c r="AJ10" s="42">
        <f t="shared" si="20"/>
        <v>6.6495695182267819E-2</v>
      </c>
      <c r="AK10" s="40">
        <f t="shared" si="21"/>
        <v>12.037204616230079</v>
      </c>
      <c r="AL10" s="51">
        <v>4218</v>
      </c>
      <c r="AM10" s="52">
        <f t="shared" si="22"/>
        <v>58.359688587653416</v>
      </c>
      <c r="AN10" s="42">
        <f t="shared" si="23"/>
        <v>0.77182067703568158</v>
      </c>
      <c r="AO10" s="53">
        <f t="shared" si="24"/>
        <v>4213</v>
      </c>
      <c r="AP10" s="52">
        <f t="shared" si="25"/>
        <v>58.290509250778527</v>
      </c>
      <c r="AQ10" s="42">
        <f t="shared" si="26"/>
        <v>0.2258655431397692</v>
      </c>
      <c r="AR10" s="46">
        <v>46268</v>
      </c>
      <c r="AS10" s="46">
        <v>46268</v>
      </c>
      <c r="AT10" s="50">
        <f t="shared" si="27"/>
        <v>10</v>
      </c>
      <c r="AU10" s="50">
        <f t="shared" si="28"/>
        <v>9</v>
      </c>
      <c r="AV10" s="50">
        <f t="shared" si="29"/>
        <v>44</v>
      </c>
      <c r="AW10" s="54">
        <f t="shared" si="30"/>
        <v>-35</v>
      </c>
    </row>
    <row r="11" spans="1:49" x14ac:dyDescent="0.25">
      <c r="A11" s="33" t="s">
        <v>55</v>
      </c>
      <c r="B11" s="33" t="s">
        <v>56</v>
      </c>
      <c r="C11" s="33" t="s">
        <v>57</v>
      </c>
      <c r="D11" s="33" t="s">
        <v>61</v>
      </c>
      <c r="E11" s="34">
        <f>COUNTIF('Detalle por artículo'!$K$8:$K$592,D11)</f>
        <v>4</v>
      </c>
      <c r="F11" s="35">
        <f t="shared" si="2"/>
        <v>78.550359712230218</v>
      </c>
      <c r="G11" s="36">
        <f>SUMIF('Detalle por artículo'!$K$8:$K$592,$D11,'Detalle por artículo'!$E$8:$E$592)</f>
        <v>72.28</v>
      </c>
      <c r="H11" s="35">
        <f t="shared" si="3"/>
        <v>47</v>
      </c>
      <c r="I11" s="35">
        <f t="shared" si="4"/>
        <v>94</v>
      </c>
      <c r="J11" s="35">
        <f t="shared" si="5"/>
        <v>188</v>
      </c>
      <c r="K11" s="37">
        <f t="shared" si="6"/>
        <v>2.5814285714285714</v>
      </c>
      <c r="L11" s="36">
        <f>SUMIF('Detalle por artículo'!$K$8:$K$592,$D11,'Detalle por artículo'!$O$8:$O$592)</f>
        <v>5677.62</v>
      </c>
      <c r="M11" s="38">
        <f>SUMIF('Detalle por artículo'!$K$8:$K$592,$D11,'Detalle por artículo'!$I$8:$I$592)</f>
        <v>5261</v>
      </c>
      <c r="N11" s="38">
        <f>SUMIF('Detalle por artículo'!$K$8:$K$592,$D11,'Detalle por artículo'!$M$8:$M$592)</f>
        <v>753</v>
      </c>
      <c r="O11" s="39">
        <f t="shared" si="7"/>
        <v>13.738832921497815</v>
      </c>
      <c r="P11" s="40">
        <f t="shared" si="8"/>
        <v>1079.190268009884</v>
      </c>
      <c r="Q11" s="41">
        <f t="shared" si="9"/>
        <v>0.2</v>
      </c>
      <c r="R11" s="40">
        <f t="shared" si="10"/>
        <v>86.736000000000004</v>
      </c>
      <c r="S11" s="42">
        <f>IFERROR(SUM($G$8:G11)/$G$6,0)</f>
        <v>0.11262250599572214</v>
      </c>
      <c r="T11" s="43" t="str">
        <f t="shared" si="11"/>
        <v>A</v>
      </c>
      <c r="U11" s="44">
        <v>5263</v>
      </c>
      <c r="V11" s="45">
        <f t="shared" si="12"/>
        <v>2</v>
      </c>
      <c r="W11" s="46">
        <v>46239</v>
      </c>
      <c r="X11" s="46">
        <v>46239</v>
      </c>
      <c r="Y11" s="47">
        <v>21</v>
      </c>
      <c r="Z11" s="48">
        <f t="shared" si="13"/>
        <v>0.2885154913514541</v>
      </c>
      <c r="AA11" s="49">
        <f t="shared" si="14"/>
        <v>1.0304124691123361E-2</v>
      </c>
      <c r="AB11" s="44">
        <v>2207</v>
      </c>
      <c r="AC11" s="44">
        <f t="shared" si="15"/>
        <v>1473</v>
      </c>
      <c r="AD11" s="44">
        <f t="shared" si="16"/>
        <v>672</v>
      </c>
      <c r="AE11" s="50">
        <f t="shared" si="17"/>
        <v>45</v>
      </c>
      <c r="AF11" s="41">
        <f t="shared" si="18"/>
        <v>0.9</v>
      </c>
      <c r="AG11" s="44">
        <v>11</v>
      </c>
      <c r="AH11" s="44">
        <v>60</v>
      </c>
      <c r="AI11" s="42">
        <f t="shared" si="19"/>
        <v>0.27998479376544383</v>
      </c>
      <c r="AJ11" s="42">
        <f t="shared" si="20"/>
        <v>0.12773237027181145</v>
      </c>
      <c r="AK11" s="40">
        <f t="shared" si="21"/>
        <v>20.237300893366282</v>
      </c>
      <c r="AL11" s="51">
        <v>3060</v>
      </c>
      <c r="AM11" s="52">
        <f t="shared" si="22"/>
        <v>42.040828739783315</v>
      </c>
      <c r="AN11" s="42">
        <f t="shared" si="23"/>
        <v>0.58141744252327565</v>
      </c>
      <c r="AO11" s="53">
        <f t="shared" si="24"/>
        <v>3054</v>
      </c>
      <c r="AP11" s="52">
        <f t="shared" si="25"/>
        <v>41.958395742254325</v>
      </c>
      <c r="AQ11" s="42">
        <f t="shared" si="26"/>
        <v>0.40771716403725528</v>
      </c>
      <c r="AR11" s="46">
        <v>46254</v>
      </c>
      <c r="AS11" s="46">
        <v>46255</v>
      </c>
      <c r="AT11" s="50">
        <f t="shared" si="27"/>
        <v>16</v>
      </c>
      <c r="AU11" s="50">
        <f t="shared" si="28"/>
        <v>10</v>
      </c>
      <c r="AV11" s="50">
        <f t="shared" si="29"/>
        <v>6</v>
      </c>
      <c r="AW11" s="54">
        <f t="shared" si="30"/>
        <v>4</v>
      </c>
    </row>
    <row r="12" spans="1:49" x14ac:dyDescent="0.25">
      <c r="A12" s="33" t="s">
        <v>55</v>
      </c>
      <c r="B12" s="33" t="s">
        <v>56</v>
      </c>
      <c r="C12" s="33" t="s">
        <v>57</v>
      </c>
      <c r="D12" s="33" t="s">
        <v>62</v>
      </c>
      <c r="E12" s="34">
        <f>COUNTIF('Detalle por artículo'!$K$8:$K$592,D12)</f>
        <v>4</v>
      </c>
      <c r="F12" s="35">
        <f t="shared" si="2"/>
        <v>80.911111111111111</v>
      </c>
      <c r="G12" s="36">
        <f>SUMIF('Detalle por artículo'!$K$8:$K$592,$D12,'Detalle por artículo'!$E$8:$E$592)</f>
        <v>72</v>
      </c>
      <c r="H12" s="35">
        <f t="shared" si="3"/>
        <v>47</v>
      </c>
      <c r="I12" s="35">
        <f t="shared" si="4"/>
        <v>94</v>
      </c>
      <c r="J12" s="35">
        <f t="shared" si="5"/>
        <v>188</v>
      </c>
      <c r="K12" s="37">
        <f t="shared" si="6"/>
        <v>2.5714285714285716</v>
      </c>
      <c r="L12" s="36">
        <f>SUMIF('Detalle por artículo'!$K$8:$K$592,$D12,'Detalle por artículo'!$O$8:$O$592)</f>
        <v>5825.6</v>
      </c>
      <c r="M12" s="38">
        <f>SUMIF('Detalle por artículo'!$K$8:$K$592,$D12,'Detalle por artículo'!$I$8:$I$592)</f>
        <v>5994</v>
      </c>
      <c r="N12" s="38">
        <f>SUMIF('Detalle por artículo'!$K$8:$K$592,$D12,'Detalle por artículo'!$M$8:$M$592)</f>
        <v>750</v>
      </c>
      <c r="O12" s="39">
        <f t="shared" si="7"/>
        <v>12.012012012012011</v>
      </c>
      <c r="P12" s="40">
        <f t="shared" si="8"/>
        <v>971.90523857190522</v>
      </c>
      <c r="Q12" s="41">
        <f t="shared" si="9"/>
        <v>0.2</v>
      </c>
      <c r="R12" s="40">
        <f t="shared" si="10"/>
        <v>86.399999999999991</v>
      </c>
      <c r="S12" s="42">
        <f>IFERROR(SUM($G$8:G12)/$G$6,0)</f>
        <v>0.13907989860645151</v>
      </c>
      <c r="T12" s="43" t="str">
        <f t="shared" si="11"/>
        <v>A</v>
      </c>
      <c r="U12" s="44">
        <v>5999</v>
      </c>
      <c r="V12" s="45">
        <f t="shared" si="12"/>
        <v>5</v>
      </c>
      <c r="W12" s="46">
        <v>46258</v>
      </c>
      <c r="X12" s="46">
        <v>46259</v>
      </c>
      <c r="Y12" s="47">
        <v>39</v>
      </c>
      <c r="Z12" s="48">
        <f t="shared" si="13"/>
        <v>0.4684684684684684</v>
      </c>
      <c r="AA12" s="49">
        <f t="shared" si="14"/>
        <v>1.6731016731016728E-2</v>
      </c>
      <c r="AB12" s="44">
        <v>671</v>
      </c>
      <c r="AC12" s="44">
        <f t="shared" si="15"/>
        <v>482</v>
      </c>
      <c r="AD12" s="44">
        <f t="shared" si="16"/>
        <v>158</v>
      </c>
      <c r="AE12" s="50">
        <f t="shared" si="17"/>
        <v>45</v>
      </c>
      <c r="AF12" s="41">
        <f t="shared" si="18"/>
        <v>0.9</v>
      </c>
      <c r="AG12" s="44">
        <v>23</v>
      </c>
      <c r="AH12" s="44">
        <v>8</v>
      </c>
      <c r="AI12" s="42">
        <f t="shared" si="19"/>
        <v>8.0413747080413753E-2</v>
      </c>
      <c r="AJ12" s="42">
        <f t="shared" si="20"/>
        <v>2.6359693026359692E-2</v>
      </c>
      <c r="AK12" s="40">
        <f t="shared" si="21"/>
        <v>5.789789789789789</v>
      </c>
      <c r="AL12" s="51">
        <v>5332</v>
      </c>
      <c r="AM12" s="52">
        <f t="shared" si="22"/>
        <v>64.048048048048045</v>
      </c>
      <c r="AN12" s="42">
        <f t="shared" si="23"/>
        <v>0.88881480246707789</v>
      </c>
      <c r="AO12" s="53">
        <f t="shared" si="24"/>
        <v>5323</v>
      </c>
      <c r="AP12" s="52">
        <f t="shared" si="25"/>
        <v>63.939939939939933</v>
      </c>
      <c r="AQ12" s="42">
        <f t="shared" si="26"/>
        <v>0.10677344010677343</v>
      </c>
      <c r="AR12" s="46">
        <v>46268</v>
      </c>
      <c r="AS12" s="46">
        <v>46268</v>
      </c>
      <c r="AT12" s="50">
        <f t="shared" si="27"/>
        <v>10</v>
      </c>
      <c r="AU12" s="50">
        <f t="shared" si="28"/>
        <v>4</v>
      </c>
      <c r="AV12" s="50">
        <f t="shared" si="29"/>
        <v>142</v>
      </c>
      <c r="AW12" s="54">
        <f t="shared" si="30"/>
        <v>-138</v>
      </c>
    </row>
    <row r="13" spans="1:49" x14ac:dyDescent="0.25">
      <c r="A13" s="33" t="s">
        <v>63</v>
      </c>
      <c r="B13" s="33" t="s">
        <v>64</v>
      </c>
      <c r="C13" s="33" t="s">
        <v>57</v>
      </c>
      <c r="D13" s="33" t="s">
        <v>65</v>
      </c>
      <c r="E13" s="34">
        <f>COUNTIF('Detalle por artículo'!$K$8:$K$592,D13)</f>
        <v>5</v>
      </c>
      <c r="F13" s="35">
        <f t="shared" si="2"/>
        <v>98.429662562699505</v>
      </c>
      <c r="G13" s="36">
        <f>SUMIF('Detalle por artículo'!$K$8:$K$592,$D13,'Detalle por artículo'!$E$8:$E$592)</f>
        <v>70.176000000000002</v>
      </c>
      <c r="H13" s="35">
        <f t="shared" si="3"/>
        <v>46</v>
      </c>
      <c r="I13" s="35">
        <f t="shared" si="4"/>
        <v>92</v>
      </c>
      <c r="J13" s="35">
        <f t="shared" si="5"/>
        <v>183</v>
      </c>
      <c r="K13" s="37">
        <f t="shared" si="6"/>
        <v>2.5062857142857142</v>
      </c>
      <c r="L13" s="36">
        <f>SUMIF('Detalle por artículo'!$K$8:$K$592,$D13,'Detalle por artículo'!$O$8:$O$592)</f>
        <v>6907.4000000000005</v>
      </c>
      <c r="M13" s="38">
        <f>SUMIF('Detalle por artículo'!$K$8:$K$592,$D13,'Detalle por artículo'!$I$8:$I$592)</f>
        <v>5840</v>
      </c>
      <c r="N13" s="38">
        <f>SUMIF('Detalle por artículo'!$K$8:$K$592,$D13,'Detalle por artículo'!$M$8:$M$592)</f>
        <v>731</v>
      </c>
      <c r="O13" s="39">
        <f t="shared" si="7"/>
        <v>12.016438356164384</v>
      </c>
      <c r="P13" s="40">
        <f t="shared" si="8"/>
        <v>1182.7739726027398</v>
      </c>
      <c r="Q13" s="41">
        <f t="shared" si="9"/>
        <v>0.2</v>
      </c>
      <c r="R13" s="40">
        <f t="shared" si="10"/>
        <v>84.211200000000005</v>
      </c>
      <c r="S13" s="42">
        <f>IFERROR(SUM($G$8:G13)/$G$6,0)</f>
        <v>0.16486703727104235</v>
      </c>
      <c r="T13" s="43" t="str">
        <f t="shared" si="11"/>
        <v>A</v>
      </c>
      <c r="U13" s="44">
        <v>5831</v>
      </c>
      <c r="V13" s="45">
        <f t="shared" si="12"/>
        <v>-9</v>
      </c>
      <c r="W13" s="46">
        <v>46252</v>
      </c>
      <c r="X13" s="46">
        <v>46253</v>
      </c>
      <c r="Y13" s="47">
        <v>12</v>
      </c>
      <c r="Z13" s="48">
        <f t="shared" si="13"/>
        <v>0.14419726027397262</v>
      </c>
      <c r="AA13" s="49">
        <f t="shared" si="14"/>
        <v>5.1499021526418788E-3</v>
      </c>
      <c r="AB13" s="44">
        <v>1822</v>
      </c>
      <c r="AC13" s="44">
        <f t="shared" si="15"/>
        <v>1188</v>
      </c>
      <c r="AD13" s="44">
        <f t="shared" si="16"/>
        <v>602</v>
      </c>
      <c r="AE13" s="50">
        <f t="shared" si="17"/>
        <v>46</v>
      </c>
      <c r="AF13" s="41">
        <f t="shared" si="18"/>
        <v>0.92</v>
      </c>
      <c r="AG13" s="44">
        <v>4</v>
      </c>
      <c r="AH13" s="44">
        <v>32</v>
      </c>
      <c r="AI13" s="42">
        <f t="shared" si="19"/>
        <v>0.20342465753424657</v>
      </c>
      <c r="AJ13" s="42">
        <f t="shared" si="20"/>
        <v>0.10308219178082192</v>
      </c>
      <c r="AK13" s="40">
        <f t="shared" si="21"/>
        <v>14.275528767123289</v>
      </c>
      <c r="AL13" s="51">
        <v>4007</v>
      </c>
      <c r="AM13" s="52">
        <f t="shared" si="22"/>
        <v>48.149868493150684</v>
      </c>
      <c r="AN13" s="42">
        <f t="shared" si="23"/>
        <v>0.68718916137883723</v>
      </c>
      <c r="AO13" s="53">
        <f t="shared" si="24"/>
        <v>4018</v>
      </c>
      <c r="AP13" s="52">
        <f t="shared" si="25"/>
        <v>48.282049315068491</v>
      </c>
      <c r="AQ13" s="42">
        <f t="shared" si="26"/>
        <v>0.3065068493150685</v>
      </c>
      <c r="AR13" s="46">
        <v>46260</v>
      </c>
      <c r="AS13" s="46">
        <v>46260</v>
      </c>
      <c r="AT13" s="50">
        <f t="shared" si="27"/>
        <v>8</v>
      </c>
      <c r="AU13" s="50">
        <f t="shared" si="28"/>
        <v>5</v>
      </c>
      <c r="AV13" s="50">
        <f t="shared" si="29"/>
        <v>14</v>
      </c>
      <c r="AW13" s="54">
        <f t="shared" si="30"/>
        <v>-9</v>
      </c>
    </row>
    <row r="14" spans="1:49" x14ac:dyDescent="0.25">
      <c r="A14" s="33" t="s">
        <v>63</v>
      </c>
      <c r="B14" s="33" t="s">
        <v>64</v>
      </c>
      <c r="C14" s="33" t="s">
        <v>66</v>
      </c>
      <c r="D14" s="33" t="s">
        <v>67</v>
      </c>
      <c r="E14" s="34">
        <f>COUNTIF('Detalle por artículo'!$K$8:$K$592,D14)</f>
        <v>1</v>
      </c>
      <c r="F14" s="35">
        <f t="shared" si="2"/>
        <v>161.6947168154544</v>
      </c>
      <c r="G14" s="36">
        <f>SUMIF('Detalle por artículo'!$K$8:$K$592,$D14,'Detalle por artículo'!$E$8:$E$592)</f>
        <v>68.33</v>
      </c>
      <c r="H14" s="35">
        <f t="shared" si="3"/>
        <v>45</v>
      </c>
      <c r="I14" s="35">
        <f t="shared" si="4"/>
        <v>89</v>
      </c>
      <c r="J14" s="35">
        <f t="shared" si="5"/>
        <v>178</v>
      </c>
      <c r="K14" s="37">
        <f t="shared" si="6"/>
        <v>2.4403571428571427</v>
      </c>
      <c r="L14" s="36">
        <f>SUMIF('Detalle por artículo'!$K$8:$K$592,$D14,'Detalle por artículo'!$O$8:$O$592)</f>
        <v>11048.599999999999</v>
      </c>
      <c r="M14" s="38">
        <f>SUMIF('Detalle por artículo'!$K$8:$K$592,$D14,'Detalle por artículo'!$I$8:$I$592)</f>
        <v>6643</v>
      </c>
      <c r="N14" s="38">
        <f>SUMIF('Detalle por artículo'!$K$8:$K$592,$D14,'Detalle por artículo'!$M$8:$M$592)</f>
        <v>666</v>
      </c>
      <c r="O14" s="39">
        <f t="shared" si="7"/>
        <v>10.286015354508505</v>
      </c>
      <c r="P14" s="40">
        <f t="shared" si="8"/>
        <v>1663.1943399066683</v>
      </c>
      <c r="Q14" s="41">
        <f t="shared" si="9"/>
        <v>0.15</v>
      </c>
      <c r="R14" s="40">
        <f t="shared" si="10"/>
        <v>78.579499999999996</v>
      </c>
      <c r="S14" s="42">
        <f>IFERROR(SUM($G$8:G14)/$G$6,0)</f>
        <v>0.18997583778619703</v>
      </c>
      <c r="T14" s="43" t="str">
        <f t="shared" si="11"/>
        <v>A</v>
      </c>
      <c r="U14" s="44">
        <v>6643</v>
      </c>
      <c r="V14" s="45">
        <f t="shared" si="12"/>
        <v>0</v>
      </c>
      <c r="W14" s="46">
        <v>46302</v>
      </c>
      <c r="X14" s="46">
        <v>46304</v>
      </c>
      <c r="Y14" s="47">
        <v>0</v>
      </c>
      <c r="Z14" s="48">
        <f t="shared" si="13"/>
        <v>0</v>
      </c>
      <c r="AA14" s="49">
        <f t="shared" si="14"/>
        <v>0</v>
      </c>
      <c r="AB14" s="44">
        <v>555</v>
      </c>
      <c r="AC14" s="44">
        <f t="shared" si="15"/>
        <v>439</v>
      </c>
      <c r="AD14" s="44">
        <f t="shared" si="16"/>
        <v>590</v>
      </c>
      <c r="AE14" s="50">
        <f t="shared" si="17"/>
        <v>49</v>
      </c>
      <c r="AF14" s="41">
        <f t="shared" si="18"/>
        <v>0.98</v>
      </c>
      <c r="AG14" s="44">
        <v>0</v>
      </c>
      <c r="AH14" s="44">
        <v>0</v>
      </c>
      <c r="AI14" s="42">
        <f t="shared" si="19"/>
        <v>6.6084600331175677E-2</v>
      </c>
      <c r="AJ14" s="42">
        <f t="shared" si="20"/>
        <v>8.8815294294746355E-2</v>
      </c>
      <c r="AK14" s="40">
        <f t="shared" si="21"/>
        <v>4.5155607406292342</v>
      </c>
      <c r="AL14" s="51">
        <v>6088</v>
      </c>
      <c r="AM14" s="52">
        <f t="shared" si="22"/>
        <v>62.621261478247774</v>
      </c>
      <c r="AN14" s="42">
        <f t="shared" si="23"/>
        <v>0.91645340960409449</v>
      </c>
      <c r="AO14" s="53">
        <f t="shared" si="24"/>
        <v>6088</v>
      </c>
      <c r="AP14" s="52">
        <f t="shared" si="25"/>
        <v>62.621261478247774</v>
      </c>
      <c r="AQ14" s="42">
        <f t="shared" si="26"/>
        <v>0.15489989462592202</v>
      </c>
      <c r="AR14" s="46">
        <v>46303</v>
      </c>
      <c r="AS14" s="46">
        <v>46304</v>
      </c>
      <c r="AT14" s="50">
        <f t="shared" si="27"/>
        <v>2</v>
      </c>
      <c r="AU14" s="50">
        <f t="shared" si="28"/>
        <v>2</v>
      </c>
      <c r="AV14" s="50">
        <f t="shared" si="29"/>
        <v>234</v>
      </c>
      <c r="AW14" s="54">
        <f t="shared" si="30"/>
        <v>-232</v>
      </c>
    </row>
    <row r="15" spans="1:49" x14ac:dyDescent="0.25">
      <c r="A15" s="33" t="s">
        <v>63</v>
      </c>
      <c r="B15" s="33" t="s">
        <v>64</v>
      </c>
      <c r="C15" s="33" t="s">
        <v>57</v>
      </c>
      <c r="D15" s="33" t="s">
        <v>68</v>
      </c>
      <c r="E15" s="34">
        <f>COUNTIF('Detalle por artículo'!$K$8:$K$592,D15)</f>
        <v>1</v>
      </c>
      <c r="F15" s="35">
        <f t="shared" si="2"/>
        <v>133.91284046692607</v>
      </c>
      <c r="G15" s="36">
        <f>SUMIF('Detalle por artículo'!$K$8:$K$592,$D15,'Detalle por artículo'!$E$8:$E$592)</f>
        <v>64.25</v>
      </c>
      <c r="H15" s="35">
        <f t="shared" si="3"/>
        <v>42</v>
      </c>
      <c r="I15" s="35">
        <f t="shared" si="4"/>
        <v>84</v>
      </c>
      <c r="J15" s="35">
        <f t="shared" si="5"/>
        <v>167</v>
      </c>
      <c r="K15" s="37">
        <f t="shared" si="6"/>
        <v>2.2946428571428572</v>
      </c>
      <c r="L15" s="36">
        <f>SUMIF('Detalle por artículo'!$K$8:$K$592,$D15,'Detalle por artículo'!$O$8:$O$592)</f>
        <v>8603.9</v>
      </c>
      <c r="M15" s="38">
        <f>SUMIF('Detalle por artículo'!$K$8:$K$592,$D15,'Detalle por artículo'!$I$8:$I$592)</f>
        <v>5820</v>
      </c>
      <c r="N15" s="38">
        <f>SUMIF('Detalle por artículo'!$K$8:$K$592,$D15,'Detalle por artículo'!$M$8:$M$592)</f>
        <v>583</v>
      </c>
      <c r="O15" s="39">
        <f t="shared" si="7"/>
        <v>11.039518900343642</v>
      </c>
      <c r="P15" s="40">
        <f t="shared" si="8"/>
        <v>1478.3333333333333</v>
      </c>
      <c r="Q15" s="41">
        <f t="shared" si="9"/>
        <v>0.15</v>
      </c>
      <c r="R15" s="40">
        <f t="shared" si="10"/>
        <v>73.887499999999989</v>
      </c>
      <c r="S15" s="42">
        <f>IFERROR(SUM($G$8:G15)/$G$6,0)</f>
        <v>0.21358538605341038</v>
      </c>
      <c r="T15" s="43" t="str">
        <f t="shared" si="11"/>
        <v>A</v>
      </c>
      <c r="U15" s="44">
        <v>5830</v>
      </c>
      <c r="V15" s="45">
        <f t="shared" si="12"/>
        <v>10</v>
      </c>
      <c r="W15" s="46">
        <v>46315</v>
      </c>
      <c r="X15" s="46">
        <v>46315</v>
      </c>
      <c r="Y15" s="47">
        <v>0</v>
      </c>
      <c r="Z15" s="48">
        <f t="shared" si="13"/>
        <v>0</v>
      </c>
      <c r="AA15" s="49">
        <f t="shared" si="14"/>
        <v>0</v>
      </c>
      <c r="AB15" s="44">
        <v>0</v>
      </c>
      <c r="AC15" s="44">
        <f t="shared" si="15"/>
        <v>0</v>
      </c>
      <c r="AD15" s="44">
        <f t="shared" si="16"/>
        <v>0</v>
      </c>
      <c r="AE15" s="50">
        <f t="shared" si="17"/>
        <v>0</v>
      </c>
      <c r="AF15" s="41">
        <f t="shared" si="18"/>
        <v>0</v>
      </c>
      <c r="AG15" s="44">
        <v>0</v>
      </c>
      <c r="AH15" s="44">
        <v>0</v>
      </c>
      <c r="AI15" s="42">
        <f t="shared" si="19"/>
        <v>0</v>
      </c>
      <c r="AJ15" s="42">
        <f t="shared" si="20"/>
        <v>0</v>
      </c>
      <c r="AK15" s="40">
        <f t="shared" si="21"/>
        <v>0</v>
      </c>
      <c r="AL15" s="51">
        <v>5830</v>
      </c>
      <c r="AM15" s="52">
        <f t="shared" si="22"/>
        <v>64.360395189003441</v>
      </c>
      <c r="AN15" s="42">
        <f t="shared" si="23"/>
        <v>1</v>
      </c>
      <c r="AO15" s="53">
        <f t="shared" si="24"/>
        <v>5820</v>
      </c>
      <c r="AP15" s="52">
        <f t="shared" si="25"/>
        <v>64.25</v>
      </c>
      <c r="AQ15" s="42">
        <f t="shared" si="26"/>
        <v>0</v>
      </c>
      <c r="AR15" s="46"/>
      <c r="AS15" s="46"/>
      <c r="AT15" s="50" t="str">
        <f t="shared" si="27"/>
        <v/>
      </c>
      <c r="AU15" s="50">
        <f t="shared" si="28"/>
        <v>6</v>
      </c>
      <c r="AV15" s="50" t="str">
        <f t="shared" si="29"/>
        <v/>
      </c>
      <c r="AW15" s="54" t="str">
        <f t="shared" si="30"/>
        <v/>
      </c>
    </row>
    <row r="16" spans="1:49" x14ac:dyDescent="0.25">
      <c r="A16" s="33" t="s">
        <v>63</v>
      </c>
      <c r="B16" s="33" t="s">
        <v>64</v>
      </c>
      <c r="C16" s="33" t="s">
        <v>57</v>
      </c>
      <c r="D16" s="33" t="s">
        <v>69</v>
      </c>
      <c r="E16" s="34">
        <f>COUNTIF('Detalle por artículo'!$K$8:$K$592,D16)</f>
        <v>1</v>
      </c>
      <c r="F16" s="35">
        <f t="shared" si="2"/>
        <v>110.08812421317668</v>
      </c>
      <c r="G16" s="36">
        <f>SUMIF('Detalle por artículo'!$K$8:$K$592,$D16,'Detalle por artículo'!$E$8:$E$592)</f>
        <v>47.66</v>
      </c>
      <c r="H16" s="35">
        <f t="shared" si="3"/>
        <v>31</v>
      </c>
      <c r="I16" s="35">
        <f t="shared" si="4"/>
        <v>62</v>
      </c>
      <c r="J16" s="35">
        <f t="shared" si="5"/>
        <v>124</v>
      </c>
      <c r="K16" s="37">
        <f t="shared" si="6"/>
        <v>1.702142857142857</v>
      </c>
      <c r="L16" s="36">
        <f>SUMIF('Detalle por artículo'!$K$8:$K$592,$D16,'Detalle por artículo'!$O$8:$O$592)</f>
        <v>5246.8</v>
      </c>
      <c r="M16" s="38">
        <f>SUMIF('Detalle por artículo'!$K$8:$K$592,$D16,'Detalle por artículo'!$I$8:$I$592)</f>
        <v>6556</v>
      </c>
      <c r="N16" s="38">
        <f>SUMIF('Detalle por artículo'!$K$8:$K$592,$D16,'Detalle por artículo'!$M$8:$M$592)</f>
        <v>439</v>
      </c>
      <c r="O16" s="39">
        <f t="shared" si="7"/>
        <v>7.2696766320927395</v>
      </c>
      <c r="P16" s="40">
        <f t="shared" si="8"/>
        <v>800.30506406345341</v>
      </c>
      <c r="Q16" s="41">
        <f t="shared" si="9"/>
        <v>0.2</v>
      </c>
      <c r="R16" s="40">
        <f t="shared" si="10"/>
        <v>57.191999999999993</v>
      </c>
      <c r="S16" s="42">
        <f>IFERROR(SUM($G$8:G16)/$G$6,0)</f>
        <v>0.23109871010656816</v>
      </c>
      <c r="T16" s="43" t="str">
        <f t="shared" si="11"/>
        <v>A</v>
      </c>
      <c r="U16" s="44">
        <v>6549</v>
      </c>
      <c r="V16" s="45">
        <f t="shared" si="12"/>
        <v>-7</v>
      </c>
      <c r="W16" s="46">
        <v>46302</v>
      </c>
      <c r="X16" s="46">
        <v>46302</v>
      </c>
      <c r="Y16" s="47">
        <v>7</v>
      </c>
      <c r="Z16" s="48">
        <f t="shared" si="13"/>
        <v>5.088773642464918E-2</v>
      </c>
      <c r="AA16" s="49">
        <f t="shared" si="14"/>
        <v>1.8174191580231851E-3</v>
      </c>
      <c r="AB16" s="44">
        <v>1874</v>
      </c>
      <c r="AC16" s="44">
        <f t="shared" si="15"/>
        <v>1375</v>
      </c>
      <c r="AD16" s="44">
        <f t="shared" si="16"/>
        <v>494</v>
      </c>
      <c r="AE16" s="50">
        <f t="shared" si="17"/>
        <v>48</v>
      </c>
      <c r="AF16" s="41">
        <f t="shared" si="18"/>
        <v>0.96</v>
      </c>
      <c r="AG16" s="44">
        <v>5</v>
      </c>
      <c r="AH16" s="44">
        <v>0</v>
      </c>
      <c r="AI16" s="42">
        <f t="shared" si="19"/>
        <v>0.20973154362416108</v>
      </c>
      <c r="AJ16" s="42">
        <f t="shared" si="20"/>
        <v>7.5350823672971329E-2</v>
      </c>
      <c r="AK16" s="40">
        <f t="shared" si="21"/>
        <v>9.9958053691275168</v>
      </c>
      <c r="AL16" s="51">
        <v>4675</v>
      </c>
      <c r="AM16" s="52">
        <f t="shared" si="22"/>
        <v>33.98573825503356</v>
      </c>
      <c r="AN16" s="42">
        <f t="shared" si="23"/>
        <v>0.71384944266300199</v>
      </c>
      <c r="AO16" s="53">
        <f t="shared" si="24"/>
        <v>4682</v>
      </c>
      <c r="AP16" s="52">
        <f t="shared" si="25"/>
        <v>34.036625991458202</v>
      </c>
      <c r="AQ16" s="42">
        <f t="shared" si="26"/>
        <v>0.28508236729713238</v>
      </c>
      <c r="AR16" s="46">
        <v>46303</v>
      </c>
      <c r="AS16" s="46">
        <v>46304</v>
      </c>
      <c r="AT16" s="50">
        <f t="shared" si="27"/>
        <v>2</v>
      </c>
      <c r="AU16" s="50">
        <f t="shared" si="28"/>
        <v>3</v>
      </c>
      <c r="AV16" s="50">
        <f t="shared" si="29"/>
        <v>12</v>
      </c>
      <c r="AW16" s="54">
        <f t="shared" si="30"/>
        <v>-9</v>
      </c>
    </row>
    <row r="17" spans="1:49" x14ac:dyDescent="0.25">
      <c r="A17" s="33" t="s">
        <v>63</v>
      </c>
      <c r="B17" s="33" t="s">
        <v>64</v>
      </c>
      <c r="C17" s="33" t="s">
        <v>57</v>
      </c>
      <c r="D17" s="33" t="s">
        <v>70</v>
      </c>
      <c r="E17" s="34">
        <f>COUNTIF('Detalle por artículo'!$K$8:$K$592,D17)</f>
        <v>1</v>
      </c>
      <c r="F17" s="35">
        <f t="shared" si="2"/>
        <v>116.13291139240506</v>
      </c>
      <c r="G17" s="36">
        <f>SUMIF('Detalle por artículo'!$K$8:$K$592,$D17,'Detalle por artículo'!$E$8:$E$592)</f>
        <v>47.4</v>
      </c>
      <c r="H17" s="35">
        <f t="shared" si="3"/>
        <v>31</v>
      </c>
      <c r="I17" s="35">
        <f t="shared" si="4"/>
        <v>62</v>
      </c>
      <c r="J17" s="35">
        <f t="shared" si="5"/>
        <v>124</v>
      </c>
      <c r="K17" s="37">
        <f t="shared" si="6"/>
        <v>1.6928571428571428</v>
      </c>
      <c r="L17" s="36">
        <f>SUMIF('Detalle por artículo'!$K$8:$K$592,$D17,'Detalle por artículo'!$O$8:$O$592)</f>
        <v>5504.7</v>
      </c>
      <c r="M17" s="38">
        <f>SUMIF('Detalle por artículo'!$K$8:$K$592,$D17,'Detalle por artículo'!$I$8:$I$592)</f>
        <v>4083</v>
      </c>
      <c r="N17" s="38">
        <f>SUMIF('Detalle por artículo'!$K$8:$K$592,$D17,'Detalle por artículo'!$M$8:$M$592)</f>
        <v>454</v>
      </c>
      <c r="O17" s="39">
        <f t="shared" si="7"/>
        <v>11.609110947832477</v>
      </c>
      <c r="P17" s="40">
        <f t="shared" si="8"/>
        <v>1348.1998530492285</v>
      </c>
      <c r="Q17" s="41">
        <f t="shared" si="9"/>
        <v>0.2</v>
      </c>
      <c r="R17" s="40">
        <f t="shared" si="10"/>
        <v>56.879999999999995</v>
      </c>
      <c r="S17" s="42">
        <f>IFERROR(SUM($G$8:G17)/$G$6,0)</f>
        <v>0.24851649357529829</v>
      </c>
      <c r="T17" s="43" t="str">
        <f t="shared" si="11"/>
        <v>A</v>
      </c>
      <c r="U17" s="44">
        <v>4079</v>
      </c>
      <c r="V17" s="45">
        <f t="shared" si="12"/>
        <v>-4</v>
      </c>
      <c r="W17" s="46">
        <v>46308</v>
      </c>
      <c r="X17" s="46">
        <v>46308</v>
      </c>
      <c r="Y17" s="47">
        <v>47</v>
      </c>
      <c r="Z17" s="48">
        <f t="shared" si="13"/>
        <v>0.54562821454812638</v>
      </c>
      <c r="AA17" s="49">
        <f t="shared" si="14"/>
        <v>1.9486721948147372E-2</v>
      </c>
      <c r="AB17" s="44">
        <v>0</v>
      </c>
      <c r="AC17" s="44">
        <f t="shared" si="15"/>
        <v>0</v>
      </c>
      <c r="AD17" s="44">
        <f t="shared" si="16"/>
        <v>0</v>
      </c>
      <c r="AE17" s="50">
        <f t="shared" si="17"/>
        <v>0</v>
      </c>
      <c r="AF17" s="41">
        <f t="shared" si="18"/>
        <v>0</v>
      </c>
      <c r="AG17" s="44">
        <v>0</v>
      </c>
      <c r="AH17" s="44">
        <v>0</v>
      </c>
      <c r="AI17" s="42">
        <f t="shared" si="19"/>
        <v>0</v>
      </c>
      <c r="AJ17" s="42">
        <f t="shared" si="20"/>
        <v>0</v>
      </c>
      <c r="AK17" s="40">
        <f t="shared" si="21"/>
        <v>0</v>
      </c>
      <c r="AL17" s="51">
        <v>4079</v>
      </c>
      <c r="AM17" s="52">
        <f t="shared" si="22"/>
        <v>47.353563556208677</v>
      </c>
      <c r="AN17" s="42">
        <f t="shared" si="23"/>
        <v>1</v>
      </c>
      <c r="AO17" s="53">
        <f t="shared" si="24"/>
        <v>4083</v>
      </c>
      <c r="AP17" s="52">
        <f t="shared" si="25"/>
        <v>47.4</v>
      </c>
      <c r="AQ17" s="42">
        <f t="shared" si="26"/>
        <v>0</v>
      </c>
      <c r="AR17" s="46"/>
      <c r="AS17" s="46"/>
      <c r="AT17" s="50" t="str">
        <f t="shared" si="27"/>
        <v/>
      </c>
      <c r="AU17" s="50">
        <f t="shared" si="28"/>
        <v>13</v>
      </c>
      <c r="AV17" s="50" t="str">
        <f t="shared" si="29"/>
        <v/>
      </c>
      <c r="AW17" s="54" t="str">
        <f t="shared" si="30"/>
        <v/>
      </c>
    </row>
    <row r="18" spans="1:49" x14ac:dyDescent="0.25">
      <c r="A18" s="33" t="s">
        <v>63</v>
      </c>
      <c r="B18" s="33" t="s">
        <v>64</v>
      </c>
      <c r="C18" s="33" t="s">
        <v>71</v>
      </c>
      <c r="D18" s="33" t="s">
        <v>72</v>
      </c>
      <c r="E18" s="34">
        <f>COUNTIF('Detalle por artículo'!$K$8:$K$592,D18)</f>
        <v>1</v>
      </c>
      <c r="F18" s="35">
        <f t="shared" si="2"/>
        <v>164.65517241379311</v>
      </c>
      <c r="G18" s="36">
        <f>SUMIF('Detalle por artículo'!$K$8:$K$592,$D18,'Detalle por artículo'!$E$8:$E$592)</f>
        <v>43.5</v>
      </c>
      <c r="H18" s="35">
        <f t="shared" si="3"/>
        <v>29</v>
      </c>
      <c r="I18" s="35">
        <f t="shared" si="4"/>
        <v>57</v>
      </c>
      <c r="J18" s="35">
        <f t="shared" si="5"/>
        <v>113</v>
      </c>
      <c r="K18" s="37">
        <f t="shared" si="6"/>
        <v>1.5535714285714286</v>
      </c>
      <c r="L18" s="36">
        <f>SUMIF('Detalle por artículo'!$K$8:$K$592,$D18,'Detalle por artículo'!$O$8:$O$592)</f>
        <v>7162.5</v>
      </c>
      <c r="M18" s="38">
        <f>SUMIF('Detalle por artículo'!$K$8:$K$592,$D18,'Detalle por artículo'!$I$8:$I$592)</f>
        <v>3746</v>
      </c>
      <c r="N18" s="38">
        <f>SUMIF('Detalle por artículo'!$K$8:$K$592,$D18,'Detalle por artículo'!$M$8:$M$592)</f>
        <v>375</v>
      </c>
      <c r="O18" s="39">
        <f t="shared" si="7"/>
        <v>11.612386545648691</v>
      </c>
      <c r="P18" s="40">
        <f t="shared" si="8"/>
        <v>1912.0395088093967</v>
      </c>
      <c r="Q18" s="41">
        <f t="shared" si="9"/>
        <v>0.15</v>
      </c>
      <c r="R18" s="40">
        <f t="shared" si="10"/>
        <v>50.024999999999999</v>
      </c>
      <c r="S18" s="42">
        <f>IFERROR(SUM($G$8:G18)/$G$6,0)</f>
        <v>0.26450116827761394</v>
      </c>
      <c r="T18" s="43" t="str">
        <f t="shared" si="11"/>
        <v>A</v>
      </c>
      <c r="U18" s="44">
        <v>3746</v>
      </c>
      <c r="V18" s="45">
        <f t="shared" si="12"/>
        <v>0</v>
      </c>
      <c r="W18" s="46">
        <v>46308</v>
      </c>
      <c r="X18" s="46">
        <v>46308</v>
      </c>
      <c r="Y18" s="47">
        <v>0</v>
      </c>
      <c r="Z18" s="48">
        <f t="shared" si="13"/>
        <v>0</v>
      </c>
      <c r="AA18" s="49">
        <f t="shared" si="14"/>
        <v>0</v>
      </c>
      <c r="AB18" s="44">
        <v>0</v>
      </c>
      <c r="AC18" s="44">
        <f t="shared" si="15"/>
        <v>0</v>
      </c>
      <c r="AD18" s="44">
        <f t="shared" si="16"/>
        <v>0</v>
      </c>
      <c r="AE18" s="50">
        <f t="shared" si="17"/>
        <v>0</v>
      </c>
      <c r="AF18" s="41">
        <f t="shared" si="18"/>
        <v>0</v>
      </c>
      <c r="AG18" s="44">
        <v>0</v>
      </c>
      <c r="AH18" s="44">
        <v>0</v>
      </c>
      <c r="AI18" s="42">
        <f t="shared" si="19"/>
        <v>0</v>
      </c>
      <c r="AJ18" s="42">
        <f t="shared" si="20"/>
        <v>0</v>
      </c>
      <c r="AK18" s="40">
        <f t="shared" si="21"/>
        <v>0</v>
      </c>
      <c r="AL18" s="51">
        <v>3746</v>
      </c>
      <c r="AM18" s="52">
        <f t="shared" si="22"/>
        <v>43.5</v>
      </c>
      <c r="AN18" s="42">
        <f t="shared" si="23"/>
        <v>1</v>
      </c>
      <c r="AO18" s="53">
        <f t="shared" si="24"/>
        <v>3746</v>
      </c>
      <c r="AP18" s="52">
        <f t="shared" si="25"/>
        <v>43.5</v>
      </c>
      <c r="AQ18" s="42">
        <f t="shared" si="26"/>
        <v>0</v>
      </c>
      <c r="AR18" s="46"/>
      <c r="AS18" s="46"/>
      <c r="AT18" s="50" t="str">
        <f t="shared" si="27"/>
        <v/>
      </c>
      <c r="AU18" s="50">
        <f t="shared" si="28"/>
        <v>17</v>
      </c>
      <c r="AV18" s="50" t="str">
        <f t="shared" si="29"/>
        <v/>
      </c>
      <c r="AW18" s="54" t="str">
        <f t="shared" si="30"/>
        <v/>
      </c>
    </row>
    <row r="19" spans="1:49" x14ac:dyDescent="0.25">
      <c r="A19" s="33" t="s">
        <v>63</v>
      </c>
      <c r="B19" s="33" t="s">
        <v>64</v>
      </c>
      <c r="C19" s="33" t="s">
        <v>57</v>
      </c>
      <c r="D19" s="33" t="s">
        <v>73</v>
      </c>
      <c r="E19" s="34">
        <f>COUNTIF('Detalle por artículo'!$K$8:$K$592,D19)</f>
        <v>3</v>
      </c>
      <c r="F19" s="35">
        <f t="shared" si="2"/>
        <v>101.97525754231052</v>
      </c>
      <c r="G19" s="36">
        <f>SUMIF('Detalle por artículo'!$K$8:$K$592,$D19,'Detalle por artículo'!$E$8:$E$592)</f>
        <v>43.488</v>
      </c>
      <c r="H19" s="35">
        <f t="shared" si="3"/>
        <v>29</v>
      </c>
      <c r="I19" s="35">
        <f t="shared" si="4"/>
        <v>57</v>
      </c>
      <c r="J19" s="35">
        <f t="shared" si="5"/>
        <v>113</v>
      </c>
      <c r="K19" s="37">
        <f t="shared" si="6"/>
        <v>1.5531428571428572</v>
      </c>
      <c r="L19" s="36">
        <f>SUMIF('Detalle por artículo'!$K$8:$K$592,$D19,'Detalle por artículo'!$O$8:$O$592)</f>
        <v>4434.7</v>
      </c>
      <c r="M19" s="38">
        <f>SUMIF('Detalle por artículo'!$K$8:$K$592,$D19,'Detalle por artículo'!$I$8:$I$592)</f>
        <v>3609</v>
      </c>
      <c r="N19" s="38">
        <f>SUMIF('Detalle por artículo'!$K$8:$K$592,$D19,'Detalle por artículo'!$M$8:$M$592)</f>
        <v>453</v>
      </c>
      <c r="O19" s="39">
        <f t="shared" si="7"/>
        <v>12.049875311720697</v>
      </c>
      <c r="P19" s="40">
        <f t="shared" si="8"/>
        <v>1228.7891382654475</v>
      </c>
      <c r="Q19" s="41">
        <f t="shared" si="9"/>
        <v>0.2</v>
      </c>
      <c r="R19" s="40">
        <f t="shared" si="10"/>
        <v>52.185600000000001</v>
      </c>
      <c r="S19" s="42">
        <f>IFERROR(SUM($G$8:G19)/$G$6,0)</f>
        <v>0.2804814334144945</v>
      </c>
      <c r="T19" s="43" t="str">
        <f t="shared" si="11"/>
        <v>A</v>
      </c>
      <c r="U19" s="44">
        <v>3610</v>
      </c>
      <c r="V19" s="45">
        <f t="shared" si="12"/>
        <v>1</v>
      </c>
      <c r="W19" s="46">
        <v>46253</v>
      </c>
      <c r="X19" s="46">
        <v>46253</v>
      </c>
      <c r="Y19" s="47">
        <v>0</v>
      </c>
      <c r="Z19" s="48">
        <f t="shared" si="13"/>
        <v>0</v>
      </c>
      <c r="AA19" s="49">
        <f t="shared" si="14"/>
        <v>0</v>
      </c>
      <c r="AB19" s="44">
        <v>1374</v>
      </c>
      <c r="AC19" s="44">
        <f t="shared" si="15"/>
        <v>1120</v>
      </c>
      <c r="AD19" s="44">
        <f t="shared" si="16"/>
        <v>243</v>
      </c>
      <c r="AE19" s="50">
        <f t="shared" si="17"/>
        <v>48</v>
      </c>
      <c r="AF19" s="41">
        <f t="shared" si="18"/>
        <v>0.96</v>
      </c>
      <c r="AG19" s="44">
        <v>11</v>
      </c>
      <c r="AH19" s="44">
        <v>0</v>
      </c>
      <c r="AI19" s="42">
        <f t="shared" si="19"/>
        <v>0.31033527292878915</v>
      </c>
      <c r="AJ19" s="42">
        <f t="shared" si="20"/>
        <v>6.7331670822942641E-2</v>
      </c>
      <c r="AK19" s="40">
        <f t="shared" si="21"/>
        <v>13.495860349127181</v>
      </c>
      <c r="AL19" s="51">
        <v>2234</v>
      </c>
      <c r="AM19" s="52">
        <f t="shared" si="22"/>
        <v>26.919421446384035</v>
      </c>
      <c r="AN19" s="42">
        <f t="shared" si="23"/>
        <v>0.61883656509695295</v>
      </c>
      <c r="AO19" s="53">
        <f t="shared" si="24"/>
        <v>2235</v>
      </c>
      <c r="AP19" s="52">
        <f t="shared" si="25"/>
        <v>26.931471321695756</v>
      </c>
      <c r="AQ19" s="42">
        <f t="shared" si="26"/>
        <v>0.37766694375173177</v>
      </c>
      <c r="AR19" s="46">
        <v>46260</v>
      </c>
      <c r="AS19" s="46">
        <v>46260</v>
      </c>
      <c r="AT19" s="50">
        <f t="shared" si="27"/>
        <v>7</v>
      </c>
      <c r="AU19" s="50">
        <f t="shared" si="28"/>
        <v>19</v>
      </c>
      <c r="AV19" s="50">
        <f t="shared" si="29"/>
        <v>31</v>
      </c>
      <c r="AW19" s="54">
        <f t="shared" si="30"/>
        <v>-12</v>
      </c>
    </row>
    <row r="20" spans="1:49" x14ac:dyDescent="0.25">
      <c r="A20" s="33" t="s">
        <v>63</v>
      </c>
      <c r="B20" s="33" t="s">
        <v>64</v>
      </c>
      <c r="C20" s="33" t="s">
        <v>57</v>
      </c>
      <c r="D20" s="33" t="s">
        <v>74</v>
      </c>
      <c r="E20" s="34">
        <f>COUNTIF('Detalle por artículo'!$K$8:$K$592,D20)</f>
        <v>1</v>
      </c>
      <c r="F20" s="35">
        <f t="shared" si="2"/>
        <v>164.75165562913907</v>
      </c>
      <c r="G20" s="36">
        <f>SUMIF('Detalle por artículo'!$K$8:$K$592,$D20,'Detalle por artículo'!$E$8:$E$592)</f>
        <v>42.28</v>
      </c>
      <c r="H20" s="35">
        <f t="shared" si="3"/>
        <v>28</v>
      </c>
      <c r="I20" s="35">
        <f t="shared" si="4"/>
        <v>55</v>
      </c>
      <c r="J20" s="35">
        <f t="shared" si="5"/>
        <v>110</v>
      </c>
      <c r="K20" s="37">
        <f t="shared" si="6"/>
        <v>1.51</v>
      </c>
      <c r="L20" s="36">
        <f>SUMIF('Detalle por artículo'!$K$8:$K$592,$D20,'Detalle por artículo'!$O$8:$O$592)</f>
        <v>6965.7</v>
      </c>
      <c r="M20" s="38">
        <f>SUMIF('Detalle por artículo'!$K$8:$K$592,$D20,'Detalle por artículo'!$I$8:$I$592)</f>
        <v>4031</v>
      </c>
      <c r="N20" s="38">
        <f>SUMIF('Detalle por artículo'!$K$8:$K$592,$D20,'Detalle por artículo'!$M$8:$M$592)</f>
        <v>405</v>
      </c>
      <c r="O20" s="39">
        <f t="shared" si="7"/>
        <v>10.488712478293227</v>
      </c>
      <c r="P20" s="40">
        <f t="shared" si="8"/>
        <v>1728.0327462168198</v>
      </c>
      <c r="Q20" s="41">
        <f t="shared" si="9"/>
        <v>0.15</v>
      </c>
      <c r="R20" s="40">
        <f t="shared" si="10"/>
        <v>48.622</v>
      </c>
      <c r="S20" s="42">
        <f>IFERROR(SUM($G$8:G20)/$G$6,0)</f>
        <v>0.29601780229757274</v>
      </c>
      <c r="T20" s="43" t="str">
        <f t="shared" si="11"/>
        <v>A</v>
      </c>
      <c r="U20" s="44">
        <v>4031</v>
      </c>
      <c r="V20" s="45">
        <f t="shared" si="12"/>
        <v>0</v>
      </c>
      <c r="W20" s="46">
        <v>46309</v>
      </c>
      <c r="X20" s="46">
        <v>46309</v>
      </c>
      <c r="Y20" s="47">
        <v>0</v>
      </c>
      <c r="Z20" s="48">
        <f t="shared" si="13"/>
        <v>0</v>
      </c>
      <c r="AA20" s="49">
        <f t="shared" si="14"/>
        <v>0</v>
      </c>
      <c r="AB20" s="44">
        <v>0</v>
      </c>
      <c r="AC20" s="44">
        <f t="shared" si="15"/>
        <v>0</v>
      </c>
      <c r="AD20" s="44">
        <f t="shared" si="16"/>
        <v>0</v>
      </c>
      <c r="AE20" s="50">
        <f t="shared" si="17"/>
        <v>0</v>
      </c>
      <c r="AF20" s="41">
        <f t="shared" si="18"/>
        <v>0</v>
      </c>
      <c r="AG20" s="44">
        <v>0</v>
      </c>
      <c r="AH20" s="44">
        <v>0</v>
      </c>
      <c r="AI20" s="42">
        <f t="shared" si="19"/>
        <v>0</v>
      </c>
      <c r="AJ20" s="42">
        <f t="shared" si="20"/>
        <v>0</v>
      </c>
      <c r="AK20" s="40">
        <f t="shared" si="21"/>
        <v>0</v>
      </c>
      <c r="AL20" s="51">
        <v>4031</v>
      </c>
      <c r="AM20" s="52">
        <f t="shared" si="22"/>
        <v>42.28</v>
      </c>
      <c r="AN20" s="42">
        <f t="shared" si="23"/>
        <v>1</v>
      </c>
      <c r="AO20" s="53">
        <f t="shared" si="24"/>
        <v>4031</v>
      </c>
      <c r="AP20" s="52">
        <f t="shared" si="25"/>
        <v>42.28</v>
      </c>
      <c r="AQ20" s="42">
        <f t="shared" si="26"/>
        <v>0</v>
      </c>
      <c r="AR20" s="46"/>
      <c r="AS20" s="46"/>
      <c r="AT20" s="50" t="str">
        <f t="shared" si="27"/>
        <v/>
      </c>
      <c r="AU20" s="50">
        <f t="shared" si="28"/>
        <v>15</v>
      </c>
      <c r="AV20" s="50" t="str">
        <f t="shared" si="29"/>
        <v/>
      </c>
      <c r="AW20" s="54" t="str">
        <f t="shared" si="30"/>
        <v/>
      </c>
    </row>
    <row r="21" spans="1:49" x14ac:dyDescent="0.25">
      <c r="A21" s="33" t="s">
        <v>63</v>
      </c>
      <c r="B21" s="33" t="s">
        <v>64</v>
      </c>
      <c r="C21" s="33" t="s">
        <v>66</v>
      </c>
      <c r="D21" s="33" t="s">
        <v>75</v>
      </c>
      <c r="E21" s="34">
        <f>COUNTIF('Detalle por artículo'!$K$8:$K$592,D21)</f>
        <v>1</v>
      </c>
      <c r="F21" s="35">
        <f t="shared" si="2"/>
        <v>164.30835921325053</v>
      </c>
      <c r="G21" s="36">
        <f>SUMIF('Detalle por artículo'!$K$8:$K$592,$D21,'Detalle por artículo'!$E$8:$E$592)</f>
        <v>30.911999999999999</v>
      </c>
      <c r="H21" s="35">
        <f t="shared" si="3"/>
        <v>21</v>
      </c>
      <c r="I21" s="35">
        <f t="shared" si="4"/>
        <v>41</v>
      </c>
      <c r="J21" s="35">
        <f t="shared" si="5"/>
        <v>81</v>
      </c>
      <c r="K21" s="37">
        <f t="shared" si="6"/>
        <v>1.1039999999999999</v>
      </c>
      <c r="L21" s="36">
        <f>SUMIF('Detalle por artículo'!$K$8:$K$592,$D21,'Detalle por artículo'!$O$8:$O$592)</f>
        <v>5079.1000000000004</v>
      </c>
      <c r="M21" s="38">
        <f>SUMIF('Detalle por artículo'!$K$8:$K$592,$D21,'Detalle por artículo'!$I$8:$I$592)</f>
        <v>4804</v>
      </c>
      <c r="N21" s="38">
        <f>SUMIF('Detalle por artículo'!$K$8:$K$592,$D21,'Detalle por artículo'!$M$8:$M$592)</f>
        <v>322</v>
      </c>
      <c r="O21" s="39">
        <f t="shared" si="7"/>
        <v>6.4346378018318067</v>
      </c>
      <c r="P21" s="40">
        <f t="shared" si="8"/>
        <v>1057.2647793505412</v>
      </c>
      <c r="Q21" s="41">
        <f t="shared" si="9"/>
        <v>0.15</v>
      </c>
      <c r="R21" s="40">
        <f t="shared" si="10"/>
        <v>35.548799999999993</v>
      </c>
      <c r="S21" s="42">
        <f>IFERROR(SUM($G$8:G21)/$G$6,0)</f>
        <v>0.30737684285844591</v>
      </c>
      <c r="T21" s="43" t="str">
        <f t="shared" si="11"/>
        <v>A</v>
      </c>
      <c r="U21" s="44">
        <v>4775</v>
      </c>
      <c r="V21" s="45">
        <f t="shared" si="12"/>
        <v>-29</v>
      </c>
      <c r="W21" s="46">
        <v>46281</v>
      </c>
      <c r="X21" s="46">
        <v>46281</v>
      </c>
      <c r="Y21" s="47">
        <v>38</v>
      </c>
      <c r="Z21" s="48">
        <f t="shared" si="13"/>
        <v>0.24451623646960866</v>
      </c>
      <c r="AA21" s="49">
        <f t="shared" si="14"/>
        <v>8.7327227310574525E-3</v>
      </c>
      <c r="AB21" s="44">
        <v>2320</v>
      </c>
      <c r="AC21" s="44">
        <f t="shared" si="15"/>
        <v>1317</v>
      </c>
      <c r="AD21" s="44">
        <f t="shared" si="16"/>
        <v>961</v>
      </c>
      <c r="AE21" s="50">
        <f t="shared" si="17"/>
        <v>48</v>
      </c>
      <c r="AF21" s="41">
        <f t="shared" si="18"/>
        <v>0.96</v>
      </c>
      <c r="AG21" s="44">
        <v>18</v>
      </c>
      <c r="AH21" s="44">
        <v>27</v>
      </c>
      <c r="AI21" s="42">
        <f t="shared" si="19"/>
        <v>0.27414654454621151</v>
      </c>
      <c r="AJ21" s="42">
        <f t="shared" si="20"/>
        <v>0.20004163197335553</v>
      </c>
      <c r="AK21" s="40">
        <f t="shared" si="21"/>
        <v>8.4744179850124901</v>
      </c>
      <c r="AL21" s="51">
        <v>2446</v>
      </c>
      <c r="AM21" s="52">
        <f t="shared" si="22"/>
        <v>15.739124063280599</v>
      </c>
      <c r="AN21" s="42">
        <f t="shared" si="23"/>
        <v>0.51225130890052351</v>
      </c>
      <c r="AO21" s="53">
        <f t="shared" si="24"/>
        <v>2484</v>
      </c>
      <c r="AP21" s="52">
        <f t="shared" si="25"/>
        <v>15.983640299750208</v>
      </c>
      <c r="AQ21" s="42">
        <f t="shared" si="26"/>
        <v>0.47418817651956702</v>
      </c>
      <c r="AR21" s="46">
        <v>46281</v>
      </c>
      <c r="AS21" s="46">
        <v>46282</v>
      </c>
      <c r="AT21" s="50">
        <f t="shared" si="27"/>
        <v>1</v>
      </c>
      <c r="AU21" s="50">
        <f t="shared" si="28"/>
        <v>11</v>
      </c>
      <c r="AV21" s="50">
        <f t="shared" si="29"/>
        <v>4</v>
      </c>
      <c r="AW21" s="54">
        <f t="shared" si="30"/>
        <v>7</v>
      </c>
    </row>
    <row r="22" spans="1:49" x14ac:dyDescent="0.25">
      <c r="A22" s="33" t="s">
        <v>63</v>
      </c>
      <c r="B22" s="33" t="s">
        <v>64</v>
      </c>
      <c r="C22" s="33" t="s">
        <v>66</v>
      </c>
      <c r="D22" s="33" t="s">
        <v>76</v>
      </c>
      <c r="E22" s="34">
        <f>COUNTIF('Detalle por artículo'!$K$8:$K$592,D22)</f>
        <v>1</v>
      </c>
      <c r="F22" s="35">
        <f t="shared" si="2"/>
        <v>175.47580206634041</v>
      </c>
      <c r="G22" s="36">
        <f>SUMIF('Detalle por artículo'!$K$8:$K$592,$D22,'Detalle por artículo'!$E$8:$E$592)</f>
        <v>29.423999999999999</v>
      </c>
      <c r="H22" s="35">
        <f t="shared" si="3"/>
        <v>20</v>
      </c>
      <c r="I22" s="35">
        <f t="shared" si="4"/>
        <v>39</v>
      </c>
      <c r="J22" s="35">
        <f t="shared" si="5"/>
        <v>77</v>
      </c>
      <c r="K22" s="37">
        <f t="shared" si="6"/>
        <v>1.0508571428571429</v>
      </c>
      <c r="L22" s="36">
        <f>SUMIF('Detalle por artículo'!$K$8:$K$592,$D22,'Detalle por artículo'!$O$8:$O$592)</f>
        <v>5163.2</v>
      </c>
      <c r="M22" s="38">
        <f>SUMIF('Detalle por artículo'!$K$8:$K$592,$D22,'Detalle por artículo'!$I$8:$I$592)</f>
        <v>4034</v>
      </c>
      <c r="N22" s="38">
        <f>SUMIF('Detalle por artículo'!$K$8:$K$592,$D22,'Detalle por artículo'!$M$8:$M$592)</f>
        <v>271</v>
      </c>
      <c r="O22" s="39">
        <f t="shared" si="7"/>
        <v>7.2940009915716413</v>
      </c>
      <c r="P22" s="40">
        <f t="shared" si="8"/>
        <v>1279.9206742687159</v>
      </c>
      <c r="Q22" s="41">
        <f t="shared" si="9"/>
        <v>0.15</v>
      </c>
      <c r="R22" s="40">
        <f t="shared" si="10"/>
        <v>33.837599999999995</v>
      </c>
      <c r="S22" s="42">
        <f>IFERROR(SUM($G$8:G22)/$G$6,0)</f>
        <v>0.31818909730536393</v>
      </c>
      <c r="T22" s="43" t="str">
        <f t="shared" si="11"/>
        <v>A</v>
      </c>
      <c r="U22" s="44">
        <v>4035</v>
      </c>
      <c r="V22" s="45">
        <f t="shared" si="12"/>
        <v>1</v>
      </c>
      <c r="W22" s="46">
        <v>46272</v>
      </c>
      <c r="X22" s="46">
        <v>46272</v>
      </c>
      <c r="Y22" s="47">
        <v>4065</v>
      </c>
      <c r="Z22" s="48">
        <f t="shared" si="13"/>
        <v>29.65011403073872</v>
      </c>
      <c r="AA22" s="49">
        <f t="shared" si="14"/>
        <v>1.0589326439549542</v>
      </c>
      <c r="AB22" s="44">
        <v>2292</v>
      </c>
      <c r="AC22" s="44">
        <f t="shared" si="15"/>
        <v>1505</v>
      </c>
      <c r="AD22" s="44">
        <f t="shared" si="16"/>
        <v>750</v>
      </c>
      <c r="AE22" s="50">
        <f t="shared" si="17"/>
        <v>49</v>
      </c>
      <c r="AF22" s="41">
        <f t="shared" si="18"/>
        <v>0.98</v>
      </c>
      <c r="AG22" s="44">
        <v>17</v>
      </c>
      <c r="AH22" s="44">
        <v>24</v>
      </c>
      <c r="AI22" s="42">
        <f t="shared" si="19"/>
        <v>0.37307882994546354</v>
      </c>
      <c r="AJ22" s="42">
        <f t="shared" si="20"/>
        <v>0.18591968269707487</v>
      </c>
      <c r="AK22" s="40">
        <f t="shared" si="21"/>
        <v>10.97747149231532</v>
      </c>
      <c r="AL22" s="51">
        <v>1754</v>
      </c>
      <c r="AM22" s="52">
        <f t="shared" si="22"/>
        <v>12.793677739216658</v>
      </c>
      <c r="AN22" s="42">
        <f t="shared" si="23"/>
        <v>0.43469640644361834</v>
      </c>
      <c r="AO22" s="53">
        <f t="shared" si="24"/>
        <v>1742</v>
      </c>
      <c r="AP22" s="52">
        <f t="shared" si="25"/>
        <v>12.706149727317799</v>
      </c>
      <c r="AQ22" s="42">
        <f t="shared" si="26"/>
        <v>0.55899851264253841</v>
      </c>
      <c r="AR22" s="46">
        <v>46274</v>
      </c>
      <c r="AS22" s="46">
        <v>46275</v>
      </c>
      <c r="AT22" s="50">
        <f t="shared" si="27"/>
        <v>3</v>
      </c>
      <c r="AU22" s="50">
        <f t="shared" si="28"/>
        <v>14</v>
      </c>
      <c r="AV22" s="50">
        <f t="shared" si="29"/>
        <v>5</v>
      </c>
      <c r="AW22" s="54">
        <f t="shared" si="30"/>
        <v>9</v>
      </c>
    </row>
    <row r="23" spans="1:49" x14ac:dyDescent="0.25">
      <c r="A23" s="33" t="s">
        <v>55</v>
      </c>
      <c r="B23" s="33" t="s">
        <v>56</v>
      </c>
      <c r="C23" s="33" t="s">
        <v>71</v>
      </c>
      <c r="D23" s="33" t="s">
        <v>77</v>
      </c>
      <c r="E23" s="34">
        <f>COUNTIF('Detalle por artículo'!$K$8:$K$592,D23)</f>
        <v>1</v>
      </c>
      <c r="F23" s="35">
        <f t="shared" si="2"/>
        <v>111.50738150738151</v>
      </c>
      <c r="G23" s="36">
        <f>SUMIF('Detalle por artículo'!$K$8:$K$592,$D23,'Detalle por artículo'!$E$8:$E$592)</f>
        <v>25.74</v>
      </c>
      <c r="H23" s="35">
        <f t="shared" si="3"/>
        <v>17</v>
      </c>
      <c r="I23" s="35">
        <f t="shared" si="4"/>
        <v>34</v>
      </c>
      <c r="J23" s="35">
        <f t="shared" si="5"/>
        <v>67</v>
      </c>
      <c r="K23" s="37">
        <f t="shared" si="6"/>
        <v>0.91928571428571426</v>
      </c>
      <c r="L23" s="36">
        <f>SUMIF('Detalle por artículo'!$K$8:$K$592,$D23,'Detalle por artículo'!$O$8:$O$592)</f>
        <v>2870.2</v>
      </c>
      <c r="M23" s="38">
        <f>SUMIF('Detalle por artículo'!$K$8:$K$592,$D23,'Detalle por artículo'!$I$8:$I$592)</f>
        <v>1915</v>
      </c>
      <c r="N23" s="38">
        <f>SUMIF('Detalle por artículo'!$K$8:$K$592,$D23,'Detalle por artículo'!$M$8:$M$592)</f>
        <v>240</v>
      </c>
      <c r="O23" s="39">
        <f t="shared" si="7"/>
        <v>13.441253263707571</v>
      </c>
      <c r="P23" s="40">
        <f t="shared" si="8"/>
        <v>1498.7989556135769</v>
      </c>
      <c r="Q23" s="41">
        <f t="shared" si="9"/>
        <v>0.2</v>
      </c>
      <c r="R23" s="40">
        <f t="shared" si="10"/>
        <v>30.887999999999998</v>
      </c>
      <c r="S23" s="42">
        <f>IFERROR(SUM($G$8:G23)/$G$6,0)</f>
        <v>0.32764761516369972</v>
      </c>
      <c r="T23" s="43" t="str">
        <f t="shared" si="11"/>
        <v>A</v>
      </c>
      <c r="U23" s="44">
        <v>1915</v>
      </c>
      <c r="V23" s="45">
        <f t="shared" si="12"/>
        <v>0</v>
      </c>
      <c r="W23" s="46">
        <v>46286</v>
      </c>
      <c r="X23" s="46">
        <v>46286</v>
      </c>
      <c r="Y23" s="47">
        <v>32</v>
      </c>
      <c r="Z23" s="48">
        <f t="shared" si="13"/>
        <v>0.43012010443864229</v>
      </c>
      <c r="AA23" s="49">
        <f t="shared" si="14"/>
        <v>1.5361432301380082E-2</v>
      </c>
      <c r="AB23" s="44">
        <v>591</v>
      </c>
      <c r="AC23" s="44">
        <f t="shared" si="15"/>
        <v>584</v>
      </c>
      <c r="AD23" s="44">
        <f t="shared" si="16"/>
        <v>0</v>
      </c>
      <c r="AE23" s="50">
        <f t="shared" si="17"/>
        <v>30</v>
      </c>
      <c r="AF23" s="41">
        <f t="shared" si="18"/>
        <v>0.6</v>
      </c>
      <c r="AG23" s="44">
        <v>7</v>
      </c>
      <c r="AH23" s="44">
        <v>0</v>
      </c>
      <c r="AI23" s="42">
        <f t="shared" si="19"/>
        <v>0.30496083550913838</v>
      </c>
      <c r="AJ23" s="42">
        <f t="shared" si="20"/>
        <v>0</v>
      </c>
      <c r="AK23" s="40">
        <f t="shared" si="21"/>
        <v>7.849691906005221</v>
      </c>
      <c r="AL23" s="51">
        <v>1324</v>
      </c>
      <c r="AM23" s="52">
        <f t="shared" si="22"/>
        <v>17.796219321148822</v>
      </c>
      <c r="AN23" s="42">
        <f t="shared" si="23"/>
        <v>0.69138381201044385</v>
      </c>
      <c r="AO23" s="53">
        <f t="shared" si="24"/>
        <v>1324</v>
      </c>
      <c r="AP23" s="52">
        <f t="shared" si="25"/>
        <v>17.796219321148822</v>
      </c>
      <c r="AQ23" s="42">
        <f t="shared" si="26"/>
        <v>0.30496083550913838</v>
      </c>
      <c r="AR23" s="46">
        <v>46293</v>
      </c>
      <c r="AS23" s="46">
        <v>46294</v>
      </c>
      <c r="AT23" s="50">
        <f t="shared" si="27"/>
        <v>8</v>
      </c>
      <c r="AU23" s="50">
        <f t="shared" si="28"/>
        <v>46</v>
      </c>
      <c r="AV23" s="50">
        <f t="shared" si="29"/>
        <v>203</v>
      </c>
      <c r="AW23" s="54">
        <f t="shared" si="30"/>
        <v>-157</v>
      </c>
    </row>
    <row r="24" spans="1:49" x14ac:dyDescent="0.25">
      <c r="A24" s="33" t="s">
        <v>55</v>
      </c>
      <c r="B24" s="33" t="s">
        <v>56</v>
      </c>
      <c r="C24" s="33" t="s">
        <v>57</v>
      </c>
      <c r="D24" s="33" t="s">
        <v>78</v>
      </c>
      <c r="E24" s="34">
        <f>COUNTIF('Detalle por artículo'!$K$8:$K$592,D24)</f>
        <v>2</v>
      </c>
      <c r="F24" s="35">
        <f t="shared" si="2"/>
        <v>123.54218611759029</v>
      </c>
      <c r="G24" s="36">
        <f>SUMIF('Detalle por artículo'!$K$8:$K$592,$D24,'Detalle por artículo'!$E$8:$E$592)</f>
        <v>24.866</v>
      </c>
      <c r="H24" s="35">
        <f t="shared" si="3"/>
        <v>17</v>
      </c>
      <c r="I24" s="35">
        <f t="shared" si="4"/>
        <v>33</v>
      </c>
      <c r="J24" s="35">
        <f t="shared" si="5"/>
        <v>65</v>
      </c>
      <c r="K24" s="37">
        <f t="shared" si="6"/>
        <v>0.88807142857142851</v>
      </c>
      <c r="L24" s="36">
        <f>SUMIF('Detalle por artículo'!$K$8:$K$592,$D24,'Detalle por artículo'!$O$8:$O$592)</f>
        <v>3072</v>
      </c>
      <c r="M24" s="38">
        <f>SUMIF('Detalle por artículo'!$K$8:$K$592,$D24,'Detalle por artículo'!$I$8:$I$592)</f>
        <v>1826</v>
      </c>
      <c r="N24" s="38">
        <f>SUMIF('Detalle por artículo'!$K$8:$K$592,$D24,'Detalle por artículo'!$M$8:$M$592)</f>
        <v>260</v>
      </c>
      <c r="O24" s="39">
        <f t="shared" si="7"/>
        <v>13.617743702081052</v>
      </c>
      <c r="P24" s="40">
        <f t="shared" si="8"/>
        <v>1682.3658269441401</v>
      </c>
      <c r="Q24" s="41">
        <f t="shared" si="9"/>
        <v>0.15</v>
      </c>
      <c r="R24" s="40">
        <f t="shared" si="10"/>
        <v>28.595899999999997</v>
      </c>
      <c r="S24" s="42">
        <f>IFERROR(SUM($G$8:G24)/$G$6,0)</f>
        <v>0.3367849696728441</v>
      </c>
      <c r="T24" s="43" t="str">
        <f t="shared" si="11"/>
        <v>A</v>
      </c>
      <c r="U24" s="44">
        <v>1827</v>
      </c>
      <c r="V24" s="45">
        <f t="shared" si="12"/>
        <v>1</v>
      </c>
      <c r="W24" s="46">
        <v>46282</v>
      </c>
      <c r="X24" s="46">
        <v>46282</v>
      </c>
      <c r="Y24" s="47">
        <v>14</v>
      </c>
      <c r="Z24" s="48">
        <f t="shared" si="13"/>
        <v>0.19064841182913472</v>
      </c>
      <c r="AA24" s="49">
        <f t="shared" si="14"/>
        <v>6.8088718510405256E-3</v>
      </c>
      <c r="AB24" s="44">
        <v>386</v>
      </c>
      <c r="AC24" s="44">
        <f t="shared" si="15"/>
        <v>367</v>
      </c>
      <c r="AD24" s="44">
        <f t="shared" si="16"/>
        <v>5</v>
      </c>
      <c r="AE24" s="50">
        <f t="shared" si="17"/>
        <v>37</v>
      </c>
      <c r="AF24" s="41">
        <f t="shared" si="18"/>
        <v>0.74</v>
      </c>
      <c r="AG24" s="44">
        <v>6</v>
      </c>
      <c r="AH24" s="44">
        <v>8</v>
      </c>
      <c r="AI24" s="42">
        <f t="shared" si="19"/>
        <v>0.2009857612267251</v>
      </c>
      <c r="AJ24" s="42">
        <f t="shared" si="20"/>
        <v>2.7382256297918948E-3</v>
      </c>
      <c r="AK24" s="40">
        <f t="shared" si="21"/>
        <v>4.9977119386637456</v>
      </c>
      <c r="AL24" s="51">
        <v>1441</v>
      </c>
      <c r="AM24" s="52">
        <f t="shared" si="22"/>
        <v>19.623168674698796</v>
      </c>
      <c r="AN24" s="42">
        <f t="shared" si="23"/>
        <v>0.78872468527640938</v>
      </c>
      <c r="AO24" s="53">
        <f t="shared" si="24"/>
        <v>1440</v>
      </c>
      <c r="AP24" s="52">
        <f t="shared" si="25"/>
        <v>19.609550930996715</v>
      </c>
      <c r="AQ24" s="42">
        <f t="shared" si="26"/>
        <v>0.20372398685651696</v>
      </c>
      <c r="AR24" s="46">
        <v>46285</v>
      </c>
      <c r="AS24" s="46">
        <v>46287</v>
      </c>
      <c r="AT24" s="50">
        <f t="shared" si="27"/>
        <v>5</v>
      </c>
      <c r="AU24" s="50">
        <f t="shared" si="28"/>
        <v>53</v>
      </c>
      <c r="AV24" s="50">
        <f t="shared" si="29"/>
        <v>331</v>
      </c>
      <c r="AW24" s="54">
        <f t="shared" si="30"/>
        <v>-278</v>
      </c>
    </row>
    <row r="25" spans="1:49" x14ac:dyDescent="0.25">
      <c r="A25" s="33" t="s">
        <v>55</v>
      </c>
      <c r="B25" s="33" t="s">
        <v>56</v>
      </c>
      <c r="C25" s="33" t="s">
        <v>57</v>
      </c>
      <c r="D25" s="33" t="s">
        <v>79</v>
      </c>
      <c r="E25" s="34">
        <f>COUNTIF('Detalle por artículo'!$K$8:$K$592,D25)</f>
        <v>2</v>
      </c>
      <c r="F25" s="35">
        <f t="shared" si="2"/>
        <v>90.894465894465895</v>
      </c>
      <c r="G25" s="36">
        <f>SUMIF('Detalle por artículo'!$K$8:$K$592,$D25,'Detalle por artículo'!$E$8:$E$592)</f>
        <v>24.864000000000001</v>
      </c>
      <c r="H25" s="35">
        <f t="shared" si="3"/>
        <v>17</v>
      </c>
      <c r="I25" s="35">
        <f t="shared" si="4"/>
        <v>33</v>
      </c>
      <c r="J25" s="35">
        <f t="shared" si="5"/>
        <v>65</v>
      </c>
      <c r="K25" s="37">
        <f t="shared" si="6"/>
        <v>0.88800000000000001</v>
      </c>
      <c r="L25" s="36">
        <f>SUMIF('Detalle por artículo'!$K$8:$K$592,$D25,'Detalle por artículo'!$O$8:$O$592)</f>
        <v>2260</v>
      </c>
      <c r="M25" s="38">
        <f>SUMIF('Detalle por artículo'!$K$8:$K$592,$D25,'Detalle por artículo'!$I$8:$I$592)</f>
        <v>2071</v>
      </c>
      <c r="N25" s="38">
        <f>SUMIF('Detalle por artículo'!$K$8:$K$592,$D25,'Detalle por artículo'!$M$8:$M$592)</f>
        <v>259</v>
      </c>
      <c r="O25" s="39">
        <f t="shared" si="7"/>
        <v>12.005794302269436</v>
      </c>
      <c r="P25" s="40">
        <f t="shared" si="8"/>
        <v>1091.2602607436022</v>
      </c>
      <c r="Q25" s="41">
        <f t="shared" si="9"/>
        <v>0.2</v>
      </c>
      <c r="R25" s="40">
        <f t="shared" si="10"/>
        <v>29.8368</v>
      </c>
      <c r="S25" s="42">
        <f>IFERROR(SUM($G$8:G25)/$G$6,0)</f>
        <v>0.34592158925441596</v>
      </c>
      <c r="T25" s="43" t="str">
        <f t="shared" si="11"/>
        <v>A</v>
      </c>
      <c r="U25" s="44">
        <v>2067</v>
      </c>
      <c r="V25" s="45">
        <f t="shared" si="12"/>
        <v>-4</v>
      </c>
      <c r="W25" s="46">
        <v>46282</v>
      </c>
      <c r="X25" s="46">
        <v>46282</v>
      </c>
      <c r="Y25" s="47">
        <v>13</v>
      </c>
      <c r="Z25" s="48">
        <f t="shared" si="13"/>
        <v>0.15607532592950266</v>
      </c>
      <c r="AA25" s="49">
        <f t="shared" si="14"/>
        <v>5.5741187831965236E-3</v>
      </c>
      <c r="AB25" s="44">
        <v>610</v>
      </c>
      <c r="AC25" s="44">
        <f t="shared" si="15"/>
        <v>573</v>
      </c>
      <c r="AD25" s="44">
        <f t="shared" si="16"/>
        <v>18</v>
      </c>
      <c r="AE25" s="50">
        <f t="shared" si="17"/>
        <v>37</v>
      </c>
      <c r="AF25" s="41">
        <f t="shared" si="18"/>
        <v>0.74</v>
      </c>
      <c r="AG25" s="44">
        <v>19</v>
      </c>
      <c r="AH25" s="44">
        <v>0</v>
      </c>
      <c r="AI25" s="42">
        <f t="shared" si="19"/>
        <v>0.27667793336552388</v>
      </c>
      <c r="AJ25" s="42">
        <f t="shared" si="20"/>
        <v>8.691453404152583E-3</v>
      </c>
      <c r="AK25" s="40">
        <f t="shared" si="21"/>
        <v>6.8793201352003868</v>
      </c>
      <c r="AL25" s="51">
        <v>1457</v>
      </c>
      <c r="AM25" s="52">
        <f t="shared" si="22"/>
        <v>17.492442298406569</v>
      </c>
      <c r="AN25" s="42">
        <f t="shared" si="23"/>
        <v>0.70488630865989355</v>
      </c>
      <c r="AO25" s="53">
        <f t="shared" si="24"/>
        <v>1461</v>
      </c>
      <c r="AP25" s="52">
        <f t="shared" si="25"/>
        <v>17.540465475615644</v>
      </c>
      <c r="AQ25" s="42">
        <f t="shared" si="26"/>
        <v>0.28536938676967649</v>
      </c>
      <c r="AR25" s="46">
        <v>46285</v>
      </c>
      <c r="AS25" s="46">
        <v>46287</v>
      </c>
      <c r="AT25" s="50">
        <f t="shared" si="27"/>
        <v>5</v>
      </c>
      <c r="AU25" s="50">
        <f t="shared" si="28"/>
        <v>39</v>
      </c>
      <c r="AV25" s="50">
        <f t="shared" si="29"/>
        <v>181</v>
      </c>
      <c r="AW25" s="54">
        <f t="shared" si="30"/>
        <v>-142</v>
      </c>
    </row>
    <row r="26" spans="1:49" x14ac:dyDescent="0.25">
      <c r="A26" s="33" t="s">
        <v>63</v>
      </c>
      <c r="B26" s="33" t="s">
        <v>64</v>
      </c>
      <c r="C26" s="33" t="s">
        <v>80</v>
      </c>
      <c r="D26" s="33" t="s">
        <v>81</v>
      </c>
      <c r="E26" s="34">
        <f>COUNTIF('Detalle por artículo'!$K$8:$K$592,D26)</f>
        <v>1</v>
      </c>
      <c r="F26" s="35">
        <f t="shared" si="2"/>
        <v>142.42343304843305</v>
      </c>
      <c r="G26" s="36">
        <f>SUMIF('Detalle por artículo'!$K$8:$K$592,$D26,'Detalle por artículo'!$E$8:$E$592)</f>
        <v>22.463999999999999</v>
      </c>
      <c r="H26" s="35">
        <f t="shared" si="3"/>
        <v>15</v>
      </c>
      <c r="I26" s="35">
        <f t="shared" si="4"/>
        <v>30</v>
      </c>
      <c r="J26" s="35">
        <f t="shared" si="5"/>
        <v>59</v>
      </c>
      <c r="K26" s="37">
        <f t="shared" si="6"/>
        <v>0.80228571428571427</v>
      </c>
      <c r="L26" s="36">
        <f>SUMIF('Detalle por artículo'!$K$8:$K$592,$D26,'Detalle por artículo'!$O$8:$O$592)</f>
        <v>3199.3999999999996</v>
      </c>
      <c r="M26" s="38">
        <f>SUMIF('Detalle por artículo'!$K$8:$K$592,$D26,'Detalle por artículo'!$I$8:$I$592)</f>
        <v>1803</v>
      </c>
      <c r="N26" s="38">
        <f>SUMIF('Detalle por artículo'!$K$8:$K$592,$D26,'Detalle por artículo'!$M$8:$M$592)</f>
        <v>234</v>
      </c>
      <c r="O26" s="39">
        <f t="shared" si="7"/>
        <v>12.459234608985023</v>
      </c>
      <c r="P26" s="40">
        <f t="shared" si="8"/>
        <v>1774.4869661674984</v>
      </c>
      <c r="Q26" s="41">
        <f t="shared" si="9"/>
        <v>0.15</v>
      </c>
      <c r="R26" s="40">
        <f t="shared" si="10"/>
        <v>25.833599999999997</v>
      </c>
      <c r="S26" s="42">
        <f>IFERROR(SUM($G$8:G26)/$G$6,0)</f>
        <v>0.35417629574896348</v>
      </c>
      <c r="T26" s="43" t="str">
        <f t="shared" si="11"/>
        <v>A</v>
      </c>
      <c r="U26" s="44">
        <v>1803</v>
      </c>
      <c r="V26" s="45">
        <f t="shared" si="12"/>
        <v>0</v>
      </c>
      <c r="W26" s="46">
        <v>46223</v>
      </c>
      <c r="X26" s="46">
        <v>46223</v>
      </c>
      <c r="Y26" s="47">
        <v>0</v>
      </c>
      <c r="Z26" s="48">
        <f t="shared" si="13"/>
        <v>0</v>
      </c>
      <c r="AA26" s="49">
        <f t="shared" si="14"/>
        <v>0</v>
      </c>
      <c r="AB26" s="44">
        <v>464</v>
      </c>
      <c r="AC26" s="44">
        <f t="shared" si="15"/>
        <v>294</v>
      </c>
      <c r="AD26" s="44">
        <f t="shared" si="16"/>
        <v>143</v>
      </c>
      <c r="AE26" s="50">
        <f t="shared" si="17"/>
        <v>37</v>
      </c>
      <c r="AF26" s="41">
        <f t="shared" si="18"/>
        <v>0.74</v>
      </c>
      <c r="AG26" s="44">
        <v>5</v>
      </c>
      <c r="AH26" s="44">
        <v>22</v>
      </c>
      <c r="AI26" s="42">
        <f t="shared" si="19"/>
        <v>0.16306156405990016</v>
      </c>
      <c r="AJ26" s="42">
        <f t="shared" si="20"/>
        <v>7.9312257348863005E-2</v>
      </c>
      <c r="AK26" s="40">
        <f t="shared" si="21"/>
        <v>3.6630149750415968</v>
      </c>
      <c r="AL26" s="51">
        <v>1339</v>
      </c>
      <c r="AM26" s="52">
        <f t="shared" si="22"/>
        <v>16.682915141430946</v>
      </c>
      <c r="AN26" s="42">
        <f t="shared" si="23"/>
        <v>0.74265113699389906</v>
      </c>
      <c r="AO26" s="53">
        <f t="shared" si="24"/>
        <v>1339</v>
      </c>
      <c r="AP26" s="52">
        <f t="shared" si="25"/>
        <v>16.682915141430946</v>
      </c>
      <c r="AQ26" s="42">
        <f t="shared" si="26"/>
        <v>0.24237382140876318</v>
      </c>
      <c r="AR26" s="46">
        <v>46233</v>
      </c>
      <c r="AS26" s="46">
        <v>46234</v>
      </c>
      <c r="AT26" s="50">
        <f t="shared" si="27"/>
        <v>11</v>
      </c>
      <c r="AU26" s="50">
        <f t="shared" si="28"/>
        <v>56</v>
      </c>
      <c r="AV26" s="50">
        <f t="shared" si="29"/>
        <v>296</v>
      </c>
      <c r="AW26" s="54">
        <f t="shared" si="30"/>
        <v>-240</v>
      </c>
    </row>
    <row r="27" spans="1:49" x14ac:dyDescent="0.25">
      <c r="A27" s="33" t="s">
        <v>63</v>
      </c>
      <c r="B27" s="33" t="s">
        <v>64</v>
      </c>
      <c r="C27" s="33" t="s">
        <v>66</v>
      </c>
      <c r="D27" s="33" t="s">
        <v>82</v>
      </c>
      <c r="E27" s="34">
        <f>COUNTIF('Detalle por artículo'!$K$8:$K$592,D27)</f>
        <v>1</v>
      </c>
      <c r="F27" s="35">
        <f t="shared" si="2"/>
        <v>126.51515151515152</v>
      </c>
      <c r="G27" s="36">
        <f>SUMIF('Detalle por artículo'!$K$8:$K$592,$D27,'Detalle por artículo'!$E$8:$E$592)</f>
        <v>20.46</v>
      </c>
      <c r="H27" s="35">
        <f t="shared" si="3"/>
        <v>14</v>
      </c>
      <c r="I27" s="35">
        <f t="shared" si="4"/>
        <v>27</v>
      </c>
      <c r="J27" s="35">
        <f t="shared" si="5"/>
        <v>54</v>
      </c>
      <c r="K27" s="37">
        <f t="shared" si="6"/>
        <v>0.73071428571428576</v>
      </c>
      <c r="L27" s="36">
        <f>SUMIF('Detalle por artículo'!$K$8:$K$592,$D27,'Detalle por artículo'!$O$8:$O$592)</f>
        <v>2588.5</v>
      </c>
      <c r="M27" s="38">
        <f>SUMIF('Detalle por artículo'!$K$8:$K$592,$D27,'Detalle por artículo'!$I$8:$I$592)</f>
        <v>2546</v>
      </c>
      <c r="N27" s="38">
        <f>SUMIF('Detalle por artículo'!$K$8:$K$592,$D27,'Detalle por artículo'!$M$8:$M$592)</f>
        <v>196</v>
      </c>
      <c r="O27" s="39">
        <f t="shared" si="7"/>
        <v>8.0361351139041641</v>
      </c>
      <c r="P27" s="40">
        <f t="shared" si="8"/>
        <v>1016.6928515318145</v>
      </c>
      <c r="Q27" s="41">
        <f t="shared" si="9"/>
        <v>0.15</v>
      </c>
      <c r="R27" s="40">
        <f t="shared" si="10"/>
        <v>23.529</v>
      </c>
      <c r="S27" s="42">
        <f>IFERROR(SUM($G$8:G27)/$G$6,0)</f>
        <v>0.36169460481584575</v>
      </c>
      <c r="T27" s="43" t="str">
        <f t="shared" si="11"/>
        <v>A</v>
      </c>
      <c r="U27" s="44">
        <v>2546</v>
      </c>
      <c r="V27" s="45">
        <f t="shared" si="12"/>
        <v>0</v>
      </c>
      <c r="W27" s="46">
        <v>46303</v>
      </c>
      <c r="X27" s="46">
        <v>46303</v>
      </c>
      <c r="Y27" s="47">
        <v>0</v>
      </c>
      <c r="Z27" s="48">
        <f t="shared" si="13"/>
        <v>0</v>
      </c>
      <c r="AA27" s="49">
        <f t="shared" si="14"/>
        <v>0</v>
      </c>
      <c r="AB27" s="44">
        <v>766</v>
      </c>
      <c r="AC27" s="44">
        <f t="shared" si="15"/>
        <v>423</v>
      </c>
      <c r="AD27" s="44">
        <f t="shared" si="16"/>
        <v>342</v>
      </c>
      <c r="AE27" s="50">
        <f t="shared" si="17"/>
        <v>48</v>
      </c>
      <c r="AF27" s="41">
        <f t="shared" si="18"/>
        <v>0.96</v>
      </c>
      <c r="AG27" s="44">
        <v>1</v>
      </c>
      <c r="AH27" s="44">
        <v>0</v>
      </c>
      <c r="AI27" s="42">
        <f t="shared" si="19"/>
        <v>0.16614296936370779</v>
      </c>
      <c r="AJ27" s="42">
        <f t="shared" si="20"/>
        <v>0.13432835820895522</v>
      </c>
      <c r="AK27" s="40">
        <f t="shared" si="21"/>
        <v>3.3992851531814612</v>
      </c>
      <c r="AL27" s="51">
        <v>1780</v>
      </c>
      <c r="AM27" s="52">
        <f t="shared" si="22"/>
        <v>14.304320502749411</v>
      </c>
      <c r="AN27" s="42">
        <f t="shared" si="23"/>
        <v>0.69913589945011778</v>
      </c>
      <c r="AO27" s="53">
        <f t="shared" si="24"/>
        <v>1780</v>
      </c>
      <c r="AP27" s="52">
        <f t="shared" si="25"/>
        <v>14.304320502749411</v>
      </c>
      <c r="AQ27" s="42">
        <f t="shared" si="26"/>
        <v>0.30047132757266298</v>
      </c>
      <c r="AR27" s="46">
        <v>46303</v>
      </c>
      <c r="AS27" s="46">
        <v>46304</v>
      </c>
      <c r="AT27" s="50">
        <f t="shared" si="27"/>
        <v>1</v>
      </c>
      <c r="AU27" s="50">
        <f t="shared" si="28"/>
        <v>27</v>
      </c>
      <c r="AV27" s="50">
        <f t="shared" si="29"/>
        <v>102</v>
      </c>
      <c r="AW27" s="54">
        <f t="shared" si="30"/>
        <v>-75</v>
      </c>
    </row>
    <row r="28" spans="1:49" x14ac:dyDescent="0.25">
      <c r="A28" s="33" t="s">
        <v>55</v>
      </c>
      <c r="B28" s="33" t="s">
        <v>56</v>
      </c>
      <c r="C28" s="33" t="s">
        <v>66</v>
      </c>
      <c r="D28" s="33" t="s">
        <v>83</v>
      </c>
      <c r="E28" s="34">
        <f>COUNTIF('Detalle por artículo'!$K$8:$K$592,D28)</f>
        <v>2</v>
      </c>
      <c r="F28" s="35">
        <f t="shared" si="2"/>
        <v>230.40793709430579</v>
      </c>
      <c r="G28" s="36">
        <f>SUMIF('Detalle por artículo'!$K$8:$K$592,$D28,'Detalle por artículo'!$E$8:$E$592)</f>
        <v>18.948999999999998</v>
      </c>
      <c r="H28" s="35">
        <f t="shared" si="3"/>
        <v>13</v>
      </c>
      <c r="I28" s="35">
        <f t="shared" si="4"/>
        <v>25</v>
      </c>
      <c r="J28" s="35">
        <f t="shared" si="5"/>
        <v>50</v>
      </c>
      <c r="K28" s="37">
        <f t="shared" si="6"/>
        <v>0.67674999999999996</v>
      </c>
      <c r="L28" s="36">
        <f>SUMIF('Detalle por artículo'!$K$8:$K$592,$D28,'Detalle por artículo'!$O$8:$O$592)</f>
        <v>4366</v>
      </c>
      <c r="M28" s="38">
        <f>SUMIF('Detalle por artículo'!$K$8:$K$592,$D28,'Detalle por artículo'!$I$8:$I$592)</f>
        <v>3856</v>
      </c>
      <c r="N28" s="38">
        <f>SUMIF('Detalle por artículo'!$K$8:$K$592,$D28,'Detalle por artículo'!$M$8:$M$592)</f>
        <v>242</v>
      </c>
      <c r="O28" s="39">
        <f t="shared" si="7"/>
        <v>4.914159751037344</v>
      </c>
      <c r="P28" s="40">
        <f t="shared" si="8"/>
        <v>1132.2614107883817</v>
      </c>
      <c r="Q28" s="41">
        <f t="shared" si="9"/>
        <v>0.1</v>
      </c>
      <c r="R28" s="40">
        <f t="shared" si="10"/>
        <v>20.843899999999998</v>
      </c>
      <c r="S28" s="42">
        <f>IFERROR(SUM($G$8:G28)/$G$6,0)</f>
        <v>0.36865767610168898</v>
      </c>
      <c r="T28" s="43" t="str">
        <f t="shared" si="11"/>
        <v>A</v>
      </c>
      <c r="U28" s="44">
        <v>3859</v>
      </c>
      <c r="V28" s="45">
        <f t="shared" si="12"/>
        <v>3</v>
      </c>
      <c r="W28" s="46">
        <v>46245</v>
      </c>
      <c r="X28" s="46">
        <v>46245</v>
      </c>
      <c r="Y28" s="47">
        <v>1</v>
      </c>
      <c r="Z28" s="48">
        <f t="shared" si="13"/>
        <v>4.9141597510373438E-3</v>
      </c>
      <c r="AA28" s="49">
        <f t="shared" si="14"/>
        <v>1.7550570539419085E-4</v>
      </c>
      <c r="AB28" s="44">
        <v>1652</v>
      </c>
      <c r="AC28" s="44">
        <f t="shared" si="15"/>
        <v>929</v>
      </c>
      <c r="AD28" s="44">
        <f t="shared" si="16"/>
        <v>696</v>
      </c>
      <c r="AE28" s="50">
        <f t="shared" si="17"/>
        <v>48</v>
      </c>
      <c r="AF28" s="41">
        <f t="shared" si="18"/>
        <v>0.96</v>
      </c>
      <c r="AG28" s="44">
        <v>11</v>
      </c>
      <c r="AH28" s="44">
        <v>16</v>
      </c>
      <c r="AI28" s="42">
        <f t="shared" si="19"/>
        <v>0.24092323651452283</v>
      </c>
      <c r="AJ28" s="42">
        <f t="shared" si="20"/>
        <v>0.18049792531120332</v>
      </c>
      <c r="AK28" s="40">
        <f t="shared" si="21"/>
        <v>4.5652544087136926</v>
      </c>
      <c r="AL28" s="51">
        <v>2185</v>
      </c>
      <c r="AM28" s="52">
        <f t="shared" si="22"/>
        <v>10.737439056016598</v>
      </c>
      <c r="AN28" s="42">
        <f t="shared" si="23"/>
        <v>0.56620886239958534</v>
      </c>
      <c r="AO28" s="53">
        <f t="shared" si="24"/>
        <v>2204</v>
      </c>
      <c r="AP28" s="52">
        <f t="shared" si="25"/>
        <v>10.830808091286306</v>
      </c>
      <c r="AQ28" s="42">
        <f t="shared" si="26"/>
        <v>0.42142116182572614</v>
      </c>
      <c r="AR28" s="46">
        <v>46254</v>
      </c>
      <c r="AS28" s="46">
        <v>46255</v>
      </c>
      <c r="AT28" s="50">
        <f t="shared" si="27"/>
        <v>10</v>
      </c>
      <c r="AU28" s="50">
        <f t="shared" si="28"/>
        <v>16</v>
      </c>
      <c r="AV28" s="50">
        <f t="shared" si="29"/>
        <v>17</v>
      </c>
      <c r="AW28" s="54">
        <f t="shared" si="30"/>
        <v>-1</v>
      </c>
    </row>
    <row r="29" spans="1:49" x14ac:dyDescent="0.25">
      <c r="A29" s="33" t="s">
        <v>63</v>
      </c>
      <c r="B29" s="33" t="s">
        <v>84</v>
      </c>
      <c r="C29" s="33" t="s">
        <v>85</v>
      </c>
      <c r="D29" s="33" t="s">
        <v>86</v>
      </c>
      <c r="E29" s="34">
        <f>COUNTIF('Detalle por artículo'!$K$8:$K$592,D29)</f>
        <v>2</v>
      </c>
      <c r="F29" s="35">
        <f t="shared" si="2"/>
        <v>101.02508178844056</v>
      </c>
      <c r="G29" s="36">
        <f>SUMIF('Detalle por artículo'!$K$8:$K$592,$D29,'Detalle por artículo'!$E$8:$E$592)</f>
        <v>18.34</v>
      </c>
      <c r="H29" s="35">
        <f t="shared" si="3"/>
        <v>12</v>
      </c>
      <c r="I29" s="35">
        <f t="shared" si="4"/>
        <v>24</v>
      </c>
      <c r="J29" s="35">
        <f t="shared" si="5"/>
        <v>48</v>
      </c>
      <c r="K29" s="37">
        <f t="shared" si="6"/>
        <v>0.65500000000000003</v>
      </c>
      <c r="L29" s="36">
        <f>SUMIF('Detalle por artículo'!$K$8:$K$592,$D29,'Detalle por artículo'!$O$8:$O$592)</f>
        <v>1852.8</v>
      </c>
      <c r="M29" s="38">
        <f>SUMIF('Detalle por artículo'!$K$8:$K$592,$D29,'Detalle por artículo'!$I$8:$I$592)</f>
        <v>3316</v>
      </c>
      <c r="N29" s="38">
        <f>SUMIF('Detalle por artículo'!$K$8:$K$592,$D29,'Detalle por artículo'!$M$8:$M$592)</f>
        <v>191</v>
      </c>
      <c r="O29" s="39">
        <f t="shared" si="7"/>
        <v>5.5307599517490953</v>
      </c>
      <c r="P29" s="40">
        <f t="shared" si="8"/>
        <v>558.74547647768395</v>
      </c>
      <c r="Q29" s="41">
        <f t="shared" si="9"/>
        <v>0.2</v>
      </c>
      <c r="R29" s="40">
        <f t="shared" si="10"/>
        <v>22.007999999999999</v>
      </c>
      <c r="S29" s="42">
        <f>IFERROR(SUM($G$8:G29)/$G$6,0)</f>
        <v>0.37539696194169975</v>
      </c>
      <c r="T29" s="43" t="str">
        <f t="shared" si="11"/>
        <v>A</v>
      </c>
      <c r="U29" s="44">
        <v>3313</v>
      </c>
      <c r="V29" s="45">
        <f t="shared" si="12"/>
        <v>-3</v>
      </c>
      <c r="W29" s="46">
        <v>46234</v>
      </c>
      <c r="X29" s="46">
        <v>46234</v>
      </c>
      <c r="Y29" s="47">
        <v>19</v>
      </c>
      <c r="Z29" s="48">
        <f t="shared" si="13"/>
        <v>0.10508443908323281</v>
      </c>
      <c r="AA29" s="49">
        <f t="shared" si="14"/>
        <v>3.7530156815440288E-3</v>
      </c>
      <c r="AB29" s="44">
        <v>1474</v>
      </c>
      <c r="AC29" s="44">
        <f t="shared" si="15"/>
        <v>607</v>
      </c>
      <c r="AD29" s="44">
        <f t="shared" si="16"/>
        <v>823</v>
      </c>
      <c r="AE29" s="50">
        <f t="shared" si="17"/>
        <v>44</v>
      </c>
      <c r="AF29" s="41">
        <f t="shared" si="18"/>
        <v>0.88</v>
      </c>
      <c r="AG29" s="44">
        <v>10</v>
      </c>
      <c r="AH29" s="44">
        <v>38</v>
      </c>
      <c r="AI29" s="42">
        <f t="shared" si="19"/>
        <v>0.1830518697225573</v>
      </c>
      <c r="AJ29" s="42">
        <f t="shared" si="20"/>
        <v>0.24819059107358263</v>
      </c>
      <c r="AK29" s="40">
        <f t="shared" si="21"/>
        <v>3.3571712907117006</v>
      </c>
      <c r="AL29" s="51">
        <v>1839</v>
      </c>
      <c r="AM29" s="52">
        <f t="shared" si="22"/>
        <v>10.171067551266585</v>
      </c>
      <c r="AN29" s="42">
        <f t="shared" si="23"/>
        <v>0.55508602475098101</v>
      </c>
      <c r="AO29" s="53">
        <f t="shared" si="24"/>
        <v>1842</v>
      </c>
      <c r="AP29" s="52">
        <f t="shared" si="25"/>
        <v>10.187659831121833</v>
      </c>
      <c r="AQ29" s="42">
        <f t="shared" si="26"/>
        <v>0.43124246079613993</v>
      </c>
      <c r="AR29" s="46">
        <v>46254</v>
      </c>
      <c r="AS29" s="46">
        <v>46255</v>
      </c>
      <c r="AT29" s="50">
        <f t="shared" si="27"/>
        <v>21</v>
      </c>
      <c r="AU29" s="50">
        <f t="shared" si="28"/>
        <v>20</v>
      </c>
      <c r="AV29" s="50">
        <f t="shared" si="29"/>
        <v>24</v>
      </c>
      <c r="AW29" s="54">
        <f t="shared" si="30"/>
        <v>-4</v>
      </c>
    </row>
    <row r="30" spans="1:49" x14ac:dyDescent="0.25">
      <c r="A30" s="33" t="s">
        <v>63</v>
      </c>
      <c r="B30" s="33" t="s">
        <v>64</v>
      </c>
      <c r="C30" s="33" t="s">
        <v>87</v>
      </c>
      <c r="D30" s="33" t="s">
        <v>88</v>
      </c>
      <c r="E30" s="34">
        <f>COUNTIF('Detalle por artículo'!$K$8:$K$592,D30)</f>
        <v>1</v>
      </c>
      <c r="F30" s="35">
        <f t="shared" si="2"/>
        <v>114.52736318407962</v>
      </c>
      <c r="G30" s="36">
        <f>SUMIF('Detalle por artículo'!$K$8:$K$592,$D30,'Detalle por artículo'!$E$8:$E$592)</f>
        <v>18.09</v>
      </c>
      <c r="H30" s="35">
        <f t="shared" si="3"/>
        <v>12</v>
      </c>
      <c r="I30" s="35">
        <f t="shared" si="4"/>
        <v>24</v>
      </c>
      <c r="J30" s="35">
        <f t="shared" si="5"/>
        <v>47</v>
      </c>
      <c r="K30" s="37">
        <f t="shared" si="6"/>
        <v>0.64607142857142852</v>
      </c>
      <c r="L30" s="36">
        <f>SUMIF('Detalle por artículo'!$K$8:$K$592,$D30,'Detalle por artículo'!$O$8:$O$592)</f>
        <v>2071.8000000000002</v>
      </c>
      <c r="M30" s="38">
        <f>SUMIF('Detalle por artículo'!$K$8:$K$592,$D30,'Detalle por artículo'!$I$8:$I$592)</f>
        <v>2014</v>
      </c>
      <c r="N30" s="38">
        <f>SUMIF('Detalle por artículo'!$K$8:$K$592,$D30,'Detalle por artículo'!$M$8:$M$592)</f>
        <v>201</v>
      </c>
      <c r="O30" s="39">
        <f t="shared" si="7"/>
        <v>8.9821251241310822</v>
      </c>
      <c r="P30" s="40">
        <f t="shared" si="8"/>
        <v>1028.6991062562067</v>
      </c>
      <c r="Q30" s="41">
        <f t="shared" si="9"/>
        <v>0.2</v>
      </c>
      <c r="R30" s="40">
        <f t="shared" si="10"/>
        <v>21.707999999999998</v>
      </c>
      <c r="S30" s="42">
        <f>IFERROR(SUM($G$8:G30)/$G$6,0)</f>
        <v>0.38204438183514544</v>
      </c>
      <c r="T30" s="43" t="str">
        <f t="shared" si="11"/>
        <v>A</v>
      </c>
      <c r="U30" s="44">
        <v>2018</v>
      </c>
      <c r="V30" s="45">
        <f t="shared" si="12"/>
        <v>4</v>
      </c>
      <c r="W30" s="46">
        <v>46259</v>
      </c>
      <c r="X30" s="46">
        <v>46259</v>
      </c>
      <c r="Y30" s="47">
        <v>6</v>
      </c>
      <c r="Z30" s="48">
        <f t="shared" si="13"/>
        <v>5.38927507447865E-2</v>
      </c>
      <c r="AA30" s="49">
        <f t="shared" si="14"/>
        <v>1.9247410980280893E-3</v>
      </c>
      <c r="AB30" s="44">
        <v>1326</v>
      </c>
      <c r="AC30" s="44">
        <f t="shared" si="15"/>
        <v>826</v>
      </c>
      <c r="AD30" s="44">
        <f t="shared" si="16"/>
        <v>471</v>
      </c>
      <c r="AE30" s="50">
        <f t="shared" si="17"/>
        <v>48</v>
      </c>
      <c r="AF30" s="41">
        <f t="shared" si="18"/>
        <v>0.96</v>
      </c>
      <c r="AG30" s="44">
        <v>13</v>
      </c>
      <c r="AH30" s="44">
        <v>16</v>
      </c>
      <c r="AI30" s="42">
        <f t="shared" si="19"/>
        <v>0.41012909632571998</v>
      </c>
      <c r="AJ30" s="42">
        <f t="shared" si="20"/>
        <v>0.23386295928500497</v>
      </c>
      <c r="AK30" s="40">
        <f t="shared" si="21"/>
        <v>7.4192353525322741</v>
      </c>
      <c r="AL30" s="51">
        <v>690</v>
      </c>
      <c r="AM30" s="52">
        <f t="shared" si="22"/>
        <v>6.1976663356504469</v>
      </c>
      <c r="AN30" s="42">
        <f t="shared" si="23"/>
        <v>0.34192269573835482</v>
      </c>
      <c r="AO30" s="53">
        <f t="shared" si="24"/>
        <v>688</v>
      </c>
      <c r="AP30" s="52">
        <f t="shared" si="25"/>
        <v>6.1797020854021847</v>
      </c>
      <c r="AQ30" s="42">
        <f t="shared" si="26"/>
        <v>0.64399205561072492</v>
      </c>
      <c r="AR30" s="46">
        <v>46268</v>
      </c>
      <c r="AS30" s="46">
        <v>46268</v>
      </c>
      <c r="AT30" s="50">
        <f t="shared" si="27"/>
        <v>9</v>
      </c>
      <c r="AU30" s="50">
        <f t="shared" si="28"/>
        <v>42</v>
      </c>
      <c r="AV30" s="50">
        <f t="shared" si="29"/>
        <v>37</v>
      </c>
      <c r="AW30" s="54">
        <f t="shared" si="30"/>
        <v>5</v>
      </c>
    </row>
    <row r="31" spans="1:49" x14ac:dyDescent="0.25">
      <c r="A31" s="33" t="s">
        <v>63</v>
      </c>
      <c r="B31" s="33" t="s">
        <v>64</v>
      </c>
      <c r="C31" s="33" t="s">
        <v>80</v>
      </c>
      <c r="D31" s="33" t="s">
        <v>89</v>
      </c>
      <c r="E31" s="34">
        <f>COUNTIF('Detalle por artículo'!$K$8:$K$592,D31)</f>
        <v>1</v>
      </c>
      <c r="F31" s="35">
        <f t="shared" si="2"/>
        <v>136.97916666666666</v>
      </c>
      <c r="G31" s="36">
        <f>SUMIF('Detalle por artículo'!$K$8:$K$592,$D31,'Detalle por artículo'!$E$8:$E$592)</f>
        <v>17.856000000000002</v>
      </c>
      <c r="H31" s="35">
        <f t="shared" si="3"/>
        <v>12</v>
      </c>
      <c r="I31" s="35">
        <f t="shared" si="4"/>
        <v>24</v>
      </c>
      <c r="J31" s="35">
        <f t="shared" si="5"/>
        <v>47</v>
      </c>
      <c r="K31" s="37">
        <f t="shared" si="6"/>
        <v>0.63771428571428579</v>
      </c>
      <c r="L31" s="36">
        <f>SUMIF('Detalle por artículo'!$K$8:$K$592,$D31,'Detalle por artículo'!$O$8:$O$592)</f>
        <v>2445.9</v>
      </c>
      <c r="M31" s="38">
        <f>SUMIF('Detalle por artículo'!$K$8:$K$592,$D31,'Detalle por artículo'!$I$8:$I$592)</f>
        <v>1601</v>
      </c>
      <c r="N31" s="38">
        <f>SUMIF('Detalle por artículo'!$K$8:$K$592,$D31,'Detalle por artículo'!$M$8:$M$592)</f>
        <v>186</v>
      </c>
      <c r="O31" s="39">
        <f t="shared" si="7"/>
        <v>11.153029356652093</v>
      </c>
      <c r="P31" s="40">
        <f t="shared" si="8"/>
        <v>1527.732667083073</v>
      </c>
      <c r="Q31" s="41">
        <f t="shared" si="9"/>
        <v>0.15</v>
      </c>
      <c r="R31" s="40">
        <f t="shared" si="10"/>
        <v>20.534400000000002</v>
      </c>
      <c r="S31" s="42">
        <f>IFERROR(SUM($G$8:G31)/$G$6,0)</f>
        <v>0.38860581520260634</v>
      </c>
      <c r="T31" s="43" t="str">
        <f t="shared" si="11"/>
        <v>A</v>
      </c>
      <c r="U31" s="44">
        <v>1601</v>
      </c>
      <c r="V31" s="45">
        <f t="shared" si="12"/>
        <v>0</v>
      </c>
      <c r="W31" s="46">
        <v>46223</v>
      </c>
      <c r="X31" s="46">
        <v>46223</v>
      </c>
      <c r="Y31" s="47">
        <v>0</v>
      </c>
      <c r="Z31" s="48">
        <f t="shared" si="13"/>
        <v>0</v>
      </c>
      <c r="AA31" s="49">
        <f t="shared" si="14"/>
        <v>0</v>
      </c>
      <c r="AB31" s="44">
        <v>400</v>
      </c>
      <c r="AC31" s="44">
        <f t="shared" si="15"/>
        <v>281</v>
      </c>
      <c r="AD31" s="44">
        <f t="shared" si="16"/>
        <v>90</v>
      </c>
      <c r="AE31" s="50">
        <f t="shared" si="17"/>
        <v>35</v>
      </c>
      <c r="AF31" s="41">
        <f t="shared" si="18"/>
        <v>0.7</v>
      </c>
      <c r="AG31" s="44">
        <v>7</v>
      </c>
      <c r="AH31" s="44">
        <v>22</v>
      </c>
      <c r="AI31" s="42">
        <f t="shared" si="19"/>
        <v>0.1755153029356652</v>
      </c>
      <c r="AJ31" s="42">
        <f t="shared" si="20"/>
        <v>5.6214865708931916E-2</v>
      </c>
      <c r="AK31" s="40">
        <f t="shared" si="21"/>
        <v>3.1340012492192382</v>
      </c>
      <c r="AL31" s="51">
        <v>1201</v>
      </c>
      <c r="AM31" s="52">
        <f t="shared" si="22"/>
        <v>13.394788257339163</v>
      </c>
      <c r="AN31" s="42">
        <f t="shared" si="23"/>
        <v>0.75015615240474698</v>
      </c>
      <c r="AO31" s="53">
        <f t="shared" si="24"/>
        <v>1201</v>
      </c>
      <c r="AP31" s="52">
        <f t="shared" si="25"/>
        <v>13.394788257339163</v>
      </c>
      <c r="AQ31" s="42">
        <f t="shared" si="26"/>
        <v>0.23173016864459714</v>
      </c>
      <c r="AR31" s="46">
        <v>46233</v>
      </c>
      <c r="AS31" s="46">
        <v>46234</v>
      </c>
      <c r="AT31" s="50">
        <f t="shared" si="27"/>
        <v>11</v>
      </c>
      <c r="AU31" s="50">
        <f t="shared" si="28"/>
        <v>80</v>
      </c>
      <c r="AV31" s="50">
        <f t="shared" si="29"/>
        <v>323</v>
      </c>
      <c r="AW31" s="54">
        <f t="shared" si="30"/>
        <v>-243</v>
      </c>
    </row>
    <row r="32" spans="1:49" x14ac:dyDescent="0.25">
      <c r="A32" s="33" t="s">
        <v>63</v>
      </c>
      <c r="B32" s="33" t="s">
        <v>64</v>
      </c>
      <c r="C32" s="33" t="s">
        <v>66</v>
      </c>
      <c r="D32" s="33" t="s">
        <v>90</v>
      </c>
      <c r="E32" s="34">
        <f>COUNTIF('Detalle por artículo'!$K$8:$K$592,D32)</f>
        <v>1</v>
      </c>
      <c r="F32" s="35">
        <f t="shared" si="2"/>
        <v>139.8921679909194</v>
      </c>
      <c r="G32" s="36">
        <f>SUMIF('Detalle por artículo'!$K$8:$K$592,$D32,'Detalle por artículo'!$E$8:$E$592)</f>
        <v>17.62</v>
      </c>
      <c r="H32" s="35">
        <f t="shared" si="3"/>
        <v>12</v>
      </c>
      <c r="I32" s="35">
        <f t="shared" si="4"/>
        <v>23</v>
      </c>
      <c r="J32" s="35">
        <f t="shared" si="5"/>
        <v>46</v>
      </c>
      <c r="K32" s="37">
        <f t="shared" si="6"/>
        <v>0.62928571428571434</v>
      </c>
      <c r="L32" s="36">
        <f>SUMIF('Detalle por artículo'!$K$8:$K$592,$D32,'Detalle por artículo'!$O$8:$O$592)</f>
        <v>2464.9</v>
      </c>
      <c r="M32" s="38">
        <f>SUMIF('Detalle por artículo'!$K$8:$K$592,$D32,'Detalle por artículo'!$I$8:$I$592)</f>
        <v>1608</v>
      </c>
      <c r="N32" s="38">
        <f>SUMIF('Detalle por artículo'!$K$8:$K$592,$D32,'Detalle por artículo'!$M$8:$M$592)</f>
        <v>161</v>
      </c>
      <c r="O32" s="39">
        <f t="shared" si="7"/>
        <v>10.957711442786071</v>
      </c>
      <c r="P32" s="40">
        <f t="shared" si="8"/>
        <v>1532.8980099502487</v>
      </c>
      <c r="Q32" s="41">
        <f t="shared" si="9"/>
        <v>0.15</v>
      </c>
      <c r="R32" s="40">
        <f t="shared" si="10"/>
        <v>20.262999999999998</v>
      </c>
      <c r="S32" s="42">
        <f>IFERROR(SUM($G$8:G32)/$G$6,0)</f>
        <v>0.39508052711650982</v>
      </c>
      <c r="T32" s="43" t="str">
        <f t="shared" si="11"/>
        <v>A</v>
      </c>
      <c r="U32" s="44">
        <v>1613</v>
      </c>
      <c r="V32" s="45">
        <f t="shared" si="12"/>
        <v>5</v>
      </c>
      <c r="W32" s="46">
        <v>46272</v>
      </c>
      <c r="X32" s="46">
        <v>46272</v>
      </c>
      <c r="Y32" s="47">
        <v>1618</v>
      </c>
      <c r="Z32" s="48">
        <f t="shared" si="13"/>
        <v>17.729577114427862</v>
      </c>
      <c r="AA32" s="49">
        <f t="shared" si="14"/>
        <v>0.6331991826581379</v>
      </c>
      <c r="AB32" s="44">
        <v>842</v>
      </c>
      <c r="AC32" s="44">
        <f t="shared" si="15"/>
        <v>576</v>
      </c>
      <c r="AD32" s="44">
        <f t="shared" si="16"/>
        <v>251</v>
      </c>
      <c r="AE32" s="50">
        <f t="shared" si="17"/>
        <v>48</v>
      </c>
      <c r="AF32" s="41">
        <f t="shared" si="18"/>
        <v>0.96</v>
      </c>
      <c r="AG32" s="44">
        <v>6</v>
      </c>
      <c r="AH32" s="44">
        <v>9</v>
      </c>
      <c r="AI32" s="42">
        <f t="shared" si="19"/>
        <v>0.35820895522388058</v>
      </c>
      <c r="AJ32" s="42">
        <f t="shared" si="20"/>
        <v>0.15609452736318408</v>
      </c>
      <c r="AK32" s="40">
        <f t="shared" si="21"/>
        <v>6.3116417910447762</v>
      </c>
      <c r="AL32" s="51">
        <v>788</v>
      </c>
      <c r="AM32" s="52">
        <f t="shared" si="22"/>
        <v>8.6346766169154243</v>
      </c>
      <c r="AN32" s="42">
        <f t="shared" si="23"/>
        <v>0.48853068815871048</v>
      </c>
      <c r="AO32" s="53">
        <f t="shared" si="24"/>
        <v>766</v>
      </c>
      <c r="AP32" s="52">
        <f t="shared" si="25"/>
        <v>8.393606965174131</v>
      </c>
      <c r="AQ32" s="42">
        <f t="shared" si="26"/>
        <v>0.51430348258706471</v>
      </c>
      <c r="AR32" s="46">
        <v>46274</v>
      </c>
      <c r="AS32" s="46">
        <v>46275</v>
      </c>
      <c r="AT32" s="50">
        <f t="shared" si="27"/>
        <v>3</v>
      </c>
      <c r="AU32" s="50">
        <f t="shared" si="28"/>
        <v>77</v>
      </c>
      <c r="AV32" s="50">
        <f t="shared" si="29"/>
        <v>89</v>
      </c>
      <c r="AW32" s="54">
        <f t="shared" si="30"/>
        <v>-12</v>
      </c>
    </row>
    <row r="33" spans="1:49" x14ac:dyDescent="0.25">
      <c r="A33" s="33" t="s">
        <v>55</v>
      </c>
      <c r="B33" s="33" t="s">
        <v>56</v>
      </c>
      <c r="C33" s="33" t="s">
        <v>57</v>
      </c>
      <c r="D33" s="33" t="s">
        <v>91</v>
      </c>
      <c r="E33" s="34">
        <f>COUNTIF('Detalle por artículo'!$K$8:$K$592,D33)</f>
        <v>1</v>
      </c>
      <c r="F33" s="35">
        <f t="shared" si="2"/>
        <v>107.10431654676259</v>
      </c>
      <c r="G33" s="36">
        <f>SUMIF('Detalle por artículo'!$K$8:$K$592,$D33,'Detalle por artículo'!$E$8:$E$592)</f>
        <v>16.68</v>
      </c>
      <c r="H33" s="35">
        <f t="shared" si="3"/>
        <v>11</v>
      </c>
      <c r="I33" s="35">
        <f t="shared" si="4"/>
        <v>22</v>
      </c>
      <c r="J33" s="35">
        <f t="shared" si="5"/>
        <v>44</v>
      </c>
      <c r="K33" s="37">
        <f t="shared" si="6"/>
        <v>0.59571428571428575</v>
      </c>
      <c r="L33" s="36">
        <f>SUMIF('Detalle por artículo'!$K$8:$K$592,$D33,'Detalle por artículo'!$O$8:$O$592)</f>
        <v>1786.5</v>
      </c>
      <c r="M33" s="38">
        <f>SUMIF('Detalle por artículo'!$K$8:$K$592,$D33,'Detalle por artículo'!$I$8:$I$592)</f>
        <v>1258</v>
      </c>
      <c r="N33" s="38">
        <f>SUMIF('Detalle por artículo'!$K$8:$K$592,$D33,'Detalle por artículo'!$M$8:$M$592)</f>
        <v>139</v>
      </c>
      <c r="O33" s="39">
        <f t="shared" si="7"/>
        <v>13.259141494435612</v>
      </c>
      <c r="P33" s="40">
        <f t="shared" si="8"/>
        <v>1420.1112877583466</v>
      </c>
      <c r="Q33" s="41">
        <f t="shared" si="9"/>
        <v>0.2</v>
      </c>
      <c r="R33" s="40">
        <f t="shared" si="10"/>
        <v>20.015999999999998</v>
      </c>
      <c r="S33" s="42">
        <f>IFERROR(SUM($G$8:G33)/$G$6,0)</f>
        <v>0.4012098230713288</v>
      </c>
      <c r="T33" s="43" t="str">
        <f t="shared" si="11"/>
        <v>A</v>
      </c>
      <c r="U33" s="44">
        <v>1258</v>
      </c>
      <c r="V33" s="45">
        <f t="shared" si="12"/>
        <v>0</v>
      </c>
      <c r="W33" s="46">
        <v>46286</v>
      </c>
      <c r="X33" s="46">
        <v>46286</v>
      </c>
      <c r="Y33" s="47">
        <v>0</v>
      </c>
      <c r="Z33" s="48">
        <f t="shared" si="13"/>
        <v>0</v>
      </c>
      <c r="AA33" s="49">
        <f t="shared" si="14"/>
        <v>0</v>
      </c>
      <c r="AB33" s="44">
        <v>264</v>
      </c>
      <c r="AC33" s="44">
        <f t="shared" si="15"/>
        <v>263</v>
      </c>
      <c r="AD33" s="44">
        <f t="shared" si="16"/>
        <v>0</v>
      </c>
      <c r="AE33" s="50">
        <f t="shared" si="17"/>
        <v>30</v>
      </c>
      <c r="AF33" s="41">
        <f t="shared" si="18"/>
        <v>0.6</v>
      </c>
      <c r="AG33" s="44">
        <v>1</v>
      </c>
      <c r="AH33" s="44">
        <v>0</v>
      </c>
      <c r="AI33" s="42">
        <f t="shared" si="19"/>
        <v>0.20906200317965024</v>
      </c>
      <c r="AJ33" s="42">
        <f t="shared" si="20"/>
        <v>0</v>
      </c>
      <c r="AK33" s="40">
        <f t="shared" si="21"/>
        <v>3.487154213036566</v>
      </c>
      <c r="AL33" s="51">
        <v>994</v>
      </c>
      <c r="AM33" s="52">
        <f t="shared" si="22"/>
        <v>13.179586645468998</v>
      </c>
      <c r="AN33" s="42">
        <f t="shared" si="23"/>
        <v>0.79014308426073132</v>
      </c>
      <c r="AO33" s="53">
        <f t="shared" si="24"/>
        <v>994</v>
      </c>
      <c r="AP33" s="52">
        <f t="shared" si="25"/>
        <v>13.179586645468998</v>
      </c>
      <c r="AQ33" s="42">
        <f t="shared" si="26"/>
        <v>0.20906200317965024</v>
      </c>
      <c r="AR33" s="46">
        <v>46293</v>
      </c>
      <c r="AS33" s="46">
        <v>46294</v>
      </c>
      <c r="AT33" s="50">
        <f t="shared" si="27"/>
        <v>8</v>
      </c>
      <c r="AU33" s="50">
        <f t="shared" si="28"/>
        <v>129</v>
      </c>
      <c r="AV33" s="50">
        <f t="shared" si="29"/>
        <v>362</v>
      </c>
      <c r="AW33" s="54">
        <f t="shared" si="30"/>
        <v>-233</v>
      </c>
    </row>
    <row r="34" spans="1:49" x14ac:dyDescent="0.25">
      <c r="A34" s="33" t="s">
        <v>55</v>
      </c>
      <c r="B34" s="33" t="s">
        <v>56</v>
      </c>
      <c r="C34" s="33" t="s">
        <v>66</v>
      </c>
      <c r="D34" s="33" t="s">
        <v>92</v>
      </c>
      <c r="E34" s="34">
        <f>COUNTIF('Detalle por artículo'!$K$8:$K$592,D34)</f>
        <v>3</v>
      </c>
      <c r="F34" s="35">
        <f t="shared" si="2"/>
        <v>-15.854545454545455</v>
      </c>
      <c r="G34" s="36">
        <f>SUMIF('Detalle por artículo'!$K$8:$K$592,$D34,'Detalle por artículo'!$E$8:$E$592)</f>
        <v>16.5</v>
      </c>
      <c r="H34" s="35">
        <f t="shared" si="3"/>
        <v>11</v>
      </c>
      <c r="I34" s="35">
        <f t="shared" si="4"/>
        <v>22</v>
      </c>
      <c r="J34" s="35">
        <f t="shared" si="5"/>
        <v>43</v>
      </c>
      <c r="K34" s="37">
        <f t="shared" si="6"/>
        <v>0.5892857142857143</v>
      </c>
      <c r="L34" s="36">
        <f>SUMIF('Detalle por artículo'!$K$8:$K$592,$D34,'Detalle por artículo'!$O$8:$O$592)</f>
        <v>-261.60000000000002</v>
      </c>
      <c r="M34" s="38">
        <f>SUMIF('Detalle por artículo'!$K$8:$K$592,$D34,'Detalle por artículo'!$I$8:$I$592)</f>
        <v>3262</v>
      </c>
      <c r="N34" s="38">
        <f>SUMIF('Detalle por artículo'!$K$8:$K$592,$D34,'Detalle por artículo'!$M$8:$M$592)</f>
        <v>218</v>
      </c>
      <c r="O34" s="39">
        <f t="shared" si="7"/>
        <v>5.0582464745554878</v>
      </c>
      <c r="P34" s="40">
        <f t="shared" si="8"/>
        <v>-80.196198651134281</v>
      </c>
      <c r="Q34" s="41">
        <f t="shared" si="9"/>
        <v>0.2</v>
      </c>
      <c r="R34" s="40">
        <f t="shared" si="10"/>
        <v>19.8</v>
      </c>
      <c r="S34" s="42">
        <f>IFERROR(SUM($G$8:G34)/$G$6,0)</f>
        <v>0.40727297554462094</v>
      </c>
      <c r="T34" s="43" t="str">
        <f t="shared" si="11"/>
        <v>A</v>
      </c>
      <c r="U34" s="44">
        <v>3261</v>
      </c>
      <c r="V34" s="45">
        <f t="shared" si="12"/>
        <v>-1</v>
      </c>
      <c r="W34" s="46">
        <v>46246</v>
      </c>
      <c r="X34" s="46">
        <v>46246</v>
      </c>
      <c r="Y34" s="47">
        <v>26</v>
      </c>
      <c r="Z34" s="48">
        <f t="shared" si="13"/>
        <v>0.13151440833844269</v>
      </c>
      <c r="AA34" s="49">
        <f t="shared" si="14"/>
        <v>4.6969431549443814E-3</v>
      </c>
      <c r="AB34" s="44">
        <v>2440</v>
      </c>
      <c r="AC34" s="44">
        <f t="shared" si="15"/>
        <v>1366</v>
      </c>
      <c r="AD34" s="44">
        <f t="shared" si="16"/>
        <v>986</v>
      </c>
      <c r="AE34" s="50">
        <f t="shared" si="17"/>
        <v>48</v>
      </c>
      <c r="AF34" s="41">
        <f t="shared" si="18"/>
        <v>0.96</v>
      </c>
      <c r="AG34" s="44">
        <v>22</v>
      </c>
      <c r="AH34" s="44">
        <v>66</v>
      </c>
      <c r="AI34" s="42">
        <f t="shared" si="19"/>
        <v>0.41876149601471491</v>
      </c>
      <c r="AJ34" s="42">
        <f t="shared" si="20"/>
        <v>0.30226854690374005</v>
      </c>
      <c r="AK34" s="40">
        <f t="shared" si="21"/>
        <v>6.9095646842427962</v>
      </c>
      <c r="AL34" s="51">
        <v>758</v>
      </c>
      <c r="AM34" s="52">
        <f t="shared" si="22"/>
        <v>3.8341508277130596</v>
      </c>
      <c r="AN34" s="42">
        <f t="shared" si="23"/>
        <v>0.23244403557191046</v>
      </c>
      <c r="AO34" s="53">
        <f t="shared" si="24"/>
        <v>822</v>
      </c>
      <c r="AP34" s="52">
        <f t="shared" si="25"/>
        <v>4.1578786020846108</v>
      </c>
      <c r="AQ34" s="42">
        <f t="shared" si="26"/>
        <v>0.72103004291845496</v>
      </c>
      <c r="AR34" s="46">
        <v>46254</v>
      </c>
      <c r="AS34" s="46">
        <v>46255</v>
      </c>
      <c r="AT34" s="50">
        <f t="shared" si="27"/>
        <v>9</v>
      </c>
      <c r="AU34" s="50">
        <f t="shared" si="28"/>
        <v>21</v>
      </c>
      <c r="AV34" s="50">
        <f t="shared" si="29"/>
        <v>3</v>
      </c>
      <c r="AW34" s="54">
        <f t="shared" si="30"/>
        <v>18</v>
      </c>
    </row>
    <row r="35" spans="1:49" x14ac:dyDescent="0.25">
      <c r="A35" s="33" t="s">
        <v>55</v>
      </c>
      <c r="B35" s="33" t="s">
        <v>93</v>
      </c>
      <c r="C35" s="33" t="s">
        <v>94</v>
      </c>
      <c r="D35" s="33" t="s">
        <v>95</v>
      </c>
      <c r="E35" s="34">
        <f>COUNTIF('Detalle por artículo'!$K$8:$K$592,D35)</f>
        <v>2</v>
      </c>
      <c r="F35" s="35">
        <f t="shared" si="2"/>
        <v>152.48538011695905</v>
      </c>
      <c r="G35" s="36">
        <f>SUMIF('Detalle por artículo'!$K$8:$K$592,$D35,'Detalle por artículo'!$E$8:$E$592)</f>
        <v>16.416</v>
      </c>
      <c r="H35" s="35">
        <f t="shared" si="3"/>
        <v>11</v>
      </c>
      <c r="I35" s="35">
        <f t="shared" si="4"/>
        <v>22</v>
      </c>
      <c r="J35" s="35">
        <f t="shared" si="5"/>
        <v>43</v>
      </c>
      <c r="K35" s="37">
        <f t="shared" si="6"/>
        <v>0.5862857142857143</v>
      </c>
      <c r="L35" s="36">
        <f>SUMIF('Detalle por artículo'!$K$8:$K$592,$D35,'Detalle por artículo'!$O$8:$O$592)</f>
        <v>2503.1999999999998</v>
      </c>
      <c r="M35" s="38">
        <f>SUMIF('Detalle por artículo'!$K$8:$K$592,$D35,'Detalle por artículo'!$I$8:$I$592)</f>
        <v>2525</v>
      </c>
      <c r="N35" s="38">
        <f>SUMIF('Detalle por artículo'!$K$8:$K$592,$D35,'Detalle por artículo'!$M$8:$M$592)</f>
        <v>171</v>
      </c>
      <c r="O35" s="39">
        <f t="shared" si="7"/>
        <v>6.5013861386138609</v>
      </c>
      <c r="P35" s="40">
        <f t="shared" si="8"/>
        <v>991.3663366336632</v>
      </c>
      <c r="Q35" s="41">
        <f t="shared" si="9"/>
        <v>0.15</v>
      </c>
      <c r="R35" s="40">
        <f t="shared" si="10"/>
        <v>18.878399999999999</v>
      </c>
      <c r="S35" s="42">
        <f>IFERROR(SUM($G$8:G35)/$G$6,0)</f>
        <v>0.4133052610598672</v>
      </c>
      <c r="T35" s="43" t="str">
        <f t="shared" si="11"/>
        <v>A</v>
      </c>
      <c r="U35" s="44">
        <v>2526</v>
      </c>
      <c r="V35" s="45">
        <f t="shared" si="12"/>
        <v>1</v>
      </c>
      <c r="W35" s="46">
        <v>46217</v>
      </c>
      <c r="X35" s="46">
        <v>46246</v>
      </c>
      <c r="Y35" s="47">
        <v>14</v>
      </c>
      <c r="Z35" s="48">
        <f t="shared" si="13"/>
        <v>9.1019405940594059E-2</v>
      </c>
      <c r="AA35" s="49">
        <f t="shared" si="14"/>
        <v>3.2506930693069307E-3</v>
      </c>
      <c r="AB35" s="44">
        <v>1864</v>
      </c>
      <c r="AC35" s="44">
        <f t="shared" si="15"/>
        <v>615</v>
      </c>
      <c r="AD35" s="44">
        <f t="shared" si="16"/>
        <v>1208</v>
      </c>
      <c r="AE35" s="50">
        <f t="shared" si="17"/>
        <v>49</v>
      </c>
      <c r="AF35" s="41">
        <f t="shared" si="18"/>
        <v>0.98</v>
      </c>
      <c r="AG35" s="44">
        <v>20</v>
      </c>
      <c r="AH35" s="44">
        <v>22</v>
      </c>
      <c r="AI35" s="42">
        <f t="shared" si="19"/>
        <v>0.24356435643564356</v>
      </c>
      <c r="AJ35" s="42">
        <f t="shared" si="20"/>
        <v>0.4784158415841584</v>
      </c>
      <c r="AK35" s="40">
        <f t="shared" si="21"/>
        <v>3.9983524752475246</v>
      </c>
      <c r="AL35" s="51">
        <v>662</v>
      </c>
      <c r="AM35" s="52">
        <f t="shared" si="22"/>
        <v>4.3039176237623762</v>
      </c>
      <c r="AN35" s="42">
        <f t="shared" si="23"/>
        <v>0.26207442596991293</v>
      </c>
      <c r="AO35" s="53">
        <f t="shared" si="24"/>
        <v>661</v>
      </c>
      <c r="AP35" s="52">
        <f t="shared" si="25"/>
        <v>4.2974162376237617</v>
      </c>
      <c r="AQ35" s="42">
        <f t="shared" si="26"/>
        <v>0.72198019801980196</v>
      </c>
      <c r="AR35" s="46">
        <v>46233</v>
      </c>
      <c r="AS35" s="46">
        <v>46234</v>
      </c>
      <c r="AT35" s="50">
        <f t="shared" si="27"/>
        <v>17</v>
      </c>
      <c r="AU35" s="50">
        <f t="shared" si="28"/>
        <v>28</v>
      </c>
      <c r="AV35" s="50">
        <f t="shared" si="29"/>
        <v>13</v>
      </c>
      <c r="AW35" s="54">
        <f t="shared" si="30"/>
        <v>15</v>
      </c>
    </row>
    <row r="36" spans="1:49" x14ac:dyDescent="0.25">
      <c r="A36" s="33" t="s">
        <v>55</v>
      </c>
      <c r="B36" s="33" t="s">
        <v>56</v>
      </c>
      <c r="C36" s="33" t="s">
        <v>66</v>
      </c>
      <c r="D36" s="33" t="s">
        <v>96</v>
      </c>
      <c r="E36" s="34">
        <f>COUNTIF('Detalle por artículo'!$K$8:$K$592,D36)</f>
        <v>2</v>
      </c>
      <c r="F36" s="35">
        <f t="shared" si="2"/>
        <v>90.515350877192986</v>
      </c>
      <c r="G36" s="36">
        <f>SUMIF('Detalle por artículo'!$K$8:$K$592,$D36,'Detalle por artículo'!$E$8:$E$592)</f>
        <v>16.416</v>
      </c>
      <c r="H36" s="35">
        <f t="shared" si="3"/>
        <v>11</v>
      </c>
      <c r="I36" s="35">
        <f t="shared" si="4"/>
        <v>22</v>
      </c>
      <c r="J36" s="35">
        <f t="shared" si="5"/>
        <v>43</v>
      </c>
      <c r="K36" s="37">
        <f t="shared" si="6"/>
        <v>0.5862857142857143</v>
      </c>
      <c r="L36" s="36">
        <f>SUMIF('Detalle por artículo'!$K$8:$K$592,$D36,'Detalle por artículo'!$O$8:$O$592)</f>
        <v>1485.9</v>
      </c>
      <c r="M36" s="38">
        <f>SUMIF('Detalle por artículo'!$K$8:$K$592,$D36,'Detalle por artículo'!$I$8:$I$592)</f>
        <v>1380</v>
      </c>
      <c r="N36" s="38">
        <f>SUMIF('Detalle por artículo'!$K$8:$K$592,$D36,'Detalle por artículo'!$M$8:$M$592)</f>
        <v>171</v>
      </c>
      <c r="O36" s="39">
        <f t="shared" si="7"/>
        <v>11.895652173913044</v>
      </c>
      <c r="P36" s="40">
        <f t="shared" si="8"/>
        <v>1076.7391304347827</v>
      </c>
      <c r="Q36" s="41">
        <f t="shared" si="9"/>
        <v>0.2</v>
      </c>
      <c r="R36" s="40">
        <f t="shared" si="10"/>
        <v>19.699200000000001</v>
      </c>
      <c r="S36" s="42">
        <f>IFERROR(SUM($G$8:G36)/$G$6,0)</f>
        <v>0.41933754657511346</v>
      </c>
      <c r="T36" s="43" t="str">
        <f t="shared" si="11"/>
        <v>A</v>
      </c>
      <c r="U36" s="44">
        <v>1380</v>
      </c>
      <c r="V36" s="45">
        <f t="shared" si="12"/>
        <v>0</v>
      </c>
      <c r="W36" s="46">
        <v>46316</v>
      </c>
      <c r="X36" s="46">
        <v>46316</v>
      </c>
      <c r="Y36" s="47">
        <v>1384</v>
      </c>
      <c r="Z36" s="48">
        <f t="shared" si="13"/>
        <v>16.463582608695653</v>
      </c>
      <c r="AA36" s="49">
        <f t="shared" si="14"/>
        <v>0.58798509316770187</v>
      </c>
      <c r="AB36" s="44">
        <v>33</v>
      </c>
      <c r="AC36" s="44">
        <f t="shared" si="15"/>
        <v>32</v>
      </c>
      <c r="AD36" s="44">
        <f t="shared" si="16"/>
        <v>0</v>
      </c>
      <c r="AE36" s="50">
        <f t="shared" si="17"/>
        <v>2</v>
      </c>
      <c r="AF36" s="41">
        <f t="shared" si="18"/>
        <v>0.04</v>
      </c>
      <c r="AG36" s="44">
        <v>1</v>
      </c>
      <c r="AH36" s="44">
        <v>0</v>
      </c>
      <c r="AI36" s="42">
        <f t="shared" si="19"/>
        <v>2.318840579710145E-2</v>
      </c>
      <c r="AJ36" s="42">
        <f t="shared" si="20"/>
        <v>0</v>
      </c>
      <c r="AK36" s="40">
        <f t="shared" si="21"/>
        <v>0.38066086956521739</v>
      </c>
      <c r="AL36" s="51">
        <v>1347</v>
      </c>
      <c r="AM36" s="52">
        <f t="shared" si="22"/>
        <v>16.023443478260869</v>
      </c>
      <c r="AN36" s="42">
        <f t="shared" si="23"/>
        <v>0.97608695652173916</v>
      </c>
      <c r="AO36" s="53">
        <f t="shared" si="24"/>
        <v>1347</v>
      </c>
      <c r="AP36" s="52">
        <f t="shared" si="25"/>
        <v>16.023443478260869</v>
      </c>
      <c r="AQ36" s="42">
        <f t="shared" si="26"/>
        <v>2.318840579710145E-2</v>
      </c>
      <c r="AR36" s="46">
        <v>46317</v>
      </c>
      <c r="AS36" s="46">
        <v>46318</v>
      </c>
      <c r="AT36" s="50">
        <f t="shared" si="27"/>
        <v>2</v>
      </c>
      <c r="AU36" s="50">
        <f t="shared" si="28"/>
        <v>119</v>
      </c>
      <c r="AV36" s="50">
        <f t="shared" si="29"/>
        <v>408</v>
      </c>
      <c r="AW36" s="54">
        <f t="shared" si="30"/>
        <v>-289</v>
      </c>
    </row>
    <row r="37" spans="1:49" x14ac:dyDescent="0.25">
      <c r="A37" s="33" t="s">
        <v>55</v>
      </c>
      <c r="B37" s="33" t="s">
        <v>56</v>
      </c>
      <c r="C37" s="33" t="s">
        <v>66</v>
      </c>
      <c r="D37" s="33" t="s">
        <v>97</v>
      </c>
      <c r="E37" s="34">
        <f>COUNTIF('Detalle por artículo'!$K$8:$K$592,D37)</f>
        <v>1</v>
      </c>
      <c r="F37" s="35">
        <f t="shared" si="2"/>
        <v>122.43073047858942</v>
      </c>
      <c r="G37" s="36">
        <f>SUMIF('Detalle por artículo'!$K$8:$K$592,$D37,'Detalle por artículo'!$E$8:$E$592)</f>
        <v>15.88</v>
      </c>
      <c r="H37" s="35">
        <f t="shared" si="3"/>
        <v>11</v>
      </c>
      <c r="I37" s="35">
        <f t="shared" si="4"/>
        <v>21</v>
      </c>
      <c r="J37" s="35">
        <f t="shared" si="5"/>
        <v>42</v>
      </c>
      <c r="K37" s="37">
        <f t="shared" si="6"/>
        <v>0.56714285714285717</v>
      </c>
      <c r="L37" s="36">
        <f>SUMIF('Detalle por artículo'!$K$8:$K$592,$D37,'Detalle por artículo'!$O$8:$O$592)</f>
        <v>1944.2</v>
      </c>
      <c r="M37" s="38">
        <f>SUMIF('Detalle por artículo'!$K$8:$K$592,$D37,'Detalle por artículo'!$I$8:$I$592)</f>
        <v>1888</v>
      </c>
      <c r="N37" s="38">
        <f>SUMIF('Detalle por artículo'!$K$8:$K$592,$D37,'Detalle por artículo'!$M$8:$M$592)</f>
        <v>189</v>
      </c>
      <c r="O37" s="39">
        <f t="shared" si="7"/>
        <v>8.4110169491525433</v>
      </c>
      <c r="P37" s="40">
        <f t="shared" si="8"/>
        <v>1029.7669491525423</v>
      </c>
      <c r="Q37" s="41">
        <f t="shared" si="9"/>
        <v>0.15</v>
      </c>
      <c r="R37" s="40">
        <f t="shared" si="10"/>
        <v>18.262</v>
      </c>
      <c r="S37" s="42">
        <f>IFERROR(SUM($G$8:G37)/$G$6,0)</f>
        <v>0.42517287150092437</v>
      </c>
      <c r="T37" s="43" t="str">
        <f t="shared" si="11"/>
        <v>A</v>
      </c>
      <c r="U37" s="44">
        <v>1883</v>
      </c>
      <c r="V37" s="45">
        <f t="shared" si="12"/>
        <v>-5</v>
      </c>
      <c r="W37" s="46">
        <v>46286</v>
      </c>
      <c r="X37" s="46">
        <v>46286</v>
      </c>
      <c r="Y37" s="47">
        <v>14</v>
      </c>
      <c r="Z37" s="48">
        <f t="shared" si="13"/>
        <v>0.11775423728813561</v>
      </c>
      <c r="AA37" s="49">
        <f t="shared" si="14"/>
        <v>4.2055084745762717E-3</v>
      </c>
      <c r="AB37" s="44">
        <v>535</v>
      </c>
      <c r="AC37" s="44">
        <f t="shared" si="15"/>
        <v>524</v>
      </c>
      <c r="AD37" s="44">
        <f t="shared" si="16"/>
        <v>0</v>
      </c>
      <c r="AE37" s="50">
        <f t="shared" si="17"/>
        <v>30</v>
      </c>
      <c r="AF37" s="41">
        <f t="shared" si="18"/>
        <v>0.6</v>
      </c>
      <c r="AG37" s="44">
        <v>11</v>
      </c>
      <c r="AH37" s="44">
        <v>0</v>
      </c>
      <c r="AI37" s="42">
        <f t="shared" si="19"/>
        <v>0.27754237288135591</v>
      </c>
      <c r="AJ37" s="42">
        <f t="shared" si="20"/>
        <v>0</v>
      </c>
      <c r="AK37" s="40">
        <f t="shared" si="21"/>
        <v>4.4073728813559327</v>
      </c>
      <c r="AL37" s="51">
        <v>1348</v>
      </c>
      <c r="AM37" s="52">
        <f t="shared" si="22"/>
        <v>11.338050847457628</v>
      </c>
      <c r="AN37" s="42">
        <f t="shared" si="23"/>
        <v>0.7158789166224111</v>
      </c>
      <c r="AO37" s="53">
        <f t="shared" si="24"/>
        <v>1353</v>
      </c>
      <c r="AP37" s="52">
        <f t="shared" si="25"/>
        <v>11.38010593220339</v>
      </c>
      <c r="AQ37" s="42">
        <f t="shared" si="26"/>
        <v>0.27754237288135591</v>
      </c>
      <c r="AR37" s="46">
        <v>46293</v>
      </c>
      <c r="AS37" s="46">
        <v>46294</v>
      </c>
      <c r="AT37" s="50">
        <f t="shared" si="27"/>
        <v>8</v>
      </c>
      <c r="AU37" s="50">
        <f t="shared" si="28"/>
        <v>47</v>
      </c>
      <c r="AV37" s="50">
        <f t="shared" si="29"/>
        <v>248</v>
      </c>
      <c r="AW37" s="54">
        <f t="shared" si="30"/>
        <v>-201</v>
      </c>
    </row>
    <row r="38" spans="1:49" x14ac:dyDescent="0.25">
      <c r="A38" s="33" t="s">
        <v>63</v>
      </c>
      <c r="B38" s="33" t="s">
        <v>64</v>
      </c>
      <c r="C38" s="33" t="s">
        <v>66</v>
      </c>
      <c r="D38" s="33" t="s">
        <v>98</v>
      </c>
      <c r="E38" s="34">
        <f>COUNTIF('Detalle por artículo'!$K$8:$K$592,D38)</f>
        <v>1</v>
      </c>
      <c r="F38" s="35">
        <f t="shared" si="2"/>
        <v>152.97106109324756</v>
      </c>
      <c r="G38" s="36">
        <f>SUMIF('Detalle por artículo'!$K$8:$K$592,$D38,'Detalle por artículo'!$E$8:$E$592)</f>
        <v>15.55</v>
      </c>
      <c r="H38" s="35">
        <f t="shared" si="3"/>
        <v>11</v>
      </c>
      <c r="I38" s="35">
        <f t="shared" si="4"/>
        <v>21</v>
      </c>
      <c r="J38" s="35">
        <f t="shared" si="5"/>
        <v>41</v>
      </c>
      <c r="K38" s="37">
        <f t="shared" si="6"/>
        <v>0.55535714285714288</v>
      </c>
      <c r="L38" s="36">
        <f>SUMIF('Detalle por artículo'!$K$8:$K$592,$D38,'Detalle por artículo'!$O$8:$O$592)</f>
        <v>2378.6999999999998</v>
      </c>
      <c r="M38" s="38">
        <f>SUMIF('Detalle por artículo'!$K$8:$K$592,$D38,'Detalle por artículo'!$I$8:$I$592)</f>
        <v>2089</v>
      </c>
      <c r="N38" s="38">
        <f>SUMIF('Detalle por artículo'!$K$8:$K$592,$D38,'Detalle por artículo'!$M$8:$M$592)</f>
        <v>162</v>
      </c>
      <c r="O38" s="39">
        <f t="shared" si="7"/>
        <v>7.4437529918621355</v>
      </c>
      <c r="P38" s="40">
        <f t="shared" si="8"/>
        <v>1138.678793681187</v>
      </c>
      <c r="Q38" s="41">
        <f t="shared" si="9"/>
        <v>0.15</v>
      </c>
      <c r="R38" s="40">
        <f t="shared" si="10"/>
        <v>17.8825</v>
      </c>
      <c r="S38" s="42">
        <f>IFERROR(SUM($G$8:G38)/$G$6,0)</f>
        <v>0.43088693337726935</v>
      </c>
      <c r="T38" s="43" t="str">
        <f t="shared" si="11"/>
        <v>A</v>
      </c>
      <c r="U38" s="44">
        <v>2089</v>
      </c>
      <c r="V38" s="45">
        <f t="shared" si="12"/>
        <v>0</v>
      </c>
      <c r="W38" s="46">
        <v>46216</v>
      </c>
      <c r="X38" s="46">
        <v>46216</v>
      </c>
      <c r="Y38" s="47">
        <v>0</v>
      </c>
      <c r="Z38" s="48">
        <f t="shared" si="13"/>
        <v>0</v>
      </c>
      <c r="AA38" s="49">
        <f t="shared" si="14"/>
        <v>0</v>
      </c>
      <c r="AB38" s="44">
        <v>1635</v>
      </c>
      <c r="AC38" s="44">
        <f t="shared" si="15"/>
        <v>515</v>
      </c>
      <c r="AD38" s="44">
        <f t="shared" si="16"/>
        <v>1068</v>
      </c>
      <c r="AE38" s="50">
        <f t="shared" si="17"/>
        <v>49</v>
      </c>
      <c r="AF38" s="41">
        <f t="shared" si="18"/>
        <v>0.98</v>
      </c>
      <c r="AG38" s="44">
        <v>5</v>
      </c>
      <c r="AH38" s="44">
        <v>47</v>
      </c>
      <c r="AI38" s="42">
        <f t="shared" si="19"/>
        <v>0.24652943992340834</v>
      </c>
      <c r="AJ38" s="42">
        <f t="shared" si="20"/>
        <v>0.51124940162757304</v>
      </c>
      <c r="AK38" s="40">
        <f t="shared" si="21"/>
        <v>3.833532790809</v>
      </c>
      <c r="AL38" s="51">
        <v>450</v>
      </c>
      <c r="AM38" s="52">
        <f t="shared" si="22"/>
        <v>3.349688846337961</v>
      </c>
      <c r="AN38" s="42">
        <f t="shared" si="23"/>
        <v>0.21541407371948301</v>
      </c>
      <c r="AO38" s="53">
        <f t="shared" si="24"/>
        <v>454</v>
      </c>
      <c r="AP38" s="52">
        <f t="shared" si="25"/>
        <v>3.3794638583054093</v>
      </c>
      <c r="AQ38" s="42">
        <f t="shared" si="26"/>
        <v>0.7577788415509813</v>
      </c>
      <c r="AR38" s="46">
        <v>46219</v>
      </c>
      <c r="AS38" s="46">
        <v>46219</v>
      </c>
      <c r="AT38" s="50">
        <f t="shared" si="27"/>
        <v>3</v>
      </c>
      <c r="AU38" s="50">
        <f t="shared" si="28"/>
        <v>38</v>
      </c>
      <c r="AV38" s="50">
        <f t="shared" si="29"/>
        <v>18</v>
      </c>
      <c r="AW38" s="54">
        <f t="shared" si="30"/>
        <v>20</v>
      </c>
    </row>
    <row r="39" spans="1:49" x14ac:dyDescent="0.25">
      <c r="A39" s="33" t="s">
        <v>55</v>
      </c>
      <c r="B39" s="33" t="s">
        <v>99</v>
      </c>
      <c r="C39" s="33" t="s">
        <v>100</v>
      </c>
      <c r="D39" s="33" t="s">
        <v>101</v>
      </c>
      <c r="E39" s="34">
        <f>COUNTIF('Detalle por artículo'!$K$8:$K$592,D39)</f>
        <v>4</v>
      </c>
      <c r="F39" s="35">
        <f t="shared" si="2"/>
        <v>85.911128691983123</v>
      </c>
      <c r="G39" s="36">
        <f>SUMIF('Detalle por artículo'!$K$8:$K$592,$D39,'Detalle por artículo'!$E$8:$E$592)</f>
        <v>15.167999999999999</v>
      </c>
      <c r="H39" s="35">
        <f t="shared" si="3"/>
        <v>10</v>
      </c>
      <c r="I39" s="35">
        <f t="shared" si="4"/>
        <v>20</v>
      </c>
      <c r="J39" s="35">
        <f t="shared" si="5"/>
        <v>40</v>
      </c>
      <c r="K39" s="37">
        <f t="shared" si="6"/>
        <v>0.5417142857142857</v>
      </c>
      <c r="L39" s="36">
        <f>SUMIF('Detalle por artículo'!$K$8:$K$592,$D39,'Detalle por artículo'!$O$8:$O$592)</f>
        <v>1303.0999999999999</v>
      </c>
      <c r="M39" s="38">
        <f>SUMIF('Detalle por artículo'!$K$8:$K$592,$D39,'Detalle por artículo'!$I$8:$I$592)</f>
        <v>2829</v>
      </c>
      <c r="N39" s="38">
        <f>SUMIF('Detalle por artículo'!$K$8:$K$592,$D39,'Detalle por artículo'!$M$8:$M$592)</f>
        <v>158</v>
      </c>
      <c r="O39" s="39">
        <f t="shared" si="7"/>
        <v>5.3616118769883352</v>
      </c>
      <c r="P39" s="40">
        <f t="shared" si="8"/>
        <v>460.62212796041001</v>
      </c>
      <c r="Q39" s="41">
        <f t="shared" si="9"/>
        <v>0.2</v>
      </c>
      <c r="R39" s="40">
        <f t="shared" si="10"/>
        <v>18.201599999999999</v>
      </c>
      <c r="S39" s="42">
        <f>IFERROR(SUM($G$8:G39)/$G$6,0)</f>
        <v>0.43646062408726299</v>
      </c>
      <c r="T39" s="43" t="str">
        <f t="shared" si="11"/>
        <v>A</v>
      </c>
      <c r="U39" s="44">
        <v>2829</v>
      </c>
      <c r="V39" s="45">
        <f t="shared" si="12"/>
        <v>0</v>
      </c>
      <c r="W39" s="46">
        <v>46239</v>
      </c>
      <c r="X39" s="46">
        <v>46239</v>
      </c>
      <c r="Y39" s="47">
        <v>0</v>
      </c>
      <c r="Z39" s="48">
        <f t="shared" si="13"/>
        <v>0</v>
      </c>
      <c r="AA39" s="49">
        <f t="shared" si="14"/>
        <v>0</v>
      </c>
      <c r="AB39" s="44">
        <v>1701</v>
      </c>
      <c r="AC39" s="44">
        <f t="shared" si="15"/>
        <v>1221</v>
      </c>
      <c r="AD39" s="44">
        <f t="shared" si="16"/>
        <v>422</v>
      </c>
      <c r="AE39" s="50">
        <f t="shared" si="17"/>
        <v>48</v>
      </c>
      <c r="AF39" s="41">
        <f t="shared" si="18"/>
        <v>0.96</v>
      </c>
      <c r="AG39" s="44">
        <v>10</v>
      </c>
      <c r="AH39" s="44">
        <v>52</v>
      </c>
      <c r="AI39" s="42">
        <f t="shared" si="19"/>
        <v>0.43160127253446445</v>
      </c>
      <c r="AJ39" s="42">
        <f t="shared" si="20"/>
        <v>0.14916931778013431</v>
      </c>
      <c r="AK39" s="40">
        <f t="shared" si="21"/>
        <v>6.5465281018027568</v>
      </c>
      <c r="AL39" s="51">
        <v>1126</v>
      </c>
      <c r="AM39" s="52">
        <f t="shared" si="22"/>
        <v>6.0371749734888658</v>
      </c>
      <c r="AN39" s="42">
        <f t="shared" si="23"/>
        <v>0.3980205019441499</v>
      </c>
      <c r="AO39" s="53">
        <f t="shared" si="24"/>
        <v>1128</v>
      </c>
      <c r="AP39" s="52">
        <f t="shared" si="25"/>
        <v>6.0478981972428416</v>
      </c>
      <c r="AQ39" s="42">
        <f t="shared" si="26"/>
        <v>0.58077059031459877</v>
      </c>
      <c r="AR39" s="46">
        <v>46254</v>
      </c>
      <c r="AS39" s="46">
        <v>46255</v>
      </c>
      <c r="AT39" s="50">
        <f t="shared" si="27"/>
        <v>16</v>
      </c>
      <c r="AU39" s="50">
        <f t="shared" si="28"/>
        <v>24</v>
      </c>
      <c r="AV39" s="50">
        <f t="shared" si="29"/>
        <v>16</v>
      </c>
      <c r="AW39" s="54">
        <f t="shared" si="30"/>
        <v>8</v>
      </c>
    </row>
    <row r="40" spans="1:49" x14ac:dyDescent="0.25">
      <c r="A40" s="33" t="s">
        <v>63</v>
      </c>
      <c r="B40" s="33" t="s">
        <v>102</v>
      </c>
      <c r="C40" s="33" t="s">
        <v>103</v>
      </c>
      <c r="D40" s="33" t="s">
        <v>104</v>
      </c>
      <c r="E40" s="34">
        <f>COUNTIF('Detalle por artículo'!$K$8:$K$592,D40)</f>
        <v>4</v>
      </c>
      <c r="F40" s="35">
        <f t="shared" si="2"/>
        <v>232.41542625169149</v>
      </c>
      <c r="G40" s="36">
        <f>SUMIF('Detalle por artículo'!$K$8:$K$592,$D40,'Detalle por artículo'!$E$8:$E$592)</f>
        <v>14.78</v>
      </c>
      <c r="H40" s="35">
        <f t="shared" si="3"/>
        <v>10</v>
      </c>
      <c r="I40" s="35">
        <f t="shared" si="4"/>
        <v>20</v>
      </c>
      <c r="J40" s="35">
        <f t="shared" si="5"/>
        <v>39</v>
      </c>
      <c r="K40" s="37">
        <f t="shared" si="6"/>
        <v>0.5278571428571428</v>
      </c>
      <c r="L40" s="36">
        <f>SUMIF('Detalle por artículo'!$K$8:$K$592,$D40,'Detalle por artículo'!$O$8:$O$592)</f>
        <v>3435.1</v>
      </c>
      <c r="M40" s="38">
        <f>SUMIF('Detalle por artículo'!$K$8:$K$592,$D40,'Detalle por artículo'!$I$8:$I$592)</f>
        <v>5595</v>
      </c>
      <c r="N40" s="38">
        <f>SUMIF('Detalle por artículo'!$K$8:$K$592,$D40,'Detalle por artículo'!$M$8:$M$592)</f>
        <v>174</v>
      </c>
      <c r="O40" s="39">
        <f t="shared" si="7"/>
        <v>2.6416443252904376</v>
      </c>
      <c r="P40" s="40">
        <f t="shared" si="8"/>
        <v>613.958891867739</v>
      </c>
      <c r="Q40" s="41">
        <f t="shared" si="9"/>
        <v>0.1</v>
      </c>
      <c r="R40" s="40">
        <f t="shared" si="10"/>
        <v>16.257999999999999</v>
      </c>
      <c r="S40" s="42">
        <f>IFERROR(SUM($G$8:G40)/$G$6,0)</f>
        <v>0.44189173884818767</v>
      </c>
      <c r="T40" s="43" t="str">
        <f t="shared" si="11"/>
        <v>A</v>
      </c>
      <c r="U40" s="44">
        <v>5594</v>
      </c>
      <c r="V40" s="45">
        <f t="shared" ref="V40:V71" si="31">U40-M40</f>
        <v>-1</v>
      </c>
      <c r="W40" s="46">
        <v>46233</v>
      </c>
      <c r="X40" s="46">
        <v>46233</v>
      </c>
      <c r="Y40" s="47">
        <v>0</v>
      </c>
      <c r="Z40" s="48">
        <f t="shared" si="13"/>
        <v>0</v>
      </c>
      <c r="AA40" s="49">
        <f t="shared" si="14"/>
        <v>0</v>
      </c>
      <c r="AB40" s="44">
        <v>3645</v>
      </c>
      <c r="AC40" s="44">
        <f t="shared" si="15"/>
        <v>1096</v>
      </c>
      <c r="AD40" s="44">
        <f t="shared" si="16"/>
        <v>2509</v>
      </c>
      <c r="AE40" s="50">
        <f t="shared" si="17"/>
        <v>49</v>
      </c>
      <c r="AF40" s="41">
        <f t="shared" si="18"/>
        <v>0.98</v>
      </c>
      <c r="AG40" s="44">
        <v>14</v>
      </c>
      <c r="AH40" s="44">
        <v>28</v>
      </c>
      <c r="AI40" s="42">
        <f t="shared" ref="AI40:AI71" si="32">IFERROR(AC40/M40,0)</f>
        <v>0.19588918677390527</v>
      </c>
      <c r="AJ40" s="42">
        <f t="shared" ref="AJ40:AJ71" si="33">IFERROR(AD40/M40,0)</f>
        <v>0.44843610366398567</v>
      </c>
      <c r="AK40" s="40">
        <f t="shared" si="21"/>
        <v>2.8952421805183195</v>
      </c>
      <c r="AL40" s="51">
        <v>1937</v>
      </c>
      <c r="AM40" s="52">
        <f t="shared" si="22"/>
        <v>5.1168650580875772</v>
      </c>
      <c r="AN40" s="42">
        <f t="shared" ref="AN40:AN71" si="34">IFERROR(AL40/U40,0)</f>
        <v>0.3462638541294244</v>
      </c>
      <c r="AO40" s="53">
        <f t="shared" ref="AO40:AO71" si="35">M40-AB40</f>
        <v>1950</v>
      </c>
      <c r="AP40" s="52">
        <f t="shared" ref="AP40:AP71" si="36">AO40*O40/1000</f>
        <v>5.1512064343163528</v>
      </c>
      <c r="AQ40" s="42">
        <f t="shared" ref="AQ40:AQ71" si="37">IFERROR((AC40+AD40)/M40,0)</f>
        <v>0.644325290437891</v>
      </c>
      <c r="AR40" s="46">
        <v>46252</v>
      </c>
      <c r="AS40" s="46">
        <v>46252</v>
      </c>
      <c r="AT40" s="50">
        <f t="shared" ref="AT40:AT71" si="38">IF(OR(W40="",AS40=""),"",AS40-W40)</f>
        <v>19</v>
      </c>
      <c r="AU40" s="50">
        <f t="shared" si="28"/>
        <v>8</v>
      </c>
      <c r="AV40" s="50">
        <f t="shared" ref="AV40:AV71" si="39">IF(AB40=0,"",RANK(AB40,$AB$8:$AB$474))</f>
        <v>1</v>
      </c>
      <c r="AW40" s="54">
        <f t="shared" ref="AW40:AW71" si="40">IF(OR(AU40="",AV40=""),"",AU40-AV40)</f>
        <v>7</v>
      </c>
    </row>
    <row r="41" spans="1:49" x14ac:dyDescent="0.25">
      <c r="A41" s="33" t="s">
        <v>63</v>
      </c>
      <c r="B41" s="33" t="s">
        <v>105</v>
      </c>
      <c r="C41" s="33" t="s">
        <v>106</v>
      </c>
      <c r="D41" s="33" t="s">
        <v>107</v>
      </c>
      <c r="E41" s="34">
        <f>COUNTIF('Detalle por artículo'!$K$8:$K$592,D41)</f>
        <v>2</v>
      </c>
      <c r="F41" s="35">
        <f t="shared" si="2"/>
        <v>93.318759393359755</v>
      </c>
      <c r="G41" s="36">
        <f>SUMIF('Detalle por artículo'!$K$8:$K$592,$D41,'Detalle por artículo'!$E$8:$E$592)</f>
        <v>14.638</v>
      </c>
      <c r="H41" s="35">
        <f t="shared" si="3"/>
        <v>10</v>
      </c>
      <c r="I41" s="35">
        <f t="shared" si="4"/>
        <v>20</v>
      </c>
      <c r="J41" s="35">
        <f t="shared" si="5"/>
        <v>39</v>
      </c>
      <c r="K41" s="37">
        <f t="shared" si="6"/>
        <v>0.5227857142857143</v>
      </c>
      <c r="L41" s="36">
        <f>SUMIF('Detalle por artículo'!$K$8:$K$592,$D41,'Detalle por artículo'!$O$8:$O$592)</f>
        <v>1366</v>
      </c>
      <c r="M41" s="38">
        <f>SUMIF('Detalle por artículo'!$K$8:$K$592,$D41,'Detalle por artículo'!$I$8:$I$592)</f>
        <v>1206</v>
      </c>
      <c r="N41" s="38">
        <f>SUMIF('Detalle por artículo'!$K$8:$K$592,$D41,'Detalle por artículo'!$M$8:$M$592)</f>
        <v>121</v>
      </c>
      <c r="O41" s="39">
        <f t="shared" si="7"/>
        <v>12.137645107794361</v>
      </c>
      <c r="P41" s="40">
        <f t="shared" si="8"/>
        <v>1132.6699834162521</v>
      </c>
      <c r="Q41" s="41">
        <f t="shared" si="9"/>
        <v>0.2</v>
      </c>
      <c r="R41" s="40">
        <f t="shared" si="10"/>
        <v>17.5656</v>
      </c>
      <c r="S41" s="42">
        <f>IFERROR(SUM($G$8:G41)/$G$6,0)</f>
        <v>0.44727067375146345</v>
      </c>
      <c r="T41" s="43" t="str">
        <f t="shared" si="11"/>
        <v>A</v>
      </c>
      <c r="U41" s="44">
        <v>1226</v>
      </c>
      <c r="V41" s="45">
        <f t="shared" si="31"/>
        <v>20</v>
      </c>
      <c r="W41" s="46">
        <v>46234</v>
      </c>
      <c r="X41" s="46">
        <v>46234</v>
      </c>
      <c r="Y41" s="47">
        <v>10</v>
      </c>
      <c r="Z41" s="48">
        <f t="shared" si="13"/>
        <v>0.12137645107794362</v>
      </c>
      <c r="AA41" s="49">
        <f t="shared" si="14"/>
        <v>4.3348732527837006E-3</v>
      </c>
      <c r="AB41" s="44">
        <v>990</v>
      </c>
      <c r="AC41" s="44">
        <f t="shared" si="15"/>
        <v>878</v>
      </c>
      <c r="AD41" s="44">
        <f t="shared" si="16"/>
        <v>97</v>
      </c>
      <c r="AE41" s="50">
        <f t="shared" si="17"/>
        <v>50</v>
      </c>
      <c r="AF41" s="41">
        <f t="shared" si="18"/>
        <v>1</v>
      </c>
      <c r="AG41" s="44">
        <v>2</v>
      </c>
      <c r="AH41" s="44">
        <v>13</v>
      </c>
      <c r="AI41" s="42">
        <f t="shared" si="32"/>
        <v>0.72802653399668327</v>
      </c>
      <c r="AJ41" s="42">
        <f t="shared" si="33"/>
        <v>8.0431177446102814E-2</v>
      </c>
      <c r="AK41" s="40">
        <f t="shared" si="21"/>
        <v>10.656852404643448</v>
      </c>
      <c r="AL41" s="51">
        <v>209</v>
      </c>
      <c r="AM41" s="52">
        <f t="shared" si="22"/>
        <v>2.5367678275290215</v>
      </c>
      <c r="AN41" s="42">
        <f t="shared" si="34"/>
        <v>0.17047308319738988</v>
      </c>
      <c r="AO41" s="53">
        <f t="shared" si="35"/>
        <v>216</v>
      </c>
      <c r="AP41" s="52">
        <f t="shared" si="36"/>
        <v>2.621731343283582</v>
      </c>
      <c r="AQ41" s="42">
        <f t="shared" si="37"/>
        <v>0.80845771144278611</v>
      </c>
      <c r="AR41" s="46">
        <v>46261</v>
      </c>
      <c r="AS41" s="46">
        <v>46262</v>
      </c>
      <c r="AT41" s="50">
        <f t="shared" si="38"/>
        <v>28</v>
      </c>
      <c r="AU41" s="50">
        <f t="shared" si="28"/>
        <v>137</v>
      </c>
      <c r="AV41" s="50">
        <f t="shared" si="39"/>
        <v>66</v>
      </c>
      <c r="AW41" s="54">
        <f t="shared" si="40"/>
        <v>71</v>
      </c>
    </row>
    <row r="42" spans="1:49" x14ac:dyDescent="0.25">
      <c r="A42" s="33" t="s">
        <v>63</v>
      </c>
      <c r="B42" s="33" t="s">
        <v>64</v>
      </c>
      <c r="C42" s="33" t="s">
        <v>87</v>
      </c>
      <c r="D42" s="33" t="s">
        <v>108</v>
      </c>
      <c r="E42" s="34">
        <f>COUNTIF('Detalle por artículo'!$K$8:$K$592,D42)</f>
        <v>1</v>
      </c>
      <c r="F42" s="35">
        <f t="shared" si="2"/>
        <v>120</v>
      </c>
      <c r="G42" s="36">
        <f>SUMIF('Detalle por artículo'!$K$8:$K$592,$D42,'Detalle por artículo'!$E$8:$E$592)</f>
        <v>14.58</v>
      </c>
      <c r="H42" s="35">
        <f t="shared" si="3"/>
        <v>10</v>
      </c>
      <c r="I42" s="35">
        <f t="shared" si="4"/>
        <v>19</v>
      </c>
      <c r="J42" s="35">
        <f t="shared" si="5"/>
        <v>38</v>
      </c>
      <c r="K42" s="37">
        <f t="shared" si="6"/>
        <v>0.52071428571428569</v>
      </c>
      <c r="L42" s="36">
        <f>SUMIF('Detalle por artículo'!$K$8:$K$592,$D42,'Detalle por artículo'!$O$8:$O$592)</f>
        <v>1749.6</v>
      </c>
      <c r="M42" s="38">
        <f>SUMIF('Detalle por artículo'!$K$8:$K$592,$D42,'Detalle por artículo'!$I$8:$I$592)</f>
        <v>1619</v>
      </c>
      <c r="N42" s="38">
        <f>SUMIF('Detalle por artículo'!$K$8:$K$592,$D42,'Detalle por artículo'!$M$8:$M$592)</f>
        <v>162</v>
      </c>
      <c r="O42" s="39">
        <f t="shared" si="7"/>
        <v>9.0055589870290298</v>
      </c>
      <c r="P42" s="40">
        <f t="shared" si="8"/>
        <v>1080.6670784434834</v>
      </c>
      <c r="Q42" s="41">
        <f t="shared" si="9"/>
        <v>0.15</v>
      </c>
      <c r="R42" s="40">
        <f t="shared" si="10"/>
        <v>16.766999999999999</v>
      </c>
      <c r="S42" s="42">
        <f>IFERROR(SUM($G$8:G42)/$G$6,0)</f>
        <v>0.45262829575513608</v>
      </c>
      <c r="T42" s="43" t="str">
        <f t="shared" si="11"/>
        <v>A</v>
      </c>
      <c r="U42" s="44">
        <v>1620</v>
      </c>
      <c r="V42" s="45">
        <f t="shared" si="31"/>
        <v>1</v>
      </c>
      <c r="W42" s="46">
        <v>46259</v>
      </c>
      <c r="X42" s="46">
        <v>46259</v>
      </c>
      <c r="Y42" s="47">
        <v>0</v>
      </c>
      <c r="Z42" s="48">
        <f t="shared" si="13"/>
        <v>0</v>
      </c>
      <c r="AA42" s="49">
        <f t="shared" si="14"/>
        <v>0</v>
      </c>
      <c r="AB42" s="44">
        <v>969</v>
      </c>
      <c r="AC42" s="44">
        <f t="shared" si="15"/>
        <v>459</v>
      </c>
      <c r="AD42" s="44">
        <f t="shared" si="16"/>
        <v>496</v>
      </c>
      <c r="AE42" s="50">
        <f t="shared" si="17"/>
        <v>47</v>
      </c>
      <c r="AF42" s="41">
        <f t="shared" si="18"/>
        <v>0.94</v>
      </c>
      <c r="AG42" s="44">
        <v>5</v>
      </c>
      <c r="AH42" s="44">
        <v>9</v>
      </c>
      <c r="AI42" s="42">
        <f t="shared" si="32"/>
        <v>0.28350833848054352</v>
      </c>
      <c r="AJ42" s="42">
        <f t="shared" si="33"/>
        <v>0.3063619518221124</v>
      </c>
      <c r="AK42" s="40">
        <f t="shared" si="21"/>
        <v>4.133551575046325</v>
      </c>
      <c r="AL42" s="51">
        <v>651</v>
      </c>
      <c r="AM42" s="52">
        <f t="shared" si="22"/>
        <v>5.8626189005558977</v>
      </c>
      <c r="AN42" s="42">
        <f t="shared" si="34"/>
        <v>0.40185185185185185</v>
      </c>
      <c r="AO42" s="53">
        <f t="shared" si="35"/>
        <v>650</v>
      </c>
      <c r="AP42" s="52">
        <f t="shared" si="36"/>
        <v>5.8536133415688694</v>
      </c>
      <c r="AQ42" s="42">
        <f t="shared" si="37"/>
        <v>0.58987029030265592</v>
      </c>
      <c r="AR42" s="46">
        <v>46268</v>
      </c>
      <c r="AS42" s="46">
        <v>46268</v>
      </c>
      <c r="AT42" s="50">
        <f t="shared" si="38"/>
        <v>9</v>
      </c>
      <c r="AU42" s="50">
        <f t="shared" si="28"/>
        <v>76</v>
      </c>
      <c r="AV42" s="50">
        <f t="shared" si="39"/>
        <v>70</v>
      </c>
      <c r="AW42" s="54">
        <f t="shared" si="40"/>
        <v>6</v>
      </c>
    </row>
    <row r="43" spans="1:49" x14ac:dyDescent="0.25">
      <c r="A43" s="33" t="s">
        <v>63</v>
      </c>
      <c r="B43" s="33" t="s">
        <v>64</v>
      </c>
      <c r="C43" s="33" t="s">
        <v>57</v>
      </c>
      <c r="D43" s="33" t="s">
        <v>109</v>
      </c>
      <c r="E43" s="34">
        <f>COUNTIF('Detalle por artículo'!$K$8:$K$592,D43)</f>
        <v>1</v>
      </c>
      <c r="F43" s="35">
        <f t="shared" si="2"/>
        <v>102.92492917847025</v>
      </c>
      <c r="G43" s="36">
        <f>SUMIF('Detalle por artículo'!$K$8:$K$592,$D43,'Detalle por artículo'!$E$8:$E$592)</f>
        <v>14.12</v>
      </c>
      <c r="H43" s="35">
        <f t="shared" si="3"/>
        <v>10</v>
      </c>
      <c r="I43" s="35">
        <f t="shared" si="4"/>
        <v>19</v>
      </c>
      <c r="J43" s="35">
        <f t="shared" si="5"/>
        <v>37</v>
      </c>
      <c r="K43" s="37">
        <f t="shared" si="6"/>
        <v>0.50428571428571423</v>
      </c>
      <c r="L43" s="36">
        <f>SUMIF('Detalle por artículo'!$K$8:$K$592,$D43,'Detalle por artículo'!$O$8:$O$592)</f>
        <v>1453.3</v>
      </c>
      <c r="M43" s="38">
        <f>SUMIF('Detalle por artículo'!$K$8:$K$592,$D43,'Detalle por artículo'!$I$8:$I$592)</f>
        <v>1027</v>
      </c>
      <c r="N43" s="38">
        <f>SUMIF('Detalle por artículo'!$K$8:$K$592,$D43,'Detalle por artículo'!$M$8:$M$592)</f>
        <v>129</v>
      </c>
      <c r="O43" s="39">
        <f t="shared" si="7"/>
        <v>13.748782862706912</v>
      </c>
      <c r="P43" s="40">
        <f t="shared" si="8"/>
        <v>1415.0925024342746</v>
      </c>
      <c r="Q43" s="41">
        <f t="shared" si="9"/>
        <v>0.2</v>
      </c>
      <c r="R43" s="40">
        <f t="shared" si="10"/>
        <v>16.943999999999999</v>
      </c>
      <c r="S43" s="42">
        <f>IFERROR(SUM($G$8:G43)/$G$6,0)</f>
        <v>0.45781688441712909</v>
      </c>
      <c r="T43" s="43" t="str">
        <f t="shared" si="11"/>
        <v>A</v>
      </c>
      <c r="U43" s="44">
        <v>1026</v>
      </c>
      <c r="V43" s="45">
        <f t="shared" si="31"/>
        <v>-1</v>
      </c>
      <c r="W43" s="46">
        <v>46308</v>
      </c>
      <c r="X43" s="46">
        <v>46308</v>
      </c>
      <c r="Y43" s="47">
        <v>11</v>
      </c>
      <c r="Z43" s="48">
        <f t="shared" si="13"/>
        <v>0.15123661148977605</v>
      </c>
      <c r="AA43" s="49">
        <f t="shared" si="14"/>
        <v>5.4013075532062874E-3</v>
      </c>
      <c r="AB43" s="44">
        <v>0</v>
      </c>
      <c r="AC43" s="44">
        <f t="shared" si="15"/>
        <v>0</v>
      </c>
      <c r="AD43" s="44">
        <f t="shared" si="16"/>
        <v>0</v>
      </c>
      <c r="AE43" s="50">
        <f t="shared" si="17"/>
        <v>0</v>
      </c>
      <c r="AF43" s="41">
        <f t="shared" si="18"/>
        <v>0</v>
      </c>
      <c r="AG43" s="44">
        <v>0</v>
      </c>
      <c r="AH43" s="44">
        <v>0</v>
      </c>
      <c r="AI43" s="42">
        <f t="shared" si="32"/>
        <v>0</v>
      </c>
      <c r="AJ43" s="42">
        <f t="shared" si="33"/>
        <v>0</v>
      </c>
      <c r="AK43" s="40">
        <f t="shared" si="21"/>
        <v>0</v>
      </c>
      <c r="AL43" s="51">
        <v>1026</v>
      </c>
      <c r="AM43" s="52">
        <f t="shared" si="22"/>
        <v>14.106251217137293</v>
      </c>
      <c r="AN43" s="42">
        <f t="shared" si="34"/>
        <v>1</v>
      </c>
      <c r="AO43" s="53">
        <f t="shared" si="35"/>
        <v>1027</v>
      </c>
      <c r="AP43" s="52">
        <f t="shared" si="36"/>
        <v>14.119999999999997</v>
      </c>
      <c r="AQ43" s="42">
        <f t="shared" si="37"/>
        <v>0</v>
      </c>
      <c r="AR43" s="46"/>
      <c r="AS43" s="46"/>
      <c r="AT43" s="50" t="str">
        <f t="shared" si="38"/>
        <v/>
      </c>
      <c r="AU43" s="50">
        <f t="shared" si="28"/>
        <v>167</v>
      </c>
      <c r="AV43" s="50" t="str">
        <f t="shared" si="39"/>
        <v/>
      </c>
      <c r="AW43" s="54" t="str">
        <f t="shared" si="40"/>
        <v/>
      </c>
    </row>
    <row r="44" spans="1:49" x14ac:dyDescent="0.25">
      <c r="A44" s="33" t="s">
        <v>63</v>
      </c>
      <c r="B44" s="33" t="s">
        <v>110</v>
      </c>
      <c r="C44" s="33" t="s">
        <v>111</v>
      </c>
      <c r="D44" s="33" t="s">
        <v>112</v>
      </c>
      <c r="E44" s="34">
        <f>COUNTIF('Detalle por artículo'!$K$8:$K$592,D44)</f>
        <v>1</v>
      </c>
      <c r="F44" s="35">
        <f t="shared" si="2"/>
        <v>150.84635416666666</v>
      </c>
      <c r="G44" s="36">
        <f>SUMIF('Detalle por artículo'!$K$8:$K$592,$D44,'Detalle por artículo'!$E$8:$E$592)</f>
        <v>13.824</v>
      </c>
      <c r="H44" s="35">
        <f t="shared" si="3"/>
        <v>9</v>
      </c>
      <c r="I44" s="35">
        <f t="shared" si="4"/>
        <v>18</v>
      </c>
      <c r="J44" s="35">
        <f t="shared" si="5"/>
        <v>36</v>
      </c>
      <c r="K44" s="37">
        <f t="shared" si="6"/>
        <v>0.49371428571428572</v>
      </c>
      <c r="L44" s="36">
        <f>SUMIF('Detalle por artículo'!$K$8:$K$592,$D44,'Detalle por artículo'!$O$8:$O$592)</f>
        <v>2085.2999999999997</v>
      </c>
      <c r="M44" s="38">
        <f>SUMIF('Detalle por artículo'!$K$8:$K$592,$D44,'Detalle por artículo'!$I$8:$I$592)</f>
        <v>3146</v>
      </c>
      <c r="N44" s="38">
        <f>SUMIF('Detalle por artículo'!$K$8:$K$592,$D44,'Detalle por artículo'!$M$8:$M$592)</f>
        <v>144</v>
      </c>
      <c r="O44" s="39">
        <f t="shared" si="7"/>
        <v>4.3941513032422126</v>
      </c>
      <c r="P44" s="40">
        <f t="shared" si="8"/>
        <v>662.84170375079452</v>
      </c>
      <c r="Q44" s="41">
        <f t="shared" si="9"/>
        <v>0.15</v>
      </c>
      <c r="R44" s="40">
        <f t="shared" si="10"/>
        <v>15.897599999999999</v>
      </c>
      <c r="S44" s="42">
        <f>IFERROR(SUM($G$8:G44)/$G$6,0)</f>
        <v>0.46289670379838915</v>
      </c>
      <c r="T44" s="43" t="str">
        <f t="shared" si="11"/>
        <v>A</v>
      </c>
      <c r="U44" s="44">
        <v>3160</v>
      </c>
      <c r="V44" s="45">
        <f t="shared" si="31"/>
        <v>14</v>
      </c>
      <c r="W44" s="46">
        <v>46275</v>
      </c>
      <c r="X44" s="46">
        <v>46289</v>
      </c>
      <c r="Y44" s="47">
        <v>48</v>
      </c>
      <c r="Z44" s="48">
        <f t="shared" si="13"/>
        <v>0.21091926255562621</v>
      </c>
      <c r="AA44" s="49">
        <f t="shared" si="14"/>
        <v>7.5328308055580785E-3</v>
      </c>
      <c r="AB44" s="44">
        <v>555</v>
      </c>
      <c r="AC44" s="44">
        <f t="shared" si="15"/>
        <v>511</v>
      </c>
      <c r="AD44" s="44">
        <f t="shared" si="16"/>
        <v>20</v>
      </c>
      <c r="AE44" s="50">
        <f t="shared" si="17"/>
        <v>41</v>
      </c>
      <c r="AF44" s="41">
        <f t="shared" si="18"/>
        <v>0.82</v>
      </c>
      <c r="AG44" s="44">
        <v>3</v>
      </c>
      <c r="AH44" s="44">
        <v>21</v>
      </c>
      <c r="AI44" s="42">
        <f t="shared" si="32"/>
        <v>0.1624284806102988</v>
      </c>
      <c r="AJ44" s="42">
        <f t="shared" si="33"/>
        <v>6.3572790845518121E-3</v>
      </c>
      <c r="AK44" s="40">
        <f t="shared" si="21"/>
        <v>2.2454113159567703</v>
      </c>
      <c r="AL44" s="51">
        <v>2604</v>
      </c>
      <c r="AM44" s="52">
        <f t="shared" si="22"/>
        <v>11.442369993642721</v>
      </c>
      <c r="AN44" s="42">
        <f t="shared" si="34"/>
        <v>0.82405063291139236</v>
      </c>
      <c r="AO44" s="53">
        <f t="shared" si="35"/>
        <v>2591</v>
      </c>
      <c r="AP44" s="52">
        <f t="shared" si="36"/>
        <v>11.385246026700573</v>
      </c>
      <c r="AQ44" s="42">
        <f t="shared" si="37"/>
        <v>0.1687857596948506</v>
      </c>
      <c r="AR44" s="46">
        <v>46281</v>
      </c>
      <c r="AS44" s="46">
        <v>46283</v>
      </c>
      <c r="AT44" s="50">
        <f t="shared" si="38"/>
        <v>8</v>
      </c>
      <c r="AU44" s="50">
        <f t="shared" si="28"/>
        <v>22</v>
      </c>
      <c r="AV44" s="50">
        <f t="shared" si="39"/>
        <v>234</v>
      </c>
      <c r="AW44" s="54">
        <f t="shared" si="40"/>
        <v>-212</v>
      </c>
    </row>
    <row r="45" spans="1:49" x14ac:dyDescent="0.25">
      <c r="A45" s="33" t="s">
        <v>63</v>
      </c>
      <c r="B45" s="33" t="s">
        <v>110</v>
      </c>
      <c r="C45" s="33" t="s">
        <v>100</v>
      </c>
      <c r="D45" s="33" t="s">
        <v>113</v>
      </c>
      <c r="E45" s="34">
        <f>COUNTIF('Detalle por artículo'!$K$8:$K$592,D45)</f>
        <v>1</v>
      </c>
      <c r="F45" s="35">
        <f t="shared" si="2"/>
        <v>171.23842592592592</v>
      </c>
      <c r="G45" s="36">
        <f>SUMIF('Detalle por artículo'!$K$8:$K$592,$D45,'Detalle por artículo'!$E$8:$E$592)</f>
        <v>13.824</v>
      </c>
      <c r="H45" s="35">
        <f t="shared" si="3"/>
        <v>9</v>
      </c>
      <c r="I45" s="35">
        <f t="shared" si="4"/>
        <v>18</v>
      </c>
      <c r="J45" s="35">
        <f t="shared" si="5"/>
        <v>36</v>
      </c>
      <c r="K45" s="37">
        <f t="shared" si="6"/>
        <v>0.49371428571428572</v>
      </c>
      <c r="L45" s="36">
        <f>SUMIF('Detalle por artículo'!$K$8:$K$592,$D45,'Detalle por artículo'!$O$8:$O$592)</f>
        <v>2367.1999999999998</v>
      </c>
      <c r="M45" s="38">
        <f>SUMIF('Detalle por artículo'!$K$8:$K$592,$D45,'Detalle por artículo'!$I$8:$I$592)</f>
        <v>4573</v>
      </c>
      <c r="N45" s="38">
        <f>SUMIF('Detalle por artículo'!$K$8:$K$592,$D45,'Detalle por artículo'!$M$8:$M$592)</f>
        <v>144</v>
      </c>
      <c r="O45" s="39">
        <f t="shared" si="7"/>
        <v>3.0229608572053355</v>
      </c>
      <c r="P45" s="40">
        <f t="shared" si="8"/>
        <v>517.64705882352939</v>
      </c>
      <c r="Q45" s="41">
        <f t="shared" si="9"/>
        <v>0.15</v>
      </c>
      <c r="R45" s="40">
        <f t="shared" si="10"/>
        <v>15.897599999999999</v>
      </c>
      <c r="S45" s="42">
        <f>IFERROR(SUM($G$8:G45)/$G$6,0)</f>
        <v>0.46797652317964922</v>
      </c>
      <c r="T45" s="43" t="str">
        <f t="shared" si="11"/>
        <v>A</v>
      </c>
      <c r="U45" s="44">
        <v>4596</v>
      </c>
      <c r="V45" s="45">
        <f t="shared" si="31"/>
        <v>23</v>
      </c>
      <c r="W45" s="46">
        <v>46275</v>
      </c>
      <c r="X45" s="46">
        <v>46289</v>
      </c>
      <c r="Y45" s="47">
        <v>13</v>
      </c>
      <c r="Z45" s="48">
        <f t="shared" si="13"/>
        <v>3.9298491143669359E-2</v>
      </c>
      <c r="AA45" s="49">
        <f t="shared" si="14"/>
        <v>1.4035175408453342E-3</v>
      </c>
      <c r="AB45" s="44">
        <v>2157</v>
      </c>
      <c r="AC45" s="44">
        <f t="shared" si="15"/>
        <v>1420</v>
      </c>
      <c r="AD45" s="44">
        <f t="shared" si="16"/>
        <v>709</v>
      </c>
      <c r="AE45" s="50">
        <f t="shared" si="17"/>
        <v>47</v>
      </c>
      <c r="AF45" s="41">
        <f t="shared" si="18"/>
        <v>0.94</v>
      </c>
      <c r="AG45" s="44">
        <v>11</v>
      </c>
      <c r="AH45" s="44">
        <v>28</v>
      </c>
      <c r="AI45" s="42">
        <f t="shared" si="32"/>
        <v>0.31051825934834898</v>
      </c>
      <c r="AJ45" s="42">
        <f t="shared" si="33"/>
        <v>0.15504045484364751</v>
      </c>
      <c r="AK45" s="40">
        <f t="shared" si="21"/>
        <v>4.2926044172315763</v>
      </c>
      <c r="AL45" s="51">
        <v>2460</v>
      </c>
      <c r="AM45" s="52">
        <f t="shared" si="22"/>
        <v>7.4364837087251257</v>
      </c>
      <c r="AN45" s="42">
        <f t="shared" si="34"/>
        <v>0.53524804177545693</v>
      </c>
      <c r="AO45" s="53">
        <f t="shared" si="35"/>
        <v>2416</v>
      </c>
      <c r="AP45" s="52">
        <f t="shared" si="36"/>
        <v>7.30347343100809</v>
      </c>
      <c r="AQ45" s="42">
        <f t="shared" si="37"/>
        <v>0.46555871419199651</v>
      </c>
      <c r="AR45" s="46">
        <v>46281</v>
      </c>
      <c r="AS45" s="46">
        <v>46282</v>
      </c>
      <c r="AT45" s="50">
        <f t="shared" si="38"/>
        <v>7</v>
      </c>
      <c r="AU45" s="50">
        <f t="shared" si="28"/>
        <v>12</v>
      </c>
      <c r="AV45" s="50">
        <f t="shared" si="39"/>
        <v>7</v>
      </c>
      <c r="AW45" s="54">
        <f t="shared" si="40"/>
        <v>5</v>
      </c>
    </row>
    <row r="46" spans="1:49" x14ac:dyDescent="0.25">
      <c r="A46" s="33" t="s">
        <v>63</v>
      </c>
      <c r="B46" s="33" t="s">
        <v>64</v>
      </c>
      <c r="C46" s="33" t="s">
        <v>57</v>
      </c>
      <c r="D46" s="33" t="s">
        <v>114</v>
      </c>
      <c r="E46" s="34">
        <f>COUNTIF('Detalle por artículo'!$K$8:$K$592,D46)</f>
        <v>3</v>
      </c>
      <c r="F46" s="35">
        <f t="shared" si="2"/>
        <v>106.42361111111111</v>
      </c>
      <c r="G46" s="36">
        <f>SUMIF('Detalle por artículo'!$K$8:$K$592,$D46,'Detalle por artículo'!$E$8:$E$592)</f>
        <v>13.824</v>
      </c>
      <c r="H46" s="35">
        <f t="shared" si="3"/>
        <v>9</v>
      </c>
      <c r="I46" s="35">
        <f t="shared" si="4"/>
        <v>18</v>
      </c>
      <c r="J46" s="35">
        <f t="shared" si="5"/>
        <v>36</v>
      </c>
      <c r="K46" s="37">
        <f t="shared" si="6"/>
        <v>0.49371428571428572</v>
      </c>
      <c r="L46" s="36">
        <f>SUMIF('Detalle por artículo'!$K$8:$K$592,$D46,'Detalle por artículo'!$O$8:$O$592)</f>
        <v>1471.2</v>
      </c>
      <c r="M46" s="38">
        <f>SUMIF('Detalle por artículo'!$K$8:$K$592,$D46,'Detalle por artículo'!$I$8:$I$592)</f>
        <v>1425</v>
      </c>
      <c r="N46" s="38">
        <f>SUMIF('Detalle por artículo'!$K$8:$K$592,$D46,'Detalle por artículo'!$M$8:$M$592)</f>
        <v>144</v>
      </c>
      <c r="O46" s="39">
        <f t="shared" si="7"/>
        <v>9.7010526315789463</v>
      </c>
      <c r="P46" s="40">
        <f t="shared" si="8"/>
        <v>1032.421052631579</v>
      </c>
      <c r="Q46" s="41">
        <f t="shared" si="9"/>
        <v>0.2</v>
      </c>
      <c r="R46" s="40">
        <f t="shared" si="10"/>
        <v>16.588799999999999</v>
      </c>
      <c r="S46" s="42">
        <f>IFERROR(SUM($G$8:G46)/$G$6,0)</f>
        <v>0.47305634256090928</v>
      </c>
      <c r="T46" s="43" t="str">
        <f t="shared" si="11"/>
        <v>A</v>
      </c>
      <c r="U46" s="44">
        <v>1425</v>
      </c>
      <c r="V46" s="45">
        <f t="shared" si="31"/>
        <v>0</v>
      </c>
      <c r="W46" s="46">
        <v>46310</v>
      </c>
      <c r="X46" s="46">
        <v>46316</v>
      </c>
      <c r="Y46" s="47">
        <v>1</v>
      </c>
      <c r="Z46" s="48">
        <f t="shared" si="13"/>
        <v>9.7010526315789471E-3</v>
      </c>
      <c r="AA46" s="49">
        <f t="shared" si="14"/>
        <v>3.4646616541353381E-4</v>
      </c>
      <c r="AB46" s="44">
        <v>14</v>
      </c>
      <c r="AC46" s="44">
        <f t="shared" si="15"/>
        <v>62</v>
      </c>
      <c r="AD46" s="44">
        <f t="shared" si="16"/>
        <v>0</v>
      </c>
      <c r="AE46" s="50">
        <f t="shared" si="17"/>
        <v>5</v>
      </c>
      <c r="AF46" s="41">
        <f t="shared" si="18"/>
        <v>0.1</v>
      </c>
      <c r="AG46" s="44">
        <v>0</v>
      </c>
      <c r="AH46" s="44">
        <v>0</v>
      </c>
      <c r="AI46" s="42">
        <f t="shared" si="32"/>
        <v>4.3508771929824559E-2</v>
      </c>
      <c r="AJ46" s="42">
        <f t="shared" si="33"/>
        <v>0</v>
      </c>
      <c r="AK46" s="40">
        <f t="shared" si="21"/>
        <v>0.60146526315789473</v>
      </c>
      <c r="AL46" s="51">
        <v>1411</v>
      </c>
      <c r="AM46" s="52">
        <f t="shared" si="22"/>
        <v>13.688185263157893</v>
      </c>
      <c r="AN46" s="42">
        <f t="shared" si="34"/>
        <v>0.99017543859649126</v>
      </c>
      <c r="AO46" s="53">
        <f t="shared" si="35"/>
        <v>1411</v>
      </c>
      <c r="AP46" s="52">
        <f t="shared" si="36"/>
        <v>13.688185263157893</v>
      </c>
      <c r="AQ46" s="42">
        <f t="shared" si="37"/>
        <v>4.3508771929824559E-2</v>
      </c>
      <c r="AR46" s="46">
        <v>46316</v>
      </c>
      <c r="AS46" s="46">
        <v>46317</v>
      </c>
      <c r="AT46" s="50">
        <f t="shared" si="38"/>
        <v>7</v>
      </c>
      <c r="AU46" s="50">
        <f t="shared" si="28"/>
        <v>115</v>
      </c>
      <c r="AV46" s="50">
        <f t="shared" si="39"/>
        <v>418</v>
      </c>
      <c r="AW46" s="54">
        <f t="shared" si="40"/>
        <v>-303</v>
      </c>
    </row>
    <row r="47" spans="1:49" x14ac:dyDescent="0.25">
      <c r="A47" s="33" t="s">
        <v>63</v>
      </c>
      <c r="B47" s="33" t="s">
        <v>105</v>
      </c>
      <c r="C47" s="33" t="s">
        <v>115</v>
      </c>
      <c r="D47" s="33" t="s">
        <v>116</v>
      </c>
      <c r="E47" s="34">
        <f>COUNTIF('Detalle por artículo'!$K$8:$K$592,D47)</f>
        <v>2</v>
      </c>
      <c r="F47" s="35">
        <f t="shared" si="2"/>
        <v>93.197278911564624</v>
      </c>
      <c r="G47" s="36">
        <f>SUMIF('Detalle por artículo'!$K$8:$K$592,$D47,'Detalle por artículo'!$E$8:$E$592)</f>
        <v>13.523999999999999</v>
      </c>
      <c r="H47" s="35">
        <f t="shared" si="3"/>
        <v>9</v>
      </c>
      <c r="I47" s="35">
        <f t="shared" si="4"/>
        <v>18</v>
      </c>
      <c r="J47" s="35">
        <f t="shared" si="5"/>
        <v>36</v>
      </c>
      <c r="K47" s="37">
        <f t="shared" si="6"/>
        <v>0.48299999999999998</v>
      </c>
      <c r="L47" s="36">
        <f>SUMIF('Detalle por artículo'!$K$8:$K$592,$D47,'Detalle por artículo'!$O$8:$O$592)</f>
        <v>1260.3999999999999</v>
      </c>
      <c r="M47" s="38">
        <f>SUMIF('Detalle por artículo'!$K$8:$K$592,$D47,'Detalle por artículo'!$I$8:$I$592)</f>
        <v>1114</v>
      </c>
      <c r="N47" s="38">
        <f>SUMIF('Detalle por artículo'!$K$8:$K$592,$D47,'Detalle por artículo'!$M$8:$M$592)</f>
        <v>112</v>
      </c>
      <c r="O47" s="39">
        <f t="shared" si="7"/>
        <v>12.140035906642728</v>
      </c>
      <c r="P47" s="40">
        <f t="shared" si="8"/>
        <v>1131.4183123877917</v>
      </c>
      <c r="Q47" s="41">
        <f t="shared" si="9"/>
        <v>0.2</v>
      </c>
      <c r="R47" s="40">
        <f t="shared" si="10"/>
        <v>16.2288</v>
      </c>
      <c r="S47" s="42">
        <f>IFERROR(SUM($G$8:G47)/$G$6,0)</f>
        <v>0.47802592280629125</v>
      </c>
      <c r="T47" s="43" t="str">
        <f t="shared" si="11"/>
        <v>A</v>
      </c>
      <c r="U47" s="44">
        <v>1110</v>
      </c>
      <c r="V47" s="45">
        <f t="shared" si="31"/>
        <v>-4</v>
      </c>
      <c r="W47" s="46">
        <v>46234</v>
      </c>
      <c r="X47" s="46">
        <v>46262</v>
      </c>
      <c r="Y47" s="47">
        <v>14</v>
      </c>
      <c r="Z47" s="48">
        <f t="shared" si="13"/>
        <v>0.1699605026929982</v>
      </c>
      <c r="AA47" s="49">
        <f t="shared" si="14"/>
        <v>6.0700179533213642E-3</v>
      </c>
      <c r="AB47" s="44">
        <v>335</v>
      </c>
      <c r="AC47" s="44">
        <f t="shared" si="15"/>
        <v>296</v>
      </c>
      <c r="AD47" s="44">
        <f t="shared" si="16"/>
        <v>69</v>
      </c>
      <c r="AE47" s="50">
        <f t="shared" si="17"/>
        <v>22</v>
      </c>
      <c r="AF47" s="41">
        <f t="shared" si="18"/>
        <v>0.44</v>
      </c>
      <c r="AG47" s="44">
        <v>1</v>
      </c>
      <c r="AH47" s="44">
        <v>16</v>
      </c>
      <c r="AI47" s="42">
        <f t="shared" si="32"/>
        <v>0.26570915619389585</v>
      </c>
      <c r="AJ47" s="42">
        <f t="shared" si="33"/>
        <v>6.193895870736086E-2</v>
      </c>
      <c r="AK47" s="40">
        <f t="shared" si="21"/>
        <v>3.5934506283662477</v>
      </c>
      <c r="AL47" s="51">
        <v>772</v>
      </c>
      <c r="AM47" s="52">
        <f t="shared" si="22"/>
        <v>9.3721077199281861</v>
      </c>
      <c r="AN47" s="42">
        <f t="shared" si="34"/>
        <v>0.6954954954954955</v>
      </c>
      <c r="AO47" s="53">
        <f t="shared" si="35"/>
        <v>779</v>
      </c>
      <c r="AP47" s="52">
        <f t="shared" si="36"/>
        <v>9.4570879712746851</v>
      </c>
      <c r="AQ47" s="42">
        <f t="shared" si="37"/>
        <v>0.32764811490125673</v>
      </c>
      <c r="AR47" s="46">
        <v>46268</v>
      </c>
      <c r="AS47" s="46">
        <v>46269</v>
      </c>
      <c r="AT47" s="50">
        <f t="shared" si="38"/>
        <v>35</v>
      </c>
      <c r="AU47" s="50">
        <f t="shared" si="28"/>
        <v>147</v>
      </c>
      <c r="AV47" s="50">
        <f t="shared" si="39"/>
        <v>336</v>
      </c>
      <c r="AW47" s="54">
        <f t="shared" si="40"/>
        <v>-189</v>
      </c>
    </row>
    <row r="48" spans="1:49" x14ac:dyDescent="0.25">
      <c r="A48" s="33" t="s">
        <v>63</v>
      </c>
      <c r="B48" s="33" t="s">
        <v>64</v>
      </c>
      <c r="C48" s="33" t="s">
        <v>66</v>
      </c>
      <c r="D48" s="33" t="s">
        <v>117</v>
      </c>
      <c r="E48" s="34">
        <f>COUNTIF('Detalle por artículo'!$K$8:$K$592,D48)</f>
        <v>1</v>
      </c>
      <c r="F48" s="35">
        <f t="shared" si="2"/>
        <v>145.64665471923539</v>
      </c>
      <c r="G48" s="36">
        <f>SUMIF('Detalle por artículo'!$K$8:$K$592,$D48,'Detalle por artículo'!$E$8:$E$592)</f>
        <v>13.391999999999999</v>
      </c>
      <c r="H48" s="35">
        <f t="shared" si="3"/>
        <v>9</v>
      </c>
      <c r="I48" s="35">
        <f t="shared" si="4"/>
        <v>18</v>
      </c>
      <c r="J48" s="35">
        <f t="shared" si="5"/>
        <v>35</v>
      </c>
      <c r="K48" s="37">
        <f t="shared" si="6"/>
        <v>0.47828571428571426</v>
      </c>
      <c r="L48" s="36">
        <f>SUMIF('Detalle por artículo'!$K$8:$K$592,$D48,'Detalle por artículo'!$O$8:$O$592)</f>
        <v>1950.5000000000002</v>
      </c>
      <c r="M48" s="38">
        <f>SUMIF('Detalle por artículo'!$K$8:$K$592,$D48,'Detalle por artículo'!$I$8:$I$592)</f>
        <v>1873</v>
      </c>
      <c r="N48" s="38">
        <f>SUMIF('Detalle por artículo'!$K$8:$K$592,$D48,'Detalle por artículo'!$M$8:$M$592)</f>
        <v>124</v>
      </c>
      <c r="O48" s="39">
        <f t="shared" si="7"/>
        <v>7.1500266951414835</v>
      </c>
      <c r="P48" s="40">
        <f t="shared" si="8"/>
        <v>1041.3774693005876</v>
      </c>
      <c r="Q48" s="41">
        <f t="shared" si="9"/>
        <v>0.15</v>
      </c>
      <c r="R48" s="40">
        <f t="shared" si="10"/>
        <v>15.400799999999998</v>
      </c>
      <c r="S48" s="42">
        <f>IFERROR(SUM($G$8:G48)/$G$6,0)</f>
        <v>0.48294699783188688</v>
      </c>
      <c r="T48" s="43" t="str">
        <f t="shared" si="11"/>
        <v>A</v>
      </c>
      <c r="U48" s="44">
        <v>1873</v>
      </c>
      <c r="V48" s="45">
        <f t="shared" si="31"/>
        <v>0</v>
      </c>
      <c r="W48" s="46">
        <v>46272</v>
      </c>
      <c r="X48" s="46">
        <v>46272</v>
      </c>
      <c r="Y48" s="47">
        <v>1873</v>
      </c>
      <c r="Z48" s="48">
        <f t="shared" si="13"/>
        <v>13.391999999999998</v>
      </c>
      <c r="AA48" s="49">
        <f t="shared" si="14"/>
        <v>0.4782857142857142</v>
      </c>
      <c r="AB48" s="44">
        <v>1450</v>
      </c>
      <c r="AC48" s="44">
        <f t="shared" si="15"/>
        <v>948</v>
      </c>
      <c r="AD48" s="44">
        <f t="shared" si="16"/>
        <v>481</v>
      </c>
      <c r="AE48" s="50">
        <f t="shared" si="17"/>
        <v>49</v>
      </c>
      <c r="AF48" s="41">
        <f t="shared" si="18"/>
        <v>0.98</v>
      </c>
      <c r="AG48" s="44">
        <v>4</v>
      </c>
      <c r="AH48" s="44">
        <v>18</v>
      </c>
      <c r="AI48" s="42">
        <f t="shared" si="32"/>
        <v>0.50613988254137743</v>
      </c>
      <c r="AJ48" s="42">
        <f t="shared" si="33"/>
        <v>0.25680726107848373</v>
      </c>
      <c r="AK48" s="40">
        <f t="shared" si="21"/>
        <v>6.7782253069941261</v>
      </c>
      <c r="AL48" s="51">
        <v>434</v>
      </c>
      <c r="AM48" s="52">
        <f t="shared" si="22"/>
        <v>3.103111585691404</v>
      </c>
      <c r="AN48" s="42">
        <f t="shared" si="34"/>
        <v>0.23171382808328883</v>
      </c>
      <c r="AO48" s="53">
        <f t="shared" si="35"/>
        <v>423</v>
      </c>
      <c r="AP48" s="52">
        <f t="shared" si="36"/>
        <v>3.0244612920448475</v>
      </c>
      <c r="AQ48" s="42">
        <f t="shared" si="37"/>
        <v>0.76294714361986116</v>
      </c>
      <c r="AR48" s="46">
        <v>46274</v>
      </c>
      <c r="AS48" s="46">
        <v>46275</v>
      </c>
      <c r="AT48" s="50">
        <f t="shared" si="38"/>
        <v>3</v>
      </c>
      <c r="AU48" s="50">
        <f t="shared" si="28"/>
        <v>49</v>
      </c>
      <c r="AV48" s="50">
        <f t="shared" si="39"/>
        <v>25</v>
      </c>
      <c r="AW48" s="54">
        <f t="shared" si="40"/>
        <v>24</v>
      </c>
    </row>
    <row r="49" spans="1:49" x14ac:dyDescent="0.25">
      <c r="A49" s="33" t="s">
        <v>63</v>
      </c>
      <c r="B49" s="33" t="s">
        <v>64</v>
      </c>
      <c r="C49" s="33" t="s">
        <v>66</v>
      </c>
      <c r="D49" s="33" t="s">
        <v>118</v>
      </c>
      <c r="E49" s="34">
        <f>COUNTIF('Detalle por artículo'!$K$8:$K$592,D49)</f>
        <v>1</v>
      </c>
      <c r="F49" s="35">
        <f t="shared" si="2"/>
        <v>151.06414868105517</v>
      </c>
      <c r="G49" s="36">
        <f>SUMIF('Detalle por artículo'!$K$8:$K$592,$D49,'Detalle por artículo'!$E$8:$E$592)</f>
        <v>13.343999999999999</v>
      </c>
      <c r="H49" s="35">
        <f t="shared" si="3"/>
        <v>9</v>
      </c>
      <c r="I49" s="35">
        <f t="shared" si="4"/>
        <v>18</v>
      </c>
      <c r="J49" s="35">
        <f t="shared" si="5"/>
        <v>35</v>
      </c>
      <c r="K49" s="37">
        <f t="shared" si="6"/>
        <v>0.47657142857142853</v>
      </c>
      <c r="L49" s="36">
        <f>SUMIF('Detalle por artículo'!$K$8:$K$592,$D49,'Detalle por artículo'!$O$8:$O$592)</f>
        <v>2015.8</v>
      </c>
      <c r="M49" s="38">
        <f>SUMIF('Detalle por artículo'!$K$8:$K$592,$D49,'Detalle por artículo'!$I$8:$I$592)</f>
        <v>1810</v>
      </c>
      <c r="N49" s="38">
        <f>SUMIF('Detalle por artículo'!$K$8:$K$592,$D49,'Detalle por artículo'!$M$8:$M$592)</f>
        <v>139</v>
      </c>
      <c r="O49" s="39">
        <f t="shared" si="7"/>
        <v>7.3723756906077345</v>
      </c>
      <c r="P49" s="40">
        <f t="shared" si="8"/>
        <v>1113.7016574585634</v>
      </c>
      <c r="Q49" s="41">
        <f t="shared" si="9"/>
        <v>0.15</v>
      </c>
      <c r="R49" s="40">
        <f t="shared" si="10"/>
        <v>15.345599999999997</v>
      </c>
      <c r="S49" s="42">
        <f>IFERROR(SUM($G$8:G49)/$G$6,0)</f>
        <v>0.48785043459574212</v>
      </c>
      <c r="T49" s="43" t="str">
        <f t="shared" si="11"/>
        <v>A</v>
      </c>
      <c r="U49" s="44">
        <v>0</v>
      </c>
      <c r="V49" s="45">
        <f t="shared" si="31"/>
        <v>-1810</v>
      </c>
      <c r="W49" s="46"/>
      <c r="X49" s="46"/>
      <c r="Y49" s="47">
        <v>1810</v>
      </c>
      <c r="Z49" s="48">
        <f t="shared" si="13"/>
        <v>13.343999999999999</v>
      </c>
      <c r="AA49" s="49">
        <f t="shared" si="14"/>
        <v>0.47657142857142853</v>
      </c>
      <c r="AB49" s="44">
        <v>0</v>
      </c>
      <c r="AC49" s="44">
        <f t="shared" si="15"/>
        <v>0</v>
      </c>
      <c r="AD49" s="44">
        <f t="shared" si="16"/>
        <v>0</v>
      </c>
      <c r="AE49" s="50">
        <f t="shared" si="17"/>
        <v>0</v>
      </c>
      <c r="AF49" s="41">
        <f t="shared" si="18"/>
        <v>0</v>
      </c>
      <c r="AG49" s="44">
        <v>0</v>
      </c>
      <c r="AH49" s="44">
        <v>0</v>
      </c>
      <c r="AI49" s="42">
        <f t="shared" si="32"/>
        <v>0</v>
      </c>
      <c r="AJ49" s="42">
        <f t="shared" si="33"/>
        <v>0</v>
      </c>
      <c r="AK49" s="40">
        <f t="shared" si="21"/>
        <v>0</v>
      </c>
      <c r="AL49" s="51">
        <v>0</v>
      </c>
      <c r="AM49" s="52">
        <f t="shared" si="22"/>
        <v>0</v>
      </c>
      <c r="AN49" s="42">
        <f t="shared" si="34"/>
        <v>0</v>
      </c>
      <c r="AO49" s="53">
        <f t="shared" si="35"/>
        <v>1810</v>
      </c>
      <c r="AP49" s="52">
        <f t="shared" si="36"/>
        <v>13.343999999999999</v>
      </c>
      <c r="AQ49" s="42">
        <f t="shared" si="37"/>
        <v>0</v>
      </c>
      <c r="AR49" s="46"/>
      <c r="AS49" s="46"/>
      <c r="AT49" s="50" t="str">
        <f t="shared" si="38"/>
        <v/>
      </c>
      <c r="AU49" s="50">
        <f t="shared" si="28"/>
        <v>54</v>
      </c>
      <c r="AV49" s="50" t="str">
        <f t="shared" si="39"/>
        <v/>
      </c>
      <c r="AW49" s="54" t="str">
        <f t="shared" si="40"/>
        <v/>
      </c>
    </row>
    <row r="50" spans="1:49" x14ac:dyDescent="0.25">
      <c r="A50" s="33" t="s">
        <v>63</v>
      </c>
      <c r="B50" s="33" t="s">
        <v>64</v>
      </c>
      <c r="C50" s="33" t="s">
        <v>66</v>
      </c>
      <c r="D50" s="33" t="s">
        <v>119</v>
      </c>
      <c r="E50" s="34">
        <f>COUNTIF('Detalle por artículo'!$K$8:$K$592,D50)</f>
        <v>1</v>
      </c>
      <c r="F50" s="35">
        <f t="shared" si="2"/>
        <v>174.54286570743406</v>
      </c>
      <c r="G50" s="36">
        <f>SUMIF('Detalle por artículo'!$K$8:$K$592,$D50,'Detalle por artículo'!$E$8:$E$592)</f>
        <v>13.343999999999999</v>
      </c>
      <c r="H50" s="35">
        <f t="shared" si="3"/>
        <v>9</v>
      </c>
      <c r="I50" s="35">
        <f t="shared" si="4"/>
        <v>18</v>
      </c>
      <c r="J50" s="35">
        <f t="shared" si="5"/>
        <v>35</v>
      </c>
      <c r="K50" s="37">
        <f t="shared" si="6"/>
        <v>0.47657142857142853</v>
      </c>
      <c r="L50" s="36">
        <f>SUMIF('Detalle por artículo'!$K$8:$K$592,$D50,'Detalle por artículo'!$O$8:$O$592)</f>
        <v>2329.1</v>
      </c>
      <c r="M50" s="38">
        <f>SUMIF('Detalle por artículo'!$K$8:$K$592,$D50,'Detalle por artículo'!$I$8:$I$592)</f>
        <v>1800</v>
      </c>
      <c r="N50" s="38">
        <f>SUMIF('Detalle por artículo'!$K$8:$K$592,$D50,'Detalle por artículo'!$M$8:$M$592)</f>
        <v>139</v>
      </c>
      <c r="O50" s="39">
        <f t="shared" si="7"/>
        <v>7.4133333333333331</v>
      </c>
      <c r="P50" s="40">
        <f t="shared" si="8"/>
        <v>1293.9444444444443</v>
      </c>
      <c r="Q50" s="41">
        <f t="shared" si="9"/>
        <v>0.15</v>
      </c>
      <c r="R50" s="40">
        <f t="shared" si="10"/>
        <v>15.345599999999997</v>
      </c>
      <c r="S50" s="42">
        <f>IFERROR(SUM($G$8:G50)/$G$6,0)</f>
        <v>0.49275387135959731</v>
      </c>
      <c r="T50" s="43" t="str">
        <f t="shared" si="11"/>
        <v>A</v>
      </c>
      <c r="U50" s="44">
        <v>0</v>
      </c>
      <c r="V50" s="45">
        <f t="shared" si="31"/>
        <v>-1800</v>
      </c>
      <c r="W50" s="46"/>
      <c r="X50" s="46"/>
      <c r="Y50" s="47">
        <v>2576</v>
      </c>
      <c r="Z50" s="48">
        <f t="shared" si="13"/>
        <v>19.096746666666665</v>
      </c>
      <c r="AA50" s="49">
        <f t="shared" si="14"/>
        <v>0.68202666666666656</v>
      </c>
      <c r="AB50" s="44">
        <v>0</v>
      </c>
      <c r="AC50" s="44">
        <f t="shared" si="15"/>
        <v>0</v>
      </c>
      <c r="AD50" s="44">
        <f t="shared" si="16"/>
        <v>0</v>
      </c>
      <c r="AE50" s="50">
        <f t="shared" si="17"/>
        <v>0</v>
      </c>
      <c r="AF50" s="41">
        <f t="shared" si="18"/>
        <v>0</v>
      </c>
      <c r="AG50" s="44">
        <v>0</v>
      </c>
      <c r="AH50" s="44">
        <v>0</v>
      </c>
      <c r="AI50" s="42">
        <f t="shared" si="32"/>
        <v>0</v>
      </c>
      <c r="AJ50" s="42">
        <f t="shared" si="33"/>
        <v>0</v>
      </c>
      <c r="AK50" s="40">
        <f t="shared" si="21"/>
        <v>0</v>
      </c>
      <c r="AL50" s="51">
        <v>0</v>
      </c>
      <c r="AM50" s="52">
        <f t="shared" si="22"/>
        <v>0</v>
      </c>
      <c r="AN50" s="42">
        <f t="shared" si="34"/>
        <v>0</v>
      </c>
      <c r="AO50" s="53">
        <f t="shared" si="35"/>
        <v>1800</v>
      </c>
      <c r="AP50" s="52">
        <f t="shared" si="36"/>
        <v>13.343999999999999</v>
      </c>
      <c r="AQ50" s="42">
        <f t="shared" si="37"/>
        <v>0</v>
      </c>
      <c r="AR50" s="46"/>
      <c r="AS50" s="46"/>
      <c r="AT50" s="50" t="str">
        <f t="shared" si="38"/>
        <v/>
      </c>
      <c r="AU50" s="50">
        <f t="shared" si="28"/>
        <v>58</v>
      </c>
      <c r="AV50" s="50" t="str">
        <f t="shared" si="39"/>
        <v/>
      </c>
      <c r="AW50" s="54" t="str">
        <f t="shared" si="40"/>
        <v/>
      </c>
    </row>
    <row r="51" spans="1:49" x14ac:dyDescent="0.25">
      <c r="A51" s="33" t="s">
        <v>120</v>
      </c>
      <c r="B51" s="33" t="s">
        <v>121</v>
      </c>
      <c r="C51" s="33" t="s">
        <v>122</v>
      </c>
      <c r="D51" s="33" t="s">
        <v>123</v>
      </c>
      <c r="E51" s="34">
        <f>COUNTIF('Detalle por artículo'!$K$8:$K$592,D51)</f>
        <v>1</v>
      </c>
      <c r="F51" s="35">
        <f t="shared" si="2"/>
        <v>104.77511244377811</v>
      </c>
      <c r="G51" s="36">
        <f>SUMIF('Detalle por artículo'!$K$8:$K$592,$D51,'Detalle por artículo'!$E$8:$E$592)</f>
        <v>13.34</v>
      </c>
      <c r="H51" s="35">
        <f t="shared" si="3"/>
        <v>9</v>
      </c>
      <c r="I51" s="35">
        <f t="shared" si="4"/>
        <v>18</v>
      </c>
      <c r="J51" s="35">
        <f t="shared" si="5"/>
        <v>35</v>
      </c>
      <c r="K51" s="37">
        <f t="shared" si="6"/>
        <v>0.47642857142857142</v>
      </c>
      <c r="L51" s="36">
        <f>SUMIF('Detalle por artículo'!$K$8:$K$592,$D51,'Detalle por artículo'!$O$8:$O$592)</f>
        <v>1397.7</v>
      </c>
      <c r="M51" s="38">
        <f>SUMIF('Detalle por artículo'!$K$8:$K$592,$D51,'Detalle por artículo'!$I$8:$I$592)</f>
        <v>1869</v>
      </c>
      <c r="N51" s="38">
        <f>SUMIF('Detalle por artículo'!$K$8:$K$592,$D51,'Detalle por artículo'!$M$8:$M$592)</f>
        <v>125</v>
      </c>
      <c r="O51" s="39">
        <f t="shared" si="7"/>
        <v>7.1375066880684859</v>
      </c>
      <c r="P51" s="40">
        <f t="shared" si="8"/>
        <v>747.83306581059389</v>
      </c>
      <c r="Q51" s="41">
        <f t="shared" si="9"/>
        <v>0.2</v>
      </c>
      <c r="R51" s="40">
        <f t="shared" si="10"/>
        <v>16.007999999999999</v>
      </c>
      <c r="S51" s="42">
        <f>IFERROR(SUM($G$8:G51)/$G$6,0)</f>
        <v>0.49765583826830739</v>
      </c>
      <c r="T51" s="43" t="str">
        <f t="shared" si="11"/>
        <v>A</v>
      </c>
      <c r="U51" s="44">
        <v>1869</v>
      </c>
      <c r="V51" s="45">
        <f t="shared" si="31"/>
        <v>0</v>
      </c>
      <c r="W51" s="46">
        <v>46272</v>
      </c>
      <c r="X51" s="46">
        <v>46272</v>
      </c>
      <c r="Y51" s="47">
        <v>1876</v>
      </c>
      <c r="Z51" s="48">
        <f t="shared" si="13"/>
        <v>13.389962546816479</v>
      </c>
      <c r="AA51" s="49">
        <f t="shared" si="14"/>
        <v>0.47821294810058851</v>
      </c>
      <c r="AB51" s="44">
        <v>537</v>
      </c>
      <c r="AC51" s="44">
        <f t="shared" si="15"/>
        <v>416</v>
      </c>
      <c r="AD51" s="44">
        <f t="shared" si="16"/>
        <v>106</v>
      </c>
      <c r="AE51" s="50">
        <f t="shared" si="17"/>
        <v>33</v>
      </c>
      <c r="AF51" s="41">
        <f t="shared" si="18"/>
        <v>0.66</v>
      </c>
      <c r="AG51" s="44">
        <v>3</v>
      </c>
      <c r="AH51" s="44">
        <v>12</v>
      </c>
      <c r="AI51" s="42">
        <f t="shared" si="32"/>
        <v>0.22257891920813269</v>
      </c>
      <c r="AJ51" s="42">
        <f t="shared" si="33"/>
        <v>5.6714820759764577E-2</v>
      </c>
      <c r="AK51" s="40">
        <f t="shared" si="21"/>
        <v>2.9692027822364904</v>
      </c>
      <c r="AL51" s="51">
        <v>1336</v>
      </c>
      <c r="AM51" s="52">
        <f t="shared" si="22"/>
        <v>9.5357089352594979</v>
      </c>
      <c r="AN51" s="42">
        <f t="shared" si="34"/>
        <v>0.71482075976458004</v>
      </c>
      <c r="AO51" s="53">
        <f t="shared" si="35"/>
        <v>1332</v>
      </c>
      <c r="AP51" s="52">
        <f t="shared" si="36"/>
        <v>9.5071589085072237</v>
      </c>
      <c r="AQ51" s="42">
        <f t="shared" si="37"/>
        <v>0.27929373996789725</v>
      </c>
      <c r="AR51" s="46">
        <v>46274</v>
      </c>
      <c r="AS51" s="46">
        <v>46279</v>
      </c>
      <c r="AT51" s="50">
        <f t="shared" si="38"/>
        <v>7</v>
      </c>
      <c r="AU51" s="50">
        <f t="shared" si="28"/>
        <v>50</v>
      </c>
      <c r="AV51" s="50">
        <f t="shared" si="39"/>
        <v>245</v>
      </c>
      <c r="AW51" s="54">
        <f t="shared" si="40"/>
        <v>-195</v>
      </c>
    </row>
    <row r="52" spans="1:49" x14ac:dyDescent="0.25">
      <c r="A52" s="33" t="s">
        <v>63</v>
      </c>
      <c r="B52" s="33" t="s">
        <v>64</v>
      </c>
      <c r="C52" s="33" t="s">
        <v>57</v>
      </c>
      <c r="D52" s="33" t="s">
        <v>124</v>
      </c>
      <c r="E52" s="34">
        <f>COUNTIF('Detalle por artículo'!$K$8:$K$592,D52)</f>
        <v>1</v>
      </c>
      <c r="F52" s="35">
        <f t="shared" si="2"/>
        <v>134.52471482889734</v>
      </c>
      <c r="G52" s="36">
        <f>SUMIF('Detalle por artículo'!$K$8:$K$592,$D52,'Detalle por artículo'!$E$8:$E$592)</f>
        <v>13.15</v>
      </c>
      <c r="H52" s="35">
        <f t="shared" si="3"/>
        <v>9</v>
      </c>
      <c r="I52" s="35">
        <f t="shared" si="4"/>
        <v>18</v>
      </c>
      <c r="J52" s="35">
        <f t="shared" si="5"/>
        <v>35</v>
      </c>
      <c r="K52" s="37">
        <f t="shared" si="6"/>
        <v>0.46964285714285714</v>
      </c>
      <c r="L52" s="36">
        <f>SUMIF('Detalle por artículo'!$K$8:$K$592,$D52,'Detalle por artículo'!$O$8:$O$592)</f>
        <v>1769</v>
      </c>
      <c r="M52" s="38">
        <f>SUMIF('Detalle por artículo'!$K$8:$K$592,$D52,'Detalle por artículo'!$I$8:$I$592)</f>
        <v>1868</v>
      </c>
      <c r="N52" s="38">
        <f>SUMIF('Detalle por artículo'!$K$8:$K$592,$D52,'Detalle por artículo'!$M$8:$M$592)</f>
        <v>126</v>
      </c>
      <c r="O52" s="39">
        <f t="shared" si="7"/>
        <v>7.0396145610278378</v>
      </c>
      <c r="P52" s="40">
        <f t="shared" si="8"/>
        <v>947.00214132762312</v>
      </c>
      <c r="Q52" s="41">
        <f t="shared" si="9"/>
        <v>0.15</v>
      </c>
      <c r="R52" s="40">
        <f t="shared" si="10"/>
        <v>15.122499999999999</v>
      </c>
      <c r="S52" s="42">
        <f>IFERROR(SUM($G$8:G52)/$G$6,0)</f>
        <v>0.50248798705762809</v>
      </c>
      <c r="T52" s="43" t="str">
        <f t="shared" si="11"/>
        <v>B</v>
      </c>
      <c r="U52" s="44">
        <v>1875</v>
      </c>
      <c r="V52" s="45">
        <f t="shared" si="31"/>
        <v>7</v>
      </c>
      <c r="W52" s="46">
        <v>46308</v>
      </c>
      <c r="X52" s="46">
        <v>46309</v>
      </c>
      <c r="Y52" s="47">
        <v>15</v>
      </c>
      <c r="Z52" s="48">
        <f t="shared" si="13"/>
        <v>0.10559421841541758</v>
      </c>
      <c r="AA52" s="49">
        <f t="shared" si="14"/>
        <v>3.7712220862649135E-3</v>
      </c>
      <c r="AB52" s="44">
        <v>0</v>
      </c>
      <c r="AC52" s="44">
        <f t="shared" si="15"/>
        <v>0</v>
      </c>
      <c r="AD52" s="44">
        <f t="shared" si="16"/>
        <v>0</v>
      </c>
      <c r="AE52" s="50">
        <f t="shared" si="17"/>
        <v>0</v>
      </c>
      <c r="AF52" s="41">
        <f t="shared" si="18"/>
        <v>0</v>
      </c>
      <c r="AG52" s="44">
        <v>0</v>
      </c>
      <c r="AH52" s="44">
        <v>0</v>
      </c>
      <c r="AI52" s="42">
        <f t="shared" si="32"/>
        <v>0</v>
      </c>
      <c r="AJ52" s="42">
        <f t="shared" si="33"/>
        <v>0</v>
      </c>
      <c r="AK52" s="40">
        <f t="shared" si="21"/>
        <v>0</v>
      </c>
      <c r="AL52" s="51">
        <v>1862</v>
      </c>
      <c r="AM52" s="52">
        <f t="shared" si="22"/>
        <v>13.107762312633833</v>
      </c>
      <c r="AN52" s="42">
        <f t="shared" si="34"/>
        <v>0.99306666666666665</v>
      </c>
      <c r="AO52" s="53">
        <f t="shared" si="35"/>
        <v>1868</v>
      </c>
      <c r="AP52" s="52">
        <f t="shared" si="36"/>
        <v>13.150000000000002</v>
      </c>
      <c r="AQ52" s="42">
        <f t="shared" si="37"/>
        <v>0</v>
      </c>
      <c r="AR52" s="46"/>
      <c r="AS52" s="46"/>
      <c r="AT52" s="50" t="str">
        <f t="shared" si="38"/>
        <v/>
      </c>
      <c r="AU52" s="50">
        <f t="shared" si="28"/>
        <v>51</v>
      </c>
      <c r="AV52" s="50" t="str">
        <f t="shared" si="39"/>
        <v/>
      </c>
      <c r="AW52" s="54" t="str">
        <f t="shared" si="40"/>
        <v/>
      </c>
    </row>
    <row r="53" spans="1:49" x14ac:dyDescent="0.25">
      <c r="A53" s="33" t="s">
        <v>63</v>
      </c>
      <c r="B53" s="33" t="s">
        <v>64</v>
      </c>
      <c r="C53" s="33" t="s">
        <v>57</v>
      </c>
      <c r="D53" s="33" t="s">
        <v>125</v>
      </c>
      <c r="E53" s="34">
        <f>COUNTIF('Detalle por artículo'!$K$8:$K$592,D53)</f>
        <v>1</v>
      </c>
      <c r="F53" s="35">
        <f t="shared" si="2"/>
        <v>110.85258964143426</v>
      </c>
      <c r="G53" s="36">
        <f>SUMIF('Detalle por artículo'!$K$8:$K$592,$D53,'Detalle por artículo'!$E$8:$E$592)</f>
        <v>12.55</v>
      </c>
      <c r="H53" s="35">
        <f t="shared" si="3"/>
        <v>9</v>
      </c>
      <c r="I53" s="35">
        <f t="shared" si="4"/>
        <v>17</v>
      </c>
      <c r="J53" s="35">
        <f t="shared" si="5"/>
        <v>33</v>
      </c>
      <c r="K53" s="37">
        <f t="shared" si="6"/>
        <v>0.44821428571428573</v>
      </c>
      <c r="L53" s="36">
        <f>SUMIF('Detalle por artículo'!$K$8:$K$592,$D53,'Detalle por artículo'!$O$8:$O$592)</f>
        <v>1391.2</v>
      </c>
      <c r="M53" s="38">
        <f>SUMIF('Detalle por artículo'!$K$8:$K$592,$D53,'Detalle por artículo'!$I$8:$I$592)</f>
        <v>1545</v>
      </c>
      <c r="N53" s="38">
        <f>SUMIF('Detalle por artículo'!$K$8:$K$592,$D53,'Detalle por artículo'!$M$8:$M$592)</f>
        <v>104</v>
      </c>
      <c r="O53" s="39">
        <f t="shared" si="7"/>
        <v>8.1229773462783168</v>
      </c>
      <c r="P53" s="40">
        <f t="shared" si="8"/>
        <v>900.45307443365698</v>
      </c>
      <c r="Q53" s="41">
        <f t="shared" si="9"/>
        <v>0.2</v>
      </c>
      <c r="R53" s="40">
        <f t="shared" si="10"/>
        <v>15.06</v>
      </c>
      <c r="S53" s="42">
        <f>IFERROR(SUM($G$8:G53)/$G$6,0)</f>
        <v>0.50709965757519271</v>
      </c>
      <c r="T53" s="43" t="str">
        <f t="shared" si="11"/>
        <v>B</v>
      </c>
      <c r="U53" s="44">
        <v>1545</v>
      </c>
      <c r="V53" s="45">
        <f t="shared" si="31"/>
        <v>0</v>
      </c>
      <c r="W53" s="46">
        <v>46308</v>
      </c>
      <c r="X53" s="46">
        <v>46308</v>
      </c>
      <c r="Y53" s="47">
        <v>0</v>
      </c>
      <c r="Z53" s="48">
        <f t="shared" si="13"/>
        <v>0</v>
      </c>
      <c r="AA53" s="49">
        <f t="shared" si="14"/>
        <v>0</v>
      </c>
      <c r="AB53" s="44">
        <v>0</v>
      </c>
      <c r="AC53" s="44">
        <f t="shared" si="15"/>
        <v>0</v>
      </c>
      <c r="AD53" s="44">
        <f t="shared" si="16"/>
        <v>0</v>
      </c>
      <c r="AE53" s="50">
        <f t="shared" si="17"/>
        <v>0</v>
      </c>
      <c r="AF53" s="41">
        <f t="shared" si="18"/>
        <v>0</v>
      </c>
      <c r="AG53" s="44">
        <v>0</v>
      </c>
      <c r="AH53" s="44">
        <v>0</v>
      </c>
      <c r="AI53" s="42">
        <f t="shared" si="32"/>
        <v>0</v>
      </c>
      <c r="AJ53" s="42">
        <f t="shared" si="33"/>
        <v>0</v>
      </c>
      <c r="AK53" s="40">
        <f t="shared" si="21"/>
        <v>0</v>
      </c>
      <c r="AL53" s="51">
        <v>1545</v>
      </c>
      <c r="AM53" s="52">
        <f t="shared" si="22"/>
        <v>12.55</v>
      </c>
      <c r="AN53" s="42">
        <f t="shared" si="34"/>
        <v>1</v>
      </c>
      <c r="AO53" s="53">
        <f t="shared" si="35"/>
        <v>1545</v>
      </c>
      <c r="AP53" s="52">
        <f t="shared" si="36"/>
        <v>12.55</v>
      </c>
      <c r="AQ53" s="42">
        <f t="shared" si="37"/>
        <v>0</v>
      </c>
      <c r="AR53" s="46"/>
      <c r="AS53" s="46"/>
      <c r="AT53" s="50" t="str">
        <f t="shared" si="38"/>
        <v/>
      </c>
      <c r="AU53" s="50">
        <f t="shared" si="28"/>
        <v>88</v>
      </c>
      <c r="AV53" s="50" t="str">
        <f t="shared" si="39"/>
        <v/>
      </c>
      <c r="AW53" s="54" t="str">
        <f t="shared" si="40"/>
        <v/>
      </c>
    </row>
    <row r="54" spans="1:49" x14ac:dyDescent="0.25">
      <c r="A54" s="33" t="s">
        <v>63</v>
      </c>
      <c r="B54" s="33" t="s">
        <v>84</v>
      </c>
      <c r="C54" s="33" t="s">
        <v>94</v>
      </c>
      <c r="D54" s="33" t="s">
        <v>126</v>
      </c>
      <c r="E54" s="34">
        <f>COUNTIF('Detalle por artículo'!$K$8:$K$592,D54)</f>
        <v>3</v>
      </c>
      <c r="F54" s="35">
        <f t="shared" si="2"/>
        <v>119.39903846153845</v>
      </c>
      <c r="G54" s="36">
        <f>SUMIF('Detalle por artículo'!$K$8:$K$592,$D54,'Detalle por artículo'!$E$8:$E$592)</f>
        <v>12.48</v>
      </c>
      <c r="H54" s="35">
        <f t="shared" si="3"/>
        <v>9</v>
      </c>
      <c r="I54" s="35">
        <f t="shared" si="4"/>
        <v>17</v>
      </c>
      <c r="J54" s="35">
        <f t="shared" si="5"/>
        <v>33</v>
      </c>
      <c r="K54" s="37">
        <f t="shared" si="6"/>
        <v>0.44571428571428573</v>
      </c>
      <c r="L54" s="36">
        <f>SUMIF('Detalle por artículo'!$K$8:$K$592,$D54,'Detalle por artículo'!$O$8:$O$592)</f>
        <v>1490.1</v>
      </c>
      <c r="M54" s="38">
        <f>SUMIF('Detalle por artículo'!$K$8:$K$592,$D54,'Detalle por artículo'!$I$8:$I$592)</f>
        <v>2476</v>
      </c>
      <c r="N54" s="38">
        <f>SUMIF('Detalle por artículo'!$K$8:$K$592,$D54,'Detalle por artículo'!$M$8:$M$592)</f>
        <v>130</v>
      </c>
      <c r="O54" s="39">
        <f t="shared" si="7"/>
        <v>5.040387722132472</v>
      </c>
      <c r="P54" s="40">
        <f t="shared" si="8"/>
        <v>601.81744749596123</v>
      </c>
      <c r="Q54" s="41">
        <f t="shared" si="9"/>
        <v>0.2</v>
      </c>
      <c r="R54" s="40">
        <f t="shared" si="10"/>
        <v>14.975999999999999</v>
      </c>
      <c r="S54" s="42">
        <f>IFERROR(SUM($G$8:G54)/$G$6,0)</f>
        <v>0.51168560562771914</v>
      </c>
      <c r="T54" s="43" t="str">
        <f t="shared" si="11"/>
        <v>B</v>
      </c>
      <c r="U54" s="44">
        <v>2483</v>
      </c>
      <c r="V54" s="45">
        <f t="shared" si="31"/>
        <v>7</v>
      </c>
      <c r="W54" s="46">
        <v>46234</v>
      </c>
      <c r="X54" s="46">
        <v>46234</v>
      </c>
      <c r="Y54" s="47">
        <v>6</v>
      </c>
      <c r="Z54" s="48">
        <f t="shared" si="13"/>
        <v>3.0242326332794833E-2</v>
      </c>
      <c r="AA54" s="49">
        <f t="shared" si="14"/>
        <v>1.0800830833141012E-3</v>
      </c>
      <c r="AB54" s="44">
        <v>1765</v>
      </c>
      <c r="AC54" s="44">
        <f t="shared" si="15"/>
        <v>573</v>
      </c>
      <c r="AD54" s="44">
        <f t="shared" si="16"/>
        <v>1171</v>
      </c>
      <c r="AE54" s="50">
        <f t="shared" si="17"/>
        <v>49</v>
      </c>
      <c r="AF54" s="41">
        <f t="shared" si="18"/>
        <v>0.98</v>
      </c>
      <c r="AG54" s="44">
        <v>3</v>
      </c>
      <c r="AH54" s="44">
        <v>21</v>
      </c>
      <c r="AI54" s="42">
        <f t="shared" si="32"/>
        <v>0.23142164781906299</v>
      </c>
      <c r="AJ54" s="42">
        <f t="shared" si="33"/>
        <v>0.47294022617124393</v>
      </c>
      <c r="AK54" s="40">
        <f t="shared" si="21"/>
        <v>2.8881421647819066</v>
      </c>
      <c r="AL54" s="51">
        <v>718</v>
      </c>
      <c r="AM54" s="52">
        <f t="shared" si="22"/>
        <v>3.6189983844911149</v>
      </c>
      <c r="AN54" s="42">
        <f t="shared" si="34"/>
        <v>0.28916633105114781</v>
      </c>
      <c r="AO54" s="53">
        <f t="shared" si="35"/>
        <v>711</v>
      </c>
      <c r="AP54" s="52">
        <f t="shared" si="36"/>
        <v>3.5837156704361877</v>
      </c>
      <c r="AQ54" s="42">
        <f t="shared" si="37"/>
        <v>0.70436187399030692</v>
      </c>
      <c r="AR54" s="46">
        <v>46254</v>
      </c>
      <c r="AS54" s="46">
        <v>46255</v>
      </c>
      <c r="AT54" s="50">
        <f t="shared" si="38"/>
        <v>21</v>
      </c>
      <c r="AU54" s="50">
        <f t="shared" si="28"/>
        <v>31</v>
      </c>
      <c r="AV54" s="50">
        <f t="shared" si="39"/>
        <v>15</v>
      </c>
      <c r="AW54" s="54">
        <f t="shared" si="40"/>
        <v>16</v>
      </c>
    </row>
    <row r="55" spans="1:49" x14ac:dyDescent="0.25">
      <c r="A55" s="33" t="s">
        <v>63</v>
      </c>
      <c r="B55" s="33" t="s">
        <v>64</v>
      </c>
      <c r="C55" s="33" t="s">
        <v>66</v>
      </c>
      <c r="D55" s="33" t="s">
        <v>127</v>
      </c>
      <c r="E55" s="34">
        <f>COUNTIF('Detalle por artículo'!$K$8:$K$592,D55)</f>
        <v>3</v>
      </c>
      <c r="F55" s="35">
        <f t="shared" si="2"/>
        <v>147.11100260416666</v>
      </c>
      <c r="G55" s="36">
        <f>SUMIF('Detalle por artículo'!$K$8:$K$592,$D55,'Detalle por artículo'!$E$8:$E$592)</f>
        <v>12.288</v>
      </c>
      <c r="H55" s="35">
        <f t="shared" si="3"/>
        <v>8</v>
      </c>
      <c r="I55" s="35">
        <f t="shared" si="4"/>
        <v>16</v>
      </c>
      <c r="J55" s="35">
        <f t="shared" si="5"/>
        <v>32</v>
      </c>
      <c r="K55" s="37">
        <f t="shared" si="6"/>
        <v>0.43885714285714289</v>
      </c>
      <c r="L55" s="36">
        <f>SUMIF('Detalle por artículo'!$K$8:$K$592,$D55,'Detalle por artículo'!$O$8:$O$592)</f>
        <v>1807.7</v>
      </c>
      <c r="M55" s="38">
        <f>SUMIF('Detalle por artículo'!$K$8:$K$592,$D55,'Detalle por artículo'!$I$8:$I$592)</f>
        <v>2447</v>
      </c>
      <c r="N55" s="38">
        <f>SUMIF('Detalle por artículo'!$K$8:$K$592,$D55,'Detalle por artículo'!$M$8:$M$592)</f>
        <v>128</v>
      </c>
      <c r="O55" s="39">
        <f t="shared" si="7"/>
        <v>5.0216591744993879</v>
      </c>
      <c r="P55" s="40">
        <f t="shared" si="8"/>
        <v>738.74131589701676</v>
      </c>
      <c r="Q55" s="41">
        <f t="shared" si="9"/>
        <v>0.15</v>
      </c>
      <c r="R55" s="40">
        <f t="shared" si="10"/>
        <v>14.1312</v>
      </c>
      <c r="S55" s="42">
        <f>IFERROR(SUM($G$8:G55)/$G$6,0)</f>
        <v>0.51620100063328367</v>
      </c>
      <c r="T55" s="43" t="str">
        <f t="shared" si="11"/>
        <v>B</v>
      </c>
      <c r="U55" s="44">
        <v>2439</v>
      </c>
      <c r="V55" s="45">
        <f t="shared" si="31"/>
        <v>-8</v>
      </c>
      <c r="W55" s="46">
        <v>46281</v>
      </c>
      <c r="X55" s="46">
        <v>46316</v>
      </c>
      <c r="Y55" s="47">
        <v>8</v>
      </c>
      <c r="Z55" s="48">
        <f t="shared" si="13"/>
        <v>4.01732733959951E-2</v>
      </c>
      <c r="AA55" s="49">
        <f t="shared" si="14"/>
        <v>1.4347597641426822E-3</v>
      </c>
      <c r="AB55" s="44">
        <v>1109</v>
      </c>
      <c r="AC55" s="44">
        <f t="shared" si="15"/>
        <v>1060</v>
      </c>
      <c r="AD55" s="44">
        <f t="shared" si="16"/>
        <v>48</v>
      </c>
      <c r="AE55" s="50">
        <f t="shared" si="17"/>
        <v>48</v>
      </c>
      <c r="AF55" s="41">
        <f t="shared" si="18"/>
        <v>0.96</v>
      </c>
      <c r="AG55" s="44">
        <v>1</v>
      </c>
      <c r="AH55" s="44">
        <v>0</v>
      </c>
      <c r="AI55" s="42">
        <f t="shared" si="32"/>
        <v>0.43318348998774009</v>
      </c>
      <c r="AJ55" s="42">
        <f t="shared" si="33"/>
        <v>1.9615856150388231E-2</v>
      </c>
      <c r="AK55" s="40">
        <f t="shared" si="21"/>
        <v>5.3229587249693511</v>
      </c>
      <c r="AL55" s="51">
        <v>1330</v>
      </c>
      <c r="AM55" s="52">
        <f t="shared" si="22"/>
        <v>6.6788067020841861</v>
      </c>
      <c r="AN55" s="42">
        <f t="shared" si="34"/>
        <v>0.5453054530545306</v>
      </c>
      <c r="AO55" s="53">
        <f t="shared" si="35"/>
        <v>1338</v>
      </c>
      <c r="AP55" s="52">
        <f t="shared" si="36"/>
        <v>6.7189799754801802</v>
      </c>
      <c r="AQ55" s="42">
        <f t="shared" si="37"/>
        <v>0.45279934613812833</v>
      </c>
      <c r="AR55" s="46">
        <v>46281</v>
      </c>
      <c r="AS55" s="46">
        <v>46283</v>
      </c>
      <c r="AT55" s="50">
        <f t="shared" si="38"/>
        <v>2</v>
      </c>
      <c r="AU55" s="50">
        <f t="shared" si="28"/>
        <v>32</v>
      </c>
      <c r="AV55" s="50">
        <f t="shared" si="39"/>
        <v>56</v>
      </c>
      <c r="AW55" s="54">
        <f t="shared" si="40"/>
        <v>-24</v>
      </c>
    </row>
    <row r="56" spans="1:49" x14ac:dyDescent="0.25">
      <c r="A56" s="33" t="s">
        <v>63</v>
      </c>
      <c r="B56" s="33" t="s">
        <v>110</v>
      </c>
      <c r="C56" s="33" t="s">
        <v>100</v>
      </c>
      <c r="D56" s="33" t="s">
        <v>128</v>
      </c>
      <c r="E56" s="34">
        <f>COUNTIF('Detalle por artículo'!$K$8:$K$592,D56)</f>
        <v>2</v>
      </c>
      <c r="F56" s="35">
        <f t="shared" si="2"/>
        <v>139.11210317460316</v>
      </c>
      <c r="G56" s="36">
        <f>SUMIF('Detalle por artículo'!$K$8:$K$592,$D56,'Detalle por artículo'!$E$8:$E$592)</f>
        <v>12.096</v>
      </c>
      <c r="H56" s="35">
        <f t="shared" si="3"/>
        <v>8</v>
      </c>
      <c r="I56" s="35">
        <f t="shared" si="4"/>
        <v>16</v>
      </c>
      <c r="J56" s="35">
        <f t="shared" si="5"/>
        <v>32</v>
      </c>
      <c r="K56" s="37">
        <f t="shared" si="6"/>
        <v>0.432</v>
      </c>
      <c r="L56" s="36">
        <f>SUMIF('Detalle por artículo'!$K$8:$K$592,$D56,'Detalle por artículo'!$O$8:$O$592)</f>
        <v>1682.7</v>
      </c>
      <c r="M56" s="38">
        <f>SUMIF('Detalle por artículo'!$K$8:$K$592,$D56,'Detalle por artículo'!$I$8:$I$592)</f>
        <v>2772</v>
      </c>
      <c r="N56" s="38">
        <f>SUMIF('Detalle por artículo'!$K$8:$K$592,$D56,'Detalle por artículo'!$M$8:$M$592)</f>
        <v>126</v>
      </c>
      <c r="O56" s="39">
        <f t="shared" si="7"/>
        <v>4.3636363636363642</v>
      </c>
      <c r="P56" s="40">
        <f t="shared" si="8"/>
        <v>607.03463203463207</v>
      </c>
      <c r="Q56" s="41">
        <f t="shared" si="9"/>
        <v>0.15</v>
      </c>
      <c r="R56" s="40">
        <f t="shared" si="10"/>
        <v>13.910399999999999</v>
      </c>
      <c r="S56" s="42">
        <f>IFERROR(SUM($G$8:G56)/$G$6,0)</f>
        <v>0.52064584259188618</v>
      </c>
      <c r="T56" s="43" t="str">
        <f t="shared" si="11"/>
        <v>B</v>
      </c>
      <c r="U56" s="44">
        <v>2776</v>
      </c>
      <c r="V56" s="45">
        <f t="shared" si="31"/>
        <v>4</v>
      </c>
      <c r="W56" s="46">
        <v>46238</v>
      </c>
      <c r="X56" s="46">
        <v>46289</v>
      </c>
      <c r="Y56" s="47">
        <v>0</v>
      </c>
      <c r="Z56" s="48">
        <f t="shared" si="13"/>
        <v>0</v>
      </c>
      <c r="AA56" s="49">
        <f t="shared" si="14"/>
        <v>0</v>
      </c>
      <c r="AB56" s="44">
        <v>721</v>
      </c>
      <c r="AC56" s="44">
        <f t="shared" si="15"/>
        <v>474</v>
      </c>
      <c r="AD56" s="44">
        <f t="shared" si="16"/>
        <v>247</v>
      </c>
      <c r="AE56" s="50">
        <f t="shared" si="17"/>
        <v>32</v>
      </c>
      <c r="AF56" s="41">
        <f t="shared" si="18"/>
        <v>0.64</v>
      </c>
      <c r="AG56" s="44">
        <v>3</v>
      </c>
      <c r="AH56" s="44">
        <v>0</v>
      </c>
      <c r="AI56" s="42">
        <f t="shared" si="32"/>
        <v>0.17099567099567101</v>
      </c>
      <c r="AJ56" s="42">
        <f t="shared" si="33"/>
        <v>8.9105339105339104E-2</v>
      </c>
      <c r="AK56" s="40">
        <f t="shared" si="21"/>
        <v>2.0683636363636366</v>
      </c>
      <c r="AL56" s="51">
        <v>2055</v>
      </c>
      <c r="AM56" s="52">
        <f t="shared" si="22"/>
        <v>8.9672727272727286</v>
      </c>
      <c r="AN56" s="42">
        <f t="shared" si="34"/>
        <v>0.74027377521613835</v>
      </c>
      <c r="AO56" s="53">
        <f t="shared" si="35"/>
        <v>2051</v>
      </c>
      <c r="AP56" s="52">
        <f t="shared" si="36"/>
        <v>8.9498181818181841</v>
      </c>
      <c r="AQ56" s="42">
        <f t="shared" si="37"/>
        <v>0.26010101010101011</v>
      </c>
      <c r="AR56" s="46">
        <v>46285</v>
      </c>
      <c r="AS56" s="46">
        <v>46286</v>
      </c>
      <c r="AT56" s="50">
        <f t="shared" si="38"/>
        <v>48</v>
      </c>
      <c r="AU56" s="50">
        <f t="shared" si="28"/>
        <v>26</v>
      </c>
      <c r="AV56" s="50">
        <f t="shared" si="39"/>
        <v>115</v>
      </c>
      <c r="AW56" s="54">
        <f t="shared" si="40"/>
        <v>-89</v>
      </c>
    </row>
    <row r="57" spans="1:49" x14ac:dyDescent="0.25">
      <c r="A57" s="33" t="s">
        <v>63</v>
      </c>
      <c r="B57" s="33" t="s">
        <v>64</v>
      </c>
      <c r="C57" s="33" t="s">
        <v>66</v>
      </c>
      <c r="D57" s="33" t="s">
        <v>129</v>
      </c>
      <c r="E57" s="34">
        <f>COUNTIF('Detalle por artículo'!$K$8:$K$592,D57)</f>
        <v>1</v>
      </c>
      <c r="F57" s="35">
        <f t="shared" si="2"/>
        <v>152.77500000000001</v>
      </c>
      <c r="G57" s="36">
        <f>SUMIF('Detalle por artículo'!$K$8:$K$592,$D57,'Detalle por artículo'!$E$8:$E$592)</f>
        <v>12</v>
      </c>
      <c r="H57" s="35">
        <f t="shared" si="3"/>
        <v>8</v>
      </c>
      <c r="I57" s="35">
        <f t="shared" si="4"/>
        <v>16</v>
      </c>
      <c r="J57" s="35">
        <f t="shared" si="5"/>
        <v>32</v>
      </c>
      <c r="K57" s="37">
        <f t="shared" si="6"/>
        <v>0.42857142857142855</v>
      </c>
      <c r="L57" s="36">
        <f>SUMIF('Detalle por artículo'!$K$8:$K$592,$D57,'Detalle por artículo'!$O$8:$O$592)</f>
        <v>1833.3</v>
      </c>
      <c r="M57" s="38">
        <f>SUMIF('Detalle por artículo'!$K$8:$K$592,$D57,'Detalle por artículo'!$I$8:$I$592)</f>
        <v>1491</v>
      </c>
      <c r="N57" s="38">
        <f>SUMIF('Detalle por artículo'!$K$8:$K$592,$D57,'Detalle por artículo'!$M$8:$M$592)</f>
        <v>125</v>
      </c>
      <c r="O57" s="39">
        <f t="shared" si="7"/>
        <v>8.0482897384305847</v>
      </c>
      <c r="P57" s="40">
        <f t="shared" si="8"/>
        <v>1229.5774647887324</v>
      </c>
      <c r="Q57" s="41">
        <f t="shared" si="9"/>
        <v>0.15</v>
      </c>
      <c r="R57" s="40">
        <f t="shared" si="10"/>
        <v>13.799999999999999</v>
      </c>
      <c r="S57" s="42">
        <f>IFERROR(SUM($G$8:G57)/$G$6,0)</f>
        <v>0.52505540802700779</v>
      </c>
      <c r="T57" s="43" t="str">
        <f t="shared" si="11"/>
        <v>B</v>
      </c>
      <c r="U57" s="44">
        <v>1491</v>
      </c>
      <c r="V57" s="45">
        <f t="shared" si="31"/>
        <v>0</v>
      </c>
      <c r="W57" s="46">
        <v>46216</v>
      </c>
      <c r="X57" s="46">
        <v>46216</v>
      </c>
      <c r="Y57" s="47">
        <v>0</v>
      </c>
      <c r="Z57" s="48">
        <f t="shared" si="13"/>
        <v>0</v>
      </c>
      <c r="AA57" s="49">
        <f t="shared" si="14"/>
        <v>0</v>
      </c>
      <c r="AB57" s="44">
        <v>1184</v>
      </c>
      <c r="AC57" s="44">
        <f t="shared" si="15"/>
        <v>692</v>
      </c>
      <c r="AD57" s="44">
        <f t="shared" si="16"/>
        <v>451</v>
      </c>
      <c r="AE57" s="50">
        <f t="shared" si="17"/>
        <v>48</v>
      </c>
      <c r="AF57" s="41">
        <f t="shared" si="18"/>
        <v>0.96</v>
      </c>
      <c r="AG57" s="44">
        <v>18</v>
      </c>
      <c r="AH57" s="44">
        <v>23</v>
      </c>
      <c r="AI57" s="42">
        <f t="shared" si="32"/>
        <v>0.46411804158283032</v>
      </c>
      <c r="AJ57" s="42">
        <f t="shared" si="33"/>
        <v>0.30248155600268278</v>
      </c>
      <c r="AK57" s="40">
        <f t="shared" si="21"/>
        <v>5.5694164989939647</v>
      </c>
      <c r="AL57" s="51">
        <v>310</v>
      </c>
      <c r="AM57" s="52">
        <f t="shared" si="22"/>
        <v>2.4949698189134812</v>
      </c>
      <c r="AN57" s="42">
        <f t="shared" si="34"/>
        <v>0.20791415157612342</v>
      </c>
      <c r="AO57" s="53">
        <f t="shared" si="35"/>
        <v>307</v>
      </c>
      <c r="AP57" s="52">
        <f t="shared" si="36"/>
        <v>2.4708249496981893</v>
      </c>
      <c r="AQ57" s="42">
        <f t="shared" si="37"/>
        <v>0.7665995975855131</v>
      </c>
      <c r="AR57" s="46">
        <v>46219</v>
      </c>
      <c r="AS57" s="46">
        <v>46219</v>
      </c>
      <c r="AT57" s="50">
        <f t="shared" si="38"/>
        <v>3</v>
      </c>
      <c r="AU57" s="50">
        <f t="shared" si="28"/>
        <v>99</v>
      </c>
      <c r="AV57" s="50">
        <f t="shared" si="39"/>
        <v>49</v>
      </c>
      <c r="AW57" s="54">
        <f t="shared" si="40"/>
        <v>50</v>
      </c>
    </row>
    <row r="58" spans="1:49" x14ac:dyDescent="0.25">
      <c r="A58" s="33" t="s">
        <v>63</v>
      </c>
      <c r="B58" s="33" t="s">
        <v>64</v>
      </c>
      <c r="C58" s="33" t="s">
        <v>57</v>
      </c>
      <c r="D58" s="33" t="s">
        <v>130</v>
      </c>
      <c r="E58" s="34">
        <f>COUNTIF('Detalle por artículo'!$K$8:$K$592,D58)</f>
        <v>2</v>
      </c>
      <c r="F58" s="35">
        <f t="shared" si="2"/>
        <v>105.23502935257325</v>
      </c>
      <c r="G58" s="36">
        <f>SUMIF('Detalle por artículo'!$K$8:$K$592,$D58,'Detalle por artículo'!$E$8:$E$592)</f>
        <v>11.975099999999999</v>
      </c>
      <c r="H58" s="35">
        <f t="shared" si="3"/>
        <v>8</v>
      </c>
      <c r="I58" s="35">
        <f t="shared" si="4"/>
        <v>16</v>
      </c>
      <c r="J58" s="35">
        <f t="shared" si="5"/>
        <v>32</v>
      </c>
      <c r="K58" s="37">
        <f t="shared" si="6"/>
        <v>0.42768214285714284</v>
      </c>
      <c r="L58" s="36">
        <f>SUMIF('Detalle por artículo'!$K$8:$K$592,$D58,'Detalle por artículo'!$O$8:$O$592)</f>
        <v>1260.1999999999998</v>
      </c>
      <c r="M58" s="38">
        <f>SUMIF('Detalle por artículo'!$K$8:$K$592,$D58,'Detalle por artículo'!$I$8:$I$592)</f>
        <v>1045</v>
      </c>
      <c r="N58" s="38">
        <f>SUMIF('Detalle por artículo'!$K$8:$K$592,$D58,'Detalle por artículo'!$M$8:$M$592)</f>
        <v>54</v>
      </c>
      <c r="O58" s="39">
        <f t="shared" si="7"/>
        <v>11.459425837320573</v>
      </c>
      <c r="P58" s="40">
        <f t="shared" si="8"/>
        <v>1205.9330143540667</v>
      </c>
      <c r="Q58" s="41">
        <f t="shared" si="9"/>
        <v>0.2</v>
      </c>
      <c r="R58" s="40">
        <f t="shared" si="10"/>
        <v>14.370119999999998</v>
      </c>
      <c r="S58" s="42">
        <f>IFERROR(SUM($G$8:G58)/$G$6,0)</f>
        <v>0.52945582361385146</v>
      </c>
      <c r="T58" s="43" t="str">
        <f t="shared" si="11"/>
        <v>B</v>
      </c>
      <c r="U58" s="44">
        <v>1055</v>
      </c>
      <c r="V58" s="45">
        <f t="shared" si="31"/>
        <v>10</v>
      </c>
      <c r="W58" s="46">
        <v>46237</v>
      </c>
      <c r="X58" s="46">
        <v>46262</v>
      </c>
      <c r="Y58" s="47">
        <v>30</v>
      </c>
      <c r="Z58" s="48">
        <f t="shared" si="13"/>
        <v>0.34378277511961719</v>
      </c>
      <c r="AA58" s="49">
        <f t="shared" si="14"/>
        <v>1.2277956254272042E-2</v>
      </c>
      <c r="AB58" s="44">
        <v>496</v>
      </c>
      <c r="AC58" s="44">
        <f t="shared" si="15"/>
        <v>454</v>
      </c>
      <c r="AD58" s="44">
        <f t="shared" si="16"/>
        <v>37</v>
      </c>
      <c r="AE58" s="50">
        <f t="shared" si="17"/>
        <v>47</v>
      </c>
      <c r="AF58" s="41">
        <f t="shared" si="18"/>
        <v>0.94</v>
      </c>
      <c r="AG58" s="44">
        <v>5</v>
      </c>
      <c r="AH58" s="44">
        <v>0</v>
      </c>
      <c r="AI58" s="42">
        <f t="shared" si="32"/>
        <v>0.43444976076555025</v>
      </c>
      <c r="AJ58" s="42">
        <f t="shared" si="33"/>
        <v>3.5406698564593303E-2</v>
      </c>
      <c r="AK58" s="40">
        <f t="shared" si="21"/>
        <v>5.202579330143541</v>
      </c>
      <c r="AL58" s="51">
        <v>558</v>
      </c>
      <c r="AM58" s="52">
        <f t="shared" si="22"/>
        <v>6.3943596172248798</v>
      </c>
      <c r="AN58" s="42">
        <f t="shared" si="34"/>
        <v>0.52890995260663509</v>
      </c>
      <c r="AO58" s="53">
        <f t="shared" si="35"/>
        <v>549</v>
      </c>
      <c r="AP58" s="52">
        <f t="shared" si="36"/>
        <v>6.2912247846889953</v>
      </c>
      <c r="AQ58" s="42">
        <f t="shared" si="37"/>
        <v>0.46985645933014353</v>
      </c>
      <c r="AR58" s="46">
        <v>46268</v>
      </c>
      <c r="AS58" s="46">
        <v>46268</v>
      </c>
      <c r="AT58" s="50">
        <f t="shared" si="38"/>
        <v>31</v>
      </c>
      <c r="AU58" s="50">
        <f t="shared" si="28"/>
        <v>164</v>
      </c>
      <c r="AV58" s="50">
        <f t="shared" si="39"/>
        <v>275</v>
      </c>
      <c r="AW58" s="54">
        <f t="shared" si="40"/>
        <v>-111</v>
      </c>
    </row>
    <row r="59" spans="1:49" x14ac:dyDescent="0.25">
      <c r="A59" s="33" t="s">
        <v>55</v>
      </c>
      <c r="B59" s="33" t="s">
        <v>56</v>
      </c>
      <c r="C59" s="33" t="s">
        <v>57</v>
      </c>
      <c r="D59" s="33" t="s">
        <v>131</v>
      </c>
      <c r="E59" s="34">
        <f>COUNTIF('Detalle por artículo'!$K$8:$K$592,D59)</f>
        <v>2</v>
      </c>
      <c r="F59" s="35">
        <f t="shared" si="2"/>
        <v>142.98899237933955</v>
      </c>
      <c r="G59" s="36">
        <f>SUMIF('Detalle por artículo'!$K$8:$K$592,$D59,'Detalle por artículo'!$E$8:$E$592)</f>
        <v>11.81</v>
      </c>
      <c r="H59" s="35">
        <f t="shared" si="3"/>
        <v>8</v>
      </c>
      <c r="I59" s="35">
        <f t="shared" si="4"/>
        <v>16</v>
      </c>
      <c r="J59" s="35">
        <f t="shared" si="5"/>
        <v>31</v>
      </c>
      <c r="K59" s="37">
        <f t="shared" si="6"/>
        <v>0.42178571428571432</v>
      </c>
      <c r="L59" s="36">
        <f>SUMIF('Detalle por artículo'!$K$8:$K$592,$D59,'Detalle por artículo'!$O$8:$O$592)</f>
        <v>1688.7</v>
      </c>
      <c r="M59" s="38">
        <f>SUMIF('Detalle por artículo'!$K$8:$K$592,$D59,'Detalle por artículo'!$I$8:$I$592)</f>
        <v>1474</v>
      </c>
      <c r="N59" s="38">
        <f>SUMIF('Detalle por artículo'!$K$8:$K$592,$D59,'Detalle por artículo'!$M$8:$M$592)</f>
        <v>123</v>
      </c>
      <c r="O59" s="39">
        <f t="shared" si="7"/>
        <v>8.0122116689280869</v>
      </c>
      <c r="P59" s="40">
        <f t="shared" si="8"/>
        <v>1145.6580732700136</v>
      </c>
      <c r="Q59" s="41">
        <f t="shared" si="9"/>
        <v>0.15</v>
      </c>
      <c r="R59" s="40">
        <f t="shared" si="10"/>
        <v>13.5815</v>
      </c>
      <c r="S59" s="42">
        <f>IFERROR(SUM($G$8:G59)/$G$6,0)</f>
        <v>0.53379557092958363</v>
      </c>
      <c r="T59" s="43" t="str">
        <f t="shared" si="11"/>
        <v>B</v>
      </c>
      <c r="U59" s="44">
        <v>1474</v>
      </c>
      <c r="V59" s="45">
        <f t="shared" si="31"/>
        <v>0</v>
      </c>
      <c r="W59" s="46">
        <v>46289</v>
      </c>
      <c r="X59" s="46">
        <v>46289</v>
      </c>
      <c r="Y59" s="47">
        <v>17</v>
      </c>
      <c r="Z59" s="48">
        <f t="shared" si="13"/>
        <v>0.13620759837177746</v>
      </c>
      <c r="AA59" s="49">
        <f t="shared" si="14"/>
        <v>4.8645570847063377E-3</v>
      </c>
      <c r="AB59" s="44">
        <v>80</v>
      </c>
      <c r="AC59" s="44">
        <f t="shared" si="15"/>
        <v>76</v>
      </c>
      <c r="AD59" s="44">
        <f t="shared" si="16"/>
        <v>0</v>
      </c>
      <c r="AE59" s="50">
        <f t="shared" si="17"/>
        <v>1</v>
      </c>
      <c r="AF59" s="41">
        <f t="shared" si="18"/>
        <v>0.02</v>
      </c>
      <c r="AG59" s="44">
        <v>4</v>
      </c>
      <c r="AH59" s="44">
        <v>0</v>
      </c>
      <c r="AI59" s="42">
        <f t="shared" si="32"/>
        <v>5.1560379918588875E-2</v>
      </c>
      <c r="AJ59" s="42">
        <f t="shared" si="33"/>
        <v>0</v>
      </c>
      <c r="AK59" s="40">
        <f t="shared" si="21"/>
        <v>0.60892808683853461</v>
      </c>
      <c r="AL59" s="51">
        <v>1394</v>
      </c>
      <c r="AM59" s="52">
        <f t="shared" si="22"/>
        <v>11.169023066485753</v>
      </c>
      <c r="AN59" s="42">
        <f t="shared" si="34"/>
        <v>0.94572591587516963</v>
      </c>
      <c r="AO59" s="53">
        <f t="shared" si="35"/>
        <v>1394</v>
      </c>
      <c r="AP59" s="52">
        <f t="shared" si="36"/>
        <v>11.169023066485753</v>
      </c>
      <c r="AQ59" s="42">
        <f t="shared" si="37"/>
        <v>5.1560379918588875E-2</v>
      </c>
      <c r="AR59" s="46">
        <v>46293</v>
      </c>
      <c r="AS59" s="46">
        <v>46294</v>
      </c>
      <c r="AT59" s="50">
        <f t="shared" si="38"/>
        <v>5</v>
      </c>
      <c r="AU59" s="50">
        <f t="shared" si="28"/>
        <v>102</v>
      </c>
      <c r="AV59" s="50">
        <f t="shared" si="39"/>
        <v>391</v>
      </c>
      <c r="AW59" s="54">
        <f t="shared" si="40"/>
        <v>-289</v>
      </c>
    </row>
    <row r="60" spans="1:49" x14ac:dyDescent="0.25">
      <c r="A60" s="33" t="s">
        <v>63</v>
      </c>
      <c r="B60" s="33" t="s">
        <v>102</v>
      </c>
      <c r="C60" s="33" t="s">
        <v>132</v>
      </c>
      <c r="D60" s="33" t="s">
        <v>133</v>
      </c>
      <c r="E60" s="34">
        <f>COUNTIF('Detalle por artículo'!$K$8:$K$592,D60)</f>
        <v>4</v>
      </c>
      <c r="F60" s="35">
        <f t="shared" si="2"/>
        <v>208.03692411924118</v>
      </c>
      <c r="G60" s="36">
        <f>SUMIF('Detalle por artículo'!$K$8:$K$592,$D60,'Detalle por artículo'!$E$8:$E$592)</f>
        <v>11.808000000000002</v>
      </c>
      <c r="H60" s="35">
        <f t="shared" si="3"/>
        <v>8</v>
      </c>
      <c r="I60" s="35">
        <f t="shared" si="4"/>
        <v>16</v>
      </c>
      <c r="J60" s="35">
        <f t="shared" si="5"/>
        <v>31</v>
      </c>
      <c r="K60" s="37">
        <f t="shared" si="6"/>
        <v>0.42171428571428576</v>
      </c>
      <c r="L60" s="36">
        <f>SUMIF('Detalle por artículo'!$K$8:$K$592,$D60,'Detalle por artículo'!$O$8:$O$592)</f>
        <v>2456.5</v>
      </c>
      <c r="M60" s="38">
        <f>SUMIF('Detalle por artículo'!$K$8:$K$592,$D60,'Detalle por artículo'!$I$8:$I$592)</f>
        <v>3672</v>
      </c>
      <c r="N60" s="38">
        <f>SUMIF('Detalle por artículo'!$K$8:$K$592,$D60,'Detalle por artículo'!$M$8:$M$592)</f>
        <v>123</v>
      </c>
      <c r="O60" s="39">
        <f t="shared" si="7"/>
        <v>3.2156862745098045</v>
      </c>
      <c r="P60" s="40">
        <f t="shared" si="8"/>
        <v>668.98148148148152</v>
      </c>
      <c r="Q60" s="41">
        <f t="shared" si="9"/>
        <v>0.1</v>
      </c>
      <c r="R60" s="40">
        <f t="shared" si="10"/>
        <v>12.988800000000003</v>
      </c>
      <c r="S60" s="42">
        <f>IFERROR(SUM($G$8:G60)/$G$6,0)</f>
        <v>0.53813458331774322</v>
      </c>
      <c r="T60" s="43" t="str">
        <f t="shared" si="11"/>
        <v>B</v>
      </c>
      <c r="U60" s="44">
        <v>3672</v>
      </c>
      <c r="V60" s="45">
        <f t="shared" si="31"/>
        <v>0</v>
      </c>
      <c r="W60" s="46">
        <v>46293</v>
      </c>
      <c r="X60" s="46">
        <v>46293</v>
      </c>
      <c r="Y60" s="47">
        <v>0</v>
      </c>
      <c r="Z60" s="48">
        <f t="shared" si="13"/>
        <v>0</v>
      </c>
      <c r="AA60" s="49">
        <f t="shared" si="14"/>
        <v>0</v>
      </c>
      <c r="AB60" s="44">
        <v>0</v>
      </c>
      <c r="AC60" s="44">
        <f t="shared" si="15"/>
        <v>0</v>
      </c>
      <c r="AD60" s="44">
        <f t="shared" si="16"/>
        <v>0</v>
      </c>
      <c r="AE60" s="50">
        <f t="shared" si="17"/>
        <v>0</v>
      </c>
      <c r="AF60" s="41">
        <f t="shared" si="18"/>
        <v>0</v>
      </c>
      <c r="AG60" s="44">
        <v>0</v>
      </c>
      <c r="AH60" s="44">
        <v>0</v>
      </c>
      <c r="AI60" s="42">
        <f t="shared" si="32"/>
        <v>0</v>
      </c>
      <c r="AJ60" s="42">
        <f t="shared" si="33"/>
        <v>0</v>
      </c>
      <c r="AK60" s="40">
        <f t="shared" si="21"/>
        <v>0</v>
      </c>
      <c r="AL60" s="51">
        <v>3672</v>
      </c>
      <c r="AM60" s="52">
        <f t="shared" si="22"/>
        <v>11.808000000000002</v>
      </c>
      <c r="AN60" s="42">
        <f t="shared" si="34"/>
        <v>1</v>
      </c>
      <c r="AO60" s="53">
        <f t="shared" si="35"/>
        <v>3672</v>
      </c>
      <c r="AP60" s="52">
        <f t="shared" si="36"/>
        <v>11.808000000000002</v>
      </c>
      <c r="AQ60" s="42">
        <f t="shared" si="37"/>
        <v>0</v>
      </c>
      <c r="AR60" s="46"/>
      <c r="AS60" s="46"/>
      <c r="AT60" s="50" t="str">
        <f t="shared" si="38"/>
        <v/>
      </c>
      <c r="AU60" s="50">
        <f t="shared" si="28"/>
        <v>18</v>
      </c>
      <c r="AV60" s="50" t="str">
        <f t="shared" si="39"/>
        <v/>
      </c>
      <c r="AW60" s="54" t="str">
        <f t="shared" si="40"/>
        <v/>
      </c>
    </row>
    <row r="61" spans="1:49" x14ac:dyDescent="0.25">
      <c r="A61" s="33" t="s">
        <v>63</v>
      </c>
      <c r="B61" s="33" t="s">
        <v>64</v>
      </c>
      <c r="C61" s="33" t="s">
        <v>57</v>
      </c>
      <c r="D61" s="33" t="s">
        <v>134</v>
      </c>
      <c r="E61" s="34">
        <f>COUNTIF('Detalle por artículo'!$K$8:$K$592,D61)</f>
        <v>2</v>
      </c>
      <c r="F61" s="35">
        <f t="shared" si="2"/>
        <v>93.432203389830519</v>
      </c>
      <c r="G61" s="36">
        <f>SUMIF('Detalle por artículo'!$K$8:$K$592,$D61,'Detalle por artículo'!$E$8:$E$592)</f>
        <v>11.327999999999999</v>
      </c>
      <c r="H61" s="35">
        <f t="shared" si="3"/>
        <v>8</v>
      </c>
      <c r="I61" s="35">
        <f t="shared" si="4"/>
        <v>15</v>
      </c>
      <c r="J61" s="35">
        <f t="shared" si="5"/>
        <v>30</v>
      </c>
      <c r="K61" s="37">
        <f t="shared" si="6"/>
        <v>0.40457142857142853</v>
      </c>
      <c r="L61" s="36">
        <f>SUMIF('Detalle por artículo'!$K$8:$K$592,$D61,'Detalle por artículo'!$O$8:$O$592)</f>
        <v>1058.4000000000001</v>
      </c>
      <c r="M61" s="38">
        <f>SUMIF('Detalle por artículo'!$K$8:$K$592,$D61,'Detalle por artículo'!$I$8:$I$592)</f>
        <v>1646</v>
      </c>
      <c r="N61" s="38">
        <f>SUMIF('Detalle por artículo'!$K$8:$K$592,$D61,'Detalle por artículo'!$M$8:$M$592)</f>
        <v>118</v>
      </c>
      <c r="O61" s="39">
        <f t="shared" si="7"/>
        <v>6.8821385176184684</v>
      </c>
      <c r="P61" s="40">
        <f t="shared" si="8"/>
        <v>643.01336573511549</v>
      </c>
      <c r="Q61" s="41">
        <f t="shared" si="9"/>
        <v>0.2</v>
      </c>
      <c r="R61" s="40">
        <f t="shared" si="10"/>
        <v>13.593599999999999</v>
      </c>
      <c r="S61" s="42">
        <f>IFERROR(SUM($G$8:G61)/$G$6,0)</f>
        <v>0.54229721308849788</v>
      </c>
      <c r="T61" s="43" t="str">
        <f t="shared" si="11"/>
        <v>B</v>
      </c>
      <c r="U61" s="44">
        <v>1646</v>
      </c>
      <c r="V61" s="45">
        <f t="shared" si="31"/>
        <v>0</v>
      </c>
      <c r="W61" s="46">
        <v>46253</v>
      </c>
      <c r="X61" s="46">
        <v>46253</v>
      </c>
      <c r="Y61" s="47">
        <v>0</v>
      </c>
      <c r="Z61" s="48">
        <f t="shared" si="13"/>
        <v>0</v>
      </c>
      <c r="AA61" s="49">
        <f t="shared" si="14"/>
        <v>0</v>
      </c>
      <c r="AB61" s="44">
        <v>903</v>
      </c>
      <c r="AC61" s="44">
        <f t="shared" si="15"/>
        <v>769</v>
      </c>
      <c r="AD61" s="44">
        <f t="shared" si="16"/>
        <v>117</v>
      </c>
      <c r="AE61" s="50">
        <f t="shared" si="17"/>
        <v>48</v>
      </c>
      <c r="AF61" s="41">
        <f t="shared" si="18"/>
        <v>0.96</v>
      </c>
      <c r="AG61" s="44">
        <v>1</v>
      </c>
      <c r="AH61" s="44">
        <v>16</v>
      </c>
      <c r="AI61" s="42">
        <f t="shared" si="32"/>
        <v>0.46719319562575939</v>
      </c>
      <c r="AJ61" s="42">
        <f t="shared" si="33"/>
        <v>7.1081409477521257E-2</v>
      </c>
      <c r="AK61" s="40">
        <f t="shared" si="21"/>
        <v>5.2923645200486025</v>
      </c>
      <c r="AL61" s="51">
        <v>743</v>
      </c>
      <c r="AM61" s="52">
        <f t="shared" si="22"/>
        <v>5.1134289185905217</v>
      </c>
      <c r="AN61" s="42">
        <f t="shared" si="34"/>
        <v>0.4513973268529769</v>
      </c>
      <c r="AO61" s="53">
        <f t="shared" si="35"/>
        <v>743</v>
      </c>
      <c r="AP61" s="52">
        <f t="shared" si="36"/>
        <v>5.1134289185905217</v>
      </c>
      <c r="AQ61" s="42">
        <f t="shared" si="37"/>
        <v>0.53827460510328073</v>
      </c>
      <c r="AR61" s="46">
        <v>46260</v>
      </c>
      <c r="AS61" s="46">
        <v>46260</v>
      </c>
      <c r="AT61" s="50">
        <f t="shared" si="38"/>
        <v>7</v>
      </c>
      <c r="AU61" s="50">
        <f t="shared" si="28"/>
        <v>73</v>
      </c>
      <c r="AV61" s="50">
        <f t="shared" si="39"/>
        <v>80</v>
      </c>
      <c r="AW61" s="54">
        <f t="shared" si="40"/>
        <v>-7</v>
      </c>
    </row>
    <row r="62" spans="1:49" x14ac:dyDescent="0.25">
      <c r="A62" s="33" t="s">
        <v>63</v>
      </c>
      <c r="B62" s="33" t="s">
        <v>110</v>
      </c>
      <c r="C62" s="33" t="s">
        <v>111</v>
      </c>
      <c r="D62" s="33" t="s">
        <v>135</v>
      </c>
      <c r="E62" s="34">
        <f>COUNTIF('Detalle por artículo'!$K$8:$K$592,D62)</f>
        <v>1</v>
      </c>
      <c r="F62" s="35">
        <f t="shared" si="2"/>
        <v>164.36493738819323</v>
      </c>
      <c r="G62" s="36">
        <f>SUMIF('Detalle por artículo'!$K$8:$K$592,$D62,'Detalle por artículo'!$E$8:$E$592)</f>
        <v>11.18</v>
      </c>
      <c r="H62" s="35">
        <f t="shared" si="3"/>
        <v>8</v>
      </c>
      <c r="I62" s="35">
        <f t="shared" si="4"/>
        <v>15</v>
      </c>
      <c r="J62" s="35">
        <f t="shared" si="5"/>
        <v>30</v>
      </c>
      <c r="K62" s="37">
        <f t="shared" si="6"/>
        <v>0.3992857142857143</v>
      </c>
      <c r="L62" s="36">
        <f>SUMIF('Detalle por artículo'!$K$8:$K$592,$D62,'Detalle por artículo'!$O$8:$O$592)</f>
        <v>1837.6000000000001</v>
      </c>
      <c r="M62" s="38">
        <f>SUMIF('Detalle por artículo'!$K$8:$K$592,$D62,'Detalle por artículo'!$I$8:$I$592)</f>
        <v>2393</v>
      </c>
      <c r="N62" s="38">
        <f>SUMIF('Detalle por artículo'!$K$8:$K$592,$D62,'Detalle por artículo'!$M$8:$M$592)</f>
        <v>109</v>
      </c>
      <c r="O62" s="39">
        <f t="shared" si="7"/>
        <v>4.6719598829920601</v>
      </c>
      <c r="P62" s="40">
        <f t="shared" si="8"/>
        <v>767.90639364814047</v>
      </c>
      <c r="Q62" s="41">
        <f t="shared" si="9"/>
        <v>0.15</v>
      </c>
      <c r="R62" s="40">
        <f t="shared" si="10"/>
        <v>12.856999999999999</v>
      </c>
      <c r="S62" s="42">
        <f>IFERROR(SUM($G$8:G62)/$G$6,0)</f>
        <v>0.5464054582188862</v>
      </c>
      <c r="T62" s="43" t="str">
        <f t="shared" si="11"/>
        <v>B</v>
      </c>
      <c r="U62" s="44">
        <v>2372</v>
      </c>
      <c r="V62" s="45">
        <f t="shared" si="31"/>
        <v>-21</v>
      </c>
      <c r="W62" s="46">
        <v>46289</v>
      </c>
      <c r="X62" s="46">
        <v>46289</v>
      </c>
      <c r="Y62" s="47">
        <v>40</v>
      </c>
      <c r="Z62" s="48">
        <f t="shared" si="13"/>
        <v>0.18687839531968239</v>
      </c>
      <c r="AA62" s="49">
        <f t="shared" si="14"/>
        <v>6.6742284042743709E-3</v>
      </c>
      <c r="AB62" s="44">
        <v>615</v>
      </c>
      <c r="AC62" s="44">
        <f t="shared" si="15"/>
        <v>480</v>
      </c>
      <c r="AD62" s="44">
        <f t="shared" si="16"/>
        <v>139</v>
      </c>
      <c r="AE62" s="50">
        <f t="shared" si="17"/>
        <v>31</v>
      </c>
      <c r="AF62" s="41">
        <f t="shared" si="18"/>
        <v>0.62</v>
      </c>
      <c r="AG62" s="44">
        <v>2</v>
      </c>
      <c r="AH62" s="44">
        <v>0</v>
      </c>
      <c r="AI62" s="42">
        <f t="shared" si="32"/>
        <v>0.20058503969912245</v>
      </c>
      <c r="AJ62" s="42">
        <f t="shared" si="33"/>
        <v>5.8086084412870873E-2</v>
      </c>
      <c r="AK62" s="40">
        <f t="shared" si="21"/>
        <v>2.2425407438361891</v>
      </c>
      <c r="AL62" s="51">
        <v>1757</v>
      </c>
      <c r="AM62" s="52">
        <f t="shared" si="22"/>
        <v>8.2086335144170501</v>
      </c>
      <c r="AN62" s="42">
        <f t="shared" si="34"/>
        <v>0.74072512647554811</v>
      </c>
      <c r="AO62" s="53">
        <f t="shared" si="35"/>
        <v>1778</v>
      </c>
      <c r="AP62" s="52">
        <f t="shared" si="36"/>
        <v>8.3067446719598834</v>
      </c>
      <c r="AQ62" s="42">
        <f t="shared" si="37"/>
        <v>0.25867112411199333</v>
      </c>
      <c r="AR62" s="46">
        <v>46292</v>
      </c>
      <c r="AS62" s="46">
        <v>46293</v>
      </c>
      <c r="AT62" s="50">
        <f t="shared" si="38"/>
        <v>4</v>
      </c>
      <c r="AU62" s="50">
        <f t="shared" si="28"/>
        <v>35</v>
      </c>
      <c r="AV62" s="50">
        <f t="shared" si="39"/>
        <v>178</v>
      </c>
      <c r="AW62" s="54">
        <f t="shared" si="40"/>
        <v>-143</v>
      </c>
    </row>
    <row r="63" spans="1:49" x14ac:dyDescent="0.25">
      <c r="A63" s="33" t="s">
        <v>63</v>
      </c>
      <c r="B63" s="33" t="s">
        <v>64</v>
      </c>
      <c r="C63" s="33" t="s">
        <v>66</v>
      </c>
      <c r="D63" s="33" t="s">
        <v>136</v>
      </c>
      <c r="E63" s="34">
        <f>COUNTIF('Detalle por artículo'!$K$8:$K$592,D63)</f>
        <v>2</v>
      </c>
      <c r="F63" s="35">
        <f t="shared" si="2"/>
        <v>207.75462962962965</v>
      </c>
      <c r="G63" s="36">
        <f>SUMIF('Detalle por artículo'!$K$8:$K$592,$D63,'Detalle por artículo'!$E$8:$E$592)</f>
        <v>10.886399999999998</v>
      </c>
      <c r="H63" s="35">
        <f t="shared" si="3"/>
        <v>8</v>
      </c>
      <c r="I63" s="35">
        <f t="shared" si="4"/>
        <v>15</v>
      </c>
      <c r="J63" s="35">
        <f t="shared" si="5"/>
        <v>29</v>
      </c>
      <c r="K63" s="37">
        <f t="shared" si="6"/>
        <v>0.38879999999999992</v>
      </c>
      <c r="L63" s="36">
        <f>SUMIF('Detalle por artículo'!$K$8:$K$592,$D63,'Detalle por artículo'!$O$8:$O$592)</f>
        <v>2261.6999999999998</v>
      </c>
      <c r="M63" s="38">
        <f>SUMIF('Detalle por artículo'!$K$8:$K$592,$D63,'Detalle por artículo'!$I$8:$I$592)</f>
        <v>1731</v>
      </c>
      <c r="N63" s="38">
        <f>SUMIF('Detalle por artículo'!$K$8:$K$592,$D63,'Detalle por artículo'!$M$8:$M$592)</f>
        <v>90</v>
      </c>
      <c r="O63" s="39">
        <f t="shared" si="7"/>
        <v>6.2890814558058912</v>
      </c>
      <c r="P63" s="40">
        <f t="shared" si="8"/>
        <v>1306.5857885615251</v>
      </c>
      <c r="Q63" s="41">
        <f t="shared" si="9"/>
        <v>0.1</v>
      </c>
      <c r="R63" s="40">
        <f t="shared" si="10"/>
        <v>11.97504</v>
      </c>
      <c r="S63" s="42">
        <f>IFERROR(SUM($G$8:G63)/$G$6,0)</f>
        <v>0.55040581598162852</v>
      </c>
      <c r="T63" s="43" t="str">
        <f t="shared" si="11"/>
        <v>B</v>
      </c>
      <c r="U63" s="44">
        <v>1729</v>
      </c>
      <c r="V63" s="45">
        <f t="shared" si="31"/>
        <v>-2</v>
      </c>
      <c r="W63" s="46">
        <v>46237</v>
      </c>
      <c r="X63" s="46">
        <v>46237</v>
      </c>
      <c r="Y63" s="47">
        <v>21</v>
      </c>
      <c r="Z63" s="48">
        <f t="shared" si="13"/>
        <v>0.13207071057192371</v>
      </c>
      <c r="AA63" s="49">
        <f t="shared" si="14"/>
        <v>4.7168110918544186E-3</v>
      </c>
      <c r="AB63" s="44">
        <v>1540</v>
      </c>
      <c r="AC63" s="44">
        <f t="shared" si="15"/>
        <v>927</v>
      </c>
      <c r="AD63" s="44">
        <f t="shared" si="16"/>
        <v>589</v>
      </c>
      <c r="AE63" s="50">
        <f t="shared" si="17"/>
        <v>48</v>
      </c>
      <c r="AF63" s="41">
        <f t="shared" si="18"/>
        <v>0.96</v>
      </c>
      <c r="AG63" s="44">
        <v>7</v>
      </c>
      <c r="AH63" s="44">
        <v>17</v>
      </c>
      <c r="AI63" s="42">
        <f t="shared" si="32"/>
        <v>0.53552859618717508</v>
      </c>
      <c r="AJ63" s="42">
        <f t="shared" si="33"/>
        <v>0.34026574234546503</v>
      </c>
      <c r="AK63" s="40">
        <f t="shared" si="21"/>
        <v>5.8299785095320615</v>
      </c>
      <c r="AL63" s="51">
        <v>189</v>
      </c>
      <c r="AM63" s="52">
        <f t="shared" si="22"/>
        <v>1.1886363951473133</v>
      </c>
      <c r="AN63" s="42">
        <f t="shared" si="34"/>
        <v>0.10931174089068826</v>
      </c>
      <c r="AO63" s="53">
        <f t="shared" si="35"/>
        <v>191</v>
      </c>
      <c r="AP63" s="52">
        <f t="shared" si="36"/>
        <v>1.2012145580589251</v>
      </c>
      <c r="AQ63" s="42">
        <f t="shared" si="37"/>
        <v>0.8757943385326401</v>
      </c>
      <c r="AR63" s="46">
        <v>46257</v>
      </c>
      <c r="AS63" s="46">
        <v>46258</v>
      </c>
      <c r="AT63" s="50">
        <f t="shared" si="38"/>
        <v>21</v>
      </c>
      <c r="AU63" s="50">
        <f t="shared" si="28"/>
        <v>63</v>
      </c>
      <c r="AV63" s="50">
        <f t="shared" si="39"/>
        <v>23</v>
      </c>
      <c r="AW63" s="54">
        <f t="shared" si="40"/>
        <v>40</v>
      </c>
    </row>
    <row r="64" spans="1:49" x14ac:dyDescent="0.25">
      <c r="A64" s="33" t="s">
        <v>63</v>
      </c>
      <c r="B64" s="33" t="s">
        <v>64</v>
      </c>
      <c r="C64" s="33" t="s">
        <v>66</v>
      </c>
      <c r="D64" s="33" t="s">
        <v>137</v>
      </c>
      <c r="E64" s="34">
        <f>COUNTIF('Detalle por artículo'!$K$8:$K$592,D64)</f>
        <v>2</v>
      </c>
      <c r="F64" s="35">
        <f t="shared" si="2"/>
        <v>124.79571984435795</v>
      </c>
      <c r="G64" s="36">
        <f>SUMIF('Detalle por artículo'!$K$8:$K$592,$D64,'Detalle por artículo'!$E$8:$E$592)</f>
        <v>10.280000000000001</v>
      </c>
      <c r="H64" s="35">
        <f t="shared" si="3"/>
        <v>7</v>
      </c>
      <c r="I64" s="35">
        <f t="shared" si="4"/>
        <v>14</v>
      </c>
      <c r="J64" s="35">
        <f t="shared" si="5"/>
        <v>27</v>
      </c>
      <c r="K64" s="37">
        <f t="shared" si="6"/>
        <v>0.36714285714285716</v>
      </c>
      <c r="L64" s="36">
        <f>SUMIF('Detalle por artículo'!$K$8:$K$592,$D64,'Detalle por artículo'!$O$8:$O$592)</f>
        <v>1282.8999999999999</v>
      </c>
      <c r="M64" s="38">
        <f>SUMIF('Detalle por artículo'!$K$8:$K$592,$D64,'Detalle por artículo'!$I$8:$I$592)</f>
        <v>1810</v>
      </c>
      <c r="N64" s="38">
        <f>SUMIF('Detalle por artículo'!$K$8:$K$592,$D64,'Detalle por artículo'!$M$8:$M$592)</f>
        <v>107</v>
      </c>
      <c r="O64" s="39">
        <f t="shared" si="7"/>
        <v>5.6795580110497239</v>
      </c>
      <c r="P64" s="40">
        <f t="shared" si="8"/>
        <v>708.78453038674024</v>
      </c>
      <c r="Q64" s="41">
        <f t="shared" si="9"/>
        <v>0.15</v>
      </c>
      <c r="R64" s="40">
        <f t="shared" si="10"/>
        <v>11.822000000000001</v>
      </c>
      <c r="S64" s="42">
        <f>IFERROR(SUM($G$8:G64)/$G$6,0)</f>
        <v>0.5541833437043826</v>
      </c>
      <c r="T64" s="43" t="str">
        <f t="shared" si="11"/>
        <v>B</v>
      </c>
      <c r="U64" s="44">
        <v>1810</v>
      </c>
      <c r="V64" s="45">
        <f t="shared" si="31"/>
        <v>0</v>
      </c>
      <c r="W64" s="46">
        <v>46213</v>
      </c>
      <c r="X64" s="46">
        <v>46213</v>
      </c>
      <c r="Y64" s="47">
        <v>0</v>
      </c>
      <c r="Z64" s="48">
        <f t="shared" si="13"/>
        <v>0</v>
      </c>
      <c r="AA64" s="49">
        <f t="shared" si="14"/>
        <v>0</v>
      </c>
      <c r="AB64" s="44">
        <v>1253</v>
      </c>
      <c r="AC64" s="44">
        <f t="shared" si="15"/>
        <v>448</v>
      </c>
      <c r="AD64" s="44">
        <f t="shared" si="16"/>
        <v>788</v>
      </c>
      <c r="AE64" s="50">
        <f t="shared" si="17"/>
        <v>47</v>
      </c>
      <c r="AF64" s="41">
        <f t="shared" si="18"/>
        <v>0.94</v>
      </c>
      <c r="AG64" s="44">
        <v>1</v>
      </c>
      <c r="AH64" s="44">
        <v>16</v>
      </c>
      <c r="AI64" s="42">
        <f t="shared" si="32"/>
        <v>0.24751381215469614</v>
      </c>
      <c r="AJ64" s="42">
        <f t="shared" si="33"/>
        <v>0.43535911602209942</v>
      </c>
      <c r="AK64" s="40">
        <f t="shared" si="21"/>
        <v>2.5444419889502763</v>
      </c>
      <c r="AL64" s="51">
        <v>556</v>
      </c>
      <c r="AM64" s="52">
        <f t="shared" si="22"/>
        <v>3.1578342541436464</v>
      </c>
      <c r="AN64" s="42">
        <f t="shared" si="34"/>
        <v>0.30718232044198895</v>
      </c>
      <c r="AO64" s="53">
        <f t="shared" si="35"/>
        <v>557</v>
      </c>
      <c r="AP64" s="52">
        <f t="shared" si="36"/>
        <v>3.163513812154696</v>
      </c>
      <c r="AQ64" s="42">
        <f t="shared" si="37"/>
        <v>0.68287292817679557</v>
      </c>
      <c r="AR64" s="46">
        <v>46219</v>
      </c>
      <c r="AS64" s="46">
        <v>46219</v>
      </c>
      <c r="AT64" s="50">
        <f t="shared" si="38"/>
        <v>6</v>
      </c>
      <c r="AU64" s="50">
        <f t="shared" si="28"/>
        <v>54</v>
      </c>
      <c r="AV64" s="50">
        <f t="shared" si="39"/>
        <v>43</v>
      </c>
      <c r="AW64" s="54">
        <f t="shared" si="40"/>
        <v>11</v>
      </c>
    </row>
    <row r="65" spans="1:49" x14ac:dyDescent="0.25">
      <c r="A65" s="33" t="s">
        <v>138</v>
      </c>
      <c r="B65" s="33" t="s">
        <v>139</v>
      </c>
      <c r="C65" s="33" t="s">
        <v>122</v>
      </c>
      <c r="D65" s="33" t="s">
        <v>140</v>
      </c>
      <c r="E65" s="34">
        <f>COUNTIF('Detalle por artículo'!$K$8:$K$592,D65)</f>
        <v>2</v>
      </c>
      <c r="F65" s="35">
        <f t="shared" si="2"/>
        <v>98.113207547169793</v>
      </c>
      <c r="G65" s="36">
        <f>SUMIF('Detalle por artículo'!$K$8:$K$592,$D65,'Detalle por artículo'!$E$8:$E$592)</f>
        <v>10.176</v>
      </c>
      <c r="H65" s="35">
        <f t="shared" si="3"/>
        <v>7</v>
      </c>
      <c r="I65" s="35">
        <f t="shared" si="4"/>
        <v>14</v>
      </c>
      <c r="J65" s="35">
        <f t="shared" si="5"/>
        <v>27</v>
      </c>
      <c r="K65" s="37">
        <f t="shared" si="6"/>
        <v>0.36342857142857143</v>
      </c>
      <c r="L65" s="36">
        <f>SUMIF('Detalle por artículo'!$K$8:$K$592,$D65,'Detalle por artículo'!$O$8:$O$592)</f>
        <v>998.39999999999986</v>
      </c>
      <c r="M65" s="38">
        <f>SUMIF('Detalle por artículo'!$K$8:$K$592,$D65,'Detalle por artículo'!$I$8:$I$592)</f>
        <v>1359</v>
      </c>
      <c r="N65" s="38">
        <f>SUMIF('Detalle por artículo'!$K$8:$K$592,$D65,'Detalle por artículo'!$M$8:$M$592)</f>
        <v>106</v>
      </c>
      <c r="O65" s="39">
        <f t="shared" si="7"/>
        <v>7.4878587196468001</v>
      </c>
      <c r="P65" s="40">
        <f t="shared" si="8"/>
        <v>734.6578366445915</v>
      </c>
      <c r="Q65" s="41">
        <f t="shared" si="9"/>
        <v>0.2</v>
      </c>
      <c r="R65" s="40">
        <f t="shared" si="10"/>
        <v>12.2112</v>
      </c>
      <c r="S65" s="42">
        <f>IFERROR(SUM($G$8:G65)/$G$6,0)</f>
        <v>0.5579226551933657</v>
      </c>
      <c r="T65" s="43" t="str">
        <f t="shared" si="11"/>
        <v>B</v>
      </c>
      <c r="U65" s="44">
        <v>1359</v>
      </c>
      <c r="V65" s="45">
        <f t="shared" si="31"/>
        <v>0</v>
      </c>
      <c r="W65" s="46">
        <v>46252</v>
      </c>
      <c r="X65" s="46">
        <v>46252</v>
      </c>
      <c r="Y65" s="47">
        <v>2</v>
      </c>
      <c r="Z65" s="48">
        <f t="shared" si="13"/>
        <v>1.4975717439293599E-2</v>
      </c>
      <c r="AA65" s="49">
        <f t="shared" si="14"/>
        <v>5.3484705140334282E-4</v>
      </c>
      <c r="AB65" s="44">
        <v>485</v>
      </c>
      <c r="AC65" s="44">
        <f t="shared" si="15"/>
        <v>432</v>
      </c>
      <c r="AD65" s="44">
        <f t="shared" si="16"/>
        <v>39</v>
      </c>
      <c r="AE65" s="50">
        <f t="shared" si="17"/>
        <v>32</v>
      </c>
      <c r="AF65" s="41">
        <f t="shared" si="18"/>
        <v>0.64</v>
      </c>
      <c r="AG65" s="44">
        <v>2</v>
      </c>
      <c r="AH65" s="44">
        <v>12</v>
      </c>
      <c r="AI65" s="42">
        <f t="shared" si="32"/>
        <v>0.31788079470198677</v>
      </c>
      <c r="AJ65" s="42">
        <f t="shared" si="33"/>
        <v>2.8697571743929361E-2</v>
      </c>
      <c r="AK65" s="40">
        <f t="shared" si="21"/>
        <v>3.2347549668874178</v>
      </c>
      <c r="AL65" s="51">
        <v>874</v>
      </c>
      <c r="AM65" s="52">
        <f t="shared" si="22"/>
        <v>6.5443885209713031</v>
      </c>
      <c r="AN65" s="42">
        <f t="shared" si="34"/>
        <v>0.64311994113318616</v>
      </c>
      <c r="AO65" s="53">
        <f t="shared" si="35"/>
        <v>874</v>
      </c>
      <c r="AP65" s="52">
        <f t="shared" si="36"/>
        <v>6.5443885209713031</v>
      </c>
      <c r="AQ65" s="42">
        <f t="shared" si="37"/>
        <v>0.34657836644591611</v>
      </c>
      <c r="AR65" s="46">
        <v>46268</v>
      </c>
      <c r="AS65" s="46">
        <v>46269</v>
      </c>
      <c r="AT65" s="50">
        <f t="shared" si="38"/>
        <v>17</v>
      </c>
      <c r="AU65" s="50">
        <f t="shared" si="28"/>
        <v>121</v>
      </c>
      <c r="AV65" s="50">
        <f t="shared" si="39"/>
        <v>280</v>
      </c>
      <c r="AW65" s="54">
        <f t="shared" si="40"/>
        <v>-159</v>
      </c>
    </row>
    <row r="66" spans="1:49" x14ac:dyDescent="0.25">
      <c r="A66" s="33" t="s">
        <v>55</v>
      </c>
      <c r="B66" s="33" t="s">
        <v>56</v>
      </c>
      <c r="C66" s="33" t="s">
        <v>66</v>
      </c>
      <c r="D66" s="33" t="s">
        <v>141</v>
      </c>
      <c r="E66" s="34">
        <f>COUNTIF('Detalle por artículo'!$K$8:$K$592,D66)</f>
        <v>2</v>
      </c>
      <c r="F66" s="35">
        <f t="shared" si="2"/>
        <v>160.10616987179486</v>
      </c>
      <c r="G66" s="36">
        <f>SUMIF('Detalle por artículo'!$K$8:$K$592,$D66,'Detalle por artículo'!$E$8:$E$592)</f>
        <v>9.984</v>
      </c>
      <c r="H66" s="35">
        <f t="shared" si="3"/>
        <v>7</v>
      </c>
      <c r="I66" s="35">
        <f t="shared" si="4"/>
        <v>13</v>
      </c>
      <c r="J66" s="35">
        <f t="shared" si="5"/>
        <v>26</v>
      </c>
      <c r="K66" s="37">
        <f t="shared" si="6"/>
        <v>0.35657142857142859</v>
      </c>
      <c r="L66" s="36">
        <f>SUMIF('Detalle por artículo'!$K$8:$K$592,$D66,'Detalle por artículo'!$O$8:$O$592)</f>
        <v>1598.5</v>
      </c>
      <c r="M66" s="38">
        <f>SUMIF('Detalle por artículo'!$K$8:$K$592,$D66,'Detalle por artículo'!$I$8:$I$592)</f>
        <v>1539</v>
      </c>
      <c r="N66" s="38">
        <f>SUMIF('Detalle por artículo'!$K$8:$K$592,$D66,'Detalle por artículo'!$M$8:$M$592)</f>
        <v>104</v>
      </c>
      <c r="O66" s="39">
        <f t="shared" si="7"/>
        <v>6.4873294346978563</v>
      </c>
      <c r="P66" s="40">
        <f t="shared" si="8"/>
        <v>1038.6614684860299</v>
      </c>
      <c r="Q66" s="41">
        <f t="shared" si="9"/>
        <v>0.15</v>
      </c>
      <c r="R66" s="40">
        <f t="shared" si="10"/>
        <v>11.481599999999998</v>
      </c>
      <c r="S66" s="42">
        <f>IFERROR(SUM($G$8:G66)/$G$6,0)</f>
        <v>0.56159141363538678</v>
      </c>
      <c r="T66" s="43" t="str">
        <f t="shared" si="11"/>
        <v>B</v>
      </c>
      <c r="U66" s="44">
        <v>1539</v>
      </c>
      <c r="V66" s="45">
        <f t="shared" si="31"/>
        <v>0</v>
      </c>
      <c r="W66" s="46">
        <v>46316</v>
      </c>
      <c r="X66" s="46">
        <v>46316</v>
      </c>
      <c r="Y66" s="47">
        <v>1539</v>
      </c>
      <c r="Z66" s="48">
        <f t="shared" si="13"/>
        <v>9.984</v>
      </c>
      <c r="AA66" s="49">
        <f t="shared" si="14"/>
        <v>0.35657142857142859</v>
      </c>
      <c r="AB66" s="44">
        <v>28</v>
      </c>
      <c r="AC66" s="44">
        <f t="shared" si="15"/>
        <v>28</v>
      </c>
      <c r="AD66" s="44">
        <f t="shared" si="16"/>
        <v>0</v>
      </c>
      <c r="AE66" s="50">
        <f t="shared" si="17"/>
        <v>2</v>
      </c>
      <c r="AF66" s="41">
        <f t="shared" si="18"/>
        <v>0.04</v>
      </c>
      <c r="AG66" s="44">
        <v>0</v>
      </c>
      <c r="AH66" s="44">
        <v>0</v>
      </c>
      <c r="AI66" s="42">
        <f t="shared" si="32"/>
        <v>1.8193632228719947E-2</v>
      </c>
      <c r="AJ66" s="42">
        <f t="shared" si="33"/>
        <v>0</v>
      </c>
      <c r="AK66" s="40">
        <f t="shared" si="21"/>
        <v>0.18164522417153997</v>
      </c>
      <c r="AL66" s="51">
        <v>1511</v>
      </c>
      <c r="AM66" s="52">
        <f t="shared" si="22"/>
        <v>9.8023547758284604</v>
      </c>
      <c r="AN66" s="42">
        <f t="shared" si="34"/>
        <v>0.98180636777128005</v>
      </c>
      <c r="AO66" s="53">
        <f t="shared" si="35"/>
        <v>1511</v>
      </c>
      <c r="AP66" s="52">
        <f t="shared" si="36"/>
        <v>9.8023547758284604</v>
      </c>
      <c r="AQ66" s="42">
        <f t="shared" si="37"/>
        <v>1.8193632228719947E-2</v>
      </c>
      <c r="AR66" s="46">
        <v>46317</v>
      </c>
      <c r="AS66" s="46">
        <v>46318</v>
      </c>
      <c r="AT66" s="50">
        <f t="shared" si="38"/>
        <v>2</v>
      </c>
      <c r="AU66" s="50">
        <f t="shared" si="28"/>
        <v>90</v>
      </c>
      <c r="AV66" s="50">
        <f t="shared" si="39"/>
        <v>411</v>
      </c>
      <c r="AW66" s="54">
        <f t="shared" si="40"/>
        <v>-321</v>
      </c>
    </row>
    <row r="67" spans="1:49" x14ac:dyDescent="0.25">
      <c r="A67" s="33" t="s">
        <v>55</v>
      </c>
      <c r="B67" s="33" t="s">
        <v>56</v>
      </c>
      <c r="C67" s="33" t="s">
        <v>57</v>
      </c>
      <c r="D67" s="33" t="s">
        <v>142</v>
      </c>
      <c r="E67" s="34">
        <f>COUNTIF('Detalle por artículo'!$K$8:$K$592,D67)</f>
        <v>1</v>
      </c>
      <c r="F67" s="35">
        <f t="shared" si="2"/>
        <v>95.189950980392155</v>
      </c>
      <c r="G67" s="36">
        <f>SUMIF('Detalle por artículo'!$K$8:$K$592,$D67,'Detalle por artículo'!$E$8:$E$592)</f>
        <v>9.7919999999999998</v>
      </c>
      <c r="H67" s="35">
        <f t="shared" si="3"/>
        <v>7</v>
      </c>
      <c r="I67" s="35">
        <f t="shared" si="4"/>
        <v>13</v>
      </c>
      <c r="J67" s="35">
        <f t="shared" si="5"/>
        <v>26</v>
      </c>
      <c r="K67" s="37">
        <f t="shared" si="6"/>
        <v>0.3497142857142857</v>
      </c>
      <c r="L67" s="36">
        <f>SUMIF('Detalle por artículo'!$K$8:$K$592,$D67,'Detalle por artículo'!$O$8:$O$592)</f>
        <v>932.1</v>
      </c>
      <c r="M67" s="38">
        <f>SUMIF('Detalle por artículo'!$K$8:$K$592,$D67,'Detalle por artículo'!$I$8:$I$592)</f>
        <v>810</v>
      </c>
      <c r="N67" s="38">
        <f>SUMIF('Detalle por artículo'!$K$8:$K$592,$D67,'Detalle por artículo'!$M$8:$M$592)</f>
        <v>102</v>
      </c>
      <c r="O67" s="39">
        <f t="shared" si="7"/>
        <v>12.088888888888889</v>
      </c>
      <c r="P67" s="40">
        <f t="shared" si="8"/>
        <v>1150.7407407407409</v>
      </c>
      <c r="Q67" s="41">
        <f t="shared" si="9"/>
        <v>0.2</v>
      </c>
      <c r="R67" s="40">
        <f t="shared" si="10"/>
        <v>11.750399999999999</v>
      </c>
      <c r="S67" s="42">
        <f>IFERROR(SUM($G$8:G67)/$G$6,0)</f>
        <v>0.56518961903044596</v>
      </c>
      <c r="T67" s="43" t="str">
        <f t="shared" si="11"/>
        <v>B</v>
      </c>
      <c r="U67" s="44">
        <v>809</v>
      </c>
      <c r="V67" s="45">
        <f t="shared" si="31"/>
        <v>-1</v>
      </c>
      <c r="W67" s="46">
        <v>46316</v>
      </c>
      <c r="X67" s="46">
        <v>46316</v>
      </c>
      <c r="Y67" s="47">
        <v>821</v>
      </c>
      <c r="Z67" s="48">
        <f t="shared" si="13"/>
        <v>9.9249777777777783</v>
      </c>
      <c r="AA67" s="49">
        <f t="shared" si="14"/>
        <v>0.35446349206349209</v>
      </c>
      <c r="AB67" s="44">
        <v>0</v>
      </c>
      <c r="AC67" s="44">
        <f t="shared" si="15"/>
        <v>104</v>
      </c>
      <c r="AD67" s="44">
        <f t="shared" si="16"/>
        <v>0</v>
      </c>
      <c r="AE67" s="50">
        <f t="shared" si="17"/>
        <v>17</v>
      </c>
      <c r="AF67" s="41">
        <f t="shared" si="18"/>
        <v>0.34</v>
      </c>
      <c r="AG67" s="44">
        <v>0</v>
      </c>
      <c r="AH67" s="44">
        <v>0</v>
      </c>
      <c r="AI67" s="42">
        <f t="shared" si="32"/>
        <v>0.12839506172839507</v>
      </c>
      <c r="AJ67" s="42">
        <f t="shared" si="33"/>
        <v>0</v>
      </c>
      <c r="AK67" s="40">
        <f t="shared" si="21"/>
        <v>1.2572444444444446</v>
      </c>
      <c r="AL67" s="51">
        <v>809</v>
      </c>
      <c r="AM67" s="52">
        <f t="shared" si="22"/>
        <v>9.7799111111111099</v>
      </c>
      <c r="AN67" s="42">
        <f t="shared" si="34"/>
        <v>1</v>
      </c>
      <c r="AO67" s="53">
        <f t="shared" si="35"/>
        <v>810</v>
      </c>
      <c r="AP67" s="52">
        <f t="shared" si="36"/>
        <v>9.7919999999999998</v>
      </c>
      <c r="AQ67" s="42">
        <f t="shared" si="37"/>
        <v>0.12839506172839507</v>
      </c>
      <c r="AR67" s="46"/>
      <c r="AS67" s="46"/>
      <c r="AT67" s="50" t="str">
        <f t="shared" si="38"/>
        <v/>
      </c>
      <c r="AU67" s="50">
        <f t="shared" si="28"/>
        <v>235</v>
      </c>
      <c r="AV67" s="50" t="str">
        <f t="shared" si="39"/>
        <v/>
      </c>
      <c r="AW67" s="54" t="str">
        <f t="shared" si="40"/>
        <v/>
      </c>
    </row>
    <row r="68" spans="1:49" x14ac:dyDescent="0.25">
      <c r="A68" s="33" t="s">
        <v>63</v>
      </c>
      <c r="B68" s="33" t="s">
        <v>84</v>
      </c>
      <c r="C68" s="33" t="s">
        <v>85</v>
      </c>
      <c r="D68" s="33" t="s">
        <v>143</v>
      </c>
      <c r="E68" s="34">
        <f>COUNTIF('Detalle por artículo'!$K$8:$K$592,D68)</f>
        <v>2</v>
      </c>
      <c r="F68" s="35">
        <f t="shared" si="2"/>
        <v>156.37113402061857</v>
      </c>
      <c r="G68" s="36">
        <f>SUMIF('Detalle por artículo'!$K$8:$K$592,$D68,'Detalle por artículo'!$E$8:$E$592)</f>
        <v>9.6999999999999993</v>
      </c>
      <c r="H68" s="35">
        <f t="shared" si="3"/>
        <v>7</v>
      </c>
      <c r="I68" s="35">
        <f t="shared" si="4"/>
        <v>13</v>
      </c>
      <c r="J68" s="35">
        <f t="shared" si="5"/>
        <v>26</v>
      </c>
      <c r="K68" s="37">
        <f t="shared" si="6"/>
        <v>0.34642857142857142</v>
      </c>
      <c r="L68" s="36">
        <f>SUMIF('Detalle por artículo'!$K$8:$K$592,$D68,'Detalle por artículo'!$O$8:$O$592)</f>
        <v>1516.8</v>
      </c>
      <c r="M68" s="38">
        <f>SUMIF('Detalle por artículo'!$K$8:$K$592,$D68,'Detalle por artículo'!$I$8:$I$592)</f>
        <v>2500</v>
      </c>
      <c r="N68" s="38">
        <f>SUMIF('Detalle por artículo'!$K$8:$K$592,$D68,'Detalle por artículo'!$M$8:$M$592)</f>
        <v>101</v>
      </c>
      <c r="O68" s="39">
        <f t="shared" si="7"/>
        <v>3.88</v>
      </c>
      <c r="P68" s="40">
        <f t="shared" si="8"/>
        <v>606.72</v>
      </c>
      <c r="Q68" s="41">
        <f t="shared" si="9"/>
        <v>0.15</v>
      </c>
      <c r="R68" s="40">
        <f t="shared" si="10"/>
        <v>11.154999999999998</v>
      </c>
      <c r="S68" s="42">
        <f>IFERROR(SUM($G$8:G68)/$G$6,0)</f>
        <v>0.56875401775716927</v>
      </c>
      <c r="T68" s="43" t="str">
        <f t="shared" si="11"/>
        <v>B</v>
      </c>
      <c r="U68" s="44">
        <v>2500</v>
      </c>
      <c r="V68" s="45">
        <f t="shared" si="31"/>
        <v>0</v>
      </c>
      <c r="W68" s="46">
        <v>46234</v>
      </c>
      <c r="X68" s="46">
        <v>46234</v>
      </c>
      <c r="Y68" s="47">
        <v>0</v>
      </c>
      <c r="Z68" s="48">
        <f t="shared" si="13"/>
        <v>0</v>
      </c>
      <c r="AA68" s="49">
        <f t="shared" si="14"/>
        <v>0</v>
      </c>
      <c r="AB68" s="44">
        <v>823</v>
      </c>
      <c r="AC68" s="44">
        <f t="shared" si="15"/>
        <v>459</v>
      </c>
      <c r="AD68" s="44">
        <f t="shared" si="16"/>
        <v>348</v>
      </c>
      <c r="AE68" s="50">
        <f t="shared" si="17"/>
        <v>38</v>
      </c>
      <c r="AF68" s="41">
        <f t="shared" si="18"/>
        <v>0.76</v>
      </c>
      <c r="AG68" s="44">
        <v>3</v>
      </c>
      <c r="AH68" s="44">
        <v>14</v>
      </c>
      <c r="AI68" s="42">
        <f t="shared" si="32"/>
        <v>0.18360000000000001</v>
      </c>
      <c r="AJ68" s="42">
        <f t="shared" si="33"/>
        <v>0.13919999999999999</v>
      </c>
      <c r="AK68" s="40">
        <f t="shared" si="21"/>
        <v>1.7809199999999998</v>
      </c>
      <c r="AL68" s="51">
        <v>1677</v>
      </c>
      <c r="AM68" s="52">
        <f t="shared" si="22"/>
        <v>6.5067599999999999</v>
      </c>
      <c r="AN68" s="42">
        <f t="shared" si="34"/>
        <v>0.67079999999999995</v>
      </c>
      <c r="AO68" s="53">
        <f t="shared" si="35"/>
        <v>1677</v>
      </c>
      <c r="AP68" s="52">
        <f t="shared" si="36"/>
        <v>6.5067599999999999</v>
      </c>
      <c r="AQ68" s="42">
        <f t="shared" si="37"/>
        <v>0.32279999999999998</v>
      </c>
      <c r="AR68" s="46">
        <v>46254</v>
      </c>
      <c r="AS68" s="46">
        <v>46255</v>
      </c>
      <c r="AT68" s="50">
        <f t="shared" si="38"/>
        <v>21</v>
      </c>
      <c r="AU68" s="50">
        <f t="shared" si="28"/>
        <v>29</v>
      </c>
      <c r="AV68" s="50">
        <f t="shared" si="39"/>
        <v>91</v>
      </c>
      <c r="AW68" s="54">
        <f t="shared" si="40"/>
        <v>-62</v>
      </c>
    </row>
    <row r="69" spans="1:49" x14ac:dyDescent="0.25">
      <c r="A69" s="33" t="s">
        <v>63</v>
      </c>
      <c r="B69" s="33" t="s">
        <v>64</v>
      </c>
      <c r="C69" s="33" t="s">
        <v>66</v>
      </c>
      <c r="D69" s="33" t="s">
        <v>144</v>
      </c>
      <c r="E69" s="34">
        <f>COUNTIF('Detalle por artículo'!$K$8:$K$592,D69)</f>
        <v>1</v>
      </c>
      <c r="F69" s="35">
        <f t="shared" si="2"/>
        <v>145.72916666666669</v>
      </c>
      <c r="G69" s="36">
        <f>SUMIF('Detalle por artículo'!$K$8:$K$592,$D69,'Detalle por artículo'!$E$8:$E$592)</f>
        <v>9.6</v>
      </c>
      <c r="H69" s="35">
        <f t="shared" si="3"/>
        <v>7</v>
      </c>
      <c r="I69" s="35">
        <f t="shared" si="4"/>
        <v>13</v>
      </c>
      <c r="J69" s="35">
        <f t="shared" si="5"/>
        <v>25</v>
      </c>
      <c r="K69" s="37">
        <f t="shared" si="6"/>
        <v>0.34285714285714286</v>
      </c>
      <c r="L69" s="36">
        <f>SUMIF('Detalle por artículo'!$K$8:$K$592,$D69,'Detalle por artículo'!$O$8:$O$592)</f>
        <v>1399</v>
      </c>
      <c r="M69" s="38">
        <f>SUMIF('Detalle por artículo'!$K$8:$K$592,$D69,'Detalle por artículo'!$I$8:$I$592)</f>
        <v>1196</v>
      </c>
      <c r="N69" s="38">
        <f>SUMIF('Detalle por artículo'!$K$8:$K$592,$D69,'Detalle por artículo'!$M$8:$M$592)</f>
        <v>100</v>
      </c>
      <c r="O69" s="39">
        <f t="shared" si="7"/>
        <v>8.0267558528428093</v>
      </c>
      <c r="P69" s="40">
        <f t="shared" si="8"/>
        <v>1169.732441471572</v>
      </c>
      <c r="Q69" s="41">
        <f t="shared" si="9"/>
        <v>0.15</v>
      </c>
      <c r="R69" s="40">
        <f t="shared" si="10"/>
        <v>11.04</v>
      </c>
      <c r="S69" s="42">
        <f>IFERROR(SUM($G$8:G69)/$G$6,0)</f>
        <v>0.57228167010526643</v>
      </c>
      <c r="T69" s="43" t="str">
        <f t="shared" si="11"/>
        <v>B</v>
      </c>
      <c r="U69" s="44">
        <v>1196</v>
      </c>
      <c r="V69" s="45">
        <f t="shared" si="31"/>
        <v>0</v>
      </c>
      <c r="W69" s="46">
        <v>46216</v>
      </c>
      <c r="X69" s="46">
        <v>46216</v>
      </c>
      <c r="Y69" s="47">
        <v>0</v>
      </c>
      <c r="Z69" s="48">
        <f t="shared" si="13"/>
        <v>0</v>
      </c>
      <c r="AA69" s="49">
        <f t="shared" si="14"/>
        <v>0</v>
      </c>
      <c r="AB69" s="44">
        <v>1033</v>
      </c>
      <c r="AC69" s="44">
        <f t="shared" si="15"/>
        <v>613</v>
      </c>
      <c r="AD69" s="44">
        <f t="shared" si="16"/>
        <v>391</v>
      </c>
      <c r="AE69" s="50">
        <f t="shared" si="17"/>
        <v>49</v>
      </c>
      <c r="AF69" s="41">
        <f t="shared" si="18"/>
        <v>0.98</v>
      </c>
      <c r="AG69" s="44">
        <v>7</v>
      </c>
      <c r="AH69" s="44">
        <v>22</v>
      </c>
      <c r="AI69" s="42">
        <f t="shared" si="32"/>
        <v>0.51254180602006694</v>
      </c>
      <c r="AJ69" s="42">
        <f t="shared" si="33"/>
        <v>0.32692307692307693</v>
      </c>
      <c r="AK69" s="40">
        <f t="shared" si="21"/>
        <v>4.9204013377926419</v>
      </c>
      <c r="AL69" s="51">
        <v>167</v>
      </c>
      <c r="AM69" s="52">
        <f t="shared" si="22"/>
        <v>1.340468227424749</v>
      </c>
      <c r="AN69" s="42">
        <f t="shared" si="34"/>
        <v>0.13963210702341136</v>
      </c>
      <c r="AO69" s="53">
        <f t="shared" si="35"/>
        <v>163</v>
      </c>
      <c r="AP69" s="52">
        <f t="shared" si="36"/>
        <v>1.3083612040133781</v>
      </c>
      <c r="AQ69" s="42">
        <f t="shared" si="37"/>
        <v>0.83946488294314381</v>
      </c>
      <c r="AR69" s="46">
        <v>46219</v>
      </c>
      <c r="AS69" s="46">
        <v>46220</v>
      </c>
      <c r="AT69" s="50">
        <f t="shared" si="38"/>
        <v>4</v>
      </c>
      <c r="AU69" s="50">
        <f t="shared" si="28"/>
        <v>139</v>
      </c>
      <c r="AV69" s="50">
        <f t="shared" si="39"/>
        <v>64</v>
      </c>
      <c r="AW69" s="54">
        <f t="shared" si="40"/>
        <v>75</v>
      </c>
    </row>
    <row r="70" spans="1:49" x14ac:dyDescent="0.25">
      <c r="A70" s="33" t="s">
        <v>55</v>
      </c>
      <c r="B70" s="33" t="s">
        <v>56</v>
      </c>
      <c r="C70" s="33" t="s">
        <v>57</v>
      </c>
      <c r="D70" s="33" t="s">
        <v>145</v>
      </c>
      <c r="E70" s="34">
        <f>COUNTIF('Detalle por artículo'!$K$8:$K$592,D70)</f>
        <v>1</v>
      </c>
      <c r="F70" s="35">
        <f t="shared" si="2"/>
        <v>109.82291666666667</v>
      </c>
      <c r="G70" s="36">
        <f>SUMIF('Detalle por artículo'!$K$8:$K$592,$D70,'Detalle por artículo'!$E$8:$E$592)</f>
        <v>9.6</v>
      </c>
      <c r="H70" s="35">
        <f t="shared" si="3"/>
        <v>7</v>
      </c>
      <c r="I70" s="35">
        <f t="shared" si="4"/>
        <v>13</v>
      </c>
      <c r="J70" s="35">
        <f t="shared" si="5"/>
        <v>25</v>
      </c>
      <c r="K70" s="37">
        <f t="shared" si="6"/>
        <v>0.34285714285714286</v>
      </c>
      <c r="L70" s="36">
        <f>SUMIF('Detalle por artículo'!$K$8:$K$592,$D70,'Detalle por artículo'!$O$8:$O$592)</f>
        <v>1054.3</v>
      </c>
      <c r="M70" s="38">
        <f>SUMIF('Detalle por artículo'!$K$8:$K$592,$D70,'Detalle por artículo'!$I$8:$I$592)</f>
        <v>680</v>
      </c>
      <c r="N70" s="38">
        <f>SUMIF('Detalle por artículo'!$K$8:$K$592,$D70,'Detalle por artículo'!$M$8:$M$592)</f>
        <v>101</v>
      </c>
      <c r="O70" s="39">
        <f t="shared" si="7"/>
        <v>14.117647058823529</v>
      </c>
      <c r="P70" s="40">
        <f t="shared" si="8"/>
        <v>1550.4411764705881</v>
      </c>
      <c r="Q70" s="41">
        <f t="shared" si="9"/>
        <v>0.2</v>
      </c>
      <c r="R70" s="40">
        <f t="shared" si="10"/>
        <v>11.52</v>
      </c>
      <c r="S70" s="42">
        <f>IFERROR(SUM($G$8:G70)/$G$6,0)</f>
        <v>0.57580932245336369</v>
      </c>
      <c r="T70" s="43" t="str">
        <f t="shared" si="11"/>
        <v>B</v>
      </c>
      <c r="U70" s="44">
        <v>680</v>
      </c>
      <c r="V70" s="45">
        <f t="shared" si="31"/>
        <v>0</v>
      </c>
      <c r="W70" s="46">
        <v>46316</v>
      </c>
      <c r="X70" s="46">
        <v>46316</v>
      </c>
      <c r="Y70" s="47">
        <v>686</v>
      </c>
      <c r="Z70" s="48">
        <f t="shared" si="13"/>
        <v>9.6847058823529402</v>
      </c>
      <c r="AA70" s="49">
        <f t="shared" si="14"/>
        <v>0.34588235294117642</v>
      </c>
      <c r="AB70" s="44">
        <v>0</v>
      </c>
      <c r="AC70" s="44">
        <f t="shared" si="15"/>
        <v>0</v>
      </c>
      <c r="AD70" s="44">
        <f t="shared" si="16"/>
        <v>0</v>
      </c>
      <c r="AE70" s="50">
        <f t="shared" si="17"/>
        <v>0</v>
      </c>
      <c r="AF70" s="41">
        <f t="shared" si="18"/>
        <v>0</v>
      </c>
      <c r="AG70" s="44">
        <v>0</v>
      </c>
      <c r="AH70" s="44">
        <v>0</v>
      </c>
      <c r="AI70" s="42">
        <f t="shared" si="32"/>
        <v>0</v>
      </c>
      <c r="AJ70" s="42">
        <f t="shared" si="33"/>
        <v>0</v>
      </c>
      <c r="AK70" s="40">
        <f t="shared" si="21"/>
        <v>0</v>
      </c>
      <c r="AL70" s="51">
        <v>680</v>
      </c>
      <c r="AM70" s="52">
        <f t="shared" si="22"/>
        <v>9.6</v>
      </c>
      <c r="AN70" s="42">
        <f t="shared" si="34"/>
        <v>1</v>
      </c>
      <c r="AO70" s="53">
        <f t="shared" si="35"/>
        <v>680</v>
      </c>
      <c r="AP70" s="52">
        <f t="shared" si="36"/>
        <v>9.6</v>
      </c>
      <c r="AQ70" s="42">
        <f t="shared" si="37"/>
        <v>0</v>
      </c>
      <c r="AR70" s="46"/>
      <c r="AS70" s="46"/>
      <c r="AT70" s="50" t="str">
        <f t="shared" si="38"/>
        <v/>
      </c>
      <c r="AU70" s="50">
        <f t="shared" si="28"/>
        <v>335</v>
      </c>
      <c r="AV70" s="50" t="str">
        <f t="shared" si="39"/>
        <v/>
      </c>
      <c r="AW70" s="54" t="str">
        <f t="shared" si="40"/>
        <v/>
      </c>
    </row>
    <row r="71" spans="1:49" x14ac:dyDescent="0.25">
      <c r="A71" s="33" t="s">
        <v>55</v>
      </c>
      <c r="B71" s="33" t="s">
        <v>93</v>
      </c>
      <c r="C71" s="33" t="s">
        <v>94</v>
      </c>
      <c r="D71" s="33" t="s">
        <v>146</v>
      </c>
      <c r="E71" s="34">
        <f>COUNTIF('Detalle por artículo'!$K$8:$K$592,D71)</f>
        <v>1</v>
      </c>
      <c r="F71" s="35">
        <f t="shared" si="2"/>
        <v>108.78406708595388</v>
      </c>
      <c r="G71" s="36">
        <f>SUMIF('Detalle por artículo'!$K$8:$K$592,$D71,'Detalle por artículo'!$E$8:$E$592)</f>
        <v>9.5399999999999991</v>
      </c>
      <c r="H71" s="35">
        <f t="shared" si="3"/>
        <v>7</v>
      </c>
      <c r="I71" s="35">
        <f t="shared" si="4"/>
        <v>13</v>
      </c>
      <c r="J71" s="35">
        <f t="shared" si="5"/>
        <v>25</v>
      </c>
      <c r="K71" s="37">
        <f t="shared" si="6"/>
        <v>0.34071428571428569</v>
      </c>
      <c r="L71" s="36">
        <f>SUMIF('Detalle por artículo'!$K$8:$K$592,$D71,'Detalle por artículo'!$O$8:$O$592)</f>
        <v>1037.8</v>
      </c>
      <c r="M71" s="38">
        <f>SUMIF('Detalle por artículo'!$K$8:$K$592,$D71,'Detalle por artículo'!$I$8:$I$592)</f>
        <v>1064</v>
      </c>
      <c r="N71" s="38">
        <f>SUMIF('Detalle por artículo'!$K$8:$K$592,$D71,'Detalle por artículo'!$M$8:$M$592)</f>
        <v>106</v>
      </c>
      <c r="O71" s="39">
        <f t="shared" si="7"/>
        <v>8.9661654135338331</v>
      </c>
      <c r="P71" s="40">
        <f t="shared" si="8"/>
        <v>975.37593984962405</v>
      </c>
      <c r="Q71" s="41">
        <f t="shared" si="9"/>
        <v>0.2</v>
      </c>
      <c r="R71" s="40">
        <f t="shared" si="10"/>
        <v>11.447999999999999</v>
      </c>
      <c r="S71" s="42">
        <f>IFERROR(SUM($G$8:G71)/$G$6,0)</f>
        <v>0.57931492697428533</v>
      </c>
      <c r="T71" s="43" t="str">
        <f t="shared" si="11"/>
        <v>B</v>
      </c>
      <c r="U71" s="44">
        <v>1064</v>
      </c>
      <c r="V71" s="45">
        <f t="shared" si="31"/>
        <v>0</v>
      </c>
      <c r="W71" s="46">
        <v>46259</v>
      </c>
      <c r="X71" s="46">
        <v>46259</v>
      </c>
      <c r="Y71" s="47">
        <v>0</v>
      </c>
      <c r="Z71" s="48">
        <f t="shared" si="13"/>
        <v>0</v>
      </c>
      <c r="AA71" s="49">
        <f t="shared" si="14"/>
        <v>0</v>
      </c>
      <c r="AB71" s="44">
        <v>587</v>
      </c>
      <c r="AC71" s="44">
        <f t="shared" si="15"/>
        <v>406</v>
      </c>
      <c r="AD71" s="44">
        <f t="shared" si="16"/>
        <v>168</v>
      </c>
      <c r="AE71" s="50">
        <f t="shared" si="17"/>
        <v>47</v>
      </c>
      <c r="AF71" s="41">
        <f t="shared" si="18"/>
        <v>0.94</v>
      </c>
      <c r="AG71" s="44">
        <v>5</v>
      </c>
      <c r="AH71" s="44">
        <v>8</v>
      </c>
      <c r="AI71" s="42">
        <f t="shared" si="32"/>
        <v>0.38157894736842107</v>
      </c>
      <c r="AJ71" s="42">
        <f t="shared" si="33"/>
        <v>0.15789473684210525</v>
      </c>
      <c r="AK71" s="40">
        <f t="shared" si="21"/>
        <v>3.640263157894736</v>
      </c>
      <c r="AL71" s="51">
        <v>477</v>
      </c>
      <c r="AM71" s="52">
        <f t="shared" si="22"/>
        <v>4.2768609022556383</v>
      </c>
      <c r="AN71" s="42">
        <f t="shared" si="34"/>
        <v>0.44830827067669171</v>
      </c>
      <c r="AO71" s="53">
        <f t="shared" si="35"/>
        <v>477</v>
      </c>
      <c r="AP71" s="52">
        <f t="shared" si="36"/>
        <v>4.2768609022556383</v>
      </c>
      <c r="AQ71" s="42">
        <f t="shared" si="37"/>
        <v>0.53947368421052633</v>
      </c>
      <c r="AR71" s="46">
        <v>46265</v>
      </c>
      <c r="AS71" s="46">
        <v>46266</v>
      </c>
      <c r="AT71" s="50">
        <f t="shared" si="38"/>
        <v>7</v>
      </c>
      <c r="AU71" s="50">
        <f t="shared" si="28"/>
        <v>154</v>
      </c>
      <c r="AV71" s="50">
        <f t="shared" si="39"/>
        <v>207</v>
      </c>
      <c r="AW71" s="54">
        <f t="shared" si="40"/>
        <v>-53</v>
      </c>
    </row>
    <row r="72" spans="1:49" x14ac:dyDescent="0.25">
      <c r="A72" s="33" t="s">
        <v>55</v>
      </c>
      <c r="B72" s="33" t="s">
        <v>56</v>
      </c>
      <c r="C72" s="33" t="s">
        <v>57</v>
      </c>
      <c r="D72" s="33" t="s">
        <v>147</v>
      </c>
      <c r="E72" s="34">
        <f>COUNTIF('Detalle por artículo'!$K$8:$K$592,D72)</f>
        <v>1</v>
      </c>
      <c r="F72" s="35">
        <f t="shared" ref="F72:F135" si="41">IFERROR(L72/G72,0)</f>
        <v>84.978354978354986</v>
      </c>
      <c r="G72" s="36">
        <f>SUMIF('Detalle por artículo'!$K$8:$K$592,$D72,'Detalle por artículo'!$E$8:$E$592)</f>
        <v>9.24</v>
      </c>
      <c r="H72" s="35">
        <f t="shared" ref="H72:H135" si="42">ROUNDUP(G72/1.54,0)</f>
        <v>6</v>
      </c>
      <c r="I72" s="35">
        <f t="shared" ref="I72:I135" si="43">ROUNDUP(G72/0.77,0)</f>
        <v>12</v>
      </c>
      <c r="J72" s="35">
        <f t="shared" ref="J72:J135" si="44">ROUNDUP(G72/0.385,0)</f>
        <v>24</v>
      </c>
      <c r="K72" s="37">
        <f t="shared" ref="K72:K135" si="45">G72/28</f>
        <v>0.33</v>
      </c>
      <c r="L72" s="36">
        <f>SUMIF('Detalle por artículo'!$K$8:$K$592,$D72,'Detalle por artículo'!$O$8:$O$592)</f>
        <v>785.2</v>
      </c>
      <c r="M72" s="38">
        <f>SUMIF('Detalle por artículo'!$K$8:$K$592,$D72,'Detalle por artículo'!$I$8:$I$592)</f>
        <v>765</v>
      </c>
      <c r="N72" s="38">
        <f>SUMIF('Detalle por artículo'!$K$8:$K$592,$D72,'Detalle por artículo'!$M$8:$M$592)</f>
        <v>96</v>
      </c>
      <c r="O72" s="39">
        <f t="shared" ref="O72:O135" si="46">IFERROR(G72/M72*1000,0)</f>
        <v>12.078431372549019</v>
      </c>
      <c r="P72" s="40">
        <f t="shared" ref="P72:P135" si="47">IFERROR(L72/M72*1000,0)</f>
        <v>1026.4052287581699</v>
      </c>
      <c r="Q72" s="41">
        <f t="shared" ref="Q72:Q135" si="48">IF(F72=0,0,IF(F72&lt;120,0.2,IF(F72&gt;200,0.1,0.15)))</f>
        <v>0.2</v>
      </c>
      <c r="R72" s="40">
        <f t="shared" ref="R72:R135" si="49">G72*(1+Q72)</f>
        <v>11.087999999999999</v>
      </c>
      <c r="S72" s="42">
        <f>IFERROR(SUM($G$8:G72)/$G$6,0)</f>
        <v>0.58271029235932892</v>
      </c>
      <c r="T72" s="43" t="str">
        <f t="shared" ref="T72:T135" si="50">IF(S72&lt;=0.5,"A",IF(S72&lt;=0.84,"B","C"))</f>
        <v>B</v>
      </c>
      <c r="U72" s="44">
        <v>764</v>
      </c>
      <c r="V72" s="45">
        <f t="shared" ref="V72:V103" si="51">U72-M72</f>
        <v>-1</v>
      </c>
      <c r="W72" s="46">
        <v>46282</v>
      </c>
      <c r="X72" s="46">
        <v>46282</v>
      </c>
      <c r="Y72" s="47">
        <v>1</v>
      </c>
      <c r="Z72" s="48">
        <f t="shared" ref="Z72:Z135" si="52">Y72*O72/1000</f>
        <v>1.207843137254902E-2</v>
      </c>
      <c r="AA72" s="49">
        <f t="shared" ref="AA72:AA135" si="53">Z72/28</f>
        <v>4.3137254901960784E-4</v>
      </c>
      <c r="AB72" s="44">
        <v>47</v>
      </c>
      <c r="AC72" s="44">
        <f t="shared" ref="AC72:AC135" si="54">IFERROR(INDEX(IMP_TOT,MATCH(D72,IMP_MOD,0)),0)</f>
        <v>38</v>
      </c>
      <c r="AD72" s="44">
        <f t="shared" ref="AD72:AD135" si="55">IFERROR(INDEX(REP_TOT,MATCH(D72,REP_MOD,0)),0)</f>
        <v>0</v>
      </c>
      <c r="AE72" s="50">
        <f t="shared" ref="AE72:AE135" si="56">IFERROR(INDEX(IMP_NT,MATCH(D72,IMP_MOD,0)),0)</f>
        <v>1</v>
      </c>
      <c r="AF72" s="41">
        <f t="shared" ref="AF72:AF135" si="57">IFERROR(AE72/TIENDAS,0)</f>
        <v>0.02</v>
      </c>
      <c r="AG72" s="44">
        <v>1</v>
      </c>
      <c r="AH72" s="44">
        <v>8</v>
      </c>
      <c r="AI72" s="42">
        <f t="shared" ref="AI72:AI103" si="58">IFERROR(AC72/M72,0)</f>
        <v>4.9673202614379082E-2</v>
      </c>
      <c r="AJ72" s="42">
        <f t="shared" ref="AJ72:AJ103" si="59">IFERROR(AD72/M72,0)</f>
        <v>0</v>
      </c>
      <c r="AK72" s="40">
        <f t="shared" ref="AK72:AK135" si="60">AC72*O72/1000</f>
        <v>0.45898039215686276</v>
      </c>
      <c r="AL72" s="51">
        <v>724</v>
      </c>
      <c r="AM72" s="52">
        <f t="shared" ref="AM72:AM135" si="61">AL72*O72/1000</f>
        <v>8.7447843137254893</v>
      </c>
      <c r="AN72" s="42">
        <f t="shared" ref="AN72:AN103" si="62">IFERROR(AL72/U72,0)</f>
        <v>0.94764397905759157</v>
      </c>
      <c r="AO72" s="53">
        <f t="shared" ref="AO72:AO103" si="63">M72-AB72</f>
        <v>718</v>
      </c>
      <c r="AP72" s="52">
        <f t="shared" ref="AP72:AP103" si="64">AO72*O72/1000</f>
        <v>8.672313725490195</v>
      </c>
      <c r="AQ72" s="42">
        <f t="shared" ref="AQ72:AQ103" si="65">IFERROR((AC72+AD72)/M72,0)</f>
        <v>4.9673202614379082E-2</v>
      </c>
      <c r="AR72" s="46">
        <v>46285</v>
      </c>
      <c r="AS72" s="46">
        <v>46287</v>
      </c>
      <c r="AT72" s="50">
        <f t="shared" ref="AT72:AT103" si="66">IF(OR(W72="",AS72=""),"",AS72-W72)</f>
        <v>5</v>
      </c>
      <c r="AU72" s="50">
        <f t="shared" ref="AU72:AU135" si="67">IF(M72=0,"",RANK(M72,$M$8:$M$474))</f>
        <v>264</v>
      </c>
      <c r="AV72" s="50">
        <f t="shared" ref="AV72:AV103" si="68">IF(AB72=0,"",RANK(AB72,$AB$8:$AB$474))</f>
        <v>399</v>
      </c>
      <c r="AW72" s="54">
        <f t="shared" ref="AW72:AW103" si="69">IF(OR(AU72="",AV72=""),"",AU72-AV72)</f>
        <v>-135</v>
      </c>
    </row>
    <row r="73" spans="1:49" x14ac:dyDescent="0.25">
      <c r="A73" s="33" t="s">
        <v>63</v>
      </c>
      <c r="B73" s="33" t="s">
        <v>64</v>
      </c>
      <c r="C73" s="33" t="s">
        <v>66</v>
      </c>
      <c r="D73" s="33" t="s">
        <v>148</v>
      </c>
      <c r="E73" s="34">
        <f>COUNTIF('Detalle por artículo'!$K$8:$K$592,D73)</f>
        <v>1</v>
      </c>
      <c r="F73" s="35">
        <f t="shared" si="41"/>
        <v>92.708333333333343</v>
      </c>
      <c r="G73" s="36">
        <f>SUMIF('Detalle por artículo'!$K$8:$K$592,$D73,'Detalle por artículo'!$E$8:$E$592)</f>
        <v>9.1199999999999992</v>
      </c>
      <c r="H73" s="35">
        <f t="shared" si="42"/>
        <v>6</v>
      </c>
      <c r="I73" s="35">
        <f t="shared" si="43"/>
        <v>12</v>
      </c>
      <c r="J73" s="35">
        <f t="shared" si="44"/>
        <v>24</v>
      </c>
      <c r="K73" s="37">
        <f t="shared" si="45"/>
        <v>0.32571428571428568</v>
      </c>
      <c r="L73" s="36">
        <f>SUMIF('Detalle por artículo'!$K$8:$K$592,$D73,'Detalle por artículo'!$O$8:$O$592)</f>
        <v>845.5</v>
      </c>
      <c r="M73" s="38">
        <f>SUMIF('Detalle por artículo'!$K$8:$K$592,$D73,'Detalle por artículo'!$I$8:$I$592)</f>
        <v>758</v>
      </c>
      <c r="N73" s="38">
        <f>SUMIF('Detalle por artículo'!$K$8:$K$592,$D73,'Detalle por artículo'!$M$8:$M$592)</f>
        <v>95</v>
      </c>
      <c r="O73" s="39">
        <f t="shared" si="46"/>
        <v>12.031662269129287</v>
      </c>
      <c r="P73" s="40">
        <f t="shared" si="47"/>
        <v>1115.4353562005276</v>
      </c>
      <c r="Q73" s="41">
        <f t="shared" si="48"/>
        <v>0.2</v>
      </c>
      <c r="R73" s="40">
        <f t="shared" si="49"/>
        <v>10.943999999999999</v>
      </c>
      <c r="S73" s="42">
        <f>IFERROR(SUM($G$8:G73)/$G$6,0)</f>
        <v>0.58606156209002125</v>
      </c>
      <c r="T73" s="43" t="str">
        <f t="shared" si="50"/>
        <v>B</v>
      </c>
      <c r="U73" s="44">
        <v>758</v>
      </c>
      <c r="V73" s="45">
        <f t="shared" si="51"/>
        <v>0</v>
      </c>
      <c r="W73" s="46">
        <v>46216</v>
      </c>
      <c r="X73" s="46">
        <v>46216</v>
      </c>
      <c r="Y73" s="47">
        <v>0</v>
      </c>
      <c r="Z73" s="48">
        <f t="shared" si="52"/>
        <v>0</v>
      </c>
      <c r="AA73" s="49">
        <f t="shared" si="53"/>
        <v>0</v>
      </c>
      <c r="AB73" s="44">
        <v>393</v>
      </c>
      <c r="AC73" s="44">
        <f t="shared" si="54"/>
        <v>332</v>
      </c>
      <c r="AD73" s="44">
        <f t="shared" si="55"/>
        <v>32</v>
      </c>
      <c r="AE73" s="50">
        <f t="shared" si="56"/>
        <v>36</v>
      </c>
      <c r="AF73" s="41">
        <f t="shared" si="57"/>
        <v>0.72</v>
      </c>
      <c r="AG73" s="44">
        <v>5</v>
      </c>
      <c r="AH73" s="44">
        <v>24</v>
      </c>
      <c r="AI73" s="42">
        <f t="shared" si="58"/>
        <v>0.43799472295514513</v>
      </c>
      <c r="AJ73" s="42">
        <f t="shared" si="59"/>
        <v>4.221635883905013E-2</v>
      </c>
      <c r="AK73" s="40">
        <f t="shared" si="60"/>
        <v>3.9945118733509228</v>
      </c>
      <c r="AL73" s="51">
        <v>365</v>
      </c>
      <c r="AM73" s="52">
        <f t="shared" si="61"/>
        <v>4.3915567282321897</v>
      </c>
      <c r="AN73" s="42">
        <f t="shared" si="62"/>
        <v>0.48153034300791558</v>
      </c>
      <c r="AO73" s="53">
        <f t="shared" si="63"/>
        <v>365</v>
      </c>
      <c r="AP73" s="52">
        <f t="shared" si="64"/>
        <v>4.3915567282321897</v>
      </c>
      <c r="AQ73" s="42">
        <f t="shared" si="65"/>
        <v>0.48021108179419525</v>
      </c>
      <c r="AR73" s="46">
        <v>46219</v>
      </c>
      <c r="AS73" s="46">
        <v>46220</v>
      </c>
      <c r="AT73" s="50">
        <f t="shared" si="66"/>
        <v>4</v>
      </c>
      <c r="AU73" s="50">
        <f t="shared" si="67"/>
        <v>273</v>
      </c>
      <c r="AV73" s="50">
        <f t="shared" si="68"/>
        <v>326</v>
      </c>
      <c r="AW73" s="54">
        <f t="shared" si="69"/>
        <v>-53</v>
      </c>
    </row>
    <row r="74" spans="1:49" x14ac:dyDescent="0.25">
      <c r="A74" s="33" t="s">
        <v>63</v>
      </c>
      <c r="B74" s="33" t="s">
        <v>84</v>
      </c>
      <c r="C74" s="33" t="s">
        <v>85</v>
      </c>
      <c r="D74" s="33" t="s">
        <v>149</v>
      </c>
      <c r="E74" s="34">
        <f>COUNTIF('Detalle por artículo'!$K$8:$K$592,D74)</f>
        <v>2</v>
      </c>
      <c r="F74" s="35">
        <f t="shared" si="41"/>
        <v>153.42105263157896</v>
      </c>
      <c r="G74" s="36">
        <f>SUMIF('Detalle por artículo'!$K$8:$K$592,$D74,'Detalle por artículo'!$E$8:$E$592)</f>
        <v>9.1199999999999992</v>
      </c>
      <c r="H74" s="35">
        <f t="shared" si="42"/>
        <v>6</v>
      </c>
      <c r="I74" s="35">
        <f t="shared" si="43"/>
        <v>12</v>
      </c>
      <c r="J74" s="35">
        <f t="shared" si="44"/>
        <v>24</v>
      </c>
      <c r="K74" s="37">
        <f t="shared" si="45"/>
        <v>0.32571428571428568</v>
      </c>
      <c r="L74" s="36">
        <f>SUMIF('Detalle por artículo'!$K$8:$K$592,$D74,'Detalle por artículo'!$O$8:$O$592)</f>
        <v>1399.2</v>
      </c>
      <c r="M74" s="38">
        <f>SUMIF('Detalle por artículo'!$K$8:$K$592,$D74,'Detalle por artículo'!$I$8:$I$592)</f>
        <v>2500</v>
      </c>
      <c r="N74" s="38">
        <f>SUMIF('Detalle por artículo'!$K$8:$K$592,$D74,'Detalle por artículo'!$M$8:$M$592)</f>
        <v>95</v>
      </c>
      <c r="O74" s="39">
        <f t="shared" si="46"/>
        <v>3.6479999999999997</v>
      </c>
      <c r="P74" s="40">
        <f t="shared" si="47"/>
        <v>559.68000000000006</v>
      </c>
      <c r="Q74" s="41">
        <f t="shared" si="48"/>
        <v>0.15</v>
      </c>
      <c r="R74" s="40">
        <f t="shared" si="49"/>
        <v>10.487999999999998</v>
      </c>
      <c r="S74" s="42">
        <f>IFERROR(SUM($G$8:G74)/$G$6,0)</f>
        <v>0.58941283182071358</v>
      </c>
      <c r="T74" s="43" t="str">
        <f t="shared" si="50"/>
        <v>B</v>
      </c>
      <c r="U74" s="44">
        <v>2497</v>
      </c>
      <c r="V74" s="45">
        <f t="shared" si="51"/>
        <v>-3</v>
      </c>
      <c r="W74" s="46">
        <v>46234</v>
      </c>
      <c r="X74" s="46">
        <v>46234</v>
      </c>
      <c r="Y74" s="47">
        <v>3</v>
      </c>
      <c r="Z74" s="48">
        <f t="shared" si="52"/>
        <v>1.0943999999999999E-2</v>
      </c>
      <c r="AA74" s="49">
        <f t="shared" si="53"/>
        <v>3.9085714285714282E-4</v>
      </c>
      <c r="AB74" s="44">
        <v>1094</v>
      </c>
      <c r="AC74" s="44">
        <f t="shared" si="54"/>
        <v>619</v>
      </c>
      <c r="AD74" s="44">
        <f t="shared" si="55"/>
        <v>460</v>
      </c>
      <c r="AE74" s="50">
        <f t="shared" si="56"/>
        <v>49</v>
      </c>
      <c r="AF74" s="41">
        <f t="shared" si="57"/>
        <v>0.98</v>
      </c>
      <c r="AG74" s="44">
        <v>2</v>
      </c>
      <c r="AH74" s="44">
        <v>14</v>
      </c>
      <c r="AI74" s="42">
        <f t="shared" si="58"/>
        <v>0.24759999999999999</v>
      </c>
      <c r="AJ74" s="42">
        <f t="shared" si="59"/>
        <v>0.184</v>
      </c>
      <c r="AK74" s="40">
        <f t="shared" si="60"/>
        <v>2.2581119999999997</v>
      </c>
      <c r="AL74" s="51">
        <v>1402</v>
      </c>
      <c r="AM74" s="52">
        <f t="shared" si="61"/>
        <v>5.114495999999999</v>
      </c>
      <c r="AN74" s="42">
        <f t="shared" si="62"/>
        <v>0.56147376852222664</v>
      </c>
      <c r="AO74" s="53">
        <f t="shared" si="63"/>
        <v>1406</v>
      </c>
      <c r="AP74" s="52">
        <f t="shared" si="64"/>
        <v>5.1290879999999994</v>
      </c>
      <c r="AQ74" s="42">
        <f t="shared" si="65"/>
        <v>0.43159999999999998</v>
      </c>
      <c r="AR74" s="46">
        <v>46254</v>
      </c>
      <c r="AS74" s="46">
        <v>46255</v>
      </c>
      <c r="AT74" s="50">
        <f t="shared" si="66"/>
        <v>21</v>
      </c>
      <c r="AU74" s="50">
        <f t="shared" si="67"/>
        <v>29</v>
      </c>
      <c r="AV74" s="50">
        <f t="shared" si="68"/>
        <v>58</v>
      </c>
      <c r="AW74" s="54">
        <f t="shared" si="69"/>
        <v>-29</v>
      </c>
    </row>
    <row r="75" spans="1:49" x14ac:dyDescent="0.25">
      <c r="A75" s="33" t="s">
        <v>55</v>
      </c>
      <c r="B75" s="33" t="s">
        <v>99</v>
      </c>
      <c r="C75" s="33" t="s">
        <v>111</v>
      </c>
      <c r="D75" s="33" t="s">
        <v>150</v>
      </c>
      <c r="E75" s="34">
        <f>COUNTIF('Detalle por artículo'!$K$8:$K$592,D75)</f>
        <v>2</v>
      </c>
      <c r="F75" s="35">
        <f t="shared" si="41"/>
        <v>76.085992907801398</v>
      </c>
      <c r="G75" s="36">
        <f>SUMIF('Detalle por artículo'!$K$8:$K$592,$D75,'Detalle por artículo'!$E$8:$E$592)</f>
        <v>9.0240000000000009</v>
      </c>
      <c r="H75" s="35">
        <f t="shared" si="42"/>
        <v>6</v>
      </c>
      <c r="I75" s="35">
        <f t="shared" si="43"/>
        <v>12</v>
      </c>
      <c r="J75" s="35">
        <f t="shared" si="44"/>
        <v>24</v>
      </c>
      <c r="K75" s="37">
        <f t="shared" si="45"/>
        <v>0.32228571428571434</v>
      </c>
      <c r="L75" s="36">
        <f>SUMIF('Detalle por artículo'!$K$8:$K$592,$D75,'Detalle por artículo'!$O$8:$O$592)</f>
        <v>686.59999999999991</v>
      </c>
      <c r="M75" s="38">
        <f>SUMIF('Detalle por artículo'!$K$8:$K$592,$D75,'Detalle por artículo'!$I$8:$I$592)</f>
        <v>1502</v>
      </c>
      <c r="N75" s="38">
        <f>SUMIF('Detalle por artículo'!$K$8:$K$592,$D75,'Detalle por artículo'!$M$8:$M$592)</f>
        <v>94</v>
      </c>
      <c r="O75" s="39">
        <f t="shared" si="46"/>
        <v>6.0079893475366184</v>
      </c>
      <c r="P75" s="40">
        <f t="shared" si="47"/>
        <v>457.12383488681752</v>
      </c>
      <c r="Q75" s="41">
        <f t="shared" si="48"/>
        <v>0.2</v>
      </c>
      <c r="R75" s="40">
        <f t="shared" si="49"/>
        <v>10.828800000000001</v>
      </c>
      <c r="S75" s="42">
        <f>IFERROR(SUM($G$8:G75)/$G$6,0)</f>
        <v>0.5927288250279249</v>
      </c>
      <c r="T75" s="43" t="str">
        <f t="shared" si="50"/>
        <v>B</v>
      </c>
      <c r="U75" s="44">
        <v>1503</v>
      </c>
      <c r="V75" s="45">
        <f t="shared" si="51"/>
        <v>1</v>
      </c>
      <c r="W75" s="46">
        <v>46239</v>
      </c>
      <c r="X75" s="46">
        <v>46239</v>
      </c>
      <c r="Y75" s="47">
        <v>8</v>
      </c>
      <c r="Z75" s="48">
        <f t="shared" si="52"/>
        <v>4.8063914780292948E-2</v>
      </c>
      <c r="AA75" s="49">
        <f t="shared" si="53"/>
        <v>1.7165683850104624E-3</v>
      </c>
      <c r="AB75" s="44">
        <v>77</v>
      </c>
      <c r="AC75" s="44">
        <f t="shared" si="54"/>
        <v>27</v>
      </c>
      <c r="AD75" s="44">
        <f t="shared" si="55"/>
        <v>9</v>
      </c>
      <c r="AE75" s="50">
        <f t="shared" si="56"/>
        <v>1</v>
      </c>
      <c r="AF75" s="41">
        <f t="shared" si="57"/>
        <v>0.02</v>
      </c>
      <c r="AG75" s="44">
        <v>3</v>
      </c>
      <c r="AH75" s="44">
        <v>38</v>
      </c>
      <c r="AI75" s="42">
        <f t="shared" si="58"/>
        <v>1.7976031957390146E-2</v>
      </c>
      <c r="AJ75" s="42">
        <f t="shared" si="59"/>
        <v>5.9920106524633818E-3</v>
      </c>
      <c r="AK75" s="40">
        <f t="shared" si="60"/>
        <v>0.1622157123834887</v>
      </c>
      <c r="AL75" s="51">
        <v>1426</v>
      </c>
      <c r="AM75" s="52">
        <f t="shared" si="61"/>
        <v>8.5673928095872185</v>
      </c>
      <c r="AN75" s="42">
        <f t="shared" si="62"/>
        <v>0.94876912840984695</v>
      </c>
      <c r="AO75" s="53">
        <f t="shared" si="63"/>
        <v>1425</v>
      </c>
      <c r="AP75" s="52">
        <f t="shared" si="64"/>
        <v>8.5613848202396827</v>
      </c>
      <c r="AQ75" s="42">
        <f t="shared" si="65"/>
        <v>2.3968042609853527E-2</v>
      </c>
      <c r="AR75" s="46">
        <v>46254</v>
      </c>
      <c r="AS75" s="46">
        <v>46255</v>
      </c>
      <c r="AT75" s="50">
        <f t="shared" si="66"/>
        <v>16</v>
      </c>
      <c r="AU75" s="50">
        <f t="shared" si="67"/>
        <v>95</v>
      </c>
      <c r="AV75" s="50">
        <f t="shared" si="68"/>
        <v>392</v>
      </c>
      <c r="AW75" s="54">
        <f t="shared" si="69"/>
        <v>-297</v>
      </c>
    </row>
    <row r="76" spans="1:49" x14ac:dyDescent="0.25">
      <c r="A76" s="33" t="s">
        <v>63</v>
      </c>
      <c r="B76" s="33" t="s">
        <v>64</v>
      </c>
      <c r="C76" s="33" t="s">
        <v>57</v>
      </c>
      <c r="D76" s="33" t="s">
        <v>151</v>
      </c>
      <c r="E76" s="34">
        <f>COUNTIF('Detalle por artículo'!$K$8:$K$592,D76)</f>
        <v>1</v>
      </c>
      <c r="F76" s="35">
        <f t="shared" si="41"/>
        <v>99.72004479283315</v>
      </c>
      <c r="G76" s="36">
        <f>SUMIF('Detalle por artículo'!$K$8:$K$592,$D76,'Detalle por artículo'!$E$8:$E$592)</f>
        <v>8.93</v>
      </c>
      <c r="H76" s="35">
        <f t="shared" si="42"/>
        <v>6</v>
      </c>
      <c r="I76" s="35">
        <f t="shared" si="43"/>
        <v>12</v>
      </c>
      <c r="J76" s="35">
        <f t="shared" si="44"/>
        <v>24</v>
      </c>
      <c r="K76" s="37">
        <f t="shared" si="45"/>
        <v>0.31892857142857139</v>
      </c>
      <c r="L76" s="36">
        <f>SUMIF('Detalle por artículo'!$K$8:$K$592,$D76,'Detalle por artículo'!$O$8:$O$592)</f>
        <v>890.5</v>
      </c>
      <c r="M76" s="38">
        <f>SUMIF('Detalle por artículo'!$K$8:$K$592,$D76,'Detalle por artículo'!$I$8:$I$592)</f>
        <v>820</v>
      </c>
      <c r="N76" s="38">
        <f>SUMIF('Detalle por artículo'!$K$8:$K$592,$D76,'Detalle por artículo'!$M$8:$M$592)</f>
        <v>93</v>
      </c>
      <c r="O76" s="39">
        <f t="shared" si="46"/>
        <v>10.890243902439023</v>
      </c>
      <c r="P76" s="40">
        <f t="shared" si="47"/>
        <v>1085.9756097560976</v>
      </c>
      <c r="Q76" s="41">
        <f t="shared" si="48"/>
        <v>0.2</v>
      </c>
      <c r="R76" s="40">
        <f t="shared" si="49"/>
        <v>10.715999999999999</v>
      </c>
      <c r="S76" s="42">
        <f>IFERROR(SUM($G$8:G76)/$G$6,0)</f>
        <v>0.5960102766392279</v>
      </c>
      <c r="T76" s="43" t="str">
        <f t="shared" si="50"/>
        <v>B</v>
      </c>
      <c r="U76" s="44">
        <v>821</v>
      </c>
      <c r="V76" s="45">
        <f t="shared" si="51"/>
        <v>1</v>
      </c>
      <c r="W76" s="46">
        <v>46247</v>
      </c>
      <c r="X76" s="46">
        <v>46247</v>
      </c>
      <c r="Y76" s="47">
        <v>0</v>
      </c>
      <c r="Z76" s="48">
        <f t="shared" si="52"/>
        <v>0</v>
      </c>
      <c r="AA76" s="49">
        <f t="shared" si="53"/>
        <v>0</v>
      </c>
      <c r="AB76" s="44">
        <v>177</v>
      </c>
      <c r="AC76" s="44">
        <f t="shared" si="54"/>
        <v>161</v>
      </c>
      <c r="AD76" s="44">
        <f t="shared" si="55"/>
        <v>7</v>
      </c>
      <c r="AE76" s="50">
        <f t="shared" si="56"/>
        <v>18</v>
      </c>
      <c r="AF76" s="41">
        <f t="shared" si="57"/>
        <v>0.36</v>
      </c>
      <c r="AG76" s="44">
        <v>1</v>
      </c>
      <c r="AH76" s="44">
        <v>8</v>
      </c>
      <c r="AI76" s="42">
        <f t="shared" si="58"/>
        <v>0.19634146341463415</v>
      </c>
      <c r="AJ76" s="42">
        <f t="shared" si="59"/>
        <v>8.5365853658536592E-3</v>
      </c>
      <c r="AK76" s="40">
        <f t="shared" si="60"/>
        <v>1.7533292682926827</v>
      </c>
      <c r="AL76" s="51">
        <v>644</v>
      </c>
      <c r="AM76" s="52">
        <f t="shared" si="61"/>
        <v>7.0133170731707306</v>
      </c>
      <c r="AN76" s="42">
        <f t="shared" si="62"/>
        <v>0.78440925700365405</v>
      </c>
      <c r="AO76" s="53">
        <f t="shared" si="63"/>
        <v>643</v>
      </c>
      <c r="AP76" s="52">
        <f t="shared" si="64"/>
        <v>7.0024268292682921</v>
      </c>
      <c r="AQ76" s="42">
        <f t="shared" si="65"/>
        <v>0.20487804878048779</v>
      </c>
      <c r="AR76" s="46">
        <v>46268</v>
      </c>
      <c r="AS76" s="46">
        <v>46268</v>
      </c>
      <c r="AT76" s="50">
        <f t="shared" si="66"/>
        <v>21</v>
      </c>
      <c r="AU76" s="50">
        <f t="shared" si="67"/>
        <v>228</v>
      </c>
      <c r="AV76" s="50">
        <f t="shared" si="68"/>
        <v>381</v>
      </c>
      <c r="AW76" s="54">
        <f t="shared" si="69"/>
        <v>-153</v>
      </c>
    </row>
    <row r="77" spans="1:49" x14ac:dyDescent="0.25">
      <c r="A77" s="33" t="s">
        <v>63</v>
      </c>
      <c r="B77" s="33" t="s">
        <v>64</v>
      </c>
      <c r="C77" s="33" t="s">
        <v>66</v>
      </c>
      <c r="D77" s="33" t="s">
        <v>152</v>
      </c>
      <c r="E77" s="34">
        <f>COUNTIF('Detalle por artículo'!$K$8:$K$592,D77)</f>
        <v>1</v>
      </c>
      <c r="F77" s="35">
        <f t="shared" si="41"/>
        <v>226.4814814814815</v>
      </c>
      <c r="G77" s="36">
        <f>SUMIF('Detalle por artículo'!$K$8:$K$592,$D77,'Detalle por artículo'!$E$8:$E$592)</f>
        <v>8.64</v>
      </c>
      <c r="H77" s="35">
        <f t="shared" si="42"/>
        <v>6</v>
      </c>
      <c r="I77" s="35">
        <f t="shared" si="43"/>
        <v>12</v>
      </c>
      <c r="J77" s="35">
        <f t="shared" si="44"/>
        <v>23</v>
      </c>
      <c r="K77" s="37">
        <f t="shared" si="45"/>
        <v>0.30857142857142861</v>
      </c>
      <c r="L77" s="36">
        <f>SUMIF('Detalle por artículo'!$K$8:$K$592,$D77,'Detalle por artículo'!$O$8:$O$592)</f>
        <v>1956.8000000000002</v>
      </c>
      <c r="M77" s="38">
        <f>SUMIF('Detalle por artículo'!$K$8:$K$592,$D77,'Detalle por artículo'!$I$8:$I$592)</f>
        <v>1785</v>
      </c>
      <c r="N77" s="38">
        <f>SUMIF('Detalle por artículo'!$K$8:$K$592,$D77,'Detalle por artículo'!$M$8:$M$592)</f>
        <v>90</v>
      </c>
      <c r="O77" s="39">
        <f t="shared" si="46"/>
        <v>4.8403361344537821</v>
      </c>
      <c r="P77" s="40">
        <f t="shared" si="47"/>
        <v>1096.2464985994397</v>
      </c>
      <c r="Q77" s="41">
        <f t="shared" si="48"/>
        <v>0.1</v>
      </c>
      <c r="R77" s="40">
        <f t="shared" si="49"/>
        <v>9.5040000000000013</v>
      </c>
      <c r="S77" s="42">
        <f>IFERROR(SUM($G$8:G77)/$G$6,0)</f>
        <v>0.59918516375251551</v>
      </c>
      <c r="T77" s="43" t="str">
        <f t="shared" si="50"/>
        <v>B</v>
      </c>
      <c r="U77" s="44">
        <v>1791</v>
      </c>
      <c r="V77" s="45">
        <f t="shared" si="51"/>
        <v>6</v>
      </c>
      <c r="W77" s="46">
        <v>46281</v>
      </c>
      <c r="X77" s="46">
        <v>46281</v>
      </c>
      <c r="Y77" s="47">
        <v>0</v>
      </c>
      <c r="Z77" s="48">
        <f t="shared" si="52"/>
        <v>0</v>
      </c>
      <c r="AA77" s="49">
        <f t="shared" si="53"/>
        <v>0</v>
      </c>
      <c r="AB77" s="44">
        <v>1097</v>
      </c>
      <c r="AC77" s="44">
        <f t="shared" si="54"/>
        <v>642</v>
      </c>
      <c r="AD77" s="44">
        <f t="shared" si="55"/>
        <v>431</v>
      </c>
      <c r="AE77" s="50">
        <f t="shared" si="56"/>
        <v>48</v>
      </c>
      <c r="AF77" s="41">
        <f t="shared" si="57"/>
        <v>0.96</v>
      </c>
      <c r="AG77" s="44">
        <v>6</v>
      </c>
      <c r="AH77" s="44">
        <v>18</v>
      </c>
      <c r="AI77" s="42">
        <f t="shared" si="58"/>
        <v>0.35966386554621849</v>
      </c>
      <c r="AJ77" s="42">
        <f t="shared" si="59"/>
        <v>0.24145658263305322</v>
      </c>
      <c r="AK77" s="40">
        <f t="shared" si="60"/>
        <v>3.1074957983193281</v>
      </c>
      <c r="AL77" s="51">
        <v>691</v>
      </c>
      <c r="AM77" s="52">
        <f t="shared" si="61"/>
        <v>3.344672268907563</v>
      </c>
      <c r="AN77" s="42">
        <f t="shared" si="62"/>
        <v>0.38581797878280288</v>
      </c>
      <c r="AO77" s="53">
        <f t="shared" si="63"/>
        <v>688</v>
      </c>
      <c r="AP77" s="52">
        <f t="shared" si="64"/>
        <v>3.3301512605042021</v>
      </c>
      <c r="AQ77" s="42">
        <f t="shared" si="65"/>
        <v>0.60112044817927168</v>
      </c>
      <c r="AR77" s="46">
        <v>46281</v>
      </c>
      <c r="AS77" s="46">
        <v>46282</v>
      </c>
      <c r="AT77" s="50">
        <f t="shared" si="66"/>
        <v>1</v>
      </c>
      <c r="AU77" s="50">
        <f t="shared" si="67"/>
        <v>61</v>
      </c>
      <c r="AV77" s="50">
        <f t="shared" si="68"/>
        <v>57</v>
      </c>
      <c r="AW77" s="54">
        <f t="shared" si="69"/>
        <v>4</v>
      </c>
    </row>
    <row r="78" spans="1:49" x14ac:dyDescent="0.25">
      <c r="A78" s="33" t="s">
        <v>63</v>
      </c>
      <c r="B78" s="33" t="s">
        <v>110</v>
      </c>
      <c r="C78" s="33" t="s">
        <v>111</v>
      </c>
      <c r="D78" s="33" t="s">
        <v>153</v>
      </c>
      <c r="E78" s="34">
        <f>COUNTIF('Detalle por artículo'!$K$8:$K$592,D78)</f>
        <v>2</v>
      </c>
      <c r="F78" s="35">
        <f t="shared" si="41"/>
        <v>146.97916666666666</v>
      </c>
      <c r="G78" s="36">
        <f>SUMIF('Detalle por artículo'!$K$8:$K$592,$D78,'Detalle por artículo'!$E$8:$E$592)</f>
        <v>8.64</v>
      </c>
      <c r="H78" s="35">
        <f t="shared" si="42"/>
        <v>6</v>
      </c>
      <c r="I78" s="35">
        <f t="shared" si="43"/>
        <v>12</v>
      </c>
      <c r="J78" s="35">
        <f t="shared" si="44"/>
        <v>23</v>
      </c>
      <c r="K78" s="37">
        <f t="shared" si="45"/>
        <v>0.30857142857142861</v>
      </c>
      <c r="L78" s="36">
        <f>SUMIF('Detalle por artículo'!$K$8:$K$592,$D78,'Detalle por artículo'!$O$8:$O$592)</f>
        <v>1269.9000000000001</v>
      </c>
      <c r="M78" s="38">
        <f>SUMIF('Detalle por artículo'!$K$8:$K$592,$D78,'Detalle por artículo'!$I$8:$I$592)</f>
        <v>1879</v>
      </c>
      <c r="N78" s="38">
        <f>SUMIF('Detalle por artículo'!$K$8:$K$592,$D78,'Detalle por artículo'!$M$8:$M$592)</f>
        <v>94</v>
      </c>
      <c r="O78" s="39">
        <f t="shared" si="46"/>
        <v>4.5981905268759977</v>
      </c>
      <c r="P78" s="40">
        <f t="shared" si="47"/>
        <v>675.83821181479516</v>
      </c>
      <c r="Q78" s="41">
        <f t="shared" si="48"/>
        <v>0.15</v>
      </c>
      <c r="R78" s="40">
        <f t="shared" si="49"/>
        <v>9.9359999999999999</v>
      </c>
      <c r="S78" s="42">
        <f>IFERROR(SUM($G$8:G78)/$G$6,0)</f>
        <v>0.60236005086580302</v>
      </c>
      <c r="T78" s="43" t="str">
        <f t="shared" si="50"/>
        <v>B</v>
      </c>
      <c r="U78" s="44">
        <v>1880</v>
      </c>
      <c r="V78" s="45">
        <f t="shared" si="51"/>
        <v>1</v>
      </c>
      <c r="W78" s="46">
        <v>46238</v>
      </c>
      <c r="X78" s="46">
        <v>46289</v>
      </c>
      <c r="Y78" s="47">
        <v>22</v>
      </c>
      <c r="Z78" s="48">
        <f t="shared" si="52"/>
        <v>0.10116019159127196</v>
      </c>
      <c r="AA78" s="49">
        <f t="shared" si="53"/>
        <v>3.6128639854025699E-3</v>
      </c>
      <c r="AB78" s="44">
        <v>68</v>
      </c>
      <c r="AC78" s="44">
        <f t="shared" si="54"/>
        <v>45</v>
      </c>
      <c r="AD78" s="44">
        <f t="shared" si="55"/>
        <v>1</v>
      </c>
      <c r="AE78" s="50">
        <f t="shared" si="56"/>
        <v>0</v>
      </c>
      <c r="AF78" s="41">
        <f t="shared" si="57"/>
        <v>0</v>
      </c>
      <c r="AG78" s="44">
        <v>8</v>
      </c>
      <c r="AH78" s="44">
        <v>14</v>
      </c>
      <c r="AI78" s="42">
        <f t="shared" si="58"/>
        <v>2.3948908994145823E-2</v>
      </c>
      <c r="AJ78" s="42">
        <f t="shared" si="59"/>
        <v>5.3219797764768491E-4</v>
      </c>
      <c r="AK78" s="40">
        <f t="shared" si="60"/>
        <v>0.20691857370941988</v>
      </c>
      <c r="AL78" s="51">
        <v>1812</v>
      </c>
      <c r="AM78" s="52">
        <f t="shared" si="61"/>
        <v>8.3319212346993083</v>
      </c>
      <c r="AN78" s="42">
        <f t="shared" si="62"/>
        <v>0.96382978723404256</v>
      </c>
      <c r="AO78" s="53">
        <f t="shared" si="63"/>
        <v>1811</v>
      </c>
      <c r="AP78" s="52">
        <f t="shared" si="64"/>
        <v>8.3273230441724326</v>
      </c>
      <c r="AQ78" s="42">
        <f t="shared" si="65"/>
        <v>2.4481106971793506E-2</v>
      </c>
      <c r="AR78" s="46">
        <v>46281</v>
      </c>
      <c r="AS78" s="46">
        <v>46283</v>
      </c>
      <c r="AT78" s="50">
        <f t="shared" si="66"/>
        <v>45</v>
      </c>
      <c r="AU78" s="50">
        <f t="shared" si="67"/>
        <v>48</v>
      </c>
      <c r="AV78" s="50">
        <f t="shared" si="68"/>
        <v>393</v>
      </c>
      <c r="AW78" s="54">
        <f t="shared" si="69"/>
        <v>-345</v>
      </c>
    </row>
    <row r="79" spans="1:49" x14ac:dyDescent="0.25">
      <c r="A79" s="33" t="s">
        <v>63</v>
      </c>
      <c r="B79" s="33" t="s">
        <v>64</v>
      </c>
      <c r="C79" s="33" t="s">
        <v>57</v>
      </c>
      <c r="D79" s="33" t="s">
        <v>154</v>
      </c>
      <c r="E79" s="34">
        <f>COUNTIF('Detalle por artículo'!$K$8:$K$592,D79)</f>
        <v>1</v>
      </c>
      <c r="F79" s="35">
        <f t="shared" si="41"/>
        <v>113.92226148409893</v>
      </c>
      <c r="G79" s="36">
        <f>SUMIF('Detalle por artículo'!$K$8:$K$592,$D79,'Detalle por artículo'!$E$8:$E$592)</f>
        <v>8.49</v>
      </c>
      <c r="H79" s="35">
        <f t="shared" si="42"/>
        <v>6</v>
      </c>
      <c r="I79" s="35">
        <f t="shared" si="43"/>
        <v>12</v>
      </c>
      <c r="J79" s="35">
        <f t="shared" si="44"/>
        <v>23</v>
      </c>
      <c r="K79" s="37">
        <f t="shared" si="45"/>
        <v>0.30321428571428571</v>
      </c>
      <c r="L79" s="36">
        <f>SUMIF('Detalle por artículo'!$K$8:$K$592,$D79,'Detalle por artículo'!$O$8:$O$592)</f>
        <v>967.19999999999993</v>
      </c>
      <c r="M79" s="38">
        <f>SUMIF('Detalle por artículo'!$K$8:$K$592,$D79,'Detalle por artículo'!$I$8:$I$592)</f>
        <v>776</v>
      </c>
      <c r="N79" s="38">
        <f>SUMIF('Detalle por artículo'!$K$8:$K$592,$D79,'Detalle por artículo'!$M$8:$M$592)</f>
        <v>77</v>
      </c>
      <c r="O79" s="39">
        <f t="shared" si="46"/>
        <v>10.940721649484535</v>
      </c>
      <c r="P79" s="40">
        <f t="shared" si="47"/>
        <v>1246.3917525773195</v>
      </c>
      <c r="Q79" s="41">
        <f t="shared" si="48"/>
        <v>0.2</v>
      </c>
      <c r="R79" s="40">
        <f t="shared" si="49"/>
        <v>10.188000000000001</v>
      </c>
      <c r="S79" s="42">
        <f>IFERROR(SUM($G$8:G79)/$G$6,0)</f>
        <v>0.6054798184111515</v>
      </c>
      <c r="T79" s="43" t="str">
        <f t="shared" si="50"/>
        <v>B</v>
      </c>
      <c r="U79" s="44">
        <v>776</v>
      </c>
      <c r="V79" s="45">
        <f t="shared" si="51"/>
        <v>0</v>
      </c>
      <c r="W79" s="46">
        <v>46302</v>
      </c>
      <c r="X79" s="46">
        <v>46302</v>
      </c>
      <c r="Y79" s="47">
        <v>0</v>
      </c>
      <c r="Z79" s="48">
        <f t="shared" si="52"/>
        <v>0</v>
      </c>
      <c r="AA79" s="49">
        <f t="shared" si="53"/>
        <v>0</v>
      </c>
      <c r="AB79" s="44">
        <v>485</v>
      </c>
      <c r="AC79" s="44">
        <f t="shared" si="54"/>
        <v>448</v>
      </c>
      <c r="AD79" s="44">
        <f t="shared" si="55"/>
        <v>35</v>
      </c>
      <c r="AE79" s="50">
        <f t="shared" si="56"/>
        <v>48</v>
      </c>
      <c r="AF79" s="41">
        <f t="shared" si="57"/>
        <v>0.96</v>
      </c>
      <c r="AG79" s="44">
        <v>2</v>
      </c>
      <c r="AH79" s="44">
        <v>0</v>
      </c>
      <c r="AI79" s="42">
        <f t="shared" si="58"/>
        <v>0.57731958762886593</v>
      </c>
      <c r="AJ79" s="42">
        <f t="shared" si="59"/>
        <v>4.5103092783505154E-2</v>
      </c>
      <c r="AK79" s="40">
        <f t="shared" si="60"/>
        <v>4.9014432989690722</v>
      </c>
      <c r="AL79" s="51">
        <v>291</v>
      </c>
      <c r="AM79" s="52">
        <f t="shared" si="61"/>
        <v>3.1837499999999999</v>
      </c>
      <c r="AN79" s="42">
        <f t="shared" si="62"/>
        <v>0.375</v>
      </c>
      <c r="AO79" s="53">
        <f t="shared" si="63"/>
        <v>291</v>
      </c>
      <c r="AP79" s="52">
        <f t="shared" si="64"/>
        <v>3.1837499999999999</v>
      </c>
      <c r="AQ79" s="42">
        <f t="shared" si="65"/>
        <v>0.62242268041237114</v>
      </c>
      <c r="AR79" s="46">
        <v>46303</v>
      </c>
      <c r="AS79" s="46">
        <v>46304</v>
      </c>
      <c r="AT79" s="50">
        <f t="shared" si="66"/>
        <v>2</v>
      </c>
      <c r="AU79" s="50">
        <f t="shared" si="67"/>
        <v>260</v>
      </c>
      <c r="AV79" s="50">
        <f t="shared" si="68"/>
        <v>280</v>
      </c>
      <c r="AW79" s="54">
        <f t="shared" si="69"/>
        <v>-20</v>
      </c>
    </row>
    <row r="80" spans="1:49" x14ac:dyDescent="0.25">
      <c r="A80" s="33" t="s">
        <v>63</v>
      </c>
      <c r="B80" s="33" t="s">
        <v>84</v>
      </c>
      <c r="C80" s="33" t="s">
        <v>94</v>
      </c>
      <c r="D80" s="33" t="s">
        <v>155</v>
      </c>
      <c r="E80" s="34">
        <f>COUNTIF('Detalle por artículo'!$K$8:$K$592,D80)</f>
        <v>1</v>
      </c>
      <c r="F80" s="35">
        <f t="shared" si="41"/>
        <v>135.60426540284362</v>
      </c>
      <c r="G80" s="36">
        <f>SUMIF('Detalle por artículo'!$K$8:$K$592,$D80,'Detalle por artículo'!$E$8:$E$592)</f>
        <v>8.44</v>
      </c>
      <c r="H80" s="35">
        <f t="shared" si="42"/>
        <v>6</v>
      </c>
      <c r="I80" s="35">
        <f t="shared" si="43"/>
        <v>11</v>
      </c>
      <c r="J80" s="35">
        <f t="shared" si="44"/>
        <v>22</v>
      </c>
      <c r="K80" s="37">
        <f t="shared" si="45"/>
        <v>0.30142857142857143</v>
      </c>
      <c r="L80" s="36">
        <f>SUMIF('Detalle por artículo'!$K$8:$K$592,$D80,'Detalle por artículo'!$O$8:$O$592)</f>
        <v>1144.5</v>
      </c>
      <c r="M80" s="38">
        <f>SUMIF('Detalle por artículo'!$K$8:$K$592,$D80,'Detalle por artículo'!$I$8:$I$592)</f>
        <v>1836</v>
      </c>
      <c r="N80" s="38">
        <f>SUMIF('Detalle por artículo'!$K$8:$K$592,$D80,'Detalle por artículo'!$M$8:$M$592)</f>
        <v>81</v>
      </c>
      <c r="O80" s="39">
        <f t="shared" si="46"/>
        <v>4.5969498910675375</v>
      </c>
      <c r="P80" s="40">
        <f t="shared" si="47"/>
        <v>623.3660130718954</v>
      </c>
      <c r="Q80" s="41">
        <f t="shared" si="48"/>
        <v>0.15</v>
      </c>
      <c r="R80" s="40">
        <f t="shared" si="49"/>
        <v>9.7059999999999995</v>
      </c>
      <c r="S80" s="42">
        <f>IFERROR(SUM($G$8:G80)/$G$6,0)</f>
        <v>0.60858121276718702</v>
      </c>
      <c r="T80" s="43" t="str">
        <f t="shared" si="50"/>
        <v>B</v>
      </c>
      <c r="U80" s="44">
        <v>1836</v>
      </c>
      <c r="V80" s="45">
        <f t="shared" si="51"/>
        <v>0</v>
      </c>
      <c r="W80" s="46">
        <v>46237</v>
      </c>
      <c r="X80" s="46">
        <v>46237</v>
      </c>
      <c r="Y80" s="47">
        <v>13</v>
      </c>
      <c r="Z80" s="48">
        <f t="shared" si="52"/>
        <v>5.9760348583877985E-2</v>
      </c>
      <c r="AA80" s="49">
        <f t="shared" si="53"/>
        <v>2.1342981637099282E-3</v>
      </c>
      <c r="AB80" s="44">
        <v>1172</v>
      </c>
      <c r="AC80" s="44">
        <f t="shared" si="54"/>
        <v>721</v>
      </c>
      <c r="AD80" s="44">
        <f t="shared" si="55"/>
        <v>432</v>
      </c>
      <c r="AE80" s="50">
        <f t="shared" si="56"/>
        <v>49</v>
      </c>
      <c r="AF80" s="41">
        <f t="shared" si="57"/>
        <v>0.98</v>
      </c>
      <c r="AG80" s="44">
        <v>7</v>
      </c>
      <c r="AH80" s="44">
        <v>14</v>
      </c>
      <c r="AI80" s="42">
        <f t="shared" si="58"/>
        <v>0.39270152505446621</v>
      </c>
      <c r="AJ80" s="42">
        <f t="shared" si="59"/>
        <v>0.23529411764705882</v>
      </c>
      <c r="AK80" s="40">
        <f t="shared" si="60"/>
        <v>3.3144008714596942</v>
      </c>
      <c r="AL80" s="51">
        <v>664</v>
      </c>
      <c r="AM80" s="52">
        <f t="shared" si="61"/>
        <v>3.0523747276688451</v>
      </c>
      <c r="AN80" s="42">
        <f t="shared" si="62"/>
        <v>0.36165577342047928</v>
      </c>
      <c r="AO80" s="53">
        <f t="shared" si="63"/>
        <v>664</v>
      </c>
      <c r="AP80" s="52">
        <f t="shared" si="64"/>
        <v>3.0523747276688451</v>
      </c>
      <c r="AQ80" s="42">
        <f t="shared" si="65"/>
        <v>0.62799564270152508</v>
      </c>
      <c r="AR80" s="46">
        <v>46254</v>
      </c>
      <c r="AS80" s="46">
        <v>46255</v>
      </c>
      <c r="AT80" s="50">
        <f t="shared" si="66"/>
        <v>18</v>
      </c>
      <c r="AU80" s="50">
        <f t="shared" si="67"/>
        <v>52</v>
      </c>
      <c r="AV80" s="50">
        <f t="shared" si="68"/>
        <v>51</v>
      </c>
      <c r="AW80" s="54">
        <f t="shared" si="69"/>
        <v>1</v>
      </c>
    </row>
    <row r="81" spans="1:49" x14ac:dyDescent="0.25">
      <c r="A81" s="33" t="s">
        <v>55</v>
      </c>
      <c r="B81" s="33" t="s">
        <v>56</v>
      </c>
      <c r="C81" s="33" t="s">
        <v>66</v>
      </c>
      <c r="D81" s="33" t="s">
        <v>156</v>
      </c>
      <c r="E81" s="34">
        <f>COUNTIF('Detalle por artículo'!$K$8:$K$592,D81)</f>
        <v>1</v>
      </c>
      <c r="F81" s="35">
        <f t="shared" si="41"/>
        <v>117.64846743295017</v>
      </c>
      <c r="G81" s="36">
        <f>SUMIF('Detalle por artículo'!$K$8:$K$592,$D81,'Detalle por artículo'!$E$8:$E$592)</f>
        <v>8.3520000000000003</v>
      </c>
      <c r="H81" s="35">
        <f t="shared" si="42"/>
        <v>6</v>
      </c>
      <c r="I81" s="35">
        <f t="shared" si="43"/>
        <v>11</v>
      </c>
      <c r="J81" s="35">
        <f t="shared" si="44"/>
        <v>22</v>
      </c>
      <c r="K81" s="37">
        <f t="shared" si="45"/>
        <v>0.29828571428571432</v>
      </c>
      <c r="L81" s="36">
        <f>SUMIF('Detalle por artículo'!$K$8:$K$592,$D81,'Detalle por artículo'!$O$8:$O$592)</f>
        <v>982.59999999999991</v>
      </c>
      <c r="M81" s="38">
        <f>SUMIF('Detalle por artículo'!$K$8:$K$592,$D81,'Detalle por artículo'!$I$8:$I$592)</f>
        <v>760</v>
      </c>
      <c r="N81" s="38">
        <f>SUMIF('Detalle por artículo'!$K$8:$K$592,$D81,'Detalle por artículo'!$M$8:$M$592)</f>
        <v>76</v>
      </c>
      <c r="O81" s="39">
        <f t="shared" si="46"/>
        <v>10.989473684210527</v>
      </c>
      <c r="P81" s="40">
        <f t="shared" si="47"/>
        <v>1292.8947368421052</v>
      </c>
      <c r="Q81" s="41">
        <f t="shared" si="48"/>
        <v>0.2</v>
      </c>
      <c r="R81" s="40">
        <f t="shared" si="49"/>
        <v>10.022399999999999</v>
      </c>
      <c r="S81" s="42">
        <f>IFERROR(SUM($G$8:G81)/$G$6,0)</f>
        <v>0.61165027031003172</v>
      </c>
      <c r="T81" s="43" t="str">
        <f t="shared" si="50"/>
        <v>B</v>
      </c>
      <c r="U81" s="44">
        <v>760</v>
      </c>
      <c r="V81" s="45">
        <f t="shared" si="51"/>
        <v>0</v>
      </c>
      <c r="W81" s="46">
        <v>46286</v>
      </c>
      <c r="X81" s="46">
        <v>46286</v>
      </c>
      <c r="Y81" s="47">
        <v>0</v>
      </c>
      <c r="Z81" s="48">
        <f t="shared" si="52"/>
        <v>0</v>
      </c>
      <c r="AA81" s="49">
        <f t="shared" si="53"/>
        <v>0</v>
      </c>
      <c r="AB81" s="44">
        <v>45</v>
      </c>
      <c r="AC81" s="44">
        <f t="shared" si="54"/>
        <v>38</v>
      </c>
      <c r="AD81" s="44">
        <f t="shared" si="55"/>
        <v>0</v>
      </c>
      <c r="AE81" s="50">
        <f t="shared" si="56"/>
        <v>1</v>
      </c>
      <c r="AF81" s="41">
        <f t="shared" si="57"/>
        <v>0.02</v>
      </c>
      <c r="AG81" s="44">
        <v>7</v>
      </c>
      <c r="AH81" s="44">
        <v>0</v>
      </c>
      <c r="AI81" s="42">
        <f t="shared" si="58"/>
        <v>0.05</v>
      </c>
      <c r="AJ81" s="42">
        <f t="shared" si="59"/>
        <v>0</v>
      </c>
      <c r="AK81" s="40">
        <f t="shared" si="60"/>
        <v>0.41760000000000003</v>
      </c>
      <c r="AL81" s="51">
        <v>715</v>
      </c>
      <c r="AM81" s="52">
        <f t="shared" si="61"/>
        <v>7.8574736842105271</v>
      </c>
      <c r="AN81" s="42">
        <f t="shared" si="62"/>
        <v>0.94078947368421051</v>
      </c>
      <c r="AO81" s="53">
        <f t="shared" si="63"/>
        <v>715</v>
      </c>
      <c r="AP81" s="52">
        <f t="shared" si="64"/>
        <v>7.8574736842105271</v>
      </c>
      <c r="AQ81" s="42">
        <f t="shared" si="65"/>
        <v>0.05</v>
      </c>
      <c r="AR81" s="46">
        <v>46293</v>
      </c>
      <c r="AS81" s="46">
        <v>46294</v>
      </c>
      <c r="AT81" s="50">
        <f t="shared" si="66"/>
        <v>8</v>
      </c>
      <c r="AU81" s="50">
        <f t="shared" si="67"/>
        <v>269</v>
      </c>
      <c r="AV81" s="50">
        <f t="shared" si="68"/>
        <v>400</v>
      </c>
      <c r="AW81" s="54">
        <f t="shared" si="69"/>
        <v>-131</v>
      </c>
    </row>
    <row r="82" spans="1:49" x14ac:dyDescent="0.25">
      <c r="A82" s="33" t="s">
        <v>63</v>
      </c>
      <c r="B82" s="33" t="s">
        <v>64</v>
      </c>
      <c r="C82" s="33" t="s">
        <v>66</v>
      </c>
      <c r="D82" s="33" t="s">
        <v>157</v>
      </c>
      <c r="E82" s="34">
        <f>COUNTIF('Detalle por artículo'!$K$8:$K$592,D82)</f>
        <v>2</v>
      </c>
      <c r="F82" s="35">
        <f t="shared" si="41"/>
        <v>156.92049808429118</v>
      </c>
      <c r="G82" s="36">
        <f>SUMIF('Detalle por artículo'!$K$8:$K$592,$D82,'Detalle por artículo'!$E$8:$E$592)</f>
        <v>8.3520000000000003</v>
      </c>
      <c r="H82" s="35">
        <f t="shared" si="42"/>
        <v>6</v>
      </c>
      <c r="I82" s="35">
        <f t="shared" si="43"/>
        <v>11</v>
      </c>
      <c r="J82" s="35">
        <f t="shared" si="44"/>
        <v>22</v>
      </c>
      <c r="K82" s="37">
        <f t="shared" si="45"/>
        <v>0.29828571428571432</v>
      </c>
      <c r="L82" s="36">
        <f>SUMIF('Detalle por artículo'!$K$8:$K$592,$D82,'Detalle por artículo'!$O$8:$O$592)</f>
        <v>1310.5999999999999</v>
      </c>
      <c r="M82" s="38">
        <f>SUMIF('Detalle por artículo'!$K$8:$K$592,$D82,'Detalle por artículo'!$I$8:$I$592)</f>
        <v>1711</v>
      </c>
      <c r="N82" s="38">
        <f>SUMIF('Detalle por artículo'!$K$8:$K$592,$D82,'Detalle por artículo'!$M$8:$M$592)</f>
        <v>87</v>
      </c>
      <c r="O82" s="39">
        <f t="shared" si="46"/>
        <v>4.8813559322033901</v>
      </c>
      <c r="P82" s="40">
        <f t="shared" si="47"/>
        <v>765.98480420806538</v>
      </c>
      <c r="Q82" s="41">
        <f t="shared" si="48"/>
        <v>0.15</v>
      </c>
      <c r="R82" s="40">
        <f t="shared" si="49"/>
        <v>9.6047999999999991</v>
      </c>
      <c r="S82" s="42">
        <f>IFERROR(SUM($G$8:G82)/$G$6,0)</f>
        <v>0.61471932785287631</v>
      </c>
      <c r="T82" s="43" t="str">
        <f t="shared" si="50"/>
        <v>B</v>
      </c>
      <c r="U82" s="44">
        <v>1711</v>
      </c>
      <c r="V82" s="45">
        <f t="shared" si="51"/>
        <v>0</v>
      </c>
      <c r="W82" s="46">
        <v>46281</v>
      </c>
      <c r="X82" s="46">
        <v>46309</v>
      </c>
      <c r="Y82" s="47">
        <v>0</v>
      </c>
      <c r="Z82" s="48">
        <f t="shared" si="52"/>
        <v>0</v>
      </c>
      <c r="AA82" s="49">
        <f t="shared" si="53"/>
        <v>0</v>
      </c>
      <c r="AB82" s="44">
        <v>1093</v>
      </c>
      <c r="AC82" s="44">
        <f t="shared" si="54"/>
        <v>422</v>
      </c>
      <c r="AD82" s="44">
        <f t="shared" si="55"/>
        <v>662</v>
      </c>
      <c r="AE82" s="50">
        <f t="shared" si="56"/>
        <v>49</v>
      </c>
      <c r="AF82" s="41">
        <f t="shared" si="57"/>
        <v>0.98</v>
      </c>
      <c r="AG82" s="44">
        <v>1</v>
      </c>
      <c r="AH82" s="44">
        <v>8</v>
      </c>
      <c r="AI82" s="42">
        <f t="shared" si="58"/>
        <v>0.24663939216832262</v>
      </c>
      <c r="AJ82" s="42">
        <f t="shared" si="59"/>
        <v>0.38690824079485681</v>
      </c>
      <c r="AK82" s="40">
        <f t="shared" si="60"/>
        <v>2.0599322033898306</v>
      </c>
      <c r="AL82" s="51">
        <v>617</v>
      </c>
      <c r="AM82" s="52">
        <f t="shared" si="61"/>
        <v>3.0117966101694917</v>
      </c>
      <c r="AN82" s="42">
        <f t="shared" si="62"/>
        <v>0.36060783167738164</v>
      </c>
      <c r="AO82" s="53">
        <f t="shared" si="63"/>
        <v>618</v>
      </c>
      <c r="AP82" s="52">
        <f t="shared" si="64"/>
        <v>3.0166779661016947</v>
      </c>
      <c r="AQ82" s="42">
        <f t="shared" si="65"/>
        <v>0.6335476329631794</v>
      </c>
      <c r="AR82" s="46">
        <v>46281</v>
      </c>
      <c r="AS82" s="46">
        <v>46282</v>
      </c>
      <c r="AT82" s="50">
        <f t="shared" si="66"/>
        <v>1</v>
      </c>
      <c r="AU82" s="50">
        <f t="shared" si="67"/>
        <v>65</v>
      </c>
      <c r="AV82" s="50">
        <f t="shared" si="68"/>
        <v>59</v>
      </c>
      <c r="AW82" s="54">
        <f t="shared" si="69"/>
        <v>6</v>
      </c>
    </row>
    <row r="83" spans="1:49" x14ac:dyDescent="0.25">
      <c r="A83" s="33" t="s">
        <v>138</v>
      </c>
      <c r="B83" s="33" t="s">
        <v>139</v>
      </c>
      <c r="C83" s="33" t="s">
        <v>122</v>
      </c>
      <c r="D83" s="33" t="s">
        <v>158</v>
      </c>
      <c r="E83" s="34">
        <f>COUNTIF('Detalle por artículo'!$K$8:$K$592,D83)</f>
        <v>2</v>
      </c>
      <c r="F83" s="35">
        <f t="shared" si="41"/>
        <v>105.25622605363985</v>
      </c>
      <c r="G83" s="36">
        <f>SUMIF('Detalle por artículo'!$K$8:$K$592,$D83,'Detalle por artículo'!$E$8:$E$592)</f>
        <v>8.3520000000000003</v>
      </c>
      <c r="H83" s="35">
        <f t="shared" si="42"/>
        <v>6</v>
      </c>
      <c r="I83" s="35">
        <f t="shared" si="43"/>
        <v>11</v>
      </c>
      <c r="J83" s="35">
        <f t="shared" si="44"/>
        <v>22</v>
      </c>
      <c r="K83" s="37">
        <f t="shared" si="45"/>
        <v>0.29828571428571432</v>
      </c>
      <c r="L83" s="36">
        <f>SUMIF('Detalle por artículo'!$K$8:$K$592,$D83,'Detalle por artículo'!$O$8:$O$592)</f>
        <v>879.1</v>
      </c>
      <c r="M83" s="38">
        <f>SUMIF('Detalle por artículo'!$K$8:$K$592,$D83,'Detalle por artículo'!$I$8:$I$592)</f>
        <v>1126</v>
      </c>
      <c r="N83" s="38">
        <f>SUMIF('Detalle por artículo'!$K$8:$K$592,$D83,'Detalle por artículo'!$M$8:$M$592)</f>
        <v>87</v>
      </c>
      <c r="O83" s="39">
        <f t="shared" si="46"/>
        <v>7.4174067495559513</v>
      </c>
      <c r="P83" s="40">
        <f t="shared" si="47"/>
        <v>780.72824156305512</v>
      </c>
      <c r="Q83" s="41">
        <f t="shared" si="48"/>
        <v>0.2</v>
      </c>
      <c r="R83" s="40">
        <f t="shared" si="49"/>
        <v>10.022399999999999</v>
      </c>
      <c r="S83" s="42">
        <f>IFERROR(SUM($G$8:G83)/$G$6,0)</f>
        <v>0.61778838539572101</v>
      </c>
      <c r="T83" s="43" t="str">
        <f t="shared" si="50"/>
        <v>B</v>
      </c>
      <c r="U83" s="44">
        <v>1126</v>
      </c>
      <c r="V83" s="45">
        <f t="shared" si="51"/>
        <v>0</v>
      </c>
      <c r="W83" s="46">
        <v>46252</v>
      </c>
      <c r="X83" s="46">
        <v>46252</v>
      </c>
      <c r="Y83" s="47">
        <v>0</v>
      </c>
      <c r="Z83" s="48">
        <f t="shared" si="52"/>
        <v>0</v>
      </c>
      <c r="AA83" s="49">
        <f t="shared" si="53"/>
        <v>0</v>
      </c>
      <c r="AB83" s="44">
        <v>453</v>
      </c>
      <c r="AC83" s="44">
        <f t="shared" si="54"/>
        <v>409</v>
      </c>
      <c r="AD83" s="44">
        <f t="shared" si="55"/>
        <v>31</v>
      </c>
      <c r="AE83" s="50">
        <f t="shared" si="56"/>
        <v>33</v>
      </c>
      <c r="AF83" s="41">
        <f t="shared" si="57"/>
        <v>0.66</v>
      </c>
      <c r="AG83" s="44">
        <v>1</v>
      </c>
      <c r="AH83" s="44">
        <v>12</v>
      </c>
      <c r="AI83" s="42">
        <f t="shared" si="58"/>
        <v>0.36323268206039078</v>
      </c>
      <c r="AJ83" s="42">
        <f t="shared" si="59"/>
        <v>2.7531083481349913E-2</v>
      </c>
      <c r="AK83" s="40">
        <f t="shared" si="60"/>
        <v>3.0337193605683841</v>
      </c>
      <c r="AL83" s="51">
        <v>673</v>
      </c>
      <c r="AM83" s="52">
        <f t="shared" si="61"/>
        <v>4.9919147424511552</v>
      </c>
      <c r="AN83" s="42">
        <f t="shared" si="62"/>
        <v>0.59769094138543521</v>
      </c>
      <c r="AO83" s="53">
        <f t="shared" si="63"/>
        <v>673</v>
      </c>
      <c r="AP83" s="52">
        <f t="shared" si="64"/>
        <v>4.9919147424511552</v>
      </c>
      <c r="AQ83" s="42">
        <f t="shared" si="65"/>
        <v>0.39076376554174069</v>
      </c>
      <c r="AR83" s="46">
        <v>46268</v>
      </c>
      <c r="AS83" s="46">
        <v>46269</v>
      </c>
      <c r="AT83" s="50">
        <f t="shared" si="66"/>
        <v>17</v>
      </c>
      <c r="AU83" s="50">
        <f t="shared" si="67"/>
        <v>145</v>
      </c>
      <c r="AV83" s="50">
        <f t="shared" si="68"/>
        <v>304</v>
      </c>
      <c r="AW83" s="54">
        <f t="shared" si="69"/>
        <v>-159</v>
      </c>
    </row>
    <row r="84" spans="1:49" x14ac:dyDescent="0.25">
      <c r="A84" s="33" t="s">
        <v>63</v>
      </c>
      <c r="B84" s="33" t="s">
        <v>64</v>
      </c>
      <c r="C84" s="33" t="s">
        <v>57</v>
      </c>
      <c r="D84" s="33" t="s">
        <v>159</v>
      </c>
      <c r="E84" s="34">
        <f>COUNTIF('Detalle por artículo'!$K$8:$K$592,D84)</f>
        <v>1</v>
      </c>
      <c r="F84" s="35">
        <f t="shared" si="41"/>
        <v>85.113856589147275</v>
      </c>
      <c r="G84" s="36">
        <f>SUMIF('Detalle por artículo'!$K$8:$K$592,$D84,'Detalle por artículo'!$E$8:$E$592)</f>
        <v>8.2560000000000002</v>
      </c>
      <c r="H84" s="35">
        <f t="shared" si="42"/>
        <v>6</v>
      </c>
      <c r="I84" s="35">
        <f t="shared" si="43"/>
        <v>11</v>
      </c>
      <c r="J84" s="35">
        <f t="shared" si="44"/>
        <v>22</v>
      </c>
      <c r="K84" s="37">
        <f t="shared" si="45"/>
        <v>0.29485714285714287</v>
      </c>
      <c r="L84" s="36">
        <f>SUMIF('Detalle por artículo'!$K$8:$K$592,$D84,'Detalle por artículo'!$O$8:$O$592)</f>
        <v>702.69999999999993</v>
      </c>
      <c r="M84" s="38">
        <f>SUMIF('Detalle por artículo'!$K$8:$K$592,$D84,'Detalle por artículo'!$I$8:$I$592)</f>
        <v>860</v>
      </c>
      <c r="N84" s="38">
        <f>SUMIF('Detalle por artículo'!$K$8:$K$592,$D84,'Detalle por artículo'!$M$8:$M$592)</f>
        <v>86</v>
      </c>
      <c r="O84" s="39">
        <f t="shared" si="46"/>
        <v>9.6000000000000014</v>
      </c>
      <c r="P84" s="40">
        <f t="shared" si="47"/>
        <v>817.09302325581393</v>
      </c>
      <c r="Q84" s="41">
        <f t="shared" si="48"/>
        <v>0.2</v>
      </c>
      <c r="R84" s="40">
        <f t="shared" si="49"/>
        <v>9.9071999999999996</v>
      </c>
      <c r="S84" s="42">
        <f>IFERROR(SUM($G$8:G84)/$G$6,0)</f>
        <v>0.6208221664150847</v>
      </c>
      <c r="T84" s="43" t="str">
        <f t="shared" si="50"/>
        <v>B</v>
      </c>
      <c r="U84" s="44">
        <v>860</v>
      </c>
      <c r="V84" s="45">
        <f t="shared" si="51"/>
        <v>0</v>
      </c>
      <c r="W84" s="46">
        <v>46253</v>
      </c>
      <c r="X84" s="46">
        <v>46253</v>
      </c>
      <c r="Y84" s="47">
        <v>0</v>
      </c>
      <c r="Z84" s="48">
        <f t="shared" si="52"/>
        <v>0</v>
      </c>
      <c r="AA84" s="49">
        <f t="shared" si="53"/>
        <v>0</v>
      </c>
      <c r="AB84" s="44">
        <v>94</v>
      </c>
      <c r="AC84" s="44">
        <f t="shared" si="54"/>
        <v>85</v>
      </c>
      <c r="AD84" s="44">
        <f t="shared" si="55"/>
        <v>0</v>
      </c>
      <c r="AE84" s="50">
        <f t="shared" si="56"/>
        <v>7</v>
      </c>
      <c r="AF84" s="41">
        <f t="shared" si="57"/>
        <v>0.14000000000000001</v>
      </c>
      <c r="AG84" s="44">
        <v>1</v>
      </c>
      <c r="AH84" s="44">
        <v>8</v>
      </c>
      <c r="AI84" s="42">
        <f t="shared" si="58"/>
        <v>9.8837209302325577E-2</v>
      </c>
      <c r="AJ84" s="42">
        <f t="shared" si="59"/>
        <v>0</v>
      </c>
      <c r="AK84" s="40">
        <f t="shared" si="60"/>
        <v>0.81600000000000006</v>
      </c>
      <c r="AL84" s="51">
        <v>766</v>
      </c>
      <c r="AM84" s="52">
        <f t="shared" si="61"/>
        <v>7.353600000000001</v>
      </c>
      <c r="AN84" s="42">
        <f t="shared" si="62"/>
        <v>0.8906976744186047</v>
      </c>
      <c r="AO84" s="53">
        <f t="shared" si="63"/>
        <v>766</v>
      </c>
      <c r="AP84" s="52">
        <f t="shared" si="64"/>
        <v>7.353600000000001</v>
      </c>
      <c r="AQ84" s="42">
        <f t="shared" si="65"/>
        <v>9.8837209302325577E-2</v>
      </c>
      <c r="AR84" s="46">
        <v>46268</v>
      </c>
      <c r="AS84" s="46">
        <v>46268</v>
      </c>
      <c r="AT84" s="50">
        <f t="shared" si="66"/>
        <v>15</v>
      </c>
      <c r="AU84" s="50">
        <f t="shared" si="67"/>
        <v>209</v>
      </c>
      <c r="AV84" s="50">
        <f t="shared" si="68"/>
        <v>389</v>
      </c>
      <c r="AW84" s="54">
        <f t="shared" si="69"/>
        <v>-180</v>
      </c>
    </row>
    <row r="85" spans="1:49" x14ac:dyDescent="0.25">
      <c r="A85" s="33" t="s">
        <v>55</v>
      </c>
      <c r="B85" s="33" t="s">
        <v>56</v>
      </c>
      <c r="C85" s="33" t="s">
        <v>80</v>
      </c>
      <c r="D85" s="33" t="s">
        <v>160</v>
      </c>
      <c r="E85" s="34">
        <f>COUNTIF('Detalle por artículo'!$K$8:$K$592,D85)</f>
        <v>1</v>
      </c>
      <c r="F85" s="35">
        <f t="shared" si="41"/>
        <v>126.7892156862745</v>
      </c>
      <c r="G85" s="36">
        <f>SUMIF('Detalle por artículo'!$K$8:$K$592,$D85,'Detalle por artículo'!$E$8:$E$592)</f>
        <v>8.16</v>
      </c>
      <c r="H85" s="35">
        <f t="shared" si="42"/>
        <v>6</v>
      </c>
      <c r="I85" s="35">
        <f t="shared" si="43"/>
        <v>11</v>
      </c>
      <c r="J85" s="35">
        <f t="shared" si="44"/>
        <v>22</v>
      </c>
      <c r="K85" s="37">
        <f t="shared" si="45"/>
        <v>0.29142857142857143</v>
      </c>
      <c r="L85" s="36">
        <f>SUMIF('Detalle por artículo'!$K$8:$K$592,$D85,'Detalle por artículo'!$O$8:$O$592)</f>
        <v>1034.5999999999999</v>
      </c>
      <c r="M85" s="38">
        <f>SUMIF('Detalle por artículo'!$K$8:$K$592,$D85,'Detalle por artículo'!$I$8:$I$592)</f>
        <v>1099</v>
      </c>
      <c r="N85" s="38">
        <f>SUMIF('Detalle por artículo'!$K$8:$K$592,$D85,'Detalle por artículo'!$M$8:$M$592)</f>
        <v>85</v>
      </c>
      <c r="O85" s="39">
        <f t="shared" si="46"/>
        <v>7.4249317561419481</v>
      </c>
      <c r="P85" s="40">
        <f t="shared" si="47"/>
        <v>941.40127388535018</v>
      </c>
      <c r="Q85" s="41">
        <f t="shared" si="48"/>
        <v>0.15</v>
      </c>
      <c r="R85" s="40">
        <f t="shared" si="49"/>
        <v>9.3839999999999986</v>
      </c>
      <c r="S85" s="42">
        <f>IFERROR(SUM($G$8:G85)/$G$6,0)</f>
        <v>0.62382067091096738</v>
      </c>
      <c r="T85" s="43" t="str">
        <f t="shared" si="50"/>
        <v>B</v>
      </c>
      <c r="U85" s="44">
        <v>1099</v>
      </c>
      <c r="V85" s="45">
        <f t="shared" si="51"/>
        <v>0</v>
      </c>
      <c r="W85" s="46">
        <v>46297</v>
      </c>
      <c r="X85" s="46">
        <v>46297</v>
      </c>
      <c r="Y85" s="47">
        <v>0</v>
      </c>
      <c r="Z85" s="48">
        <f t="shared" si="52"/>
        <v>0</v>
      </c>
      <c r="AA85" s="49">
        <f t="shared" si="53"/>
        <v>0</v>
      </c>
      <c r="AB85" s="44">
        <v>503</v>
      </c>
      <c r="AC85" s="44">
        <f t="shared" si="54"/>
        <v>469</v>
      </c>
      <c r="AD85" s="44">
        <f t="shared" si="55"/>
        <v>32</v>
      </c>
      <c r="AE85" s="50">
        <f t="shared" si="56"/>
        <v>48</v>
      </c>
      <c r="AF85" s="41">
        <f t="shared" si="57"/>
        <v>0.96</v>
      </c>
      <c r="AG85" s="44">
        <v>2</v>
      </c>
      <c r="AH85" s="44">
        <v>0</v>
      </c>
      <c r="AI85" s="42">
        <f t="shared" si="58"/>
        <v>0.42675159235668791</v>
      </c>
      <c r="AJ85" s="42">
        <f t="shared" si="59"/>
        <v>2.9117379435850774E-2</v>
      </c>
      <c r="AK85" s="40">
        <f t="shared" si="60"/>
        <v>3.4822929936305735</v>
      </c>
      <c r="AL85" s="51">
        <v>596</v>
      </c>
      <c r="AM85" s="52">
        <f t="shared" si="61"/>
        <v>4.4252593266606013</v>
      </c>
      <c r="AN85" s="42">
        <f t="shared" si="62"/>
        <v>0.54231119199272071</v>
      </c>
      <c r="AO85" s="53">
        <f t="shared" si="63"/>
        <v>596</v>
      </c>
      <c r="AP85" s="52">
        <f t="shared" si="64"/>
        <v>4.4252593266606013</v>
      </c>
      <c r="AQ85" s="42">
        <f t="shared" si="65"/>
        <v>0.45586897179253866</v>
      </c>
      <c r="AR85" s="46">
        <v>46300</v>
      </c>
      <c r="AS85" s="46">
        <v>46300</v>
      </c>
      <c r="AT85" s="50">
        <f t="shared" si="66"/>
        <v>3</v>
      </c>
      <c r="AU85" s="50">
        <f t="shared" si="67"/>
        <v>150</v>
      </c>
      <c r="AV85" s="50">
        <f t="shared" si="68"/>
        <v>270</v>
      </c>
      <c r="AW85" s="54">
        <f t="shared" si="69"/>
        <v>-120</v>
      </c>
    </row>
    <row r="86" spans="1:49" x14ac:dyDescent="0.25">
      <c r="A86" s="33" t="s">
        <v>63</v>
      </c>
      <c r="B86" s="33" t="s">
        <v>64</v>
      </c>
      <c r="C86" s="33" t="s">
        <v>161</v>
      </c>
      <c r="D86" s="33" t="s">
        <v>162</v>
      </c>
      <c r="E86" s="34">
        <f>COUNTIF('Detalle por artículo'!$K$8:$K$592,D86)</f>
        <v>2</v>
      </c>
      <c r="F86" s="35">
        <f t="shared" si="41"/>
        <v>74.58093570177634</v>
      </c>
      <c r="G86" s="36">
        <f>SUMIF('Detalle por artículo'!$K$8:$K$592,$D86,'Detalle por artículo'!$E$8:$E$592)</f>
        <v>7.9939999999999998</v>
      </c>
      <c r="H86" s="35">
        <f t="shared" si="42"/>
        <v>6</v>
      </c>
      <c r="I86" s="35">
        <f t="shared" si="43"/>
        <v>11</v>
      </c>
      <c r="J86" s="35">
        <f t="shared" si="44"/>
        <v>21</v>
      </c>
      <c r="K86" s="37">
        <f t="shared" si="45"/>
        <v>0.28549999999999998</v>
      </c>
      <c r="L86" s="36">
        <f>SUMIF('Detalle por artículo'!$K$8:$K$592,$D86,'Detalle por artículo'!$O$8:$O$592)</f>
        <v>596.20000000000005</v>
      </c>
      <c r="M86" s="38">
        <f>SUMIF('Detalle por artículo'!$K$8:$K$592,$D86,'Detalle por artículo'!$I$8:$I$592)</f>
        <v>1496</v>
      </c>
      <c r="N86" s="38">
        <f>SUMIF('Detalle por artículo'!$K$8:$K$592,$D86,'Detalle por artículo'!$M$8:$M$592)</f>
        <v>78</v>
      </c>
      <c r="O86" s="39">
        <f t="shared" si="46"/>
        <v>5.3435828877005349</v>
      </c>
      <c r="P86" s="40">
        <f t="shared" si="47"/>
        <v>398.52941176470591</v>
      </c>
      <c r="Q86" s="41">
        <f t="shared" si="48"/>
        <v>0.2</v>
      </c>
      <c r="R86" s="40">
        <f t="shared" si="49"/>
        <v>9.5927999999999987</v>
      </c>
      <c r="S86" s="42">
        <f>IFERROR(SUM($G$8:G86)/$G$6,0)</f>
        <v>0.62675817641833076</v>
      </c>
      <c r="T86" s="43" t="str">
        <f t="shared" si="50"/>
        <v>B</v>
      </c>
      <c r="U86" s="44">
        <v>1496</v>
      </c>
      <c r="V86" s="45">
        <f t="shared" si="51"/>
        <v>0</v>
      </c>
      <c r="W86" s="46">
        <v>46265</v>
      </c>
      <c r="X86" s="46">
        <v>46265</v>
      </c>
      <c r="Y86" s="47">
        <v>0</v>
      </c>
      <c r="Z86" s="48">
        <f t="shared" si="52"/>
        <v>0</v>
      </c>
      <c r="AA86" s="49">
        <f t="shared" si="53"/>
        <v>0</v>
      </c>
      <c r="AB86" s="44">
        <v>1167</v>
      </c>
      <c r="AC86" s="44">
        <f t="shared" si="54"/>
        <v>822</v>
      </c>
      <c r="AD86" s="44">
        <f t="shared" si="55"/>
        <v>328</v>
      </c>
      <c r="AE86" s="50">
        <f t="shared" si="56"/>
        <v>49</v>
      </c>
      <c r="AF86" s="41">
        <f t="shared" si="57"/>
        <v>0.98</v>
      </c>
      <c r="AG86" s="44">
        <v>1</v>
      </c>
      <c r="AH86" s="44">
        <v>16</v>
      </c>
      <c r="AI86" s="42">
        <f t="shared" si="58"/>
        <v>0.54946524064171121</v>
      </c>
      <c r="AJ86" s="42">
        <f t="shared" si="59"/>
        <v>0.21925133689839571</v>
      </c>
      <c r="AK86" s="40">
        <f t="shared" si="60"/>
        <v>4.3924251336898399</v>
      </c>
      <c r="AL86" s="51">
        <v>329</v>
      </c>
      <c r="AM86" s="52">
        <f t="shared" si="61"/>
        <v>1.7580387700534759</v>
      </c>
      <c r="AN86" s="42">
        <f t="shared" si="62"/>
        <v>0.21991978609625668</v>
      </c>
      <c r="AO86" s="53">
        <f t="shared" si="63"/>
        <v>329</v>
      </c>
      <c r="AP86" s="52">
        <f t="shared" si="64"/>
        <v>1.7580387700534759</v>
      </c>
      <c r="AQ86" s="42">
        <f t="shared" si="65"/>
        <v>0.76871657754010692</v>
      </c>
      <c r="AR86" s="46">
        <v>46268</v>
      </c>
      <c r="AS86" s="46">
        <v>46268</v>
      </c>
      <c r="AT86" s="50">
        <f t="shared" si="66"/>
        <v>3</v>
      </c>
      <c r="AU86" s="50">
        <f t="shared" si="67"/>
        <v>97</v>
      </c>
      <c r="AV86" s="50">
        <f t="shared" si="68"/>
        <v>52</v>
      </c>
      <c r="AW86" s="54">
        <f t="shared" si="69"/>
        <v>45</v>
      </c>
    </row>
    <row r="87" spans="1:49" x14ac:dyDescent="0.25">
      <c r="A87" s="33" t="s">
        <v>63</v>
      </c>
      <c r="B87" s="33" t="s">
        <v>110</v>
      </c>
      <c r="C87" s="33" t="s">
        <v>100</v>
      </c>
      <c r="D87" s="33" t="s">
        <v>163</v>
      </c>
      <c r="E87" s="34">
        <f>COUNTIF('Detalle por artículo'!$K$8:$K$592,D87)</f>
        <v>3</v>
      </c>
      <c r="F87" s="35">
        <f t="shared" si="41"/>
        <v>156.27662240040087</v>
      </c>
      <c r="G87" s="36">
        <f>SUMIF('Detalle por artículo'!$K$8:$K$592,$D87,'Detalle por artículo'!$E$8:$E$592)</f>
        <v>7.9820000000000002</v>
      </c>
      <c r="H87" s="35">
        <f t="shared" si="42"/>
        <v>6</v>
      </c>
      <c r="I87" s="35">
        <f t="shared" si="43"/>
        <v>11</v>
      </c>
      <c r="J87" s="35">
        <f t="shared" si="44"/>
        <v>21</v>
      </c>
      <c r="K87" s="37">
        <f t="shared" si="45"/>
        <v>0.28507142857142859</v>
      </c>
      <c r="L87" s="36">
        <f>SUMIF('Detalle por artículo'!$K$8:$K$592,$D87,'Detalle por artículo'!$O$8:$O$592)</f>
        <v>1247.3999999999999</v>
      </c>
      <c r="M87" s="38">
        <f>SUMIF('Detalle por artículo'!$K$8:$K$592,$D87,'Detalle por artículo'!$I$8:$I$592)</f>
        <v>2950</v>
      </c>
      <c r="N87" s="38">
        <f>SUMIF('Detalle por artículo'!$K$8:$K$592,$D87,'Detalle por artículo'!$M$8:$M$592)</f>
        <v>86</v>
      </c>
      <c r="O87" s="39">
        <f t="shared" si="46"/>
        <v>2.705762711864407</v>
      </c>
      <c r="P87" s="40">
        <f t="shared" si="47"/>
        <v>422.84745762711862</v>
      </c>
      <c r="Q87" s="41">
        <f t="shared" si="48"/>
        <v>0.15</v>
      </c>
      <c r="R87" s="40">
        <f t="shared" si="49"/>
        <v>9.1792999999999996</v>
      </c>
      <c r="S87" s="42">
        <f>IFERROR(SUM($G$8:G87)/$G$6,0)</f>
        <v>0.62969127236025912</v>
      </c>
      <c r="T87" s="43" t="str">
        <f t="shared" si="50"/>
        <v>B</v>
      </c>
      <c r="U87" s="44">
        <v>2950</v>
      </c>
      <c r="V87" s="45">
        <f t="shared" si="51"/>
        <v>0</v>
      </c>
      <c r="W87" s="46">
        <v>46288</v>
      </c>
      <c r="X87" s="46">
        <v>46288</v>
      </c>
      <c r="Y87" s="47">
        <v>0</v>
      </c>
      <c r="Z87" s="48">
        <f t="shared" si="52"/>
        <v>0</v>
      </c>
      <c r="AA87" s="49">
        <f t="shared" si="53"/>
        <v>0</v>
      </c>
      <c r="AB87" s="44">
        <v>1184</v>
      </c>
      <c r="AC87" s="44">
        <f t="shared" si="54"/>
        <v>973</v>
      </c>
      <c r="AD87" s="44">
        <f t="shared" si="55"/>
        <v>211</v>
      </c>
      <c r="AE87" s="50">
        <f t="shared" si="56"/>
        <v>47</v>
      </c>
      <c r="AF87" s="41">
        <f t="shared" si="57"/>
        <v>0.94</v>
      </c>
      <c r="AG87" s="44">
        <v>5</v>
      </c>
      <c r="AH87" s="44">
        <v>0</v>
      </c>
      <c r="AI87" s="42">
        <f t="shared" si="58"/>
        <v>0.32983050847457629</v>
      </c>
      <c r="AJ87" s="42">
        <f t="shared" si="59"/>
        <v>7.1525423728813556E-2</v>
      </c>
      <c r="AK87" s="40">
        <f t="shared" si="60"/>
        <v>2.6327071186440678</v>
      </c>
      <c r="AL87" s="51">
        <v>1766</v>
      </c>
      <c r="AM87" s="52">
        <f t="shared" si="61"/>
        <v>4.778376949152543</v>
      </c>
      <c r="AN87" s="42">
        <f t="shared" si="62"/>
        <v>0.59864406779661017</v>
      </c>
      <c r="AO87" s="53">
        <f t="shared" si="63"/>
        <v>1766</v>
      </c>
      <c r="AP87" s="52">
        <f t="shared" si="64"/>
        <v>4.778376949152543</v>
      </c>
      <c r="AQ87" s="42">
        <f t="shared" si="65"/>
        <v>0.40135593220338983</v>
      </c>
      <c r="AR87" s="46">
        <v>46292</v>
      </c>
      <c r="AS87" s="46">
        <v>46293</v>
      </c>
      <c r="AT87" s="50">
        <f t="shared" si="66"/>
        <v>5</v>
      </c>
      <c r="AU87" s="50">
        <f t="shared" si="67"/>
        <v>23</v>
      </c>
      <c r="AV87" s="50">
        <f t="shared" si="68"/>
        <v>49</v>
      </c>
      <c r="AW87" s="54">
        <f t="shared" si="69"/>
        <v>-26</v>
      </c>
    </row>
    <row r="88" spans="1:49" x14ac:dyDescent="0.25">
      <c r="A88" s="33" t="s">
        <v>63</v>
      </c>
      <c r="B88" s="33" t="s">
        <v>64</v>
      </c>
      <c r="C88" s="33" t="s">
        <v>66</v>
      </c>
      <c r="D88" s="33" t="s">
        <v>164</v>
      </c>
      <c r="E88" s="34">
        <f>COUNTIF('Detalle por artículo'!$K$8:$K$592,D88)</f>
        <v>3</v>
      </c>
      <c r="F88" s="35">
        <f t="shared" si="41"/>
        <v>121.67419678714859</v>
      </c>
      <c r="G88" s="36">
        <f>SUMIF('Detalle por artículo'!$K$8:$K$592,$D88,'Detalle por artículo'!$E$8:$E$592)</f>
        <v>7.968</v>
      </c>
      <c r="H88" s="35">
        <f t="shared" si="42"/>
        <v>6</v>
      </c>
      <c r="I88" s="35">
        <f t="shared" si="43"/>
        <v>11</v>
      </c>
      <c r="J88" s="35">
        <f t="shared" si="44"/>
        <v>21</v>
      </c>
      <c r="K88" s="37">
        <f t="shared" si="45"/>
        <v>0.28457142857142859</v>
      </c>
      <c r="L88" s="36">
        <f>SUMIF('Detalle por artículo'!$K$8:$K$592,$D88,'Detalle por artículo'!$O$8:$O$592)</f>
        <v>969.5</v>
      </c>
      <c r="M88" s="38">
        <f>SUMIF('Detalle por artículo'!$K$8:$K$592,$D88,'Detalle por artículo'!$I$8:$I$592)</f>
        <v>1407</v>
      </c>
      <c r="N88" s="38">
        <f>SUMIF('Detalle por artículo'!$K$8:$K$592,$D88,'Detalle por artículo'!$M$8:$M$592)</f>
        <v>83</v>
      </c>
      <c r="O88" s="39">
        <f t="shared" si="46"/>
        <v>5.6631130063965882</v>
      </c>
      <c r="P88" s="40">
        <f t="shared" si="47"/>
        <v>689.05472636815921</v>
      </c>
      <c r="Q88" s="41">
        <f t="shared" si="48"/>
        <v>0.15</v>
      </c>
      <c r="R88" s="40">
        <f t="shared" si="49"/>
        <v>9.1631999999999998</v>
      </c>
      <c r="S88" s="42">
        <f>IFERROR(SUM($G$8:G88)/$G$6,0)</f>
        <v>0.6326192238091799</v>
      </c>
      <c r="T88" s="43" t="str">
        <f t="shared" si="50"/>
        <v>B</v>
      </c>
      <c r="U88" s="44">
        <v>1407</v>
      </c>
      <c r="V88" s="45">
        <f t="shared" si="51"/>
        <v>0</v>
      </c>
      <c r="W88" s="46">
        <v>46281</v>
      </c>
      <c r="X88" s="46">
        <v>46316</v>
      </c>
      <c r="Y88" s="47">
        <v>0</v>
      </c>
      <c r="Z88" s="48">
        <f t="shared" si="52"/>
        <v>0</v>
      </c>
      <c r="AA88" s="49">
        <f t="shared" si="53"/>
        <v>0</v>
      </c>
      <c r="AB88" s="44">
        <v>934</v>
      </c>
      <c r="AC88" s="44">
        <f t="shared" si="54"/>
        <v>730</v>
      </c>
      <c r="AD88" s="44">
        <f t="shared" si="55"/>
        <v>191</v>
      </c>
      <c r="AE88" s="50">
        <f t="shared" si="56"/>
        <v>49</v>
      </c>
      <c r="AF88" s="41">
        <f t="shared" si="57"/>
        <v>0.98</v>
      </c>
      <c r="AG88" s="44">
        <v>0</v>
      </c>
      <c r="AH88" s="44">
        <v>13</v>
      </c>
      <c r="AI88" s="42">
        <f t="shared" si="58"/>
        <v>0.51883439943141441</v>
      </c>
      <c r="AJ88" s="42">
        <f t="shared" si="59"/>
        <v>0.13574982231698648</v>
      </c>
      <c r="AK88" s="40">
        <f t="shared" si="60"/>
        <v>4.1340724946695087</v>
      </c>
      <c r="AL88" s="51">
        <v>472</v>
      </c>
      <c r="AM88" s="52">
        <f t="shared" si="61"/>
        <v>2.6729893390191894</v>
      </c>
      <c r="AN88" s="42">
        <f t="shared" si="62"/>
        <v>0.33546552949538022</v>
      </c>
      <c r="AO88" s="53">
        <f t="shared" si="63"/>
        <v>473</v>
      </c>
      <c r="AP88" s="52">
        <f t="shared" si="64"/>
        <v>2.6786524520255863</v>
      </c>
      <c r="AQ88" s="42">
        <f t="shared" si="65"/>
        <v>0.65458422174840081</v>
      </c>
      <c r="AR88" s="46">
        <v>46281</v>
      </c>
      <c r="AS88" s="46">
        <v>46282</v>
      </c>
      <c r="AT88" s="50">
        <f t="shared" si="66"/>
        <v>1</v>
      </c>
      <c r="AU88" s="50">
        <f t="shared" si="67"/>
        <v>117</v>
      </c>
      <c r="AV88" s="50">
        <f t="shared" si="68"/>
        <v>74</v>
      </c>
      <c r="AW88" s="54">
        <f t="shared" si="69"/>
        <v>43</v>
      </c>
    </row>
    <row r="89" spans="1:49" x14ac:dyDescent="0.25">
      <c r="A89" s="33" t="s">
        <v>63</v>
      </c>
      <c r="B89" s="33" t="s">
        <v>64</v>
      </c>
      <c r="C89" s="33" t="s">
        <v>66</v>
      </c>
      <c r="D89" s="33" t="s">
        <v>165</v>
      </c>
      <c r="E89" s="34">
        <f>COUNTIF('Detalle por artículo'!$K$8:$K$592,D89)</f>
        <v>1</v>
      </c>
      <c r="F89" s="35">
        <f t="shared" si="41"/>
        <v>150.68061507436349</v>
      </c>
      <c r="G89" s="36">
        <f>SUMIF('Detalle por artículo'!$K$8:$K$592,$D89,'Detalle por artículo'!$E$8:$E$592)</f>
        <v>7.9340000000000002</v>
      </c>
      <c r="H89" s="35">
        <f t="shared" si="42"/>
        <v>6</v>
      </c>
      <c r="I89" s="35">
        <f t="shared" si="43"/>
        <v>11</v>
      </c>
      <c r="J89" s="35">
        <f t="shared" si="44"/>
        <v>21</v>
      </c>
      <c r="K89" s="37">
        <f t="shared" si="45"/>
        <v>0.28335714285714286</v>
      </c>
      <c r="L89" s="36">
        <f>SUMIF('Detalle por artículo'!$K$8:$K$592,$D89,'Detalle por artículo'!$O$8:$O$592)</f>
        <v>1195.5</v>
      </c>
      <c r="M89" s="38">
        <f>SUMIF('Detalle por artículo'!$K$8:$K$592,$D89,'Detalle por artículo'!$I$8:$I$592)</f>
        <v>1513</v>
      </c>
      <c r="N89" s="38">
        <f>SUMIF('Detalle por artículo'!$K$8:$K$592,$D89,'Detalle por artículo'!$M$8:$M$592)</f>
        <v>76</v>
      </c>
      <c r="O89" s="39">
        <f t="shared" si="46"/>
        <v>5.2438863185723728</v>
      </c>
      <c r="P89" s="40">
        <f t="shared" si="47"/>
        <v>790.15201586252476</v>
      </c>
      <c r="Q89" s="41">
        <f t="shared" si="48"/>
        <v>0.15</v>
      </c>
      <c r="R89" s="40">
        <f t="shared" si="49"/>
        <v>9.1241000000000003</v>
      </c>
      <c r="S89" s="42">
        <f>IFERROR(SUM($G$8:G89)/$G$6,0)</f>
        <v>0.63553468148936776</v>
      </c>
      <c r="T89" s="43" t="str">
        <f t="shared" si="50"/>
        <v>B</v>
      </c>
      <c r="U89" s="44">
        <v>1541</v>
      </c>
      <c r="V89" s="45">
        <f t="shared" si="51"/>
        <v>28</v>
      </c>
      <c r="W89" s="46">
        <v>46272</v>
      </c>
      <c r="X89" s="46">
        <v>46272</v>
      </c>
      <c r="Y89" s="47">
        <v>1523</v>
      </c>
      <c r="Z89" s="48">
        <f t="shared" si="52"/>
        <v>7.9864388631857235</v>
      </c>
      <c r="AA89" s="49">
        <f t="shared" si="53"/>
        <v>0.28522995939949014</v>
      </c>
      <c r="AB89" s="44">
        <v>1147</v>
      </c>
      <c r="AC89" s="44">
        <f t="shared" si="54"/>
        <v>928</v>
      </c>
      <c r="AD89" s="44">
        <f t="shared" si="55"/>
        <v>198</v>
      </c>
      <c r="AE89" s="50">
        <f t="shared" si="56"/>
        <v>48</v>
      </c>
      <c r="AF89" s="41">
        <f t="shared" si="57"/>
        <v>0.96</v>
      </c>
      <c r="AG89" s="44">
        <v>3</v>
      </c>
      <c r="AH89" s="44">
        <v>18</v>
      </c>
      <c r="AI89" s="42">
        <f t="shared" si="58"/>
        <v>0.61335095836087239</v>
      </c>
      <c r="AJ89" s="42">
        <f t="shared" si="59"/>
        <v>0.13086582947785855</v>
      </c>
      <c r="AK89" s="40">
        <f t="shared" si="60"/>
        <v>4.8663265036351619</v>
      </c>
      <c r="AL89" s="51">
        <v>414</v>
      </c>
      <c r="AM89" s="52">
        <f t="shared" si="61"/>
        <v>2.1709689358889621</v>
      </c>
      <c r="AN89" s="42">
        <f t="shared" si="62"/>
        <v>0.26865671641791045</v>
      </c>
      <c r="AO89" s="53">
        <f t="shared" si="63"/>
        <v>366</v>
      </c>
      <c r="AP89" s="52">
        <f t="shared" si="64"/>
        <v>1.9192623925974883</v>
      </c>
      <c r="AQ89" s="42">
        <f t="shared" si="65"/>
        <v>0.74421678783873102</v>
      </c>
      <c r="AR89" s="46">
        <v>46274</v>
      </c>
      <c r="AS89" s="46">
        <v>46275</v>
      </c>
      <c r="AT89" s="50">
        <f t="shared" si="66"/>
        <v>3</v>
      </c>
      <c r="AU89" s="50">
        <f t="shared" si="67"/>
        <v>91</v>
      </c>
      <c r="AV89" s="50">
        <f t="shared" si="68"/>
        <v>53</v>
      </c>
      <c r="AW89" s="54">
        <f t="shared" si="69"/>
        <v>38</v>
      </c>
    </row>
    <row r="90" spans="1:49" x14ac:dyDescent="0.25">
      <c r="A90" s="33" t="s">
        <v>63</v>
      </c>
      <c r="B90" s="33" t="s">
        <v>64</v>
      </c>
      <c r="C90" s="33" t="s">
        <v>87</v>
      </c>
      <c r="D90" s="33" t="s">
        <v>166</v>
      </c>
      <c r="E90" s="34">
        <f>COUNTIF('Detalle por artículo'!$K$8:$K$592,D90)</f>
        <v>2</v>
      </c>
      <c r="F90" s="35">
        <f t="shared" si="41"/>
        <v>94.635770067853031</v>
      </c>
      <c r="G90" s="36">
        <f>SUMIF('Detalle por artículo'!$K$8:$K$592,$D90,'Detalle por artículo'!$E$8:$E$592)</f>
        <v>7.8109999999999999</v>
      </c>
      <c r="H90" s="35">
        <f t="shared" si="42"/>
        <v>6</v>
      </c>
      <c r="I90" s="35">
        <f t="shared" si="43"/>
        <v>11</v>
      </c>
      <c r="J90" s="35">
        <f t="shared" si="44"/>
        <v>21</v>
      </c>
      <c r="K90" s="37">
        <f t="shared" si="45"/>
        <v>0.27896428571428572</v>
      </c>
      <c r="L90" s="36">
        <f>SUMIF('Detalle por artículo'!$K$8:$K$592,$D90,'Detalle por artículo'!$O$8:$O$592)</f>
        <v>739.2</v>
      </c>
      <c r="M90" s="38">
        <f>SUMIF('Detalle por artículo'!$K$8:$K$592,$D90,'Detalle por artículo'!$I$8:$I$592)</f>
        <v>1642</v>
      </c>
      <c r="N90" s="38">
        <f>SUMIF('Detalle por artículo'!$K$8:$K$592,$D90,'Detalle por artículo'!$M$8:$M$592)</f>
        <v>84</v>
      </c>
      <c r="O90" s="39">
        <f t="shared" si="46"/>
        <v>4.7570036540803899</v>
      </c>
      <c r="P90" s="40">
        <f t="shared" si="47"/>
        <v>450.18270401948848</v>
      </c>
      <c r="Q90" s="41">
        <f t="shared" si="48"/>
        <v>0.2</v>
      </c>
      <c r="R90" s="40">
        <f t="shared" si="49"/>
        <v>9.3731999999999989</v>
      </c>
      <c r="S90" s="42">
        <f>IFERROR(SUM($G$8:G90)/$G$6,0)</f>
        <v>0.6384049411238456</v>
      </c>
      <c r="T90" s="43" t="str">
        <f t="shared" si="50"/>
        <v>B</v>
      </c>
      <c r="U90" s="44">
        <v>1642</v>
      </c>
      <c r="V90" s="45">
        <f t="shared" si="51"/>
        <v>0</v>
      </c>
      <c r="W90" s="46">
        <v>46259</v>
      </c>
      <c r="X90" s="46">
        <v>46281</v>
      </c>
      <c r="Y90" s="47">
        <v>979</v>
      </c>
      <c r="Z90" s="48">
        <f t="shared" si="52"/>
        <v>4.6571065773447016</v>
      </c>
      <c r="AA90" s="49">
        <f t="shared" si="53"/>
        <v>0.1663252349051679</v>
      </c>
      <c r="AB90" s="44">
        <v>1270</v>
      </c>
      <c r="AC90" s="44">
        <f t="shared" si="54"/>
        <v>729</v>
      </c>
      <c r="AD90" s="44">
        <f t="shared" si="55"/>
        <v>508</v>
      </c>
      <c r="AE90" s="50">
        <f t="shared" si="56"/>
        <v>47</v>
      </c>
      <c r="AF90" s="41">
        <f t="shared" si="57"/>
        <v>0.94</v>
      </c>
      <c r="AG90" s="44">
        <v>15</v>
      </c>
      <c r="AH90" s="44">
        <v>18</v>
      </c>
      <c r="AI90" s="42">
        <f t="shared" si="58"/>
        <v>0.44397076735688185</v>
      </c>
      <c r="AJ90" s="42">
        <f t="shared" si="59"/>
        <v>0.30937880633373932</v>
      </c>
      <c r="AK90" s="40">
        <f t="shared" si="60"/>
        <v>3.4678556638246043</v>
      </c>
      <c r="AL90" s="51">
        <v>372</v>
      </c>
      <c r="AM90" s="52">
        <f t="shared" si="61"/>
        <v>1.7696053593179051</v>
      </c>
      <c r="AN90" s="42">
        <f t="shared" si="62"/>
        <v>0.22655298416565164</v>
      </c>
      <c r="AO90" s="53">
        <f t="shared" si="63"/>
        <v>372</v>
      </c>
      <c r="AP90" s="52">
        <f t="shared" si="64"/>
        <v>1.7696053593179051</v>
      </c>
      <c r="AQ90" s="42">
        <f t="shared" si="65"/>
        <v>0.75334957369062117</v>
      </c>
      <c r="AR90" s="46">
        <v>46268</v>
      </c>
      <c r="AS90" s="46">
        <v>46268</v>
      </c>
      <c r="AT90" s="50">
        <f t="shared" si="66"/>
        <v>9</v>
      </c>
      <c r="AU90" s="50">
        <f t="shared" si="67"/>
        <v>74</v>
      </c>
      <c r="AV90" s="50">
        <f t="shared" si="68"/>
        <v>42</v>
      </c>
      <c r="AW90" s="54">
        <f t="shared" si="69"/>
        <v>32</v>
      </c>
    </row>
    <row r="91" spans="1:49" x14ac:dyDescent="0.25">
      <c r="A91" s="33" t="s">
        <v>63</v>
      </c>
      <c r="B91" s="33" t="s">
        <v>64</v>
      </c>
      <c r="C91" s="33" t="s">
        <v>66</v>
      </c>
      <c r="D91" s="33" t="s">
        <v>167</v>
      </c>
      <c r="E91" s="34">
        <f>COUNTIF('Detalle por artículo'!$K$8:$K$592,D91)</f>
        <v>1</v>
      </c>
      <c r="F91" s="35">
        <f t="shared" si="41"/>
        <v>107.21079691516708</v>
      </c>
      <c r="G91" s="36">
        <f>SUMIF('Detalle por artículo'!$K$8:$K$592,$D91,'Detalle por artículo'!$E$8:$E$592)</f>
        <v>7.78</v>
      </c>
      <c r="H91" s="35">
        <f t="shared" si="42"/>
        <v>6</v>
      </c>
      <c r="I91" s="35">
        <f t="shared" si="43"/>
        <v>11</v>
      </c>
      <c r="J91" s="35">
        <f t="shared" si="44"/>
        <v>21</v>
      </c>
      <c r="K91" s="37">
        <f t="shared" si="45"/>
        <v>0.27785714285714286</v>
      </c>
      <c r="L91" s="36">
        <f>SUMIF('Detalle por artículo'!$K$8:$K$592,$D91,'Detalle por artículo'!$O$8:$O$592)</f>
        <v>834.09999999999991</v>
      </c>
      <c r="M91" s="38">
        <f>SUMIF('Detalle por artículo'!$K$8:$K$592,$D91,'Detalle por artículo'!$I$8:$I$592)</f>
        <v>801</v>
      </c>
      <c r="N91" s="38">
        <f>SUMIF('Detalle por artículo'!$K$8:$K$592,$D91,'Detalle por artículo'!$M$8:$M$592)</f>
        <v>81</v>
      </c>
      <c r="O91" s="39">
        <f t="shared" si="46"/>
        <v>9.7128589263420722</v>
      </c>
      <c r="P91" s="40">
        <f t="shared" si="47"/>
        <v>1041.3233458177278</v>
      </c>
      <c r="Q91" s="41">
        <f t="shared" si="48"/>
        <v>0.2</v>
      </c>
      <c r="R91" s="40">
        <f t="shared" si="49"/>
        <v>9.3360000000000003</v>
      </c>
      <c r="S91" s="42">
        <f>IFERROR(SUM($G$8:G91)/$G$6,0)</f>
        <v>0.6412638093809494</v>
      </c>
      <c r="T91" s="43" t="str">
        <f t="shared" si="50"/>
        <v>B</v>
      </c>
      <c r="U91" s="44">
        <v>801</v>
      </c>
      <c r="V91" s="45">
        <f t="shared" si="51"/>
        <v>0</v>
      </c>
      <c r="W91" s="46">
        <v>46233</v>
      </c>
      <c r="X91" s="46">
        <v>46233</v>
      </c>
      <c r="Y91" s="47">
        <v>804</v>
      </c>
      <c r="Z91" s="48">
        <f t="shared" si="52"/>
        <v>7.8091385767790262</v>
      </c>
      <c r="AA91" s="49">
        <f t="shared" si="53"/>
        <v>0.27889780631353667</v>
      </c>
      <c r="AB91" s="44">
        <v>458</v>
      </c>
      <c r="AC91" s="44">
        <f t="shared" si="54"/>
        <v>407</v>
      </c>
      <c r="AD91" s="44">
        <f t="shared" si="55"/>
        <v>50</v>
      </c>
      <c r="AE91" s="50">
        <f t="shared" si="56"/>
        <v>42</v>
      </c>
      <c r="AF91" s="41">
        <f t="shared" si="57"/>
        <v>0.84</v>
      </c>
      <c r="AG91" s="44">
        <v>1</v>
      </c>
      <c r="AH91" s="44">
        <v>0</v>
      </c>
      <c r="AI91" s="42">
        <f t="shared" si="58"/>
        <v>0.50811485642946319</v>
      </c>
      <c r="AJ91" s="42">
        <f t="shared" si="59"/>
        <v>6.2421972534332085E-2</v>
      </c>
      <c r="AK91" s="40">
        <f t="shared" si="60"/>
        <v>3.9531335830212235</v>
      </c>
      <c r="AL91" s="51">
        <v>343</v>
      </c>
      <c r="AM91" s="52">
        <f t="shared" si="61"/>
        <v>3.3315106117353306</v>
      </c>
      <c r="AN91" s="42">
        <f t="shared" si="62"/>
        <v>0.42821473158551809</v>
      </c>
      <c r="AO91" s="53">
        <f t="shared" si="63"/>
        <v>343</v>
      </c>
      <c r="AP91" s="52">
        <f t="shared" si="64"/>
        <v>3.3315106117353306</v>
      </c>
      <c r="AQ91" s="42">
        <f t="shared" si="65"/>
        <v>0.57053682896379521</v>
      </c>
      <c r="AR91" s="46">
        <v>46292</v>
      </c>
      <c r="AS91" s="46">
        <v>46293</v>
      </c>
      <c r="AT91" s="50">
        <f t="shared" si="66"/>
        <v>60</v>
      </c>
      <c r="AU91" s="50">
        <f t="shared" si="67"/>
        <v>238</v>
      </c>
      <c r="AV91" s="50">
        <f t="shared" si="68"/>
        <v>299</v>
      </c>
      <c r="AW91" s="54">
        <f t="shared" si="69"/>
        <v>-61</v>
      </c>
    </row>
    <row r="92" spans="1:49" x14ac:dyDescent="0.25">
      <c r="A92" s="33" t="s">
        <v>63</v>
      </c>
      <c r="B92" s="33" t="s">
        <v>110</v>
      </c>
      <c r="C92" s="33" t="s">
        <v>111</v>
      </c>
      <c r="D92" s="33" t="s">
        <v>168</v>
      </c>
      <c r="E92" s="34">
        <f>COUNTIF('Detalle por artículo'!$K$8:$K$592,D92)</f>
        <v>1</v>
      </c>
      <c r="F92" s="35">
        <f t="shared" si="41"/>
        <v>142.38683127572017</v>
      </c>
      <c r="G92" s="36">
        <f>SUMIF('Detalle por artículo'!$K$8:$K$592,$D92,'Detalle por artículo'!$E$8:$E$592)</f>
        <v>7.7759999999999998</v>
      </c>
      <c r="H92" s="35">
        <f t="shared" si="42"/>
        <v>6</v>
      </c>
      <c r="I92" s="35">
        <f t="shared" si="43"/>
        <v>11</v>
      </c>
      <c r="J92" s="35">
        <f t="shared" si="44"/>
        <v>21</v>
      </c>
      <c r="K92" s="37">
        <f t="shared" si="45"/>
        <v>0.27771428571428569</v>
      </c>
      <c r="L92" s="36">
        <f>SUMIF('Detalle por artículo'!$K$8:$K$592,$D92,'Detalle por artículo'!$O$8:$O$592)</f>
        <v>1107.2</v>
      </c>
      <c r="M92" s="38">
        <f>SUMIF('Detalle por artículo'!$K$8:$K$592,$D92,'Detalle por artículo'!$I$8:$I$592)</f>
        <v>1979</v>
      </c>
      <c r="N92" s="38">
        <f>SUMIF('Detalle por artículo'!$K$8:$K$592,$D92,'Detalle por artículo'!$M$8:$M$592)</f>
        <v>81</v>
      </c>
      <c r="O92" s="39">
        <f t="shared" si="46"/>
        <v>3.9292572006063669</v>
      </c>
      <c r="P92" s="40">
        <f t="shared" si="47"/>
        <v>559.47448206164734</v>
      </c>
      <c r="Q92" s="41">
        <f t="shared" si="48"/>
        <v>0.15</v>
      </c>
      <c r="R92" s="40">
        <f t="shared" si="49"/>
        <v>8.9423999999999992</v>
      </c>
      <c r="S92" s="42">
        <f>IFERROR(SUM($G$8:G92)/$G$6,0)</f>
        <v>0.64412120778290816</v>
      </c>
      <c r="T92" s="43" t="str">
        <f t="shared" si="50"/>
        <v>B</v>
      </c>
      <c r="U92" s="44">
        <v>1980</v>
      </c>
      <c r="V92" s="45">
        <f t="shared" si="51"/>
        <v>1</v>
      </c>
      <c r="W92" s="46">
        <v>46275</v>
      </c>
      <c r="X92" s="46">
        <v>46289</v>
      </c>
      <c r="Y92" s="47">
        <v>0</v>
      </c>
      <c r="Z92" s="48">
        <f t="shared" si="52"/>
        <v>0</v>
      </c>
      <c r="AA92" s="49">
        <f t="shared" si="53"/>
        <v>0</v>
      </c>
      <c r="AB92" s="44">
        <v>927</v>
      </c>
      <c r="AC92" s="44">
        <f t="shared" si="54"/>
        <v>511</v>
      </c>
      <c r="AD92" s="44">
        <f t="shared" si="55"/>
        <v>405</v>
      </c>
      <c r="AE92" s="50">
        <f t="shared" si="56"/>
        <v>48</v>
      </c>
      <c r="AF92" s="41">
        <f t="shared" si="57"/>
        <v>0.96</v>
      </c>
      <c r="AG92" s="44">
        <v>3</v>
      </c>
      <c r="AH92" s="44">
        <v>14</v>
      </c>
      <c r="AI92" s="42">
        <f t="shared" si="58"/>
        <v>0.25821121778676098</v>
      </c>
      <c r="AJ92" s="42">
        <f t="shared" si="59"/>
        <v>0.2046488125315816</v>
      </c>
      <c r="AK92" s="40">
        <f t="shared" si="60"/>
        <v>2.0078504295098534</v>
      </c>
      <c r="AL92" s="51">
        <v>1057</v>
      </c>
      <c r="AM92" s="52">
        <f t="shared" si="61"/>
        <v>4.1532248610409299</v>
      </c>
      <c r="AN92" s="42">
        <f t="shared" si="62"/>
        <v>0.53383838383838389</v>
      </c>
      <c r="AO92" s="53">
        <f t="shared" si="63"/>
        <v>1052</v>
      </c>
      <c r="AP92" s="52">
        <f t="shared" si="64"/>
        <v>4.1335785750378982</v>
      </c>
      <c r="AQ92" s="42">
        <f t="shared" si="65"/>
        <v>0.46286003031834261</v>
      </c>
      <c r="AR92" s="46">
        <v>46281</v>
      </c>
      <c r="AS92" s="46">
        <v>46282</v>
      </c>
      <c r="AT92" s="50">
        <f t="shared" si="66"/>
        <v>7</v>
      </c>
      <c r="AU92" s="50">
        <f t="shared" si="67"/>
        <v>43</v>
      </c>
      <c r="AV92" s="50">
        <f t="shared" si="68"/>
        <v>75</v>
      </c>
      <c r="AW92" s="54">
        <f t="shared" si="69"/>
        <v>-32</v>
      </c>
    </row>
    <row r="93" spans="1:49" x14ac:dyDescent="0.25">
      <c r="A93" s="33" t="s">
        <v>63</v>
      </c>
      <c r="B93" s="33" t="s">
        <v>110</v>
      </c>
      <c r="C93" s="33" t="s">
        <v>100</v>
      </c>
      <c r="D93" s="33" t="s">
        <v>169</v>
      </c>
      <c r="E93" s="34">
        <f>COUNTIF('Detalle por artículo'!$K$8:$K$592,D93)</f>
        <v>2</v>
      </c>
      <c r="F93" s="35">
        <f t="shared" si="41"/>
        <v>138.58173076923077</v>
      </c>
      <c r="G93" s="36">
        <f>SUMIF('Detalle por artículo'!$K$8:$K$592,$D93,'Detalle por artículo'!$E$8:$E$592)</f>
        <v>7.4879999999999995</v>
      </c>
      <c r="H93" s="35">
        <f t="shared" si="42"/>
        <v>5</v>
      </c>
      <c r="I93" s="35">
        <f t="shared" si="43"/>
        <v>10</v>
      </c>
      <c r="J93" s="35">
        <f t="shared" si="44"/>
        <v>20</v>
      </c>
      <c r="K93" s="37">
        <f t="shared" si="45"/>
        <v>0.2674285714285714</v>
      </c>
      <c r="L93" s="36">
        <f>SUMIF('Detalle por artículo'!$K$8:$K$592,$D93,'Detalle por artículo'!$O$8:$O$592)</f>
        <v>1037.7</v>
      </c>
      <c r="M93" s="38">
        <f>SUMIF('Detalle por artículo'!$K$8:$K$592,$D93,'Detalle por artículo'!$I$8:$I$592)</f>
        <v>1691</v>
      </c>
      <c r="N93" s="38">
        <f>SUMIF('Detalle por artículo'!$K$8:$K$592,$D93,'Detalle por artículo'!$M$8:$M$592)</f>
        <v>78</v>
      </c>
      <c r="O93" s="39">
        <f t="shared" si="46"/>
        <v>4.4281490242460082</v>
      </c>
      <c r="P93" s="40">
        <f t="shared" si="47"/>
        <v>613.66055588409233</v>
      </c>
      <c r="Q93" s="41">
        <f t="shared" si="48"/>
        <v>0.15</v>
      </c>
      <c r="R93" s="40">
        <f t="shared" si="49"/>
        <v>8.6111999999999984</v>
      </c>
      <c r="S93" s="42">
        <f>IFERROR(SUM($G$8:G93)/$G$6,0)</f>
        <v>0.64687277661442399</v>
      </c>
      <c r="T93" s="43" t="str">
        <f t="shared" si="50"/>
        <v>B</v>
      </c>
      <c r="U93" s="44">
        <v>1691</v>
      </c>
      <c r="V93" s="45">
        <f t="shared" si="51"/>
        <v>0</v>
      </c>
      <c r="W93" s="46">
        <v>46238</v>
      </c>
      <c r="X93" s="46">
        <v>46275</v>
      </c>
      <c r="Y93" s="47">
        <v>19</v>
      </c>
      <c r="Z93" s="48">
        <f t="shared" si="52"/>
        <v>8.4134831460674145E-2</v>
      </c>
      <c r="AA93" s="49">
        <f t="shared" si="53"/>
        <v>3.004815409309791E-3</v>
      </c>
      <c r="AB93" s="44">
        <v>429</v>
      </c>
      <c r="AC93" s="44">
        <f t="shared" si="54"/>
        <v>358</v>
      </c>
      <c r="AD93" s="44">
        <f t="shared" si="55"/>
        <v>58</v>
      </c>
      <c r="AE93" s="50">
        <f t="shared" si="56"/>
        <v>24</v>
      </c>
      <c r="AF93" s="41">
        <f t="shared" si="57"/>
        <v>0.48</v>
      </c>
      <c r="AG93" s="44">
        <v>6</v>
      </c>
      <c r="AH93" s="44">
        <v>7</v>
      </c>
      <c r="AI93" s="42">
        <f t="shared" si="58"/>
        <v>0.21170904790065051</v>
      </c>
      <c r="AJ93" s="42">
        <f t="shared" si="59"/>
        <v>3.4299231224127737E-2</v>
      </c>
      <c r="AK93" s="40">
        <f t="shared" si="60"/>
        <v>1.5852773506800708</v>
      </c>
      <c r="AL93" s="51">
        <v>1262</v>
      </c>
      <c r="AM93" s="52">
        <f t="shared" si="61"/>
        <v>5.5883240685984621</v>
      </c>
      <c r="AN93" s="42">
        <f t="shared" si="62"/>
        <v>0.74630396215257244</v>
      </c>
      <c r="AO93" s="53">
        <f t="shared" si="63"/>
        <v>1262</v>
      </c>
      <c r="AP93" s="52">
        <f t="shared" si="64"/>
        <v>5.5883240685984621</v>
      </c>
      <c r="AQ93" s="42">
        <f t="shared" si="65"/>
        <v>0.24600827912477824</v>
      </c>
      <c r="AR93" s="46">
        <v>46281</v>
      </c>
      <c r="AS93" s="46">
        <v>46283</v>
      </c>
      <c r="AT93" s="50">
        <f t="shared" si="66"/>
        <v>45</v>
      </c>
      <c r="AU93" s="50">
        <f t="shared" si="67"/>
        <v>68</v>
      </c>
      <c r="AV93" s="50">
        <f t="shared" si="68"/>
        <v>315</v>
      </c>
      <c r="AW93" s="54">
        <f t="shared" si="69"/>
        <v>-247</v>
      </c>
    </row>
    <row r="94" spans="1:49" x14ac:dyDescent="0.25">
      <c r="A94" s="33" t="s">
        <v>63</v>
      </c>
      <c r="B94" s="33" t="s">
        <v>64</v>
      </c>
      <c r="C94" s="33" t="s">
        <v>66</v>
      </c>
      <c r="D94" s="33" t="s">
        <v>170</v>
      </c>
      <c r="E94" s="34">
        <f>COUNTIF('Detalle por artículo'!$K$8:$K$592,D94)</f>
        <v>1</v>
      </c>
      <c r="F94" s="35">
        <f t="shared" si="41"/>
        <v>156.39583919032893</v>
      </c>
      <c r="G94" s="36">
        <f>SUMIF('Detalle por artículo'!$K$8:$K$592,$D94,'Detalle por artículo'!$E$8:$E$592)</f>
        <v>7.1139999999999999</v>
      </c>
      <c r="H94" s="35">
        <f t="shared" si="42"/>
        <v>5</v>
      </c>
      <c r="I94" s="35">
        <f t="shared" si="43"/>
        <v>10</v>
      </c>
      <c r="J94" s="35">
        <f t="shared" si="44"/>
        <v>19</v>
      </c>
      <c r="K94" s="37">
        <f t="shared" si="45"/>
        <v>0.25407142857142856</v>
      </c>
      <c r="L94" s="36">
        <f>SUMIF('Detalle por artículo'!$K$8:$K$592,$D94,'Detalle por artículo'!$O$8:$O$592)</f>
        <v>1112.5999999999999</v>
      </c>
      <c r="M94" s="38">
        <f>SUMIF('Detalle por artículo'!$K$8:$K$592,$D94,'Detalle por artículo'!$I$8:$I$592)</f>
        <v>781</v>
      </c>
      <c r="N94" s="38">
        <f>SUMIF('Detalle por artículo'!$K$8:$K$592,$D94,'Detalle por artículo'!$M$8:$M$592)</f>
        <v>65</v>
      </c>
      <c r="O94" s="39">
        <f t="shared" si="46"/>
        <v>9.1088348271446851</v>
      </c>
      <c r="P94" s="40">
        <f t="shared" si="47"/>
        <v>1424.5838668373879</v>
      </c>
      <c r="Q94" s="41">
        <f t="shared" si="48"/>
        <v>0.15</v>
      </c>
      <c r="R94" s="40">
        <f t="shared" si="49"/>
        <v>8.1810999999999989</v>
      </c>
      <c r="S94" s="42">
        <f>IFERROR(SUM($G$8:G94)/$G$6,0)</f>
        <v>0.64948691398987857</v>
      </c>
      <c r="T94" s="43" t="str">
        <f t="shared" si="50"/>
        <v>B</v>
      </c>
      <c r="U94" s="44">
        <v>779</v>
      </c>
      <c r="V94" s="45">
        <f t="shared" si="51"/>
        <v>-2</v>
      </c>
      <c r="W94" s="46">
        <v>46272</v>
      </c>
      <c r="X94" s="46">
        <v>46272</v>
      </c>
      <c r="Y94" s="47">
        <v>795</v>
      </c>
      <c r="Z94" s="48">
        <f t="shared" si="52"/>
        <v>7.2415236875800248</v>
      </c>
      <c r="AA94" s="49">
        <f t="shared" si="53"/>
        <v>0.25862584598500088</v>
      </c>
      <c r="AB94" s="44">
        <v>688</v>
      </c>
      <c r="AC94" s="44">
        <f t="shared" si="54"/>
        <v>572</v>
      </c>
      <c r="AD94" s="44">
        <f t="shared" si="55"/>
        <v>107</v>
      </c>
      <c r="AE94" s="50">
        <f t="shared" si="56"/>
        <v>48</v>
      </c>
      <c r="AF94" s="41">
        <f t="shared" si="57"/>
        <v>0.96</v>
      </c>
      <c r="AG94" s="44">
        <v>1</v>
      </c>
      <c r="AH94" s="44">
        <v>8</v>
      </c>
      <c r="AI94" s="42">
        <f t="shared" si="58"/>
        <v>0.73239436619718312</v>
      </c>
      <c r="AJ94" s="42">
        <f t="shared" si="59"/>
        <v>0.13700384122919335</v>
      </c>
      <c r="AK94" s="40">
        <f t="shared" si="60"/>
        <v>5.2102535211267593</v>
      </c>
      <c r="AL94" s="51">
        <v>90</v>
      </c>
      <c r="AM94" s="52">
        <f t="shared" si="61"/>
        <v>0.81979513444302166</v>
      </c>
      <c r="AN94" s="42">
        <f t="shared" si="62"/>
        <v>0.11553273427471117</v>
      </c>
      <c r="AO94" s="53">
        <f t="shared" si="63"/>
        <v>93</v>
      </c>
      <c r="AP94" s="52">
        <f t="shared" si="64"/>
        <v>0.84712163892445569</v>
      </c>
      <c r="AQ94" s="42">
        <f t="shared" si="65"/>
        <v>0.86939820742637641</v>
      </c>
      <c r="AR94" s="46">
        <v>46274</v>
      </c>
      <c r="AS94" s="46">
        <v>46275</v>
      </c>
      <c r="AT94" s="50">
        <f t="shared" si="66"/>
        <v>3</v>
      </c>
      <c r="AU94" s="50">
        <f t="shared" si="67"/>
        <v>254</v>
      </c>
      <c r="AV94" s="50">
        <f t="shared" si="68"/>
        <v>128</v>
      </c>
      <c r="AW94" s="54">
        <f t="shared" si="69"/>
        <v>126</v>
      </c>
    </row>
    <row r="95" spans="1:49" x14ac:dyDescent="0.25">
      <c r="A95" s="33" t="s">
        <v>63</v>
      </c>
      <c r="B95" s="33" t="s">
        <v>171</v>
      </c>
      <c r="C95" s="33" t="s">
        <v>172</v>
      </c>
      <c r="D95" s="33" t="s">
        <v>173</v>
      </c>
      <c r="E95" s="34">
        <f>COUNTIF('Detalle por artículo'!$K$8:$K$592,D95)</f>
        <v>3</v>
      </c>
      <c r="F95" s="35">
        <f t="shared" si="41"/>
        <v>203.77464788732394</v>
      </c>
      <c r="G95" s="36">
        <f>SUMIF('Detalle por artículo'!$K$8:$K$592,$D95,'Detalle por artículo'!$E$8:$E$592)</f>
        <v>7.1</v>
      </c>
      <c r="H95" s="35">
        <f t="shared" si="42"/>
        <v>5</v>
      </c>
      <c r="I95" s="35">
        <f t="shared" si="43"/>
        <v>10</v>
      </c>
      <c r="J95" s="35">
        <f t="shared" si="44"/>
        <v>19</v>
      </c>
      <c r="K95" s="37">
        <f t="shared" si="45"/>
        <v>0.25357142857142856</v>
      </c>
      <c r="L95" s="36">
        <f>SUMIF('Detalle por artículo'!$K$8:$K$592,$D95,'Detalle por artículo'!$O$8:$O$592)</f>
        <v>1446.8</v>
      </c>
      <c r="M95" s="38">
        <f>SUMIF('Detalle por artículo'!$K$8:$K$592,$D95,'Detalle por artículo'!$I$8:$I$592)</f>
        <v>2436</v>
      </c>
      <c r="N95" s="38">
        <f>SUMIF('Detalle por artículo'!$K$8:$K$592,$D95,'Detalle por artículo'!$M$8:$M$592)</f>
        <v>74</v>
      </c>
      <c r="O95" s="39">
        <f t="shared" si="46"/>
        <v>2.9146141215106729</v>
      </c>
      <c r="P95" s="40">
        <f t="shared" si="47"/>
        <v>593.92446633825944</v>
      </c>
      <c r="Q95" s="41">
        <f t="shared" si="48"/>
        <v>0.1</v>
      </c>
      <c r="R95" s="40">
        <f t="shared" si="49"/>
        <v>7.8100000000000005</v>
      </c>
      <c r="S95" s="42">
        <f>IFERROR(SUM($G$8:G95)/$G$6,0)</f>
        <v>0.65209590687232555</v>
      </c>
      <c r="T95" s="43" t="str">
        <f t="shared" si="50"/>
        <v>B</v>
      </c>
      <c r="U95" s="44">
        <v>2435</v>
      </c>
      <c r="V95" s="45">
        <f t="shared" si="51"/>
        <v>-1</v>
      </c>
      <c r="W95" s="46">
        <v>46261</v>
      </c>
      <c r="X95" s="46">
        <v>46261</v>
      </c>
      <c r="Y95" s="47">
        <v>1</v>
      </c>
      <c r="Z95" s="48">
        <f t="shared" si="52"/>
        <v>2.9146141215106729E-3</v>
      </c>
      <c r="AA95" s="49">
        <f t="shared" si="53"/>
        <v>1.0409336148252403E-4</v>
      </c>
      <c r="AB95" s="44">
        <v>2102</v>
      </c>
      <c r="AC95" s="44">
        <f t="shared" si="54"/>
        <v>1438</v>
      </c>
      <c r="AD95" s="44">
        <f t="shared" si="55"/>
        <v>629</v>
      </c>
      <c r="AE95" s="50">
        <f t="shared" si="56"/>
        <v>48</v>
      </c>
      <c r="AF95" s="41">
        <f t="shared" si="57"/>
        <v>0.96</v>
      </c>
      <c r="AG95" s="44">
        <v>8</v>
      </c>
      <c r="AH95" s="44">
        <v>27</v>
      </c>
      <c r="AI95" s="42">
        <f t="shared" si="58"/>
        <v>0.590311986863711</v>
      </c>
      <c r="AJ95" s="42">
        <f t="shared" si="59"/>
        <v>0.25821018062397372</v>
      </c>
      <c r="AK95" s="40">
        <f t="shared" si="60"/>
        <v>4.1912151067323471</v>
      </c>
      <c r="AL95" s="51">
        <v>331</v>
      </c>
      <c r="AM95" s="52">
        <f t="shared" si="61"/>
        <v>0.96473727422003275</v>
      </c>
      <c r="AN95" s="42">
        <f t="shared" si="62"/>
        <v>0.13593429158110884</v>
      </c>
      <c r="AO95" s="53">
        <f t="shared" si="63"/>
        <v>334</v>
      </c>
      <c r="AP95" s="52">
        <f t="shared" si="64"/>
        <v>0.97348111658456482</v>
      </c>
      <c r="AQ95" s="42">
        <f t="shared" si="65"/>
        <v>0.84852216748768472</v>
      </c>
      <c r="AR95" s="46">
        <v>46268</v>
      </c>
      <c r="AS95" s="46">
        <v>46268</v>
      </c>
      <c r="AT95" s="50">
        <f t="shared" si="66"/>
        <v>7</v>
      </c>
      <c r="AU95" s="50">
        <f t="shared" si="67"/>
        <v>33</v>
      </c>
      <c r="AV95" s="50">
        <f t="shared" si="68"/>
        <v>9</v>
      </c>
      <c r="AW95" s="54">
        <f t="shared" si="69"/>
        <v>24</v>
      </c>
    </row>
    <row r="96" spans="1:49" x14ac:dyDescent="0.25">
      <c r="A96" s="33" t="s">
        <v>55</v>
      </c>
      <c r="B96" s="33" t="s">
        <v>56</v>
      </c>
      <c r="C96" s="33" t="s">
        <v>66</v>
      </c>
      <c r="D96" s="33" t="s">
        <v>174</v>
      </c>
      <c r="E96" s="34">
        <f>COUNTIF('Detalle por artículo'!$K$8:$K$592,D96)</f>
        <v>1</v>
      </c>
      <c r="F96" s="35">
        <f t="shared" si="41"/>
        <v>138.09859154929578</v>
      </c>
      <c r="G96" s="36">
        <f>SUMIF('Detalle por artículo'!$K$8:$K$592,$D96,'Detalle por artículo'!$E$8:$E$592)</f>
        <v>7.1</v>
      </c>
      <c r="H96" s="35">
        <f t="shared" si="42"/>
        <v>5</v>
      </c>
      <c r="I96" s="35">
        <f t="shared" si="43"/>
        <v>10</v>
      </c>
      <c r="J96" s="35">
        <f t="shared" si="44"/>
        <v>19</v>
      </c>
      <c r="K96" s="37">
        <f t="shared" si="45"/>
        <v>0.25357142857142856</v>
      </c>
      <c r="L96" s="36">
        <f>SUMIF('Detalle por artículo'!$K$8:$K$592,$D96,'Detalle por artículo'!$O$8:$O$592)</f>
        <v>980.5</v>
      </c>
      <c r="M96" s="38">
        <f>SUMIF('Detalle por artículo'!$K$8:$K$592,$D96,'Detalle por artículo'!$I$8:$I$592)</f>
        <v>879</v>
      </c>
      <c r="N96" s="38">
        <f>SUMIF('Detalle por artículo'!$K$8:$K$592,$D96,'Detalle por artículo'!$M$8:$M$592)</f>
        <v>74</v>
      </c>
      <c r="O96" s="39">
        <f t="shared" si="46"/>
        <v>8.0773606370875992</v>
      </c>
      <c r="P96" s="40">
        <f t="shared" si="47"/>
        <v>1115.4721274175199</v>
      </c>
      <c r="Q96" s="41">
        <f t="shared" si="48"/>
        <v>0.15</v>
      </c>
      <c r="R96" s="40">
        <f t="shared" si="49"/>
        <v>8.1649999999999991</v>
      </c>
      <c r="S96" s="42">
        <f>IFERROR(SUM($G$8:G96)/$G$6,0)</f>
        <v>0.65470489975477242</v>
      </c>
      <c r="T96" s="43" t="str">
        <f t="shared" si="50"/>
        <v>B</v>
      </c>
      <c r="U96" s="44">
        <v>879</v>
      </c>
      <c r="V96" s="45">
        <f t="shared" si="51"/>
        <v>0</v>
      </c>
      <c r="W96" s="46">
        <v>46289</v>
      </c>
      <c r="X96" s="46">
        <v>46289</v>
      </c>
      <c r="Y96" s="47">
        <v>0</v>
      </c>
      <c r="Z96" s="48">
        <f t="shared" si="52"/>
        <v>0</v>
      </c>
      <c r="AA96" s="49">
        <f t="shared" si="53"/>
        <v>0</v>
      </c>
      <c r="AB96" s="44">
        <v>389</v>
      </c>
      <c r="AC96" s="44">
        <f t="shared" si="54"/>
        <v>387</v>
      </c>
      <c r="AD96" s="44">
        <f t="shared" si="55"/>
        <v>0</v>
      </c>
      <c r="AE96" s="50">
        <f t="shared" si="56"/>
        <v>37</v>
      </c>
      <c r="AF96" s="41">
        <f t="shared" si="57"/>
        <v>0.74</v>
      </c>
      <c r="AG96" s="44">
        <v>2</v>
      </c>
      <c r="AH96" s="44">
        <v>0</v>
      </c>
      <c r="AI96" s="42">
        <f t="shared" si="58"/>
        <v>0.44027303754266212</v>
      </c>
      <c r="AJ96" s="42">
        <f t="shared" si="59"/>
        <v>0</v>
      </c>
      <c r="AK96" s="40">
        <f t="shared" si="60"/>
        <v>3.1259385665529007</v>
      </c>
      <c r="AL96" s="51">
        <v>490</v>
      </c>
      <c r="AM96" s="52">
        <f t="shared" si="61"/>
        <v>3.9579067121729237</v>
      </c>
      <c r="AN96" s="42">
        <f t="shared" si="62"/>
        <v>0.55745164960182025</v>
      </c>
      <c r="AO96" s="53">
        <f t="shared" si="63"/>
        <v>490</v>
      </c>
      <c r="AP96" s="52">
        <f t="shared" si="64"/>
        <v>3.9579067121729237</v>
      </c>
      <c r="AQ96" s="42">
        <f t="shared" si="65"/>
        <v>0.44027303754266212</v>
      </c>
      <c r="AR96" s="46">
        <v>46293</v>
      </c>
      <c r="AS96" s="46">
        <v>46294</v>
      </c>
      <c r="AT96" s="50">
        <f t="shared" si="66"/>
        <v>5</v>
      </c>
      <c r="AU96" s="50">
        <f t="shared" si="67"/>
        <v>202</v>
      </c>
      <c r="AV96" s="50">
        <f t="shared" si="68"/>
        <v>327</v>
      </c>
      <c r="AW96" s="54">
        <f t="shared" si="69"/>
        <v>-125</v>
      </c>
    </row>
    <row r="97" spans="1:49" x14ac:dyDescent="0.25">
      <c r="A97" s="33" t="s">
        <v>63</v>
      </c>
      <c r="B97" s="33" t="s">
        <v>110</v>
      </c>
      <c r="C97" s="33" t="s">
        <v>100</v>
      </c>
      <c r="D97" s="33" t="s">
        <v>175</v>
      </c>
      <c r="E97" s="34">
        <f>COUNTIF('Detalle por artículo'!$K$8:$K$592,D97)</f>
        <v>1</v>
      </c>
      <c r="F97" s="35">
        <f t="shared" si="41"/>
        <v>158.29052511415529</v>
      </c>
      <c r="G97" s="36">
        <f>SUMIF('Detalle por artículo'!$K$8:$K$592,$D97,'Detalle por artículo'!$E$8:$E$592)</f>
        <v>7.008</v>
      </c>
      <c r="H97" s="35">
        <f t="shared" si="42"/>
        <v>5</v>
      </c>
      <c r="I97" s="35">
        <f t="shared" si="43"/>
        <v>10</v>
      </c>
      <c r="J97" s="35">
        <f t="shared" si="44"/>
        <v>19</v>
      </c>
      <c r="K97" s="37">
        <f t="shared" si="45"/>
        <v>0.25028571428571428</v>
      </c>
      <c r="L97" s="36">
        <f>SUMIF('Detalle por artículo'!$K$8:$K$592,$D97,'Detalle por artículo'!$O$8:$O$592)</f>
        <v>1109.3000000000002</v>
      </c>
      <c r="M97" s="38">
        <f>SUMIF('Detalle por artículo'!$K$8:$K$592,$D97,'Detalle por artículo'!$I$8:$I$592)</f>
        <v>2399</v>
      </c>
      <c r="N97" s="38">
        <f>SUMIF('Detalle por artículo'!$K$8:$K$592,$D97,'Detalle por artículo'!$M$8:$M$592)</f>
        <v>73</v>
      </c>
      <c r="O97" s="39">
        <f t="shared" si="46"/>
        <v>2.9212171738224257</v>
      </c>
      <c r="P97" s="40">
        <f t="shared" si="47"/>
        <v>462.40100041684042</v>
      </c>
      <c r="Q97" s="41">
        <f t="shared" si="48"/>
        <v>0.15</v>
      </c>
      <c r="R97" s="40">
        <f t="shared" si="49"/>
        <v>8.0591999999999988</v>
      </c>
      <c r="S97" s="42">
        <f>IFERROR(SUM($G$8:G97)/$G$6,0)</f>
        <v>0.65728008596888343</v>
      </c>
      <c r="T97" s="43" t="str">
        <f t="shared" si="50"/>
        <v>B</v>
      </c>
      <c r="U97" s="44">
        <v>2402</v>
      </c>
      <c r="V97" s="45">
        <f t="shared" si="51"/>
        <v>3</v>
      </c>
      <c r="W97" s="46">
        <v>46275</v>
      </c>
      <c r="X97" s="46">
        <v>46289</v>
      </c>
      <c r="Y97" s="47">
        <v>0</v>
      </c>
      <c r="Z97" s="48">
        <f t="shared" si="52"/>
        <v>0</v>
      </c>
      <c r="AA97" s="49">
        <f t="shared" si="53"/>
        <v>0</v>
      </c>
      <c r="AB97" s="44">
        <v>2055</v>
      </c>
      <c r="AC97" s="44">
        <f t="shared" si="54"/>
        <v>1173</v>
      </c>
      <c r="AD97" s="44">
        <f t="shared" si="55"/>
        <v>844</v>
      </c>
      <c r="AE97" s="50">
        <f t="shared" si="56"/>
        <v>47</v>
      </c>
      <c r="AF97" s="41">
        <f t="shared" si="57"/>
        <v>0.94</v>
      </c>
      <c r="AG97" s="44">
        <v>15</v>
      </c>
      <c r="AH97" s="44">
        <v>24</v>
      </c>
      <c r="AI97" s="42">
        <f t="shared" si="58"/>
        <v>0.48895373072113379</v>
      </c>
      <c r="AJ97" s="42">
        <f t="shared" si="59"/>
        <v>0.35181325552313464</v>
      </c>
      <c r="AK97" s="40">
        <f t="shared" si="60"/>
        <v>3.4265877448937054</v>
      </c>
      <c r="AL97" s="51">
        <v>365</v>
      </c>
      <c r="AM97" s="52">
        <f t="shared" si="61"/>
        <v>1.0662442684451854</v>
      </c>
      <c r="AN97" s="42">
        <f t="shared" si="62"/>
        <v>0.15195670274771025</v>
      </c>
      <c r="AO97" s="53">
        <f t="shared" si="63"/>
        <v>344</v>
      </c>
      <c r="AP97" s="52">
        <f t="shared" si="64"/>
        <v>1.0048987077949145</v>
      </c>
      <c r="AQ97" s="42">
        <f t="shared" si="65"/>
        <v>0.84076698624426849</v>
      </c>
      <c r="AR97" s="46">
        <v>46281</v>
      </c>
      <c r="AS97" s="46">
        <v>46282</v>
      </c>
      <c r="AT97" s="50">
        <f t="shared" si="66"/>
        <v>7</v>
      </c>
      <c r="AU97" s="50">
        <f t="shared" si="67"/>
        <v>34</v>
      </c>
      <c r="AV97" s="50">
        <f t="shared" si="68"/>
        <v>10</v>
      </c>
      <c r="AW97" s="54">
        <f t="shared" si="69"/>
        <v>24</v>
      </c>
    </row>
    <row r="98" spans="1:49" x14ac:dyDescent="0.25">
      <c r="A98" s="33" t="s">
        <v>63</v>
      </c>
      <c r="B98" s="33" t="s">
        <v>64</v>
      </c>
      <c r="C98" s="33" t="s">
        <v>66</v>
      </c>
      <c r="D98" s="33" t="s">
        <v>176</v>
      </c>
      <c r="E98" s="34">
        <f>COUNTIF('Detalle por artículo'!$K$8:$K$592,D98)</f>
        <v>1</v>
      </c>
      <c r="F98" s="35">
        <f t="shared" si="41"/>
        <v>129.57321454231931</v>
      </c>
      <c r="G98" s="36">
        <f>SUMIF('Detalle por artículo'!$K$8:$K$592,$D98,'Detalle por artículo'!$E$8:$E$592)</f>
        <v>6.9589999999999996</v>
      </c>
      <c r="H98" s="35">
        <f t="shared" si="42"/>
        <v>5</v>
      </c>
      <c r="I98" s="35">
        <f t="shared" si="43"/>
        <v>10</v>
      </c>
      <c r="J98" s="35">
        <f t="shared" si="44"/>
        <v>19</v>
      </c>
      <c r="K98" s="37">
        <f t="shared" si="45"/>
        <v>0.24853571428571428</v>
      </c>
      <c r="L98" s="36">
        <f>SUMIF('Detalle por artículo'!$K$8:$K$592,$D98,'Detalle por artículo'!$O$8:$O$592)</f>
        <v>901.7</v>
      </c>
      <c r="M98" s="38">
        <f>SUMIF('Detalle por artículo'!$K$8:$K$592,$D98,'Detalle por artículo'!$I$8:$I$592)</f>
        <v>894</v>
      </c>
      <c r="N98" s="38">
        <f>SUMIF('Detalle por artículo'!$K$8:$K$592,$D98,'Detalle por artículo'!$M$8:$M$592)</f>
        <v>69</v>
      </c>
      <c r="O98" s="39">
        <f t="shared" si="46"/>
        <v>7.7841163310961958</v>
      </c>
      <c r="P98" s="40">
        <f t="shared" si="47"/>
        <v>1008.6129753914989</v>
      </c>
      <c r="Q98" s="41">
        <f t="shared" si="48"/>
        <v>0.15</v>
      </c>
      <c r="R98" s="40">
        <f t="shared" si="49"/>
        <v>8.0028499999999987</v>
      </c>
      <c r="S98" s="42">
        <f>IFERROR(SUM($G$8:G98)/$G$6,0)</f>
        <v>0.65983726645746765</v>
      </c>
      <c r="T98" s="43" t="str">
        <f t="shared" si="50"/>
        <v>B</v>
      </c>
      <c r="U98" s="44">
        <v>894</v>
      </c>
      <c r="V98" s="45">
        <f t="shared" si="51"/>
        <v>0</v>
      </c>
      <c r="W98" s="46">
        <v>46265</v>
      </c>
      <c r="X98" s="46">
        <v>46265</v>
      </c>
      <c r="Y98" s="47">
        <v>2</v>
      </c>
      <c r="Z98" s="48">
        <f t="shared" si="52"/>
        <v>1.5568232662192392E-2</v>
      </c>
      <c r="AA98" s="49">
        <f t="shared" si="53"/>
        <v>5.5600830936401399E-4</v>
      </c>
      <c r="AB98" s="44">
        <v>455</v>
      </c>
      <c r="AC98" s="44">
        <f t="shared" si="54"/>
        <v>354</v>
      </c>
      <c r="AD98" s="44">
        <f t="shared" si="55"/>
        <v>92</v>
      </c>
      <c r="AE98" s="50">
        <f t="shared" si="56"/>
        <v>48</v>
      </c>
      <c r="AF98" s="41">
        <f t="shared" si="57"/>
        <v>0.96</v>
      </c>
      <c r="AG98" s="44">
        <v>2</v>
      </c>
      <c r="AH98" s="44">
        <v>7</v>
      </c>
      <c r="AI98" s="42">
        <f t="shared" si="58"/>
        <v>0.39597315436241609</v>
      </c>
      <c r="AJ98" s="42">
        <f t="shared" si="59"/>
        <v>0.1029082774049217</v>
      </c>
      <c r="AK98" s="40">
        <f t="shared" si="60"/>
        <v>2.7555771812080532</v>
      </c>
      <c r="AL98" s="51">
        <v>439</v>
      </c>
      <c r="AM98" s="52">
        <f t="shared" si="61"/>
        <v>3.4172270693512301</v>
      </c>
      <c r="AN98" s="42">
        <f t="shared" si="62"/>
        <v>0.49105145413870244</v>
      </c>
      <c r="AO98" s="53">
        <f t="shared" si="63"/>
        <v>439</v>
      </c>
      <c r="AP98" s="52">
        <f t="shared" si="64"/>
        <v>3.4172270693512301</v>
      </c>
      <c r="AQ98" s="42">
        <f t="shared" si="65"/>
        <v>0.49888143176733779</v>
      </c>
      <c r="AR98" s="46">
        <v>46268</v>
      </c>
      <c r="AS98" s="46">
        <v>46268</v>
      </c>
      <c r="AT98" s="50">
        <f t="shared" si="66"/>
        <v>3</v>
      </c>
      <c r="AU98" s="50">
        <f t="shared" si="67"/>
        <v>200</v>
      </c>
      <c r="AV98" s="50">
        <f t="shared" si="68"/>
        <v>302</v>
      </c>
      <c r="AW98" s="54">
        <f t="shared" si="69"/>
        <v>-102</v>
      </c>
    </row>
    <row r="99" spans="1:49" x14ac:dyDescent="0.25">
      <c r="A99" s="33" t="s">
        <v>55</v>
      </c>
      <c r="B99" s="33" t="s">
        <v>56</v>
      </c>
      <c r="C99" s="33" t="s">
        <v>80</v>
      </c>
      <c r="D99" s="33" t="s">
        <v>177</v>
      </c>
      <c r="E99" s="34">
        <f>COUNTIF('Detalle por artículo'!$K$8:$K$592,D99)</f>
        <v>1</v>
      </c>
      <c r="F99" s="35">
        <f t="shared" si="41"/>
        <v>142.93981481481484</v>
      </c>
      <c r="G99" s="36">
        <f>SUMIF('Detalle por artículo'!$K$8:$K$592,$D99,'Detalle por artículo'!$E$8:$E$592)</f>
        <v>6.9119999999999999</v>
      </c>
      <c r="H99" s="35">
        <f t="shared" si="42"/>
        <v>5</v>
      </c>
      <c r="I99" s="35">
        <f t="shared" si="43"/>
        <v>9</v>
      </c>
      <c r="J99" s="35">
        <f t="shared" si="44"/>
        <v>18</v>
      </c>
      <c r="K99" s="37">
        <f t="shared" si="45"/>
        <v>0.24685714285714286</v>
      </c>
      <c r="L99" s="36">
        <f>SUMIF('Detalle por artículo'!$K$8:$K$592,$D99,'Detalle por artículo'!$O$8:$O$592)</f>
        <v>988.00000000000011</v>
      </c>
      <c r="M99" s="38">
        <f>SUMIF('Detalle por artículo'!$K$8:$K$592,$D99,'Detalle por artículo'!$I$8:$I$592)</f>
        <v>932</v>
      </c>
      <c r="N99" s="38">
        <f>SUMIF('Detalle por artículo'!$K$8:$K$592,$D99,'Detalle por artículo'!$M$8:$M$592)</f>
        <v>72</v>
      </c>
      <c r="O99" s="39">
        <f t="shared" si="46"/>
        <v>7.4163090128755362</v>
      </c>
      <c r="P99" s="40">
        <f t="shared" si="47"/>
        <v>1060.0858369098714</v>
      </c>
      <c r="Q99" s="41">
        <f t="shared" si="48"/>
        <v>0.15</v>
      </c>
      <c r="R99" s="40">
        <f t="shared" si="49"/>
        <v>7.9487999999999994</v>
      </c>
      <c r="S99" s="42">
        <f>IFERROR(SUM($G$8:G99)/$G$6,0)</f>
        <v>0.66237717614809766</v>
      </c>
      <c r="T99" s="43" t="str">
        <f t="shared" si="50"/>
        <v>B</v>
      </c>
      <c r="U99" s="44">
        <v>932</v>
      </c>
      <c r="V99" s="45">
        <f t="shared" si="51"/>
        <v>0</v>
      </c>
      <c r="W99" s="46">
        <v>46297</v>
      </c>
      <c r="X99" s="46">
        <v>46297</v>
      </c>
      <c r="Y99" s="47">
        <v>0</v>
      </c>
      <c r="Z99" s="48">
        <f t="shared" si="52"/>
        <v>0</v>
      </c>
      <c r="AA99" s="49">
        <f t="shared" si="53"/>
        <v>0</v>
      </c>
      <c r="AB99" s="44">
        <v>464</v>
      </c>
      <c r="AC99" s="44">
        <f t="shared" si="54"/>
        <v>418</v>
      </c>
      <c r="AD99" s="44">
        <f t="shared" si="55"/>
        <v>42</v>
      </c>
      <c r="AE99" s="50">
        <f t="shared" si="56"/>
        <v>48</v>
      </c>
      <c r="AF99" s="41">
        <f t="shared" si="57"/>
        <v>0.96</v>
      </c>
      <c r="AG99" s="44">
        <v>4</v>
      </c>
      <c r="AH99" s="44">
        <v>0</v>
      </c>
      <c r="AI99" s="42">
        <f t="shared" si="58"/>
        <v>0.44849785407725323</v>
      </c>
      <c r="AJ99" s="42">
        <f t="shared" si="59"/>
        <v>4.5064377682403435E-2</v>
      </c>
      <c r="AK99" s="40">
        <f t="shared" si="60"/>
        <v>3.1000171673819743</v>
      </c>
      <c r="AL99" s="51">
        <v>468</v>
      </c>
      <c r="AM99" s="52">
        <f t="shared" si="61"/>
        <v>3.4708326180257507</v>
      </c>
      <c r="AN99" s="42">
        <f t="shared" si="62"/>
        <v>0.50214592274678116</v>
      </c>
      <c r="AO99" s="53">
        <f t="shared" si="63"/>
        <v>468</v>
      </c>
      <c r="AP99" s="52">
        <f t="shared" si="64"/>
        <v>3.4708326180257507</v>
      </c>
      <c r="AQ99" s="42">
        <f t="shared" si="65"/>
        <v>0.49356223175965663</v>
      </c>
      <c r="AR99" s="46">
        <v>46300</v>
      </c>
      <c r="AS99" s="46">
        <v>46300</v>
      </c>
      <c r="AT99" s="50">
        <f t="shared" si="66"/>
        <v>3</v>
      </c>
      <c r="AU99" s="50">
        <f t="shared" si="67"/>
        <v>186</v>
      </c>
      <c r="AV99" s="50">
        <f t="shared" si="68"/>
        <v>296</v>
      </c>
      <c r="AW99" s="54">
        <f t="shared" si="69"/>
        <v>-110</v>
      </c>
    </row>
    <row r="100" spans="1:49" x14ac:dyDescent="0.25">
      <c r="A100" s="33" t="s">
        <v>63</v>
      </c>
      <c r="B100" s="33" t="s">
        <v>105</v>
      </c>
      <c r="C100" s="33" t="s">
        <v>178</v>
      </c>
      <c r="D100" s="33" t="s">
        <v>179</v>
      </c>
      <c r="E100" s="34">
        <f>COUNTIF('Detalle por artículo'!$K$8:$K$592,D100)</f>
        <v>1</v>
      </c>
      <c r="F100" s="35">
        <f t="shared" si="41"/>
        <v>79.329852045256743</v>
      </c>
      <c r="G100" s="36">
        <f>SUMIF('Detalle por artículo'!$K$8:$K$592,$D100,'Detalle por artículo'!$E$8:$E$592)</f>
        <v>6.8940000000000001</v>
      </c>
      <c r="H100" s="35">
        <f t="shared" si="42"/>
        <v>5</v>
      </c>
      <c r="I100" s="35">
        <f t="shared" si="43"/>
        <v>9</v>
      </c>
      <c r="J100" s="35">
        <f t="shared" si="44"/>
        <v>18</v>
      </c>
      <c r="K100" s="37">
        <f t="shared" si="45"/>
        <v>0.24621428571428572</v>
      </c>
      <c r="L100" s="36">
        <f>SUMIF('Detalle por artículo'!$K$8:$K$592,$D100,'Detalle por artículo'!$O$8:$O$592)</f>
        <v>546.9</v>
      </c>
      <c r="M100" s="38">
        <f>SUMIF('Detalle por artículo'!$K$8:$K$592,$D100,'Detalle por artículo'!$I$8:$I$592)</f>
        <v>602</v>
      </c>
      <c r="N100" s="38">
        <f>SUMIF('Detalle por artículo'!$K$8:$K$592,$D100,'Detalle por artículo'!$M$8:$M$592)</f>
        <v>61</v>
      </c>
      <c r="O100" s="39">
        <f t="shared" si="46"/>
        <v>11.451827242524915</v>
      </c>
      <c r="P100" s="40">
        <f t="shared" si="47"/>
        <v>908.4717607973422</v>
      </c>
      <c r="Q100" s="41">
        <f t="shared" si="48"/>
        <v>0.2</v>
      </c>
      <c r="R100" s="40">
        <f t="shared" si="49"/>
        <v>8.2728000000000002</v>
      </c>
      <c r="S100" s="42">
        <f>IFERROR(SUM($G$8:G100)/$G$6,0)</f>
        <v>0.66491047149057503</v>
      </c>
      <c r="T100" s="43" t="str">
        <f t="shared" si="50"/>
        <v>B</v>
      </c>
      <c r="U100" s="44">
        <v>602</v>
      </c>
      <c r="V100" s="45">
        <f t="shared" si="51"/>
        <v>0</v>
      </c>
      <c r="W100" s="46">
        <v>46234</v>
      </c>
      <c r="X100" s="46">
        <v>46234</v>
      </c>
      <c r="Y100" s="47">
        <v>0</v>
      </c>
      <c r="Z100" s="48">
        <f t="shared" si="52"/>
        <v>0</v>
      </c>
      <c r="AA100" s="49">
        <f t="shared" si="53"/>
        <v>0</v>
      </c>
      <c r="AB100" s="44">
        <v>439</v>
      </c>
      <c r="AC100" s="44">
        <f t="shared" si="54"/>
        <v>395</v>
      </c>
      <c r="AD100" s="44">
        <f t="shared" si="55"/>
        <v>37</v>
      </c>
      <c r="AE100" s="50">
        <f t="shared" si="56"/>
        <v>48</v>
      </c>
      <c r="AF100" s="41">
        <f t="shared" si="57"/>
        <v>0.96</v>
      </c>
      <c r="AG100" s="44">
        <v>0</v>
      </c>
      <c r="AH100" s="44">
        <v>7</v>
      </c>
      <c r="AI100" s="42">
        <f t="shared" si="58"/>
        <v>0.65614617940199338</v>
      </c>
      <c r="AJ100" s="42">
        <f t="shared" si="59"/>
        <v>6.1461794019933555E-2</v>
      </c>
      <c r="AK100" s="40">
        <f t="shared" si="60"/>
        <v>4.5234717607973414</v>
      </c>
      <c r="AL100" s="51">
        <v>161</v>
      </c>
      <c r="AM100" s="52">
        <f t="shared" si="61"/>
        <v>1.8437441860465114</v>
      </c>
      <c r="AN100" s="42">
        <f t="shared" si="62"/>
        <v>0.26744186046511625</v>
      </c>
      <c r="AO100" s="53">
        <f t="shared" si="63"/>
        <v>163</v>
      </c>
      <c r="AP100" s="52">
        <f t="shared" si="64"/>
        <v>1.8666478405315614</v>
      </c>
      <c r="AQ100" s="42">
        <f t="shared" si="65"/>
        <v>0.71760797342192695</v>
      </c>
      <c r="AR100" s="46">
        <v>46252</v>
      </c>
      <c r="AS100" s="46">
        <v>46252</v>
      </c>
      <c r="AT100" s="50">
        <f t="shared" si="66"/>
        <v>18</v>
      </c>
      <c r="AU100" s="50">
        <f t="shared" si="67"/>
        <v>398</v>
      </c>
      <c r="AV100" s="50">
        <f t="shared" si="68"/>
        <v>312</v>
      </c>
      <c r="AW100" s="54">
        <f t="shared" si="69"/>
        <v>86</v>
      </c>
    </row>
    <row r="101" spans="1:49" x14ac:dyDescent="0.25">
      <c r="A101" s="33" t="s">
        <v>63</v>
      </c>
      <c r="B101" s="33" t="s">
        <v>110</v>
      </c>
      <c r="C101" s="33" t="s">
        <v>100</v>
      </c>
      <c r="D101" s="33" t="s">
        <v>180</v>
      </c>
      <c r="E101" s="34">
        <f>COUNTIF('Detalle por artículo'!$K$8:$K$592,D101)</f>
        <v>2</v>
      </c>
      <c r="F101" s="35">
        <f t="shared" si="41"/>
        <v>126.04166666666666</v>
      </c>
      <c r="G101" s="36">
        <f>SUMIF('Detalle por artículo'!$K$8:$K$592,$D101,'Detalle por artículo'!$E$8:$E$592)</f>
        <v>6.8159999999999998</v>
      </c>
      <c r="H101" s="35">
        <f t="shared" si="42"/>
        <v>5</v>
      </c>
      <c r="I101" s="35">
        <f t="shared" si="43"/>
        <v>9</v>
      </c>
      <c r="J101" s="35">
        <f t="shared" si="44"/>
        <v>18</v>
      </c>
      <c r="K101" s="37">
        <f t="shared" si="45"/>
        <v>0.24342857142857141</v>
      </c>
      <c r="L101" s="36">
        <f>SUMIF('Detalle por artículo'!$K$8:$K$592,$D101,'Detalle por artículo'!$O$8:$O$592)</f>
        <v>859.09999999999991</v>
      </c>
      <c r="M101" s="38">
        <f>SUMIF('Detalle por artículo'!$K$8:$K$592,$D101,'Detalle por artículo'!$I$8:$I$592)</f>
        <v>1408</v>
      </c>
      <c r="N101" s="38">
        <f>SUMIF('Detalle por artículo'!$K$8:$K$592,$D101,'Detalle por artículo'!$M$8:$M$592)</f>
        <v>71</v>
      </c>
      <c r="O101" s="39">
        <f t="shared" si="46"/>
        <v>4.8409090909090908</v>
      </c>
      <c r="P101" s="40">
        <f t="shared" si="47"/>
        <v>610.15625</v>
      </c>
      <c r="Q101" s="41">
        <f t="shared" si="48"/>
        <v>0.15</v>
      </c>
      <c r="R101" s="40">
        <f t="shared" si="49"/>
        <v>7.8383999999999991</v>
      </c>
      <c r="S101" s="42">
        <f>IFERROR(SUM($G$8:G101)/$G$6,0)</f>
        <v>0.66741510465772413</v>
      </c>
      <c r="T101" s="43" t="str">
        <f t="shared" si="50"/>
        <v>B</v>
      </c>
      <c r="U101" s="44">
        <v>1408</v>
      </c>
      <c r="V101" s="45">
        <f t="shared" si="51"/>
        <v>0</v>
      </c>
      <c r="W101" s="46">
        <v>46217</v>
      </c>
      <c r="X101" s="46">
        <v>46217</v>
      </c>
      <c r="Y101" s="47">
        <v>0</v>
      </c>
      <c r="Z101" s="48">
        <f t="shared" si="52"/>
        <v>0</v>
      </c>
      <c r="AA101" s="49">
        <f t="shared" si="53"/>
        <v>0</v>
      </c>
      <c r="AB101" s="44">
        <v>288</v>
      </c>
      <c r="AC101" s="44">
        <f t="shared" si="54"/>
        <v>229</v>
      </c>
      <c r="AD101" s="44">
        <f t="shared" si="55"/>
        <v>19</v>
      </c>
      <c r="AE101" s="50">
        <f t="shared" si="56"/>
        <v>16</v>
      </c>
      <c r="AF101" s="41">
        <f t="shared" si="57"/>
        <v>0.32</v>
      </c>
      <c r="AG101" s="44">
        <v>2</v>
      </c>
      <c r="AH101" s="44">
        <v>38</v>
      </c>
      <c r="AI101" s="42">
        <f t="shared" si="58"/>
        <v>0.16264204545454544</v>
      </c>
      <c r="AJ101" s="42">
        <f t="shared" si="59"/>
        <v>1.3494318181818182E-2</v>
      </c>
      <c r="AK101" s="40">
        <f t="shared" si="60"/>
        <v>1.1085681818181818</v>
      </c>
      <c r="AL101" s="51">
        <v>1120</v>
      </c>
      <c r="AM101" s="52">
        <f t="shared" si="61"/>
        <v>5.4218181818181819</v>
      </c>
      <c r="AN101" s="42">
        <f t="shared" si="62"/>
        <v>0.79545454545454541</v>
      </c>
      <c r="AO101" s="53">
        <f t="shared" si="63"/>
        <v>1120</v>
      </c>
      <c r="AP101" s="52">
        <f t="shared" si="64"/>
        <v>5.4218181818181819</v>
      </c>
      <c r="AQ101" s="42">
        <f t="shared" si="65"/>
        <v>0.17613636363636365</v>
      </c>
      <c r="AR101" s="46">
        <v>46233</v>
      </c>
      <c r="AS101" s="46">
        <v>46234</v>
      </c>
      <c r="AT101" s="50">
        <f t="shared" si="66"/>
        <v>17</v>
      </c>
      <c r="AU101" s="50">
        <f t="shared" si="67"/>
        <v>116</v>
      </c>
      <c r="AV101" s="50">
        <f t="shared" si="68"/>
        <v>349</v>
      </c>
      <c r="AW101" s="54">
        <f t="shared" si="69"/>
        <v>-233</v>
      </c>
    </row>
    <row r="102" spans="1:49" x14ac:dyDescent="0.25">
      <c r="A102" s="33" t="s">
        <v>55</v>
      </c>
      <c r="B102" s="33" t="s">
        <v>56</v>
      </c>
      <c r="C102" s="33" t="s">
        <v>57</v>
      </c>
      <c r="D102" s="33" t="s">
        <v>181</v>
      </c>
      <c r="E102" s="34">
        <f>COUNTIF('Detalle por artículo'!$K$8:$K$592,D102)</f>
        <v>1</v>
      </c>
      <c r="F102" s="35">
        <f t="shared" si="41"/>
        <v>110.63988095238096</v>
      </c>
      <c r="G102" s="36">
        <f>SUMIF('Detalle por artículo'!$K$8:$K$592,$D102,'Detalle por artículo'!$E$8:$E$592)</f>
        <v>6.72</v>
      </c>
      <c r="H102" s="35">
        <f t="shared" si="42"/>
        <v>5</v>
      </c>
      <c r="I102" s="35">
        <f t="shared" si="43"/>
        <v>9</v>
      </c>
      <c r="J102" s="35">
        <f t="shared" si="44"/>
        <v>18</v>
      </c>
      <c r="K102" s="37">
        <f t="shared" si="45"/>
        <v>0.24</v>
      </c>
      <c r="L102" s="36">
        <f>SUMIF('Detalle por artículo'!$K$8:$K$592,$D102,'Detalle por artículo'!$O$8:$O$592)</f>
        <v>743.5</v>
      </c>
      <c r="M102" s="38">
        <f>SUMIF('Detalle por artículo'!$K$8:$K$592,$D102,'Detalle por artículo'!$I$8:$I$592)</f>
        <v>625</v>
      </c>
      <c r="N102" s="38">
        <f>SUMIF('Detalle por artículo'!$K$8:$K$592,$D102,'Detalle por artículo'!$M$8:$M$592)</f>
        <v>70</v>
      </c>
      <c r="O102" s="39">
        <f t="shared" si="46"/>
        <v>10.751999999999999</v>
      </c>
      <c r="P102" s="40">
        <f t="shared" si="47"/>
        <v>1189.5999999999999</v>
      </c>
      <c r="Q102" s="41">
        <f t="shared" si="48"/>
        <v>0.2</v>
      </c>
      <c r="R102" s="40">
        <f t="shared" si="49"/>
        <v>8.0640000000000001</v>
      </c>
      <c r="S102" s="42">
        <f>IFERROR(SUM($G$8:G102)/$G$6,0)</f>
        <v>0.66988446130139212</v>
      </c>
      <c r="T102" s="43" t="str">
        <f t="shared" si="50"/>
        <v>B</v>
      </c>
      <c r="U102" s="44">
        <v>626</v>
      </c>
      <c r="V102" s="45">
        <f t="shared" si="51"/>
        <v>1</v>
      </c>
      <c r="W102" s="46">
        <v>46282</v>
      </c>
      <c r="X102" s="46">
        <v>46282</v>
      </c>
      <c r="Y102" s="47">
        <v>0</v>
      </c>
      <c r="Z102" s="48">
        <f t="shared" si="52"/>
        <v>0</v>
      </c>
      <c r="AA102" s="49">
        <f t="shared" si="53"/>
        <v>0</v>
      </c>
      <c r="AB102" s="44">
        <v>41</v>
      </c>
      <c r="AC102" s="44">
        <f t="shared" si="54"/>
        <v>38</v>
      </c>
      <c r="AD102" s="44">
        <f t="shared" si="55"/>
        <v>0</v>
      </c>
      <c r="AE102" s="50">
        <f t="shared" si="56"/>
        <v>1</v>
      </c>
      <c r="AF102" s="41">
        <f t="shared" si="57"/>
        <v>0.02</v>
      </c>
      <c r="AG102" s="44">
        <v>3</v>
      </c>
      <c r="AH102" s="44">
        <v>0</v>
      </c>
      <c r="AI102" s="42">
        <f t="shared" si="58"/>
        <v>6.08E-2</v>
      </c>
      <c r="AJ102" s="42">
        <f t="shared" si="59"/>
        <v>0</v>
      </c>
      <c r="AK102" s="40">
        <f t="shared" si="60"/>
        <v>0.40857599999999994</v>
      </c>
      <c r="AL102" s="51">
        <v>585</v>
      </c>
      <c r="AM102" s="52">
        <f t="shared" si="61"/>
        <v>6.2899199999999995</v>
      </c>
      <c r="AN102" s="42">
        <f t="shared" si="62"/>
        <v>0.93450479233226835</v>
      </c>
      <c r="AO102" s="53">
        <f t="shared" si="63"/>
        <v>584</v>
      </c>
      <c r="AP102" s="52">
        <f t="shared" si="64"/>
        <v>6.2791679999999994</v>
      </c>
      <c r="AQ102" s="42">
        <f t="shared" si="65"/>
        <v>6.08E-2</v>
      </c>
      <c r="AR102" s="46">
        <v>46285</v>
      </c>
      <c r="AS102" s="46">
        <v>46287</v>
      </c>
      <c r="AT102" s="50">
        <f t="shared" si="66"/>
        <v>5</v>
      </c>
      <c r="AU102" s="50">
        <f t="shared" si="67"/>
        <v>379</v>
      </c>
      <c r="AV102" s="50">
        <f t="shared" si="68"/>
        <v>405</v>
      </c>
      <c r="AW102" s="54">
        <f t="shared" si="69"/>
        <v>-26</v>
      </c>
    </row>
    <row r="103" spans="1:49" x14ac:dyDescent="0.25">
      <c r="A103" s="33" t="s">
        <v>55</v>
      </c>
      <c r="B103" s="33" t="s">
        <v>182</v>
      </c>
      <c r="C103" s="33" t="s">
        <v>183</v>
      </c>
      <c r="D103" s="33" t="s">
        <v>184</v>
      </c>
      <c r="E103" s="34">
        <f>COUNTIF('Detalle por artículo'!$K$8:$K$592,D103)</f>
        <v>1</v>
      </c>
      <c r="F103" s="35">
        <f t="shared" si="41"/>
        <v>45.55489260143198</v>
      </c>
      <c r="G103" s="36">
        <f>SUMIF('Detalle por artículo'!$K$8:$K$592,$D103,'Detalle por artículo'!$E$8:$E$592)</f>
        <v>6.7039999999999997</v>
      </c>
      <c r="H103" s="35">
        <f t="shared" si="42"/>
        <v>5</v>
      </c>
      <c r="I103" s="35">
        <f t="shared" si="43"/>
        <v>9</v>
      </c>
      <c r="J103" s="35">
        <f t="shared" si="44"/>
        <v>18</v>
      </c>
      <c r="K103" s="37">
        <f t="shared" si="45"/>
        <v>0.23942857142857141</v>
      </c>
      <c r="L103" s="36">
        <f>SUMIF('Detalle por artículo'!$K$8:$K$592,$D103,'Detalle por artículo'!$O$8:$O$592)</f>
        <v>305.39999999999998</v>
      </c>
      <c r="M103" s="38">
        <f>SUMIF('Detalle por artículo'!$K$8:$K$592,$D103,'Detalle por artículo'!$I$8:$I$592)</f>
        <v>400</v>
      </c>
      <c r="N103" s="38">
        <f>SUMIF('Detalle por artículo'!$K$8:$K$592,$D103,'Detalle por artículo'!$M$8:$M$592)</f>
        <v>58</v>
      </c>
      <c r="O103" s="39">
        <f t="shared" si="46"/>
        <v>16.760000000000002</v>
      </c>
      <c r="P103" s="40">
        <f t="shared" si="47"/>
        <v>763.5</v>
      </c>
      <c r="Q103" s="41">
        <f t="shared" si="48"/>
        <v>0.2</v>
      </c>
      <c r="R103" s="40">
        <f t="shared" si="49"/>
        <v>8.0447999999999986</v>
      </c>
      <c r="S103" s="42">
        <f>IFERROR(SUM($G$8:G103)/$G$6,0)</f>
        <v>0.67234793852448005</v>
      </c>
      <c r="T103" s="43" t="str">
        <f t="shared" si="50"/>
        <v>B</v>
      </c>
      <c r="U103" s="44">
        <v>400</v>
      </c>
      <c r="V103" s="45">
        <f t="shared" si="51"/>
        <v>0</v>
      </c>
      <c r="W103" s="46">
        <v>46262</v>
      </c>
      <c r="X103" s="46">
        <v>46262</v>
      </c>
      <c r="Y103" s="47">
        <v>0</v>
      </c>
      <c r="Z103" s="48">
        <f t="shared" si="52"/>
        <v>0</v>
      </c>
      <c r="AA103" s="49">
        <f t="shared" si="53"/>
        <v>0</v>
      </c>
      <c r="AB103" s="44">
        <v>164</v>
      </c>
      <c r="AC103" s="44">
        <f t="shared" si="54"/>
        <v>95</v>
      </c>
      <c r="AD103" s="44">
        <f t="shared" si="55"/>
        <v>65</v>
      </c>
      <c r="AE103" s="50">
        <f t="shared" si="56"/>
        <v>48</v>
      </c>
      <c r="AF103" s="41">
        <f t="shared" si="57"/>
        <v>0.96</v>
      </c>
      <c r="AG103" s="44">
        <v>2</v>
      </c>
      <c r="AH103" s="44">
        <v>2</v>
      </c>
      <c r="AI103" s="42">
        <f t="shared" si="58"/>
        <v>0.23749999999999999</v>
      </c>
      <c r="AJ103" s="42">
        <f t="shared" si="59"/>
        <v>0.16250000000000001</v>
      </c>
      <c r="AK103" s="40">
        <f t="shared" si="60"/>
        <v>1.5922000000000001</v>
      </c>
      <c r="AL103" s="51">
        <v>236</v>
      </c>
      <c r="AM103" s="52">
        <f t="shared" si="61"/>
        <v>3.9553600000000007</v>
      </c>
      <c r="AN103" s="42">
        <f t="shared" si="62"/>
        <v>0.59</v>
      </c>
      <c r="AO103" s="53">
        <f t="shared" si="63"/>
        <v>236</v>
      </c>
      <c r="AP103" s="52">
        <f t="shared" si="64"/>
        <v>3.9553600000000007</v>
      </c>
      <c r="AQ103" s="42">
        <f t="shared" si="65"/>
        <v>0.4</v>
      </c>
      <c r="AR103" s="46">
        <v>46265</v>
      </c>
      <c r="AS103" s="46">
        <v>46266</v>
      </c>
      <c r="AT103" s="50">
        <f t="shared" si="66"/>
        <v>4</v>
      </c>
      <c r="AU103" s="50">
        <f t="shared" si="67"/>
        <v>455</v>
      </c>
      <c r="AV103" s="50">
        <f t="shared" si="68"/>
        <v>384</v>
      </c>
      <c r="AW103" s="54">
        <f t="shared" si="69"/>
        <v>71</v>
      </c>
    </row>
    <row r="104" spans="1:49" x14ac:dyDescent="0.25">
      <c r="A104" s="33" t="s">
        <v>63</v>
      </c>
      <c r="B104" s="33" t="s">
        <v>102</v>
      </c>
      <c r="C104" s="33" t="s">
        <v>103</v>
      </c>
      <c r="D104" s="33" t="s">
        <v>185</v>
      </c>
      <c r="E104" s="34">
        <f>COUNTIF('Detalle por artículo'!$K$8:$K$592,D104)</f>
        <v>2</v>
      </c>
      <c r="F104" s="35">
        <f t="shared" si="41"/>
        <v>218.24074074074073</v>
      </c>
      <c r="G104" s="36">
        <f>SUMIF('Detalle por artículo'!$K$8:$K$592,$D104,'Detalle por artículo'!$E$8:$E$592)</f>
        <v>6.48</v>
      </c>
      <c r="H104" s="35">
        <f t="shared" si="42"/>
        <v>5</v>
      </c>
      <c r="I104" s="35">
        <f t="shared" si="43"/>
        <v>9</v>
      </c>
      <c r="J104" s="35">
        <f t="shared" si="44"/>
        <v>17</v>
      </c>
      <c r="K104" s="37">
        <f t="shared" si="45"/>
        <v>0.23142857142857146</v>
      </c>
      <c r="L104" s="36">
        <f>SUMIF('Detalle por artículo'!$K$8:$K$592,$D104,'Detalle por artículo'!$O$8:$O$592)</f>
        <v>1414.2</v>
      </c>
      <c r="M104" s="38">
        <f>SUMIF('Detalle por artículo'!$K$8:$K$592,$D104,'Detalle por artículo'!$I$8:$I$592)</f>
        <v>2156</v>
      </c>
      <c r="N104" s="38">
        <f>SUMIF('Detalle por artículo'!$K$8:$K$592,$D104,'Detalle por artículo'!$M$8:$M$592)</f>
        <v>90</v>
      </c>
      <c r="O104" s="39">
        <f t="shared" si="46"/>
        <v>3.0055658627087198</v>
      </c>
      <c r="P104" s="40">
        <f t="shared" si="47"/>
        <v>655.93692022263451</v>
      </c>
      <c r="Q104" s="41">
        <f t="shared" si="48"/>
        <v>0.1</v>
      </c>
      <c r="R104" s="40">
        <f t="shared" si="49"/>
        <v>7.128000000000001</v>
      </c>
      <c r="S104" s="42">
        <f>IFERROR(SUM($G$8:G104)/$G$6,0)</f>
        <v>0.67472910385944573</v>
      </c>
      <c r="T104" s="43" t="str">
        <f t="shared" si="50"/>
        <v>B</v>
      </c>
      <c r="U104" s="44">
        <v>2156</v>
      </c>
      <c r="V104" s="45">
        <f t="shared" ref="V104:V110" si="70">U104-M104</f>
        <v>0</v>
      </c>
      <c r="W104" s="46">
        <v>46218</v>
      </c>
      <c r="X104" s="46">
        <v>46218</v>
      </c>
      <c r="Y104" s="47">
        <v>0</v>
      </c>
      <c r="Z104" s="48">
        <f t="shared" si="52"/>
        <v>0</v>
      </c>
      <c r="AA104" s="49">
        <f t="shared" si="53"/>
        <v>0</v>
      </c>
      <c r="AB104" s="44">
        <v>1579</v>
      </c>
      <c r="AC104" s="44">
        <f t="shared" si="54"/>
        <v>774</v>
      </c>
      <c r="AD104" s="44">
        <f t="shared" si="55"/>
        <v>783</v>
      </c>
      <c r="AE104" s="50">
        <f t="shared" si="56"/>
        <v>48</v>
      </c>
      <c r="AF104" s="41">
        <f t="shared" si="57"/>
        <v>0.96</v>
      </c>
      <c r="AG104" s="44">
        <v>6</v>
      </c>
      <c r="AH104" s="44">
        <v>16</v>
      </c>
      <c r="AI104" s="42">
        <f t="shared" ref="AI104:AI110" si="71">IFERROR(AC104/M104,0)</f>
        <v>0.35899814471243041</v>
      </c>
      <c r="AJ104" s="42">
        <f t="shared" ref="AJ104:AJ110" si="72">IFERROR(AD104/M104,0)</f>
        <v>0.36317254174397029</v>
      </c>
      <c r="AK104" s="40">
        <f t="shared" si="60"/>
        <v>2.3263079777365494</v>
      </c>
      <c r="AL104" s="51">
        <v>570</v>
      </c>
      <c r="AM104" s="52">
        <f t="shared" si="61"/>
        <v>1.7131725417439703</v>
      </c>
      <c r="AN104" s="42">
        <f t="shared" ref="AN104:AN110" si="73">IFERROR(AL104/U104,0)</f>
        <v>0.26437847866419295</v>
      </c>
      <c r="AO104" s="53">
        <f t="shared" ref="AO104:AO110" si="74">M104-AB104</f>
        <v>577</v>
      </c>
      <c r="AP104" s="52">
        <f t="shared" ref="AP104:AP110" si="75">AO104*O104/1000</f>
        <v>1.7342115027829315</v>
      </c>
      <c r="AQ104" s="42">
        <f t="shared" ref="AQ104:AQ110" si="76">IFERROR((AC104+AD104)/M104,0)</f>
        <v>0.7221706864564007</v>
      </c>
      <c r="AR104" s="46">
        <v>46225</v>
      </c>
      <c r="AS104" s="46">
        <v>46225</v>
      </c>
      <c r="AT104" s="50">
        <f t="shared" ref="AT104:AT110" si="77">IF(OR(W104="",AS104=""),"",AS104-W104)</f>
        <v>7</v>
      </c>
      <c r="AU104" s="50">
        <f t="shared" si="67"/>
        <v>37</v>
      </c>
      <c r="AV104" s="50">
        <f t="shared" ref="AV104:AV110" si="78">IF(AB104=0,"",RANK(AB104,$AB$8:$AB$474))</f>
        <v>21</v>
      </c>
      <c r="AW104" s="54">
        <f t="shared" ref="AW104:AW110" si="79">IF(OR(AU104="",AV104=""),"",AU104-AV104)</f>
        <v>16</v>
      </c>
    </row>
    <row r="105" spans="1:49" x14ac:dyDescent="0.25">
      <c r="A105" s="33" t="s">
        <v>63</v>
      </c>
      <c r="B105" s="33" t="s">
        <v>105</v>
      </c>
      <c r="C105" s="33" t="s">
        <v>178</v>
      </c>
      <c r="D105" s="33" t="s">
        <v>186</v>
      </c>
      <c r="E105" s="34">
        <f>COUNTIF('Detalle por artículo'!$K$8:$K$592,D105)</f>
        <v>1</v>
      </c>
      <c r="F105" s="35">
        <f t="shared" si="41"/>
        <v>86.438313701177918</v>
      </c>
      <c r="G105" s="36">
        <f>SUMIF('Detalle por artículo'!$K$8:$K$592,$D105,'Detalle por artículo'!$E$8:$E$592)</f>
        <v>6.452</v>
      </c>
      <c r="H105" s="35">
        <f t="shared" si="42"/>
        <v>5</v>
      </c>
      <c r="I105" s="35">
        <f t="shared" si="43"/>
        <v>9</v>
      </c>
      <c r="J105" s="35">
        <f t="shared" si="44"/>
        <v>17</v>
      </c>
      <c r="K105" s="37">
        <f t="shared" si="45"/>
        <v>0.23042857142857143</v>
      </c>
      <c r="L105" s="36">
        <f>SUMIF('Detalle por artículo'!$K$8:$K$592,$D105,'Detalle por artículo'!$O$8:$O$592)</f>
        <v>557.69999999999993</v>
      </c>
      <c r="M105" s="38">
        <f>SUMIF('Detalle por artículo'!$K$8:$K$592,$D105,'Detalle por artículo'!$I$8:$I$592)</f>
        <v>602</v>
      </c>
      <c r="N105" s="38">
        <f>SUMIF('Detalle por artículo'!$K$8:$K$592,$D105,'Detalle por artículo'!$M$8:$M$592)</f>
        <v>61</v>
      </c>
      <c r="O105" s="39">
        <f t="shared" si="46"/>
        <v>10.717607973421927</v>
      </c>
      <c r="P105" s="40">
        <f t="shared" si="47"/>
        <v>926.41196013289027</v>
      </c>
      <c r="Q105" s="41">
        <f t="shared" si="48"/>
        <v>0.2</v>
      </c>
      <c r="R105" s="40">
        <f t="shared" si="49"/>
        <v>7.7423999999999999</v>
      </c>
      <c r="S105" s="42">
        <f>IFERROR(SUM($G$8:G105)/$G$6,0)</f>
        <v>0.67709998020839601</v>
      </c>
      <c r="T105" s="43" t="str">
        <f t="shared" si="50"/>
        <v>B</v>
      </c>
      <c r="U105" s="44">
        <v>602</v>
      </c>
      <c r="V105" s="45">
        <f t="shared" si="70"/>
        <v>0</v>
      </c>
      <c r="W105" s="46">
        <v>46234</v>
      </c>
      <c r="X105" s="46">
        <v>46234</v>
      </c>
      <c r="Y105" s="47">
        <v>4</v>
      </c>
      <c r="Z105" s="48">
        <f t="shared" si="52"/>
        <v>4.2870431893687708E-2</v>
      </c>
      <c r="AA105" s="49">
        <f t="shared" si="53"/>
        <v>1.5310868533459897E-3</v>
      </c>
      <c r="AB105" s="44">
        <v>472</v>
      </c>
      <c r="AC105" s="44">
        <f t="shared" si="54"/>
        <v>390</v>
      </c>
      <c r="AD105" s="44">
        <f t="shared" si="55"/>
        <v>74</v>
      </c>
      <c r="AE105" s="50">
        <f t="shared" si="56"/>
        <v>47</v>
      </c>
      <c r="AF105" s="41">
        <f t="shared" si="57"/>
        <v>0.94</v>
      </c>
      <c r="AG105" s="44">
        <v>1</v>
      </c>
      <c r="AH105" s="44">
        <v>7</v>
      </c>
      <c r="AI105" s="42">
        <f t="shared" si="71"/>
        <v>0.64784053156146182</v>
      </c>
      <c r="AJ105" s="42">
        <f t="shared" si="72"/>
        <v>0.12292358803986711</v>
      </c>
      <c r="AK105" s="40">
        <f t="shared" si="60"/>
        <v>4.1798671096345519</v>
      </c>
      <c r="AL105" s="51">
        <v>129</v>
      </c>
      <c r="AM105" s="52">
        <f t="shared" si="61"/>
        <v>1.3825714285714286</v>
      </c>
      <c r="AN105" s="42">
        <f t="shared" si="73"/>
        <v>0.21428571428571427</v>
      </c>
      <c r="AO105" s="53">
        <f t="shared" si="74"/>
        <v>130</v>
      </c>
      <c r="AP105" s="52">
        <f t="shared" si="75"/>
        <v>1.3932890365448505</v>
      </c>
      <c r="AQ105" s="42">
        <f t="shared" si="76"/>
        <v>0.77076411960132896</v>
      </c>
      <c r="AR105" s="46">
        <v>46252</v>
      </c>
      <c r="AS105" s="46">
        <v>46252</v>
      </c>
      <c r="AT105" s="50">
        <f t="shared" si="77"/>
        <v>18</v>
      </c>
      <c r="AU105" s="50">
        <f t="shared" si="67"/>
        <v>398</v>
      </c>
      <c r="AV105" s="50">
        <f t="shared" si="78"/>
        <v>290</v>
      </c>
      <c r="AW105" s="54">
        <f t="shared" si="79"/>
        <v>108</v>
      </c>
    </row>
    <row r="106" spans="1:49" x14ac:dyDescent="0.25">
      <c r="A106" s="33" t="s">
        <v>63</v>
      </c>
      <c r="B106" s="33" t="s">
        <v>64</v>
      </c>
      <c r="C106" s="33" t="s">
        <v>66</v>
      </c>
      <c r="D106" s="33" t="s">
        <v>187</v>
      </c>
      <c r="E106" s="34">
        <f>COUNTIF('Detalle por artículo'!$K$8:$K$592,D106)</f>
        <v>1</v>
      </c>
      <c r="F106" s="35">
        <f t="shared" si="41"/>
        <v>150.46656298600314</v>
      </c>
      <c r="G106" s="36">
        <f>SUMIF('Detalle por artículo'!$K$8:$K$592,$D106,'Detalle por artículo'!$E$8:$E$592)</f>
        <v>6.43</v>
      </c>
      <c r="H106" s="35">
        <f t="shared" si="42"/>
        <v>5</v>
      </c>
      <c r="I106" s="35">
        <f t="shared" si="43"/>
        <v>9</v>
      </c>
      <c r="J106" s="35">
        <f t="shared" si="44"/>
        <v>17</v>
      </c>
      <c r="K106" s="37">
        <f t="shared" si="45"/>
        <v>0.22964285714285712</v>
      </c>
      <c r="L106" s="36">
        <f>SUMIF('Detalle por artículo'!$K$8:$K$592,$D106,'Detalle por artículo'!$O$8:$O$592)</f>
        <v>967.50000000000011</v>
      </c>
      <c r="M106" s="38">
        <f>SUMIF('Detalle por artículo'!$K$8:$K$592,$D106,'Detalle por artículo'!$I$8:$I$592)</f>
        <v>791</v>
      </c>
      <c r="N106" s="38">
        <f>SUMIF('Detalle por artículo'!$K$8:$K$592,$D106,'Detalle por artículo'!$M$8:$M$592)</f>
        <v>67</v>
      </c>
      <c r="O106" s="39">
        <f t="shared" si="46"/>
        <v>8.1289506953223771</v>
      </c>
      <c r="P106" s="40">
        <f t="shared" si="47"/>
        <v>1223.1352718078383</v>
      </c>
      <c r="Q106" s="41">
        <f t="shared" si="48"/>
        <v>0.15</v>
      </c>
      <c r="R106" s="40">
        <f t="shared" si="49"/>
        <v>7.394499999999999</v>
      </c>
      <c r="S106" s="42">
        <f>IFERROR(SUM($G$8:G106)/$G$6,0)</f>
        <v>0.67946277235404873</v>
      </c>
      <c r="T106" s="43" t="str">
        <f t="shared" si="50"/>
        <v>B</v>
      </c>
      <c r="U106" s="44">
        <v>791</v>
      </c>
      <c r="V106" s="45">
        <f t="shared" si="70"/>
        <v>0</v>
      </c>
      <c r="W106" s="46">
        <v>46216</v>
      </c>
      <c r="X106" s="46">
        <v>46216</v>
      </c>
      <c r="Y106" s="47">
        <v>0</v>
      </c>
      <c r="Z106" s="48">
        <f t="shared" si="52"/>
        <v>0</v>
      </c>
      <c r="AA106" s="49">
        <f t="shared" si="53"/>
        <v>0</v>
      </c>
      <c r="AB106" s="44">
        <v>686</v>
      </c>
      <c r="AC106" s="44">
        <f t="shared" si="54"/>
        <v>450</v>
      </c>
      <c r="AD106" s="44">
        <f t="shared" si="55"/>
        <v>227</v>
      </c>
      <c r="AE106" s="50">
        <f t="shared" si="56"/>
        <v>47</v>
      </c>
      <c r="AF106" s="41">
        <f t="shared" si="57"/>
        <v>0.94</v>
      </c>
      <c r="AG106" s="44">
        <v>1</v>
      </c>
      <c r="AH106" s="44">
        <v>8</v>
      </c>
      <c r="AI106" s="42">
        <f t="shared" si="71"/>
        <v>0.5689001264222503</v>
      </c>
      <c r="AJ106" s="42">
        <f t="shared" si="72"/>
        <v>0.28697850821744625</v>
      </c>
      <c r="AK106" s="40">
        <f t="shared" si="60"/>
        <v>3.6580278128950701</v>
      </c>
      <c r="AL106" s="51">
        <v>102</v>
      </c>
      <c r="AM106" s="52">
        <f t="shared" si="61"/>
        <v>0.82915297092288243</v>
      </c>
      <c r="AN106" s="42">
        <f t="shared" si="73"/>
        <v>0.12895069532237674</v>
      </c>
      <c r="AO106" s="53">
        <f t="shared" si="74"/>
        <v>105</v>
      </c>
      <c r="AP106" s="52">
        <f t="shared" si="75"/>
        <v>0.85353982300884956</v>
      </c>
      <c r="AQ106" s="42">
        <f t="shared" si="76"/>
        <v>0.8558786346396966</v>
      </c>
      <c r="AR106" s="46">
        <v>46219</v>
      </c>
      <c r="AS106" s="46">
        <v>46219</v>
      </c>
      <c r="AT106" s="50">
        <f t="shared" si="77"/>
        <v>3</v>
      </c>
      <c r="AU106" s="50">
        <f t="shared" si="67"/>
        <v>249</v>
      </c>
      <c r="AV106" s="50">
        <f t="shared" si="78"/>
        <v>130</v>
      </c>
      <c r="AW106" s="54">
        <f t="shared" si="79"/>
        <v>119</v>
      </c>
    </row>
    <row r="107" spans="1:49" x14ac:dyDescent="0.25">
      <c r="A107" s="33" t="s">
        <v>63</v>
      </c>
      <c r="B107" s="33" t="s">
        <v>64</v>
      </c>
      <c r="C107" s="33" t="s">
        <v>66</v>
      </c>
      <c r="D107" s="33" t="s">
        <v>188</v>
      </c>
      <c r="E107" s="34">
        <f>COUNTIF('Detalle por artículo'!$K$8:$K$592,D107)</f>
        <v>1</v>
      </c>
      <c r="F107" s="35">
        <f t="shared" si="41"/>
        <v>199.40625</v>
      </c>
      <c r="G107" s="36">
        <f>SUMIF('Detalle por artículo'!$K$8:$K$592,$D107,'Detalle por artículo'!$E$8:$E$592)</f>
        <v>6.4</v>
      </c>
      <c r="H107" s="35">
        <f t="shared" si="42"/>
        <v>5</v>
      </c>
      <c r="I107" s="35">
        <f t="shared" si="43"/>
        <v>9</v>
      </c>
      <c r="J107" s="35">
        <f t="shared" si="44"/>
        <v>17</v>
      </c>
      <c r="K107" s="37">
        <f t="shared" si="45"/>
        <v>0.22857142857142859</v>
      </c>
      <c r="L107" s="36">
        <f>SUMIF('Detalle por artículo'!$K$8:$K$592,$D107,'Detalle por artículo'!$O$8:$O$592)</f>
        <v>1276.2</v>
      </c>
      <c r="M107" s="38">
        <f>SUMIF('Detalle por artículo'!$K$8:$K$592,$D107,'Detalle por artículo'!$I$8:$I$592)</f>
        <v>1048</v>
      </c>
      <c r="N107" s="38">
        <f>SUMIF('Detalle por artículo'!$K$8:$K$592,$D107,'Detalle por artículo'!$M$8:$M$592)</f>
        <v>59</v>
      </c>
      <c r="O107" s="39">
        <f t="shared" si="46"/>
        <v>6.1068702290076331</v>
      </c>
      <c r="P107" s="40">
        <f t="shared" si="47"/>
        <v>1217.7480916030534</v>
      </c>
      <c r="Q107" s="41">
        <f t="shared" si="48"/>
        <v>0.15</v>
      </c>
      <c r="R107" s="40">
        <f t="shared" si="49"/>
        <v>7.3599999999999994</v>
      </c>
      <c r="S107" s="42">
        <f>IFERROR(SUM($G$8:G107)/$G$6,0)</f>
        <v>0.68181454058611357</v>
      </c>
      <c r="T107" s="43" t="str">
        <f t="shared" si="50"/>
        <v>B</v>
      </c>
      <c r="U107" s="44">
        <v>0</v>
      </c>
      <c r="V107" s="45">
        <f t="shared" si="70"/>
        <v>-1048</v>
      </c>
      <c r="W107" s="46"/>
      <c r="X107" s="46"/>
      <c r="Y107" s="47">
        <v>1048</v>
      </c>
      <c r="Z107" s="48">
        <f t="shared" si="52"/>
        <v>6.3999999999999995</v>
      </c>
      <c r="AA107" s="49">
        <f t="shared" si="53"/>
        <v>0.22857142857142856</v>
      </c>
      <c r="AB107" s="44">
        <v>0</v>
      </c>
      <c r="AC107" s="44">
        <f t="shared" si="54"/>
        <v>0</v>
      </c>
      <c r="AD107" s="44">
        <f t="shared" si="55"/>
        <v>0</v>
      </c>
      <c r="AE107" s="50">
        <f t="shared" si="56"/>
        <v>0</v>
      </c>
      <c r="AF107" s="41">
        <f t="shared" si="57"/>
        <v>0</v>
      </c>
      <c r="AG107" s="44">
        <v>0</v>
      </c>
      <c r="AH107" s="44">
        <v>0</v>
      </c>
      <c r="AI107" s="42">
        <f t="shared" si="71"/>
        <v>0</v>
      </c>
      <c r="AJ107" s="42">
        <f t="shared" si="72"/>
        <v>0</v>
      </c>
      <c r="AK107" s="40">
        <f t="shared" si="60"/>
        <v>0</v>
      </c>
      <c r="AL107" s="51">
        <v>0</v>
      </c>
      <c r="AM107" s="52">
        <f t="shared" si="61"/>
        <v>0</v>
      </c>
      <c r="AN107" s="42">
        <f t="shared" si="73"/>
        <v>0</v>
      </c>
      <c r="AO107" s="53">
        <f t="shared" si="74"/>
        <v>1048</v>
      </c>
      <c r="AP107" s="52">
        <f t="shared" si="75"/>
        <v>6.3999999999999995</v>
      </c>
      <c r="AQ107" s="42">
        <f t="shared" si="76"/>
        <v>0</v>
      </c>
      <c r="AR107" s="46"/>
      <c r="AS107" s="46"/>
      <c r="AT107" s="50" t="str">
        <f t="shared" si="77"/>
        <v/>
      </c>
      <c r="AU107" s="50">
        <f t="shared" si="67"/>
        <v>161</v>
      </c>
      <c r="AV107" s="50" t="str">
        <f t="shared" si="78"/>
        <v/>
      </c>
      <c r="AW107" s="54" t="str">
        <f t="shared" si="79"/>
        <v/>
      </c>
    </row>
    <row r="108" spans="1:49" x14ac:dyDescent="0.25">
      <c r="A108" s="33" t="s">
        <v>55</v>
      </c>
      <c r="B108" s="33" t="s">
        <v>93</v>
      </c>
      <c r="C108" s="33" t="s">
        <v>94</v>
      </c>
      <c r="D108" s="33" t="s">
        <v>189</v>
      </c>
      <c r="E108" s="34">
        <f>COUNTIF('Detalle por artículo'!$K$8:$K$592,D108)</f>
        <v>1</v>
      </c>
      <c r="F108" s="35">
        <f t="shared" si="41"/>
        <v>158.33333333333334</v>
      </c>
      <c r="G108" s="36">
        <f>SUMIF('Detalle por artículo'!$K$8:$K$592,$D108,'Detalle por artículo'!$E$8:$E$592)</f>
        <v>6.3360000000000003</v>
      </c>
      <c r="H108" s="35">
        <f t="shared" si="42"/>
        <v>5</v>
      </c>
      <c r="I108" s="35">
        <f t="shared" si="43"/>
        <v>9</v>
      </c>
      <c r="J108" s="35">
        <f t="shared" si="44"/>
        <v>17</v>
      </c>
      <c r="K108" s="37">
        <f t="shared" si="45"/>
        <v>0.22628571428571428</v>
      </c>
      <c r="L108" s="36">
        <f>SUMIF('Detalle por artículo'!$K$8:$K$592,$D108,'Detalle por artículo'!$O$8:$O$592)</f>
        <v>1003.2</v>
      </c>
      <c r="M108" s="38">
        <f>SUMIF('Detalle por artículo'!$K$8:$K$592,$D108,'Detalle por artículo'!$I$8:$I$592)</f>
        <v>1089</v>
      </c>
      <c r="N108" s="38">
        <f>SUMIF('Detalle por artículo'!$K$8:$K$592,$D108,'Detalle por artículo'!$M$8:$M$592)</f>
        <v>66</v>
      </c>
      <c r="O108" s="39">
        <f t="shared" si="46"/>
        <v>5.8181818181818183</v>
      </c>
      <c r="P108" s="40">
        <f t="shared" si="47"/>
        <v>921.21212121212125</v>
      </c>
      <c r="Q108" s="41">
        <f t="shared" si="48"/>
        <v>0.15</v>
      </c>
      <c r="R108" s="40">
        <f t="shared" si="49"/>
        <v>7.2863999999999995</v>
      </c>
      <c r="S108" s="42">
        <f>IFERROR(SUM($G$8:G108)/$G$6,0)</f>
        <v>0.68414279113585774</v>
      </c>
      <c r="T108" s="43" t="str">
        <f t="shared" si="50"/>
        <v>B</v>
      </c>
      <c r="U108" s="44">
        <v>1089</v>
      </c>
      <c r="V108" s="45">
        <f t="shared" si="70"/>
        <v>0</v>
      </c>
      <c r="W108" s="46">
        <v>46217</v>
      </c>
      <c r="X108" s="46">
        <v>46217</v>
      </c>
      <c r="Y108" s="47">
        <v>0</v>
      </c>
      <c r="Z108" s="48">
        <f t="shared" si="52"/>
        <v>0</v>
      </c>
      <c r="AA108" s="49">
        <f t="shared" si="53"/>
        <v>0</v>
      </c>
      <c r="AB108" s="44">
        <v>1087</v>
      </c>
      <c r="AC108" s="44">
        <f t="shared" si="54"/>
        <v>562</v>
      </c>
      <c r="AD108" s="44">
        <f t="shared" si="55"/>
        <v>498</v>
      </c>
      <c r="AE108" s="50">
        <f t="shared" si="56"/>
        <v>47</v>
      </c>
      <c r="AF108" s="41">
        <f t="shared" si="57"/>
        <v>0.94</v>
      </c>
      <c r="AG108" s="44">
        <v>13</v>
      </c>
      <c r="AH108" s="44">
        <v>14</v>
      </c>
      <c r="AI108" s="42">
        <f t="shared" si="71"/>
        <v>0.51606978879706156</v>
      </c>
      <c r="AJ108" s="42">
        <f t="shared" si="72"/>
        <v>0.45730027548209368</v>
      </c>
      <c r="AK108" s="40">
        <f t="shared" si="60"/>
        <v>3.2698181818181822</v>
      </c>
      <c r="AL108" s="51">
        <v>0</v>
      </c>
      <c r="AM108" s="52">
        <f t="shared" si="61"/>
        <v>0</v>
      </c>
      <c r="AN108" s="42">
        <f t="shared" si="73"/>
        <v>0</v>
      </c>
      <c r="AO108" s="53">
        <f t="shared" si="74"/>
        <v>2</v>
      </c>
      <c r="AP108" s="52">
        <f t="shared" si="75"/>
        <v>1.1636363636363637E-2</v>
      </c>
      <c r="AQ108" s="42">
        <f t="shared" si="76"/>
        <v>0.97337006427915518</v>
      </c>
      <c r="AR108" s="46">
        <v>46233</v>
      </c>
      <c r="AS108" s="46">
        <v>46234</v>
      </c>
      <c r="AT108" s="50">
        <f t="shared" si="77"/>
        <v>17</v>
      </c>
      <c r="AU108" s="50">
        <f t="shared" si="67"/>
        <v>151</v>
      </c>
      <c r="AV108" s="50">
        <f t="shared" si="78"/>
        <v>60</v>
      </c>
      <c r="AW108" s="54">
        <f t="shared" si="79"/>
        <v>91</v>
      </c>
    </row>
    <row r="109" spans="1:49" x14ac:dyDescent="0.25">
      <c r="A109" s="33" t="s">
        <v>55</v>
      </c>
      <c r="B109" s="33" t="s">
        <v>56</v>
      </c>
      <c r="C109" s="33" t="s">
        <v>66</v>
      </c>
      <c r="D109" s="33" t="s">
        <v>190</v>
      </c>
      <c r="E109" s="34">
        <f>COUNTIF('Detalle por artículo'!$K$8:$K$592,D109)</f>
        <v>1</v>
      </c>
      <c r="F109" s="35">
        <f t="shared" si="41"/>
        <v>-15.809523809523808</v>
      </c>
      <c r="G109" s="36">
        <f>SUMIF('Detalle por artículo'!$K$8:$K$592,$D109,'Detalle por artículo'!$E$8:$E$592)</f>
        <v>6.3</v>
      </c>
      <c r="H109" s="35">
        <f t="shared" si="42"/>
        <v>5</v>
      </c>
      <c r="I109" s="35">
        <f t="shared" si="43"/>
        <v>9</v>
      </c>
      <c r="J109" s="35">
        <f t="shared" si="44"/>
        <v>17</v>
      </c>
      <c r="K109" s="37">
        <f t="shared" si="45"/>
        <v>0.22500000000000001</v>
      </c>
      <c r="L109" s="36">
        <f>SUMIF('Detalle por artículo'!$K$8:$K$592,$D109,'Detalle por artículo'!$O$8:$O$592)</f>
        <v>-99.6</v>
      </c>
      <c r="M109" s="38">
        <f>SUMIF('Detalle por artículo'!$K$8:$K$592,$D109,'Detalle por artículo'!$I$8:$I$592)</f>
        <v>747</v>
      </c>
      <c r="N109" s="38">
        <f>SUMIF('Detalle por artículo'!$K$8:$K$592,$D109,'Detalle por artículo'!$M$8:$M$592)</f>
        <v>83</v>
      </c>
      <c r="O109" s="39">
        <f t="shared" si="46"/>
        <v>8.4337349397590362</v>
      </c>
      <c r="P109" s="40">
        <f t="shared" si="47"/>
        <v>-133.33333333333334</v>
      </c>
      <c r="Q109" s="41">
        <f t="shared" si="48"/>
        <v>0.2</v>
      </c>
      <c r="R109" s="40">
        <f t="shared" si="49"/>
        <v>7.56</v>
      </c>
      <c r="S109" s="42">
        <f>IFERROR(SUM($G$8:G109)/$G$6,0)</f>
        <v>0.68645781298929653</v>
      </c>
      <c r="T109" s="43" t="str">
        <f t="shared" si="50"/>
        <v>B</v>
      </c>
      <c r="U109" s="44">
        <v>747</v>
      </c>
      <c r="V109" s="45">
        <f t="shared" si="70"/>
        <v>0</v>
      </c>
      <c r="W109" s="46">
        <v>46246</v>
      </c>
      <c r="X109" s="46">
        <v>46246</v>
      </c>
      <c r="Y109" s="47">
        <v>0</v>
      </c>
      <c r="Z109" s="48">
        <f t="shared" si="52"/>
        <v>0</v>
      </c>
      <c r="AA109" s="49">
        <f t="shared" si="53"/>
        <v>0</v>
      </c>
      <c r="AB109" s="44">
        <v>469</v>
      </c>
      <c r="AC109" s="44">
        <f t="shared" si="54"/>
        <v>409</v>
      </c>
      <c r="AD109" s="44">
        <f t="shared" si="55"/>
        <v>50</v>
      </c>
      <c r="AE109" s="50">
        <f t="shared" si="56"/>
        <v>47</v>
      </c>
      <c r="AF109" s="41">
        <f t="shared" si="57"/>
        <v>0.94</v>
      </c>
      <c r="AG109" s="44">
        <v>2</v>
      </c>
      <c r="AH109" s="44">
        <v>8</v>
      </c>
      <c r="AI109" s="42">
        <f t="shared" si="71"/>
        <v>0.54752342704149937</v>
      </c>
      <c r="AJ109" s="42">
        <f t="shared" si="72"/>
        <v>6.6934404283801874E-2</v>
      </c>
      <c r="AK109" s="40">
        <f t="shared" si="60"/>
        <v>3.4493975903614458</v>
      </c>
      <c r="AL109" s="51">
        <v>278</v>
      </c>
      <c r="AM109" s="52">
        <f t="shared" si="61"/>
        <v>2.3445783132530118</v>
      </c>
      <c r="AN109" s="42">
        <f t="shared" si="73"/>
        <v>0.37215528781793844</v>
      </c>
      <c r="AO109" s="53">
        <f t="shared" si="74"/>
        <v>278</v>
      </c>
      <c r="AP109" s="52">
        <f t="shared" si="75"/>
        <v>2.3445783132530118</v>
      </c>
      <c r="AQ109" s="42">
        <f t="shared" si="76"/>
        <v>0.61445783132530118</v>
      </c>
      <c r="AR109" s="46">
        <v>46268</v>
      </c>
      <c r="AS109" s="46">
        <v>46268</v>
      </c>
      <c r="AT109" s="50">
        <f t="shared" si="77"/>
        <v>22</v>
      </c>
      <c r="AU109" s="50">
        <f t="shared" si="67"/>
        <v>285</v>
      </c>
      <c r="AV109" s="50">
        <f t="shared" si="78"/>
        <v>292</v>
      </c>
      <c r="AW109" s="54">
        <f t="shared" si="79"/>
        <v>-7</v>
      </c>
    </row>
    <row r="110" spans="1:49" x14ac:dyDescent="0.25">
      <c r="A110" s="33" t="s">
        <v>55</v>
      </c>
      <c r="B110" s="33" t="s">
        <v>56</v>
      </c>
      <c r="C110" s="33" t="s">
        <v>57</v>
      </c>
      <c r="D110" s="33" t="s">
        <v>191</v>
      </c>
      <c r="E110" s="34">
        <f>COUNTIF('Detalle por artículo'!$K$8:$K$592,D110)</f>
        <v>1</v>
      </c>
      <c r="F110" s="35">
        <f t="shared" si="41"/>
        <v>128.77616747181963</v>
      </c>
      <c r="G110" s="36">
        <f>SUMIF('Detalle por artículo'!$K$8:$K$592,$D110,'Detalle por artículo'!$E$8:$E$592)</f>
        <v>6.21</v>
      </c>
      <c r="H110" s="35">
        <f t="shared" si="42"/>
        <v>5</v>
      </c>
      <c r="I110" s="35">
        <f t="shared" si="43"/>
        <v>9</v>
      </c>
      <c r="J110" s="35">
        <f t="shared" si="44"/>
        <v>17</v>
      </c>
      <c r="K110" s="37">
        <f t="shared" si="45"/>
        <v>0.22178571428571428</v>
      </c>
      <c r="L110" s="36">
        <f>SUMIF('Detalle por artículo'!$K$8:$K$592,$D110,'Detalle por artículo'!$O$8:$O$592)</f>
        <v>799.69999999999993</v>
      </c>
      <c r="M110" s="38">
        <f>SUMIF('Detalle por artículo'!$K$8:$K$592,$D110,'Detalle por artículo'!$I$8:$I$592)</f>
        <v>750</v>
      </c>
      <c r="N110" s="38">
        <f>SUMIF('Detalle por artículo'!$K$8:$K$592,$D110,'Detalle por artículo'!$M$8:$M$592)</f>
        <v>63</v>
      </c>
      <c r="O110" s="39">
        <f t="shared" si="46"/>
        <v>8.2799999999999994</v>
      </c>
      <c r="P110" s="40">
        <f t="shared" si="47"/>
        <v>1066.2666666666664</v>
      </c>
      <c r="Q110" s="41">
        <f t="shared" si="48"/>
        <v>0.15</v>
      </c>
      <c r="R110" s="40">
        <f t="shared" si="49"/>
        <v>7.1414999999999997</v>
      </c>
      <c r="S110" s="42">
        <f>IFERROR(SUM($G$8:G110)/$G$6,0)</f>
        <v>0.68873976310197205</v>
      </c>
      <c r="T110" s="43" t="str">
        <f t="shared" si="50"/>
        <v>B</v>
      </c>
      <c r="U110" s="44">
        <v>750</v>
      </c>
      <c r="V110" s="45">
        <f t="shared" si="70"/>
        <v>0</v>
      </c>
      <c r="W110" s="46">
        <v>46289</v>
      </c>
      <c r="X110" s="46">
        <v>46289</v>
      </c>
      <c r="Y110" s="47">
        <v>0</v>
      </c>
      <c r="Z110" s="48">
        <f t="shared" si="52"/>
        <v>0</v>
      </c>
      <c r="AA110" s="49">
        <f t="shared" si="53"/>
        <v>0</v>
      </c>
      <c r="AB110" s="44">
        <v>44</v>
      </c>
      <c r="AC110" s="44">
        <f t="shared" si="54"/>
        <v>38</v>
      </c>
      <c r="AD110" s="44">
        <f t="shared" si="55"/>
        <v>1</v>
      </c>
      <c r="AE110" s="50">
        <f t="shared" si="56"/>
        <v>1</v>
      </c>
      <c r="AF110" s="41">
        <f t="shared" si="57"/>
        <v>0.02</v>
      </c>
      <c r="AG110" s="44">
        <v>5</v>
      </c>
      <c r="AH110" s="44">
        <v>0</v>
      </c>
      <c r="AI110" s="42">
        <f t="shared" si="71"/>
        <v>5.0666666666666665E-2</v>
      </c>
      <c r="AJ110" s="42">
        <f t="shared" si="72"/>
        <v>1.3333333333333333E-3</v>
      </c>
      <c r="AK110" s="40">
        <f t="shared" si="60"/>
        <v>0.31463999999999998</v>
      </c>
      <c r="AL110" s="51">
        <v>706</v>
      </c>
      <c r="AM110" s="52">
        <f t="shared" si="61"/>
        <v>5.8456799999999998</v>
      </c>
      <c r="AN110" s="42">
        <f t="shared" si="73"/>
        <v>0.94133333333333336</v>
      </c>
      <c r="AO110" s="53">
        <f t="shared" si="74"/>
        <v>706</v>
      </c>
      <c r="AP110" s="52">
        <f t="shared" si="75"/>
        <v>5.8456799999999998</v>
      </c>
      <c r="AQ110" s="42">
        <f t="shared" si="76"/>
        <v>5.1999999999999998E-2</v>
      </c>
      <c r="AR110" s="46">
        <v>46293</v>
      </c>
      <c r="AS110" s="46">
        <v>46294</v>
      </c>
      <c r="AT110" s="50">
        <f t="shared" si="77"/>
        <v>5</v>
      </c>
      <c r="AU110" s="50">
        <f t="shared" si="67"/>
        <v>279</v>
      </c>
      <c r="AV110" s="50">
        <f t="shared" si="78"/>
        <v>402</v>
      </c>
      <c r="AW110" s="54">
        <f t="shared" si="79"/>
        <v>-123</v>
      </c>
    </row>
    <row r="111" spans="1:49" x14ac:dyDescent="0.25">
      <c r="A111" s="55"/>
      <c r="B111" s="55"/>
      <c r="C111" s="55"/>
      <c r="D111" s="55" t="s">
        <v>192</v>
      </c>
      <c r="E111" s="56">
        <f>COUNTIF('Detalle por artículo'!$K$8:$K$592,D111)</f>
        <v>1</v>
      </c>
      <c r="F111" s="57">
        <f t="shared" si="41"/>
        <v>-9.0967741935483861</v>
      </c>
      <c r="G111" s="58">
        <f>SUMIF('Detalle por artículo'!$K$8:$K$592,$D111,'Detalle por artículo'!$E$8:$E$592)</f>
        <v>6.2</v>
      </c>
      <c r="H111" s="57">
        <f t="shared" si="42"/>
        <v>5</v>
      </c>
      <c r="I111" s="57">
        <f t="shared" si="43"/>
        <v>9</v>
      </c>
      <c r="J111" s="57">
        <f t="shared" si="44"/>
        <v>17</v>
      </c>
      <c r="K111" s="59">
        <f t="shared" si="45"/>
        <v>0.22142857142857145</v>
      </c>
      <c r="L111" s="58">
        <f>SUMIF('Detalle por artículo'!$K$8:$K$592,$D111,'Detalle por artículo'!$O$8:$O$592)</f>
        <v>-56.4</v>
      </c>
      <c r="M111" s="60">
        <f>SUMIF('Detalle por artículo'!$K$8:$K$592,$D111,'Detalle por artículo'!$I$8:$I$592)</f>
        <v>1239</v>
      </c>
      <c r="N111" s="60">
        <f>SUMIF('Detalle por artículo'!$K$8:$K$592,$D111,'Detalle por artículo'!$M$8:$M$592)</f>
        <v>47</v>
      </c>
      <c r="O111" s="61">
        <f t="shared" si="46"/>
        <v>5.0040355125100886</v>
      </c>
      <c r="P111" s="62">
        <f t="shared" si="47"/>
        <v>-45.520581113801455</v>
      </c>
      <c r="Q111" s="63">
        <f t="shared" si="48"/>
        <v>0.2</v>
      </c>
      <c r="R111" s="62">
        <f t="shared" si="49"/>
        <v>7.4399999999999995</v>
      </c>
      <c r="S111" s="64">
        <f>IFERROR(SUM($G$8:G111)/$G$6,0)</f>
        <v>0.69101803857678479</v>
      </c>
      <c r="T111" s="65" t="str">
        <f t="shared" si="50"/>
        <v>B</v>
      </c>
      <c r="U111" s="66">
        <v>0</v>
      </c>
      <c r="V111" s="67"/>
      <c r="W111" s="68"/>
      <c r="X111" s="68"/>
      <c r="Y111" s="69">
        <v>0</v>
      </c>
      <c r="Z111" s="70">
        <f t="shared" si="52"/>
        <v>0</v>
      </c>
      <c r="AA111" s="71">
        <f t="shared" si="53"/>
        <v>0</v>
      </c>
      <c r="AB111" s="66">
        <v>0</v>
      </c>
      <c r="AC111" s="66">
        <f t="shared" si="54"/>
        <v>0</v>
      </c>
      <c r="AD111" s="66">
        <f t="shared" si="55"/>
        <v>0</v>
      </c>
      <c r="AE111" s="72">
        <f t="shared" si="56"/>
        <v>0</v>
      </c>
      <c r="AF111" s="63">
        <f t="shared" si="57"/>
        <v>0</v>
      </c>
      <c r="AG111" s="66">
        <v>0</v>
      </c>
      <c r="AH111" s="66">
        <v>0</v>
      </c>
      <c r="AI111" s="64"/>
      <c r="AJ111" s="64"/>
      <c r="AK111" s="62">
        <f t="shared" si="60"/>
        <v>0</v>
      </c>
      <c r="AL111" s="73">
        <v>0</v>
      </c>
      <c r="AM111" s="74">
        <f t="shared" si="61"/>
        <v>0</v>
      </c>
      <c r="AN111" s="64"/>
      <c r="AO111" s="75"/>
      <c r="AP111" s="74"/>
      <c r="AQ111" s="64"/>
      <c r="AR111" s="68"/>
      <c r="AS111" s="68"/>
      <c r="AT111" s="72"/>
      <c r="AU111" s="72">
        <f t="shared" si="67"/>
        <v>132</v>
      </c>
      <c r="AV111" s="72"/>
      <c r="AW111" s="76"/>
    </row>
    <row r="112" spans="1:49" x14ac:dyDescent="0.25">
      <c r="A112" s="33" t="s">
        <v>63</v>
      </c>
      <c r="B112" s="33" t="s">
        <v>102</v>
      </c>
      <c r="C112" s="33" t="s">
        <v>103</v>
      </c>
      <c r="D112" s="33" t="s">
        <v>193</v>
      </c>
      <c r="E112" s="34">
        <f>COUNTIF('Detalle por artículo'!$K$8:$K$592,D112)</f>
        <v>2</v>
      </c>
      <c r="F112" s="35">
        <f t="shared" si="41"/>
        <v>177.74509803921566</v>
      </c>
      <c r="G112" s="36">
        <f>SUMIF('Detalle por artículo'!$K$8:$K$592,$D112,'Detalle por artículo'!$E$8:$E$592)</f>
        <v>6.12</v>
      </c>
      <c r="H112" s="35">
        <f t="shared" si="42"/>
        <v>4</v>
      </c>
      <c r="I112" s="35">
        <f t="shared" si="43"/>
        <v>8</v>
      </c>
      <c r="J112" s="35">
        <f t="shared" si="44"/>
        <v>16</v>
      </c>
      <c r="K112" s="37">
        <f t="shared" si="45"/>
        <v>0.21857142857142858</v>
      </c>
      <c r="L112" s="36">
        <f>SUMIF('Detalle por artículo'!$K$8:$K$592,$D112,'Detalle por artículo'!$O$8:$O$592)</f>
        <v>1087.8</v>
      </c>
      <c r="M112" s="38">
        <f>SUMIF('Detalle por artículo'!$K$8:$K$592,$D112,'Detalle por artículo'!$I$8:$I$592)</f>
        <v>2062</v>
      </c>
      <c r="N112" s="38">
        <f>SUMIF('Detalle por artículo'!$K$8:$K$592,$D112,'Detalle por artículo'!$M$8:$M$592)</f>
        <v>85</v>
      </c>
      <c r="O112" s="39">
        <f t="shared" si="46"/>
        <v>2.967992240543162</v>
      </c>
      <c r="P112" s="40">
        <f t="shared" si="47"/>
        <v>527.54607177497564</v>
      </c>
      <c r="Q112" s="41">
        <f t="shared" si="48"/>
        <v>0.15</v>
      </c>
      <c r="R112" s="40">
        <f t="shared" si="49"/>
        <v>7.0379999999999994</v>
      </c>
      <c r="S112" s="42">
        <f>IFERROR(SUM($G$8:G112)/$G$6,0)</f>
        <v>0.6932669169486968</v>
      </c>
      <c r="T112" s="43" t="str">
        <f t="shared" si="50"/>
        <v>B</v>
      </c>
      <c r="U112" s="44">
        <v>2061</v>
      </c>
      <c r="V112" s="45">
        <f t="shared" ref="V112:V143" si="80">U112-M112</f>
        <v>-1</v>
      </c>
      <c r="W112" s="46">
        <v>46218</v>
      </c>
      <c r="X112" s="46">
        <v>46218</v>
      </c>
      <c r="Y112" s="47">
        <v>2</v>
      </c>
      <c r="Z112" s="48">
        <f t="shared" si="52"/>
        <v>5.9359844810863236E-3</v>
      </c>
      <c r="AA112" s="49">
        <f t="shared" si="53"/>
        <v>2.1199944575308298E-4</v>
      </c>
      <c r="AB112" s="44">
        <v>1600</v>
      </c>
      <c r="AC112" s="44">
        <f t="shared" si="54"/>
        <v>916</v>
      </c>
      <c r="AD112" s="44">
        <f t="shared" si="55"/>
        <v>678</v>
      </c>
      <c r="AE112" s="50">
        <f t="shared" si="56"/>
        <v>48</v>
      </c>
      <c r="AF112" s="41">
        <f t="shared" si="57"/>
        <v>0.96</v>
      </c>
      <c r="AG112" s="44">
        <v>6</v>
      </c>
      <c r="AH112" s="44">
        <v>0</v>
      </c>
      <c r="AI112" s="42">
        <f t="shared" ref="AI112:AI143" si="81">IFERROR(AC112/M112,0)</f>
        <v>0.44422890397672166</v>
      </c>
      <c r="AJ112" s="42">
        <f t="shared" ref="AJ112:AJ143" si="82">IFERROR(AD112/M112,0)</f>
        <v>0.32880698351115423</v>
      </c>
      <c r="AK112" s="40">
        <f t="shared" si="60"/>
        <v>2.7186808923375367</v>
      </c>
      <c r="AL112" s="51">
        <v>460</v>
      </c>
      <c r="AM112" s="52">
        <f t="shared" si="61"/>
        <v>1.3652764306498546</v>
      </c>
      <c r="AN112" s="42">
        <f t="shared" ref="AN112:AN143" si="83">IFERROR(AL112/U112,0)</f>
        <v>0.22319262493934983</v>
      </c>
      <c r="AO112" s="53">
        <f t="shared" ref="AO112:AO143" si="84">M112-AB112</f>
        <v>462</v>
      </c>
      <c r="AP112" s="52">
        <f t="shared" ref="AP112:AP143" si="85">AO112*O112/1000</f>
        <v>1.3712124151309408</v>
      </c>
      <c r="AQ112" s="42">
        <f t="shared" ref="AQ112:AQ143" si="86">IFERROR((AC112+AD112)/M112,0)</f>
        <v>0.77303588748787588</v>
      </c>
      <c r="AR112" s="46">
        <v>46225</v>
      </c>
      <c r="AS112" s="46">
        <v>46225</v>
      </c>
      <c r="AT112" s="50">
        <f t="shared" ref="AT112:AT143" si="87">IF(OR(W112="",AS112=""),"",AS112-W112)</f>
        <v>7</v>
      </c>
      <c r="AU112" s="50">
        <f t="shared" si="67"/>
        <v>40</v>
      </c>
      <c r="AV112" s="50">
        <f t="shared" ref="AV112:AV143" si="88">IF(AB112=0,"",RANK(AB112,$AB$8:$AB$474))</f>
        <v>19</v>
      </c>
      <c r="AW112" s="54">
        <f t="shared" ref="AW112:AW143" si="89">IF(OR(AU112="",AV112=""),"",AU112-AV112)</f>
        <v>21</v>
      </c>
    </row>
    <row r="113" spans="1:49" x14ac:dyDescent="0.25">
      <c r="A113" s="33" t="s">
        <v>55</v>
      </c>
      <c r="B113" s="33" t="s">
        <v>99</v>
      </c>
      <c r="C113" s="33" t="s">
        <v>100</v>
      </c>
      <c r="D113" s="33" t="s">
        <v>194</v>
      </c>
      <c r="E113" s="34">
        <f>COUNTIF('Detalle por artículo'!$K$8:$K$592,D113)</f>
        <v>2</v>
      </c>
      <c r="F113" s="35">
        <f t="shared" si="41"/>
        <v>115.67460317460318</v>
      </c>
      <c r="G113" s="36">
        <f>SUMIF('Detalle por artículo'!$K$8:$K$592,$D113,'Detalle por artículo'!$E$8:$E$592)</f>
        <v>6.048</v>
      </c>
      <c r="H113" s="35">
        <f t="shared" si="42"/>
        <v>4</v>
      </c>
      <c r="I113" s="35">
        <f t="shared" si="43"/>
        <v>8</v>
      </c>
      <c r="J113" s="35">
        <f t="shared" si="44"/>
        <v>16</v>
      </c>
      <c r="K113" s="37">
        <f t="shared" si="45"/>
        <v>0.216</v>
      </c>
      <c r="L113" s="36">
        <f>SUMIF('Detalle por artículo'!$K$8:$K$592,$D113,'Detalle por artículo'!$O$8:$O$592)</f>
        <v>699.6</v>
      </c>
      <c r="M113" s="38">
        <f>SUMIF('Detalle por artículo'!$K$8:$K$592,$D113,'Detalle por artículo'!$I$8:$I$592)</f>
        <v>2256</v>
      </c>
      <c r="N113" s="38">
        <f>SUMIF('Detalle por artículo'!$K$8:$K$592,$D113,'Detalle por artículo'!$M$8:$M$592)</f>
        <v>63</v>
      </c>
      <c r="O113" s="39">
        <f t="shared" si="46"/>
        <v>2.6808510638297869</v>
      </c>
      <c r="P113" s="40">
        <f t="shared" si="47"/>
        <v>310.10638297872339</v>
      </c>
      <c r="Q113" s="41">
        <f t="shared" si="48"/>
        <v>0.2</v>
      </c>
      <c r="R113" s="40">
        <f t="shared" si="49"/>
        <v>7.2576000000000001</v>
      </c>
      <c r="S113" s="42">
        <f>IFERROR(SUM($G$8:G113)/$G$6,0)</f>
        <v>0.69548933792799805</v>
      </c>
      <c r="T113" s="43" t="str">
        <f t="shared" si="50"/>
        <v>B</v>
      </c>
      <c r="U113" s="44">
        <v>2256</v>
      </c>
      <c r="V113" s="45">
        <f t="shared" si="80"/>
        <v>0</v>
      </c>
      <c r="W113" s="46">
        <v>46260</v>
      </c>
      <c r="X113" s="46">
        <v>46260</v>
      </c>
      <c r="Y113" s="47">
        <v>0</v>
      </c>
      <c r="Z113" s="48">
        <f t="shared" si="52"/>
        <v>0</v>
      </c>
      <c r="AA113" s="49">
        <f t="shared" si="53"/>
        <v>0</v>
      </c>
      <c r="AB113" s="44">
        <v>1012</v>
      </c>
      <c r="AC113" s="44">
        <f t="shared" si="54"/>
        <v>728</v>
      </c>
      <c r="AD113" s="44">
        <f t="shared" si="55"/>
        <v>269</v>
      </c>
      <c r="AE113" s="50">
        <f t="shared" si="56"/>
        <v>48</v>
      </c>
      <c r="AF113" s="41">
        <f t="shared" si="57"/>
        <v>0.96</v>
      </c>
      <c r="AG113" s="44">
        <v>3</v>
      </c>
      <c r="AH113" s="44">
        <v>14</v>
      </c>
      <c r="AI113" s="42">
        <f t="shared" si="81"/>
        <v>0.32269503546099293</v>
      </c>
      <c r="AJ113" s="42">
        <f t="shared" si="82"/>
        <v>0.11923758865248227</v>
      </c>
      <c r="AK113" s="40">
        <f t="shared" si="60"/>
        <v>1.9516595744680849</v>
      </c>
      <c r="AL113" s="51">
        <v>1244</v>
      </c>
      <c r="AM113" s="52">
        <f t="shared" si="61"/>
        <v>3.3349787234042552</v>
      </c>
      <c r="AN113" s="42">
        <f t="shared" si="83"/>
        <v>0.5514184397163121</v>
      </c>
      <c r="AO113" s="53">
        <f t="shared" si="84"/>
        <v>1244</v>
      </c>
      <c r="AP113" s="52">
        <f t="shared" si="85"/>
        <v>3.3349787234042552</v>
      </c>
      <c r="AQ113" s="42">
        <f t="shared" si="86"/>
        <v>0.44193262411347517</v>
      </c>
      <c r="AR113" s="46">
        <v>46268</v>
      </c>
      <c r="AS113" s="46">
        <v>46268</v>
      </c>
      <c r="AT113" s="50">
        <f t="shared" si="87"/>
        <v>8</v>
      </c>
      <c r="AU113" s="50">
        <f t="shared" si="67"/>
        <v>36</v>
      </c>
      <c r="AV113" s="50">
        <f t="shared" si="88"/>
        <v>65</v>
      </c>
      <c r="AW113" s="54">
        <f t="shared" si="89"/>
        <v>-29</v>
      </c>
    </row>
    <row r="114" spans="1:49" x14ac:dyDescent="0.25">
      <c r="A114" s="33" t="s">
        <v>63</v>
      </c>
      <c r="B114" s="33" t="s">
        <v>64</v>
      </c>
      <c r="C114" s="33" t="s">
        <v>66</v>
      </c>
      <c r="D114" s="33" t="s">
        <v>195</v>
      </c>
      <c r="E114" s="34">
        <f>COUNTIF('Detalle por artículo'!$K$8:$K$592,D114)</f>
        <v>1</v>
      </c>
      <c r="F114" s="35">
        <f t="shared" si="41"/>
        <v>151.0248655913978</v>
      </c>
      <c r="G114" s="36">
        <f>SUMIF('Detalle por artículo'!$K$8:$K$592,$D114,'Detalle por artículo'!$E$8:$E$592)</f>
        <v>5.9520000000000008</v>
      </c>
      <c r="H114" s="35">
        <f t="shared" si="42"/>
        <v>4</v>
      </c>
      <c r="I114" s="35">
        <f t="shared" si="43"/>
        <v>8</v>
      </c>
      <c r="J114" s="35">
        <f t="shared" si="44"/>
        <v>16</v>
      </c>
      <c r="K114" s="37">
        <f t="shared" si="45"/>
        <v>0.21257142857142861</v>
      </c>
      <c r="L114" s="36">
        <f>SUMIF('Detalle por artículo'!$K$8:$K$592,$D114,'Detalle por artículo'!$O$8:$O$592)</f>
        <v>898.89999999999986</v>
      </c>
      <c r="M114" s="38">
        <f>SUMIF('Detalle por artículo'!$K$8:$K$592,$D114,'Detalle por artículo'!$I$8:$I$592)</f>
        <v>801</v>
      </c>
      <c r="N114" s="38">
        <f>SUMIF('Detalle por artículo'!$K$8:$K$592,$D114,'Detalle por artículo'!$M$8:$M$592)</f>
        <v>62</v>
      </c>
      <c r="O114" s="39">
        <f t="shared" si="46"/>
        <v>7.4307116104868927</v>
      </c>
      <c r="P114" s="40">
        <f t="shared" si="47"/>
        <v>1122.2222222222219</v>
      </c>
      <c r="Q114" s="41">
        <f t="shared" si="48"/>
        <v>0.15</v>
      </c>
      <c r="R114" s="40">
        <f t="shared" si="49"/>
        <v>6.8448000000000002</v>
      </c>
      <c r="S114" s="42">
        <f>IFERROR(SUM($G$8:G114)/$G$6,0)</f>
        <v>0.6976764823838183</v>
      </c>
      <c r="T114" s="43" t="str">
        <f t="shared" si="50"/>
        <v>B</v>
      </c>
      <c r="U114" s="44">
        <v>0</v>
      </c>
      <c r="V114" s="45">
        <f t="shared" si="80"/>
        <v>-801</v>
      </c>
      <c r="W114" s="46"/>
      <c r="X114" s="46"/>
      <c r="Y114" s="47">
        <v>1657</v>
      </c>
      <c r="Z114" s="48">
        <f t="shared" si="52"/>
        <v>12.312689138576781</v>
      </c>
      <c r="AA114" s="49">
        <f t="shared" si="53"/>
        <v>0.43973889780631359</v>
      </c>
      <c r="AB114" s="44">
        <v>0</v>
      </c>
      <c r="AC114" s="44">
        <f t="shared" si="54"/>
        <v>0</v>
      </c>
      <c r="AD114" s="44">
        <f t="shared" si="55"/>
        <v>0</v>
      </c>
      <c r="AE114" s="50">
        <f t="shared" si="56"/>
        <v>0</v>
      </c>
      <c r="AF114" s="41">
        <f t="shared" si="57"/>
        <v>0</v>
      </c>
      <c r="AG114" s="44">
        <v>0</v>
      </c>
      <c r="AH114" s="44">
        <v>0</v>
      </c>
      <c r="AI114" s="42">
        <f t="shared" si="81"/>
        <v>0</v>
      </c>
      <c r="AJ114" s="42">
        <f t="shared" si="82"/>
        <v>0</v>
      </c>
      <c r="AK114" s="40">
        <f t="shared" si="60"/>
        <v>0</v>
      </c>
      <c r="AL114" s="51">
        <v>0</v>
      </c>
      <c r="AM114" s="52">
        <f t="shared" si="61"/>
        <v>0</v>
      </c>
      <c r="AN114" s="42">
        <f t="shared" si="83"/>
        <v>0</v>
      </c>
      <c r="AO114" s="53">
        <f t="shared" si="84"/>
        <v>801</v>
      </c>
      <c r="AP114" s="52">
        <f t="shared" si="85"/>
        <v>5.9520000000000008</v>
      </c>
      <c r="AQ114" s="42">
        <f t="shared" si="86"/>
        <v>0</v>
      </c>
      <c r="AR114" s="46"/>
      <c r="AS114" s="46"/>
      <c r="AT114" s="50" t="str">
        <f t="shared" si="87"/>
        <v/>
      </c>
      <c r="AU114" s="50">
        <f t="shared" si="67"/>
        <v>238</v>
      </c>
      <c r="AV114" s="50" t="str">
        <f t="shared" si="88"/>
        <v/>
      </c>
      <c r="AW114" s="54" t="str">
        <f t="shared" si="89"/>
        <v/>
      </c>
    </row>
    <row r="115" spans="1:49" x14ac:dyDescent="0.25">
      <c r="A115" s="33" t="s">
        <v>63</v>
      </c>
      <c r="B115" s="33" t="s">
        <v>64</v>
      </c>
      <c r="C115" s="33" t="s">
        <v>66</v>
      </c>
      <c r="D115" s="33" t="s">
        <v>196</v>
      </c>
      <c r="E115" s="34">
        <f>COUNTIF('Detalle por artículo'!$K$8:$K$592,D115)</f>
        <v>1</v>
      </c>
      <c r="F115" s="35">
        <f t="shared" si="41"/>
        <v>148.67271505376343</v>
      </c>
      <c r="G115" s="36">
        <f>SUMIF('Detalle por artículo'!$K$8:$K$592,$D115,'Detalle por artículo'!$E$8:$E$592)</f>
        <v>5.952</v>
      </c>
      <c r="H115" s="35">
        <f t="shared" si="42"/>
        <v>4</v>
      </c>
      <c r="I115" s="35">
        <f t="shared" si="43"/>
        <v>8</v>
      </c>
      <c r="J115" s="35">
        <f t="shared" si="44"/>
        <v>16</v>
      </c>
      <c r="K115" s="37">
        <f t="shared" si="45"/>
        <v>0.21257142857142858</v>
      </c>
      <c r="L115" s="36">
        <f>SUMIF('Detalle por artículo'!$K$8:$K$592,$D115,'Detalle por artículo'!$O$8:$O$592)</f>
        <v>884.9</v>
      </c>
      <c r="M115" s="38">
        <f>SUMIF('Detalle por artículo'!$K$8:$K$592,$D115,'Detalle por artículo'!$I$8:$I$592)</f>
        <v>865</v>
      </c>
      <c r="N115" s="38">
        <f>SUMIF('Detalle por artículo'!$K$8:$K$592,$D115,'Detalle por artículo'!$M$8:$M$592)</f>
        <v>62</v>
      </c>
      <c r="O115" s="39">
        <f t="shared" si="46"/>
        <v>6.8809248554913296</v>
      </c>
      <c r="P115" s="40">
        <f t="shared" si="47"/>
        <v>1023.0057803468209</v>
      </c>
      <c r="Q115" s="41">
        <f t="shared" si="48"/>
        <v>0.15</v>
      </c>
      <c r="R115" s="40">
        <f t="shared" si="49"/>
        <v>6.8447999999999993</v>
      </c>
      <c r="S115" s="42">
        <f>IFERROR(SUM($G$8:G115)/$G$6,0)</f>
        <v>0.69986362683963865</v>
      </c>
      <c r="T115" s="43" t="str">
        <f t="shared" si="50"/>
        <v>B</v>
      </c>
      <c r="U115" s="44">
        <v>0</v>
      </c>
      <c r="V115" s="45">
        <f t="shared" si="80"/>
        <v>-865</v>
      </c>
      <c r="W115" s="46"/>
      <c r="X115" s="46"/>
      <c r="Y115" s="47">
        <v>865</v>
      </c>
      <c r="Z115" s="48">
        <f t="shared" si="52"/>
        <v>5.952</v>
      </c>
      <c r="AA115" s="49">
        <f t="shared" si="53"/>
        <v>0.21257142857142858</v>
      </c>
      <c r="AB115" s="44">
        <v>0</v>
      </c>
      <c r="AC115" s="44">
        <f t="shared" si="54"/>
        <v>0</v>
      </c>
      <c r="AD115" s="44">
        <f t="shared" si="55"/>
        <v>0</v>
      </c>
      <c r="AE115" s="50">
        <f t="shared" si="56"/>
        <v>0</v>
      </c>
      <c r="AF115" s="41">
        <f t="shared" si="57"/>
        <v>0</v>
      </c>
      <c r="AG115" s="44">
        <v>0</v>
      </c>
      <c r="AH115" s="44">
        <v>0</v>
      </c>
      <c r="AI115" s="42">
        <f t="shared" si="81"/>
        <v>0</v>
      </c>
      <c r="AJ115" s="42">
        <f t="shared" si="82"/>
        <v>0</v>
      </c>
      <c r="AK115" s="40">
        <f t="shared" si="60"/>
        <v>0</v>
      </c>
      <c r="AL115" s="51">
        <v>0</v>
      </c>
      <c r="AM115" s="52">
        <f t="shared" si="61"/>
        <v>0</v>
      </c>
      <c r="AN115" s="42">
        <f t="shared" si="83"/>
        <v>0</v>
      </c>
      <c r="AO115" s="53">
        <f t="shared" si="84"/>
        <v>865</v>
      </c>
      <c r="AP115" s="52">
        <f t="shared" si="85"/>
        <v>5.952</v>
      </c>
      <c r="AQ115" s="42">
        <f t="shared" si="86"/>
        <v>0</v>
      </c>
      <c r="AR115" s="46"/>
      <c r="AS115" s="46"/>
      <c r="AT115" s="50" t="str">
        <f t="shared" si="87"/>
        <v/>
      </c>
      <c r="AU115" s="50">
        <f t="shared" si="67"/>
        <v>208</v>
      </c>
      <c r="AV115" s="50" t="str">
        <f t="shared" si="88"/>
        <v/>
      </c>
      <c r="AW115" s="54" t="str">
        <f t="shared" si="89"/>
        <v/>
      </c>
    </row>
    <row r="116" spans="1:49" x14ac:dyDescent="0.25">
      <c r="A116" s="33" t="s">
        <v>63</v>
      </c>
      <c r="B116" s="33" t="s">
        <v>110</v>
      </c>
      <c r="C116" s="33" t="s">
        <v>100</v>
      </c>
      <c r="D116" s="33" t="s">
        <v>197</v>
      </c>
      <c r="E116" s="34">
        <f>COUNTIF('Detalle por artículo'!$K$8:$K$592,D116)</f>
        <v>2</v>
      </c>
      <c r="F116" s="35">
        <f t="shared" si="41"/>
        <v>144.28763440860217</v>
      </c>
      <c r="G116" s="36">
        <f>SUMIF('Detalle por artículo'!$K$8:$K$592,$D116,'Detalle por artículo'!$E$8:$E$592)</f>
        <v>5.952</v>
      </c>
      <c r="H116" s="35">
        <f t="shared" si="42"/>
        <v>4</v>
      </c>
      <c r="I116" s="35">
        <f t="shared" si="43"/>
        <v>8</v>
      </c>
      <c r="J116" s="35">
        <f t="shared" si="44"/>
        <v>16</v>
      </c>
      <c r="K116" s="37">
        <f t="shared" si="45"/>
        <v>0.21257142857142858</v>
      </c>
      <c r="L116" s="36">
        <f>SUMIF('Detalle por artículo'!$K$8:$K$592,$D116,'Detalle por artículo'!$O$8:$O$592)</f>
        <v>858.80000000000007</v>
      </c>
      <c r="M116" s="38">
        <f>SUMIF('Detalle por artículo'!$K$8:$K$592,$D116,'Detalle por artículo'!$I$8:$I$592)</f>
        <v>1790</v>
      </c>
      <c r="N116" s="38">
        <f>SUMIF('Detalle por artículo'!$K$8:$K$592,$D116,'Detalle por artículo'!$M$8:$M$592)</f>
        <v>62</v>
      </c>
      <c r="O116" s="39">
        <f t="shared" si="46"/>
        <v>3.3251396648044693</v>
      </c>
      <c r="P116" s="40">
        <f t="shared" si="47"/>
        <v>479.7765363128492</v>
      </c>
      <c r="Q116" s="41">
        <f t="shared" si="48"/>
        <v>0.15</v>
      </c>
      <c r="R116" s="40">
        <f t="shared" si="49"/>
        <v>6.8447999999999993</v>
      </c>
      <c r="S116" s="42">
        <f>IFERROR(SUM($G$8:G116)/$G$6,0)</f>
        <v>0.7020507712954589</v>
      </c>
      <c r="T116" s="43" t="str">
        <f t="shared" si="50"/>
        <v>B</v>
      </c>
      <c r="U116" s="44">
        <v>1790</v>
      </c>
      <c r="V116" s="45">
        <f t="shared" si="80"/>
        <v>0</v>
      </c>
      <c r="W116" s="46">
        <v>46238</v>
      </c>
      <c r="X116" s="46">
        <v>46275</v>
      </c>
      <c r="Y116" s="47">
        <v>0</v>
      </c>
      <c r="Z116" s="48">
        <f t="shared" si="52"/>
        <v>0</v>
      </c>
      <c r="AA116" s="49">
        <f t="shared" si="53"/>
        <v>0</v>
      </c>
      <c r="AB116" s="44">
        <v>576</v>
      </c>
      <c r="AC116" s="44">
        <f t="shared" si="54"/>
        <v>462</v>
      </c>
      <c r="AD116" s="44">
        <f t="shared" si="55"/>
        <v>114</v>
      </c>
      <c r="AE116" s="50">
        <f t="shared" si="56"/>
        <v>30</v>
      </c>
      <c r="AF116" s="41">
        <f t="shared" si="57"/>
        <v>0.6</v>
      </c>
      <c r="AG116" s="44">
        <v>3</v>
      </c>
      <c r="AH116" s="44">
        <v>0</v>
      </c>
      <c r="AI116" s="42">
        <f t="shared" si="81"/>
        <v>0.25810055865921788</v>
      </c>
      <c r="AJ116" s="42">
        <f t="shared" si="82"/>
        <v>6.3687150837988829E-2</v>
      </c>
      <c r="AK116" s="40">
        <f t="shared" si="60"/>
        <v>1.5362145251396648</v>
      </c>
      <c r="AL116" s="51">
        <v>1214</v>
      </c>
      <c r="AM116" s="52">
        <f t="shared" si="61"/>
        <v>4.0367195530726256</v>
      </c>
      <c r="AN116" s="42">
        <f t="shared" si="83"/>
        <v>0.6782122905027933</v>
      </c>
      <c r="AO116" s="53">
        <f t="shared" si="84"/>
        <v>1214</v>
      </c>
      <c r="AP116" s="52">
        <f t="shared" si="85"/>
        <v>4.0367195530726256</v>
      </c>
      <c r="AQ116" s="42">
        <f t="shared" si="86"/>
        <v>0.3217877094972067</v>
      </c>
      <c r="AR116" s="46">
        <v>46285</v>
      </c>
      <c r="AS116" s="46">
        <v>46286</v>
      </c>
      <c r="AT116" s="50">
        <f t="shared" si="87"/>
        <v>48</v>
      </c>
      <c r="AU116" s="50">
        <f t="shared" si="67"/>
        <v>60</v>
      </c>
      <c r="AV116" s="50">
        <f t="shared" si="88"/>
        <v>220</v>
      </c>
      <c r="AW116" s="54">
        <f t="shared" si="89"/>
        <v>-160</v>
      </c>
    </row>
    <row r="117" spans="1:49" x14ac:dyDescent="0.25">
      <c r="A117" s="33" t="s">
        <v>63</v>
      </c>
      <c r="B117" s="33" t="s">
        <v>110</v>
      </c>
      <c r="C117" s="33" t="s">
        <v>111</v>
      </c>
      <c r="D117" s="33" t="s">
        <v>198</v>
      </c>
      <c r="E117" s="34">
        <f>COUNTIF('Detalle por artículo'!$K$8:$K$592,D117)</f>
        <v>1</v>
      </c>
      <c r="F117" s="35">
        <f t="shared" si="41"/>
        <v>165.24369747899158</v>
      </c>
      <c r="G117" s="36">
        <f>SUMIF('Detalle por artículo'!$K$8:$K$592,$D117,'Detalle por artículo'!$E$8:$E$592)</f>
        <v>5.95</v>
      </c>
      <c r="H117" s="35">
        <f t="shared" si="42"/>
        <v>4</v>
      </c>
      <c r="I117" s="35">
        <f t="shared" si="43"/>
        <v>8</v>
      </c>
      <c r="J117" s="35">
        <f t="shared" si="44"/>
        <v>16</v>
      </c>
      <c r="K117" s="37">
        <f t="shared" si="45"/>
        <v>0.21249999999999999</v>
      </c>
      <c r="L117" s="36">
        <f>SUMIF('Detalle por artículo'!$K$8:$K$592,$D117,'Detalle por artículo'!$O$8:$O$592)</f>
        <v>983.19999999999993</v>
      </c>
      <c r="M117" s="38">
        <f>SUMIF('Detalle por artículo'!$K$8:$K$592,$D117,'Detalle por artículo'!$I$8:$I$592)</f>
        <v>1485</v>
      </c>
      <c r="N117" s="38">
        <f>SUMIF('Detalle por artículo'!$K$8:$K$592,$D117,'Detalle por artículo'!$M$8:$M$592)</f>
        <v>58</v>
      </c>
      <c r="O117" s="39">
        <f t="shared" si="46"/>
        <v>4.0067340067340069</v>
      </c>
      <c r="P117" s="40">
        <f t="shared" si="47"/>
        <v>662.08754208754203</v>
      </c>
      <c r="Q117" s="41">
        <f t="shared" si="48"/>
        <v>0.15</v>
      </c>
      <c r="R117" s="40">
        <f t="shared" si="49"/>
        <v>6.8424999999999994</v>
      </c>
      <c r="S117" s="42">
        <f>IFERROR(SUM($G$8:G117)/$G$6,0)</f>
        <v>0.70423718082370668</v>
      </c>
      <c r="T117" s="43" t="str">
        <f t="shared" si="50"/>
        <v>B</v>
      </c>
      <c r="U117" s="44">
        <v>1485</v>
      </c>
      <c r="V117" s="45">
        <f t="shared" si="80"/>
        <v>0</v>
      </c>
      <c r="W117" s="46">
        <v>46289</v>
      </c>
      <c r="X117" s="46">
        <v>46289</v>
      </c>
      <c r="Y117" s="47">
        <v>0</v>
      </c>
      <c r="Z117" s="48">
        <f t="shared" si="52"/>
        <v>0</v>
      </c>
      <c r="AA117" s="49">
        <f t="shared" si="53"/>
        <v>0</v>
      </c>
      <c r="AB117" s="44">
        <v>583</v>
      </c>
      <c r="AC117" s="44">
        <f t="shared" si="54"/>
        <v>477</v>
      </c>
      <c r="AD117" s="44">
        <f t="shared" si="55"/>
        <v>103</v>
      </c>
      <c r="AE117" s="50">
        <f t="shared" si="56"/>
        <v>32</v>
      </c>
      <c r="AF117" s="41">
        <f t="shared" si="57"/>
        <v>0.64</v>
      </c>
      <c r="AG117" s="44">
        <v>3</v>
      </c>
      <c r="AH117" s="44">
        <v>0</v>
      </c>
      <c r="AI117" s="42">
        <f t="shared" si="81"/>
        <v>0.32121212121212123</v>
      </c>
      <c r="AJ117" s="42">
        <f t="shared" si="82"/>
        <v>6.9360269360269358E-2</v>
      </c>
      <c r="AK117" s="40">
        <f t="shared" si="60"/>
        <v>1.9112121212121211</v>
      </c>
      <c r="AL117" s="51">
        <v>901</v>
      </c>
      <c r="AM117" s="52">
        <f t="shared" si="61"/>
        <v>3.6100673400673404</v>
      </c>
      <c r="AN117" s="42">
        <f t="shared" si="83"/>
        <v>0.60673400673400668</v>
      </c>
      <c r="AO117" s="53">
        <f t="shared" si="84"/>
        <v>902</v>
      </c>
      <c r="AP117" s="52">
        <f t="shared" si="85"/>
        <v>3.6140740740740744</v>
      </c>
      <c r="AQ117" s="42">
        <f t="shared" si="86"/>
        <v>0.39057239057239057</v>
      </c>
      <c r="AR117" s="46">
        <v>46292</v>
      </c>
      <c r="AS117" s="46">
        <v>46293</v>
      </c>
      <c r="AT117" s="50">
        <f t="shared" si="87"/>
        <v>4</v>
      </c>
      <c r="AU117" s="50">
        <f t="shared" si="67"/>
        <v>101</v>
      </c>
      <c r="AV117" s="50">
        <f t="shared" si="88"/>
        <v>213</v>
      </c>
      <c r="AW117" s="54">
        <f t="shared" si="89"/>
        <v>-112</v>
      </c>
    </row>
    <row r="118" spans="1:49" x14ac:dyDescent="0.25">
      <c r="A118" s="33" t="s">
        <v>63</v>
      </c>
      <c r="B118" s="33" t="s">
        <v>171</v>
      </c>
      <c r="C118" s="33" t="s">
        <v>172</v>
      </c>
      <c r="D118" s="33" t="s">
        <v>199</v>
      </c>
      <c r="E118" s="34">
        <f>COUNTIF('Detalle por artículo'!$K$8:$K$592,D118)</f>
        <v>2</v>
      </c>
      <c r="F118" s="35">
        <f t="shared" si="41"/>
        <v>147.68415655443513</v>
      </c>
      <c r="G118" s="36">
        <f>SUMIF('Detalle por artículo'!$K$8:$K$592,$D118,'Detalle por artículo'!$E$8:$E$592)</f>
        <v>5.851</v>
      </c>
      <c r="H118" s="35">
        <f t="shared" si="42"/>
        <v>4</v>
      </c>
      <c r="I118" s="35">
        <f t="shared" si="43"/>
        <v>8</v>
      </c>
      <c r="J118" s="35">
        <f t="shared" si="44"/>
        <v>16</v>
      </c>
      <c r="K118" s="37">
        <f t="shared" si="45"/>
        <v>0.20896428571428571</v>
      </c>
      <c r="L118" s="36">
        <f>SUMIF('Detalle por artículo'!$K$8:$K$592,$D118,'Detalle por artículo'!$O$8:$O$592)</f>
        <v>864.1</v>
      </c>
      <c r="M118" s="38">
        <f>SUMIF('Detalle por artículo'!$K$8:$K$592,$D118,'Detalle por artículo'!$I$8:$I$592)</f>
        <v>839</v>
      </c>
      <c r="N118" s="38">
        <f>SUMIF('Detalle por artículo'!$K$8:$K$592,$D118,'Detalle por artículo'!$M$8:$M$592)</f>
        <v>56</v>
      </c>
      <c r="O118" s="39">
        <f t="shared" si="46"/>
        <v>6.9737783075089395</v>
      </c>
      <c r="P118" s="40">
        <f t="shared" si="47"/>
        <v>1029.9165673420739</v>
      </c>
      <c r="Q118" s="41">
        <f t="shared" si="48"/>
        <v>0.15</v>
      </c>
      <c r="R118" s="40">
        <f t="shared" si="49"/>
        <v>6.7286499999999991</v>
      </c>
      <c r="S118" s="42">
        <f>IFERROR(SUM($G$8:G118)/$G$6,0)</f>
        <v>0.7063872114371148</v>
      </c>
      <c r="T118" s="43" t="str">
        <f t="shared" si="50"/>
        <v>B</v>
      </c>
      <c r="U118" s="44">
        <v>838</v>
      </c>
      <c r="V118" s="45">
        <f t="shared" si="80"/>
        <v>-1</v>
      </c>
      <c r="W118" s="46">
        <v>46272</v>
      </c>
      <c r="X118" s="46">
        <v>46283</v>
      </c>
      <c r="Y118" s="47">
        <v>490</v>
      </c>
      <c r="Z118" s="48">
        <f t="shared" si="52"/>
        <v>3.4171513706793801</v>
      </c>
      <c r="AA118" s="49">
        <f t="shared" si="53"/>
        <v>0.12204112038140644</v>
      </c>
      <c r="AB118" s="44">
        <v>314</v>
      </c>
      <c r="AC118" s="44">
        <f t="shared" si="54"/>
        <v>277</v>
      </c>
      <c r="AD118" s="44">
        <f t="shared" si="55"/>
        <v>33</v>
      </c>
      <c r="AE118" s="50">
        <f t="shared" si="56"/>
        <v>34</v>
      </c>
      <c r="AF118" s="41">
        <f t="shared" si="57"/>
        <v>0.68</v>
      </c>
      <c r="AG118" s="44">
        <v>4</v>
      </c>
      <c r="AH118" s="44">
        <v>0</v>
      </c>
      <c r="AI118" s="42">
        <f t="shared" si="81"/>
        <v>0.33015494636471993</v>
      </c>
      <c r="AJ118" s="42">
        <f t="shared" si="82"/>
        <v>3.9332538736591177E-2</v>
      </c>
      <c r="AK118" s="40">
        <f t="shared" si="60"/>
        <v>1.9317365911799762</v>
      </c>
      <c r="AL118" s="51">
        <v>524</v>
      </c>
      <c r="AM118" s="52">
        <f t="shared" si="61"/>
        <v>3.6542598331346845</v>
      </c>
      <c r="AN118" s="42">
        <f t="shared" si="83"/>
        <v>0.62529832935560858</v>
      </c>
      <c r="AO118" s="53">
        <f t="shared" si="84"/>
        <v>525</v>
      </c>
      <c r="AP118" s="52">
        <f t="shared" si="85"/>
        <v>3.6612336114421931</v>
      </c>
      <c r="AQ118" s="42">
        <f t="shared" si="86"/>
        <v>0.36948748510131108</v>
      </c>
      <c r="AR118" s="46">
        <v>46274</v>
      </c>
      <c r="AS118" s="46">
        <v>46279</v>
      </c>
      <c r="AT118" s="50">
        <f t="shared" si="87"/>
        <v>7</v>
      </c>
      <c r="AU118" s="50">
        <f t="shared" si="67"/>
        <v>219</v>
      </c>
      <c r="AV118" s="50">
        <f t="shared" si="88"/>
        <v>341</v>
      </c>
      <c r="AW118" s="54">
        <f t="shared" si="89"/>
        <v>-122</v>
      </c>
    </row>
    <row r="119" spans="1:49" x14ac:dyDescent="0.25">
      <c r="A119" s="33" t="s">
        <v>63</v>
      </c>
      <c r="B119" s="33" t="s">
        <v>64</v>
      </c>
      <c r="C119" s="33" t="s">
        <v>66</v>
      </c>
      <c r="D119" s="33" t="s">
        <v>200</v>
      </c>
      <c r="E119" s="34">
        <f>COUNTIF('Detalle por artículo'!$K$8:$K$592,D119)</f>
        <v>1</v>
      </c>
      <c r="F119" s="35">
        <f t="shared" si="41"/>
        <v>118.17708333333334</v>
      </c>
      <c r="G119" s="36">
        <f>SUMIF('Detalle por artículo'!$K$8:$K$592,$D119,'Detalle por artículo'!$E$8:$E$592)</f>
        <v>5.76</v>
      </c>
      <c r="H119" s="35">
        <f t="shared" si="42"/>
        <v>4</v>
      </c>
      <c r="I119" s="35">
        <f t="shared" si="43"/>
        <v>8</v>
      </c>
      <c r="J119" s="35">
        <f t="shared" si="44"/>
        <v>15</v>
      </c>
      <c r="K119" s="37">
        <f t="shared" si="45"/>
        <v>0.20571428571428571</v>
      </c>
      <c r="L119" s="36">
        <f>SUMIF('Detalle por artículo'!$K$8:$K$592,$D119,'Detalle por artículo'!$O$8:$O$592)</f>
        <v>680.7</v>
      </c>
      <c r="M119" s="38">
        <f>SUMIF('Detalle por artículo'!$K$8:$K$592,$D119,'Detalle por artículo'!$I$8:$I$592)</f>
        <v>839</v>
      </c>
      <c r="N119" s="38">
        <f>SUMIF('Detalle por artículo'!$K$8:$K$592,$D119,'Detalle por artículo'!$M$8:$M$592)</f>
        <v>60</v>
      </c>
      <c r="O119" s="39">
        <f t="shared" si="46"/>
        <v>6.865315852205006</v>
      </c>
      <c r="P119" s="40">
        <f t="shared" si="47"/>
        <v>811.32300357568545</v>
      </c>
      <c r="Q119" s="41">
        <f t="shared" si="48"/>
        <v>0.2</v>
      </c>
      <c r="R119" s="40">
        <f t="shared" si="49"/>
        <v>6.9119999999999999</v>
      </c>
      <c r="S119" s="42">
        <f>IFERROR(SUM($G$8:G119)/$G$6,0)</f>
        <v>0.70850380284597314</v>
      </c>
      <c r="T119" s="43" t="str">
        <f t="shared" si="50"/>
        <v>B</v>
      </c>
      <c r="U119" s="44">
        <v>840</v>
      </c>
      <c r="V119" s="45">
        <f t="shared" si="80"/>
        <v>1</v>
      </c>
      <c r="W119" s="46">
        <v>46213</v>
      </c>
      <c r="X119" s="46">
        <v>46248</v>
      </c>
      <c r="Y119" s="47">
        <v>0</v>
      </c>
      <c r="Z119" s="48">
        <f t="shared" si="52"/>
        <v>0</v>
      </c>
      <c r="AA119" s="49">
        <f t="shared" si="53"/>
        <v>0</v>
      </c>
      <c r="AB119" s="44">
        <v>485</v>
      </c>
      <c r="AC119" s="44">
        <f t="shared" si="54"/>
        <v>386</v>
      </c>
      <c r="AD119" s="44">
        <f t="shared" si="55"/>
        <v>77</v>
      </c>
      <c r="AE119" s="50">
        <f t="shared" si="56"/>
        <v>47</v>
      </c>
      <c r="AF119" s="41">
        <f t="shared" si="57"/>
        <v>0.94</v>
      </c>
      <c r="AG119" s="44">
        <v>0</v>
      </c>
      <c r="AH119" s="44">
        <v>22</v>
      </c>
      <c r="AI119" s="42">
        <f t="shared" si="81"/>
        <v>0.46007151370679378</v>
      </c>
      <c r="AJ119" s="42">
        <f t="shared" si="82"/>
        <v>9.1775923718712751E-2</v>
      </c>
      <c r="AK119" s="40">
        <f t="shared" si="60"/>
        <v>2.6500119189511326</v>
      </c>
      <c r="AL119" s="51">
        <v>355</v>
      </c>
      <c r="AM119" s="52">
        <f t="shared" si="61"/>
        <v>2.437187127532777</v>
      </c>
      <c r="AN119" s="42">
        <f t="shared" si="83"/>
        <v>0.42261904761904762</v>
      </c>
      <c r="AO119" s="53">
        <f t="shared" si="84"/>
        <v>354</v>
      </c>
      <c r="AP119" s="52">
        <f t="shared" si="85"/>
        <v>2.4303218116805718</v>
      </c>
      <c r="AQ119" s="42">
        <f t="shared" si="86"/>
        <v>0.55184743742550657</v>
      </c>
      <c r="AR119" s="46">
        <v>46219</v>
      </c>
      <c r="AS119" s="46">
        <v>46219</v>
      </c>
      <c r="AT119" s="50">
        <f t="shared" si="87"/>
        <v>6</v>
      </c>
      <c r="AU119" s="50">
        <f t="shared" si="67"/>
        <v>219</v>
      </c>
      <c r="AV119" s="50">
        <f t="shared" si="88"/>
        <v>280</v>
      </c>
      <c r="AW119" s="54">
        <f t="shared" si="89"/>
        <v>-61</v>
      </c>
    </row>
    <row r="120" spans="1:49" x14ac:dyDescent="0.25">
      <c r="A120" s="33" t="s">
        <v>55</v>
      </c>
      <c r="B120" s="33" t="s">
        <v>56</v>
      </c>
      <c r="C120" s="33" t="s">
        <v>66</v>
      </c>
      <c r="D120" s="33" t="s">
        <v>201</v>
      </c>
      <c r="E120" s="34">
        <f>COUNTIF('Detalle por artículo'!$K$8:$K$592,D120)</f>
        <v>1</v>
      </c>
      <c r="F120" s="35">
        <f t="shared" si="41"/>
        <v>-14.736842105263158</v>
      </c>
      <c r="G120" s="36">
        <f>SUMIF('Detalle por artículo'!$K$8:$K$592,$D120,'Detalle por artículo'!$E$8:$E$592)</f>
        <v>5.7</v>
      </c>
      <c r="H120" s="35">
        <f t="shared" si="42"/>
        <v>4</v>
      </c>
      <c r="I120" s="35">
        <f t="shared" si="43"/>
        <v>8</v>
      </c>
      <c r="J120" s="35">
        <f t="shared" si="44"/>
        <v>15</v>
      </c>
      <c r="K120" s="37">
        <f t="shared" si="45"/>
        <v>0.20357142857142857</v>
      </c>
      <c r="L120" s="36">
        <f>SUMIF('Detalle por artículo'!$K$8:$K$592,$D120,'Detalle por artículo'!$O$8:$O$592)</f>
        <v>-84</v>
      </c>
      <c r="M120" s="38">
        <f>SUMIF('Detalle por artículo'!$K$8:$K$592,$D120,'Detalle por artículo'!$I$8:$I$592)</f>
        <v>1043</v>
      </c>
      <c r="N120" s="38">
        <f>SUMIF('Detalle por artículo'!$K$8:$K$592,$D120,'Detalle por artículo'!$M$8:$M$592)</f>
        <v>70</v>
      </c>
      <c r="O120" s="39">
        <f t="shared" si="46"/>
        <v>5.4650047938638551</v>
      </c>
      <c r="P120" s="40">
        <f t="shared" si="47"/>
        <v>-80.536912751677846</v>
      </c>
      <c r="Q120" s="41">
        <f t="shared" si="48"/>
        <v>0.2</v>
      </c>
      <c r="R120" s="40">
        <f t="shared" si="49"/>
        <v>6.84</v>
      </c>
      <c r="S120" s="42">
        <f>IFERROR(SUM($G$8:G120)/$G$6,0)</f>
        <v>0.71059834642765585</v>
      </c>
      <c r="T120" s="43" t="str">
        <f t="shared" si="50"/>
        <v>B</v>
      </c>
      <c r="U120" s="44">
        <v>1060</v>
      </c>
      <c r="V120" s="45">
        <f t="shared" si="80"/>
        <v>17</v>
      </c>
      <c r="W120" s="46">
        <v>46246</v>
      </c>
      <c r="X120" s="46">
        <v>46246</v>
      </c>
      <c r="Y120" s="47">
        <v>0</v>
      </c>
      <c r="Z120" s="48">
        <f t="shared" si="52"/>
        <v>0</v>
      </c>
      <c r="AA120" s="49">
        <f t="shared" si="53"/>
        <v>0</v>
      </c>
      <c r="AB120" s="44">
        <v>733</v>
      </c>
      <c r="AC120" s="44">
        <f t="shared" si="54"/>
        <v>469</v>
      </c>
      <c r="AD120" s="44">
        <f t="shared" si="55"/>
        <v>239</v>
      </c>
      <c r="AE120" s="50">
        <f t="shared" si="56"/>
        <v>48</v>
      </c>
      <c r="AF120" s="41">
        <f t="shared" si="57"/>
        <v>0.96</v>
      </c>
      <c r="AG120" s="44">
        <v>3</v>
      </c>
      <c r="AH120" s="44">
        <v>22</v>
      </c>
      <c r="AI120" s="42">
        <f t="shared" si="81"/>
        <v>0.44966442953020136</v>
      </c>
      <c r="AJ120" s="42">
        <f t="shared" si="82"/>
        <v>0.22914669223394055</v>
      </c>
      <c r="AK120" s="40">
        <f t="shared" si="60"/>
        <v>2.5630872483221476</v>
      </c>
      <c r="AL120" s="51">
        <v>315</v>
      </c>
      <c r="AM120" s="52">
        <f t="shared" si="61"/>
        <v>1.7214765100671143</v>
      </c>
      <c r="AN120" s="42">
        <f t="shared" si="83"/>
        <v>0.29716981132075471</v>
      </c>
      <c r="AO120" s="53">
        <f t="shared" si="84"/>
        <v>310</v>
      </c>
      <c r="AP120" s="52">
        <f t="shared" si="85"/>
        <v>1.6941514860977951</v>
      </c>
      <c r="AQ120" s="42">
        <f t="shared" si="86"/>
        <v>0.67881112176414193</v>
      </c>
      <c r="AR120" s="46">
        <v>46254</v>
      </c>
      <c r="AS120" s="46">
        <v>46255</v>
      </c>
      <c r="AT120" s="50">
        <f t="shared" si="87"/>
        <v>9</v>
      </c>
      <c r="AU120" s="50">
        <f t="shared" si="67"/>
        <v>165</v>
      </c>
      <c r="AV120" s="50">
        <f t="shared" si="88"/>
        <v>114</v>
      </c>
      <c r="AW120" s="54">
        <f t="shared" si="89"/>
        <v>51</v>
      </c>
    </row>
    <row r="121" spans="1:49" x14ac:dyDescent="0.25">
      <c r="A121" s="33" t="s">
        <v>55</v>
      </c>
      <c r="B121" s="33" t="s">
        <v>56</v>
      </c>
      <c r="C121" s="33" t="s">
        <v>66</v>
      </c>
      <c r="D121" s="33" t="s">
        <v>202</v>
      </c>
      <c r="E121" s="34">
        <f>COUNTIF('Detalle por artículo'!$K$8:$K$592,D121)</f>
        <v>1</v>
      </c>
      <c r="F121" s="35">
        <f t="shared" si="41"/>
        <v>156.92579505300353</v>
      </c>
      <c r="G121" s="36">
        <f>SUMIF('Detalle por artículo'!$K$8:$K$592,$D121,'Detalle por artículo'!$E$8:$E$592)</f>
        <v>5.66</v>
      </c>
      <c r="H121" s="35">
        <f t="shared" si="42"/>
        <v>4</v>
      </c>
      <c r="I121" s="35">
        <f t="shared" si="43"/>
        <v>8</v>
      </c>
      <c r="J121" s="35">
        <f t="shared" si="44"/>
        <v>15</v>
      </c>
      <c r="K121" s="37">
        <f t="shared" si="45"/>
        <v>0.20214285714285715</v>
      </c>
      <c r="L121" s="36">
        <f>SUMIF('Detalle por artículo'!$K$8:$K$592,$D121,'Detalle por artículo'!$O$8:$O$592)</f>
        <v>888.2</v>
      </c>
      <c r="M121" s="38">
        <f>SUMIF('Detalle por artículo'!$K$8:$K$592,$D121,'Detalle por artículo'!$I$8:$I$592)</f>
        <v>851</v>
      </c>
      <c r="N121" s="38">
        <f>SUMIF('Detalle por artículo'!$K$8:$K$592,$D121,'Detalle por artículo'!$M$8:$M$592)</f>
        <v>59</v>
      </c>
      <c r="O121" s="39">
        <f t="shared" si="46"/>
        <v>6.650998824911869</v>
      </c>
      <c r="P121" s="40">
        <f t="shared" si="47"/>
        <v>1043.7132784958874</v>
      </c>
      <c r="Q121" s="41">
        <f t="shared" si="48"/>
        <v>0.15</v>
      </c>
      <c r="R121" s="40">
        <f t="shared" si="49"/>
        <v>6.5089999999999995</v>
      </c>
      <c r="S121" s="42">
        <f>IFERROR(SUM($G$8:G121)/$G$6,0)</f>
        <v>0.71267819145788824</v>
      </c>
      <c r="T121" s="43" t="str">
        <f t="shared" si="50"/>
        <v>B</v>
      </c>
      <c r="U121" s="44">
        <v>866</v>
      </c>
      <c r="V121" s="45">
        <f t="shared" si="80"/>
        <v>15</v>
      </c>
      <c r="W121" s="46">
        <v>46289</v>
      </c>
      <c r="X121" s="46">
        <v>46289</v>
      </c>
      <c r="Y121" s="47">
        <v>0</v>
      </c>
      <c r="Z121" s="48">
        <f t="shared" si="52"/>
        <v>0</v>
      </c>
      <c r="AA121" s="49">
        <f t="shared" si="53"/>
        <v>0</v>
      </c>
      <c r="AB121" s="44">
        <v>469</v>
      </c>
      <c r="AC121" s="44">
        <f t="shared" si="54"/>
        <v>440</v>
      </c>
      <c r="AD121" s="44">
        <f t="shared" si="55"/>
        <v>20</v>
      </c>
      <c r="AE121" s="50">
        <f t="shared" si="56"/>
        <v>45</v>
      </c>
      <c r="AF121" s="41">
        <f t="shared" si="57"/>
        <v>0.9</v>
      </c>
      <c r="AG121" s="44">
        <v>9</v>
      </c>
      <c r="AH121" s="44">
        <v>0</v>
      </c>
      <c r="AI121" s="42">
        <f t="shared" si="81"/>
        <v>0.51703877790834307</v>
      </c>
      <c r="AJ121" s="42">
        <f t="shared" si="82"/>
        <v>2.3501762632197415E-2</v>
      </c>
      <c r="AK121" s="40">
        <f t="shared" si="60"/>
        <v>2.9264394829612224</v>
      </c>
      <c r="AL121" s="51">
        <v>397</v>
      </c>
      <c r="AM121" s="52">
        <f t="shared" si="61"/>
        <v>2.640446533490012</v>
      </c>
      <c r="AN121" s="42">
        <f t="shared" si="83"/>
        <v>0.45842956120092376</v>
      </c>
      <c r="AO121" s="53">
        <f t="shared" si="84"/>
        <v>382</v>
      </c>
      <c r="AP121" s="52">
        <f t="shared" si="85"/>
        <v>2.5406815511163341</v>
      </c>
      <c r="AQ121" s="42">
        <f t="shared" si="86"/>
        <v>0.54054054054054057</v>
      </c>
      <c r="AR121" s="46">
        <v>46293</v>
      </c>
      <c r="AS121" s="46">
        <v>46294</v>
      </c>
      <c r="AT121" s="50">
        <f t="shared" si="87"/>
        <v>5</v>
      </c>
      <c r="AU121" s="50">
        <f t="shared" si="67"/>
        <v>215</v>
      </c>
      <c r="AV121" s="50">
        <f t="shared" si="88"/>
        <v>292</v>
      </c>
      <c r="AW121" s="54">
        <f t="shared" si="89"/>
        <v>-77</v>
      </c>
    </row>
    <row r="122" spans="1:49" x14ac:dyDescent="0.25">
      <c r="A122" s="33" t="s">
        <v>63</v>
      </c>
      <c r="B122" s="33" t="s">
        <v>110</v>
      </c>
      <c r="C122" s="33" t="s">
        <v>100</v>
      </c>
      <c r="D122" s="33" t="s">
        <v>203</v>
      </c>
      <c r="E122" s="34">
        <f>COUNTIF('Detalle por artículo'!$K$8:$K$592,D122)</f>
        <v>2</v>
      </c>
      <c r="F122" s="35">
        <f t="shared" si="41"/>
        <v>170.73170731707319</v>
      </c>
      <c r="G122" s="36">
        <f>SUMIF('Detalle por artículo'!$K$8:$K$592,$D122,'Detalle por artículo'!$E$8:$E$592)</f>
        <v>5.5923999999999996</v>
      </c>
      <c r="H122" s="35">
        <f t="shared" si="42"/>
        <v>4</v>
      </c>
      <c r="I122" s="35">
        <f t="shared" si="43"/>
        <v>8</v>
      </c>
      <c r="J122" s="35">
        <f t="shared" si="44"/>
        <v>15</v>
      </c>
      <c r="K122" s="37">
        <f t="shared" si="45"/>
        <v>0.19972857142857142</v>
      </c>
      <c r="L122" s="36">
        <f>SUMIF('Detalle por artículo'!$K$8:$K$592,$D122,'Detalle por artículo'!$O$8:$O$592)</f>
        <v>954.8</v>
      </c>
      <c r="M122" s="38">
        <f>SUMIF('Detalle por artículo'!$K$8:$K$592,$D122,'Detalle por artículo'!$I$8:$I$592)</f>
        <v>2037</v>
      </c>
      <c r="N122" s="38">
        <f>SUMIF('Detalle por artículo'!$K$8:$K$592,$D122,'Detalle por artículo'!$M$8:$M$592)</f>
        <v>55</v>
      </c>
      <c r="O122" s="39">
        <f t="shared" si="46"/>
        <v>2.7454099165439372</v>
      </c>
      <c r="P122" s="40">
        <f t="shared" si="47"/>
        <v>468.72852233676974</v>
      </c>
      <c r="Q122" s="41">
        <f t="shared" si="48"/>
        <v>0.15</v>
      </c>
      <c r="R122" s="40">
        <f t="shared" si="49"/>
        <v>6.4312599999999991</v>
      </c>
      <c r="S122" s="42">
        <f>IFERROR(SUM($G$8:G122)/$G$6,0)</f>
        <v>0.71473319593616935</v>
      </c>
      <c r="T122" s="43" t="str">
        <f t="shared" si="50"/>
        <v>B</v>
      </c>
      <c r="U122" s="44">
        <v>2037</v>
      </c>
      <c r="V122" s="45">
        <f t="shared" si="80"/>
        <v>0</v>
      </c>
      <c r="W122" s="46">
        <v>46288</v>
      </c>
      <c r="X122" s="46">
        <v>46288</v>
      </c>
      <c r="Y122" s="47">
        <v>0</v>
      </c>
      <c r="Z122" s="48">
        <f t="shared" si="52"/>
        <v>0</v>
      </c>
      <c r="AA122" s="49">
        <f t="shared" si="53"/>
        <v>0</v>
      </c>
      <c r="AB122" s="44">
        <v>607</v>
      </c>
      <c r="AC122" s="44">
        <f t="shared" si="54"/>
        <v>483</v>
      </c>
      <c r="AD122" s="44">
        <f t="shared" si="55"/>
        <v>126</v>
      </c>
      <c r="AE122" s="50">
        <f t="shared" si="56"/>
        <v>43</v>
      </c>
      <c r="AF122" s="41">
        <f t="shared" si="57"/>
        <v>0.86</v>
      </c>
      <c r="AG122" s="44">
        <v>3</v>
      </c>
      <c r="AH122" s="44">
        <v>0</v>
      </c>
      <c r="AI122" s="42">
        <f t="shared" si="81"/>
        <v>0.23711340206185566</v>
      </c>
      <c r="AJ122" s="42">
        <f t="shared" si="82"/>
        <v>6.1855670103092786E-2</v>
      </c>
      <c r="AK122" s="40">
        <f t="shared" si="60"/>
        <v>1.3260329896907217</v>
      </c>
      <c r="AL122" s="51">
        <v>1430</v>
      </c>
      <c r="AM122" s="52">
        <f t="shared" si="61"/>
        <v>3.9259361806578306</v>
      </c>
      <c r="AN122" s="42">
        <f t="shared" si="83"/>
        <v>0.70201276386843392</v>
      </c>
      <c r="AO122" s="53">
        <f t="shared" si="84"/>
        <v>1430</v>
      </c>
      <c r="AP122" s="52">
        <f t="shared" si="85"/>
        <v>3.9259361806578306</v>
      </c>
      <c r="AQ122" s="42">
        <f t="shared" si="86"/>
        <v>0.29896907216494845</v>
      </c>
      <c r="AR122" s="46">
        <v>46292</v>
      </c>
      <c r="AS122" s="46">
        <v>46293</v>
      </c>
      <c r="AT122" s="50">
        <f t="shared" si="87"/>
        <v>5</v>
      </c>
      <c r="AU122" s="50">
        <f t="shared" si="67"/>
        <v>41</v>
      </c>
      <c r="AV122" s="50">
        <f t="shared" si="88"/>
        <v>183</v>
      </c>
      <c r="AW122" s="54">
        <f t="shared" si="89"/>
        <v>-142</v>
      </c>
    </row>
    <row r="123" spans="1:49" x14ac:dyDescent="0.25">
      <c r="A123" s="33" t="s">
        <v>63</v>
      </c>
      <c r="B123" s="33" t="s">
        <v>64</v>
      </c>
      <c r="C123" s="33" t="s">
        <v>66</v>
      </c>
      <c r="D123" s="33" t="s">
        <v>204</v>
      </c>
      <c r="E123" s="34">
        <f>COUNTIF('Detalle por artículo'!$K$8:$K$592,D123)</f>
        <v>1</v>
      </c>
      <c r="F123" s="35">
        <f t="shared" si="41"/>
        <v>131.73266439706143</v>
      </c>
      <c r="G123" s="36">
        <f>SUMIF('Detalle por artículo'!$K$8:$K$592,$D123,'Detalle por artículo'!$E$8:$E$592)</f>
        <v>5.5810000000000004</v>
      </c>
      <c r="H123" s="35">
        <f t="shared" si="42"/>
        <v>4</v>
      </c>
      <c r="I123" s="35">
        <f t="shared" si="43"/>
        <v>8</v>
      </c>
      <c r="J123" s="35">
        <f t="shared" si="44"/>
        <v>15</v>
      </c>
      <c r="K123" s="37">
        <f t="shared" si="45"/>
        <v>0.19932142857142859</v>
      </c>
      <c r="L123" s="36">
        <f>SUMIF('Detalle por artículo'!$K$8:$K$592,$D123,'Detalle por artículo'!$O$8:$O$592)</f>
        <v>735.19999999999993</v>
      </c>
      <c r="M123" s="38">
        <f>SUMIF('Detalle por artículo'!$K$8:$K$592,$D123,'Detalle por artículo'!$I$8:$I$592)</f>
        <v>777</v>
      </c>
      <c r="N123" s="38">
        <f>SUMIF('Detalle por artículo'!$K$8:$K$592,$D123,'Detalle por artículo'!$M$8:$M$592)</f>
        <v>51</v>
      </c>
      <c r="O123" s="39">
        <f t="shared" si="46"/>
        <v>7.1827541827541825</v>
      </c>
      <c r="P123" s="40">
        <f t="shared" si="47"/>
        <v>946.20334620334609</v>
      </c>
      <c r="Q123" s="41">
        <f t="shared" si="48"/>
        <v>0.15</v>
      </c>
      <c r="R123" s="40">
        <f t="shared" si="49"/>
        <v>6.4181499999999998</v>
      </c>
      <c r="S123" s="42">
        <f>IFERROR(SUM($G$8:G123)/$G$6,0)</f>
        <v>0.71678401132728709</v>
      </c>
      <c r="T123" s="43" t="str">
        <f t="shared" si="50"/>
        <v>B</v>
      </c>
      <c r="U123" s="44">
        <v>777</v>
      </c>
      <c r="V123" s="45">
        <f t="shared" si="80"/>
        <v>0</v>
      </c>
      <c r="W123" s="46">
        <v>46272</v>
      </c>
      <c r="X123" s="46">
        <v>46272</v>
      </c>
      <c r="Y123" s="47">
        <v>792</v>
      </c>
      <c r="Z123" s="48">
        <f t="shared" si="52"/>
        <v>5.6887413127413131</v>
      </c>
      <c r="AA123" s="49">
        <f t="shared" si="53"/>
        <v>0.20316933259790404</v>
      </c>
      <c r="AB123" s="44">
        <v>511</v>
      </c>
      <c r="AC123" s="44">
        <f t="shared" si="54"/>
        <v>379</v>
      </c>
      <c r="AD123" s="44">
        <f t="shared" si="55"/>
        <v>119</v>
      </c>
      <c r="AE123" s="50">
        <f t="shared" si="56"/>
        <v>40</v>
      </c>
      <c r="AF123" s="41">
        <f t="shared" si="57"/>
        <v>0.8</v>
      </c>
      <c r="AG123" s="44">
        <v>4</v>
      </c>
      <c r="AH123" s="44">
        <v>9</v>
      </c>
      <c r="AI123" s="42">
        <f t="shared" si="81"/>
        <v>0.48777348777348778</v>
      </c>
      <c r="AJ123" s="42">
        <f t="shared" si="82"/>
        <v>0.15315315315315314</v>
      </c>
      <c r="AK123" s="40">
        <f t="shared" si="60"/>
        <v>2.7222638352638349</v>
      </c>
      <c r="AL123" s="51">
        <v>265</v>
      </c>
      <c r="AM123" s="52">
        <f t="shared" si="61"/>
        <v>1.9034298584298583</v>
      </c>
      <c r="AN123" s="42">
        <f t="shared" si="83"/>
        <v>0.34105534105534108</v>
      </c>
      <c r="AO123" s="53">
        <f t="shared" si="84"/>
        <v>266</v>
      </c>
      <c r="AP123" s="52">
        <f t="shared" si="85"/>
        <v>1.9106126126126126</v>
      </c>
      <c r="AQ123" s="42">
        <f t="shared" si="86"/>
        <v>0.64092664092664098</v>
      </c>
      <c r="AR123" s="46">
        <v>46274</v>
      </c>
      <c r="AS123" s="46">
        <v>46279</v>
      </c>
      <c r="AT123" s="50">
        <f t="shared" si="87"/>
        <v>7</v>
      </c>
      <c r="AU123" s="50">
        <f t="shared" si="67"/>
        <v>258</v>
      </c>
      <c r="AV123" s="50">
        <f t="shared" si="88"/>
        <v>264</v>
      </c>
      <c r="AW123" s="54">
        <f t="shared" si="89"/>
        <v>-6</v>
      </c>
    </row>
    <row r="124" spans="1:49" x14ac:dyDescent="0.25">
      <c r="A124" s="33" t="s">
        <v>63</v>
      </c>
      <c r="B124" s="33" t="s">
        <v>64</v>
      </c>
      <c r="C124" s="33" t="s">
        <v>66</v>
      </c>
      <c r="D124" s="33" t="s">
        <v>205</v>
      </c>
      <c r="E124" s="34">
        <f>COUNTIF('Detalle por artículo'!$K$8:$K$592,D124)</f>
        <v>1</v>
      </c>
      <c r="F124" s="35">
        <f t="shared" si="41"/>
        <v>134.54219030520645</v>
      </c>
      <c r="G124" s="36">
        <f>SUMIF('Detalle por artículo'!$K$8:$K$592,$D124,'Detalle por artículo'!$E$8:$E$592)</f>
        <v>5.57</v>
      </c>
      <c r="H124" s="35">
        <f t="shared" si="42"/>
        <v>4</v>
      </c>
      <c r="I124" s="35">
        <f t="shared" si="43"/>
        <v>8</v>
      </c>
      <c r="J124" s="35">
        <f t="shared" si="44"/>
        <v>15</v>
      </c>
      <c r="K124" s="37">
        <f t="shared" si="45"/>
        <v>0.19892857142857143</v>
      </c>
      <c r="L124" s="36">
        <f>SUMIF('Detalle por artículo'!$K$8:$K$592,$D124,'Detalle por artículo'!$O$8:$O$592)</f>
        <v>749.4</v>
      </c>
      <c r="M124" s="38">
        <f>SUMIF('Detalle por artículo'!$K$8:$K$592,$D124,'Detalle por artículo'!$I$8:$I$592)</f>
        <v>815</v>
      </c>
      <c r="N124" s="38">
        <f>SUMIF('Detalle por artículo'!$K$8:$K$592,$D124,'Detalle por artículo'!$M$8:$M$592)</f>
        <v>58</v>
      </c>
      <c r="O124" s="39">
        <f t="shared" si="46"/>
        <v>6.8343558282208594</v>
      </c>
      <c r="P124" s="40">
        <f t="shared" si="47"/>
        <v>919.50920245398765</v>
      </c>
      <c r="Q124" s="41">
        <f t="shared" si="48"/>
        <v>0.15</v>
      </c>
      <c r="R124" s="40">
        <f t="shared" si="49"/>
        <v>6.4055</v>
      </c>
      <c r="S124" s="42">
        <f>IFERROR(SUM($G$8:G124)/$G$6,0)</f>
        <v>0.71883078461675598</v>
      </c>
      <c r="T124" s="43" t="str">
        <f t="shared" si="50"/>
        <v>B</v>
      </c>
      <c r="U124" s="44">
        <v>815</v>
      </c>
      <c r="V124" s="45">
        <f t="shared" si="80"/>
        <v>0</v>
      </c>
      <c r="W124" s="46">
        <v>46213</v>
      </c>
      <c r="X124" s="46">
        <v>46213</v>
      </c>
      <c r="Y124" s="47">
        <v>0</v>
      </c>
      <c r="Z124" s="48">
        <f t="shared" si="52"/>
        <v>0</v>
      </c>
      <c r="AA124" s="49">
        <f t="shared" si="53"/>
        <v>0</v>
      </c>
      <c r="AB124" s="44">
        <v>623</v>
      </c>
      <c r="AC124" s="44">
        <f t="shared" si="54"/>
        <v>454</v>
      </c>
      <c r="AD124" s="44">
        <f t="shared" si="55"/>
        <v>139</v>
      </c>
      <c r="AE124" s="50">
        <f t="shared" si="56"/>
        <v>48</v>
      </c>
      <c r="AF124" s="41">
        <f t="shared" si="57"/>
        <v>0.96</v>
      </c>
      <c r="AG124" s="44">
        <v>6</v>
      </c>
      <c r="AH124" s="44">
        <v>24</v>
      </c>
      <c r="AI124" s="42">
        <f t="shared" si="81"/>
        <v>0.55705521472392638</v>
      </c>
      <c r="AJ124" s="42">
        <f t="shared" si="82"/>
        <v>0.17055214723926379</v>
      </c>
      <c r="AK124" s="40">
        <f t="shared" si="60"/>
        <v>3.1027975460122703</v>
      </c>
      <c r="AL124" s="51">
        <v>191</v>
      </c>
      <c r="AM124" s="52">
        <f t="shared" si="61"/>
        <v>1.305361963190184</v>
      </c>
      <c r="AN124" s="42">
        <f t="shared" si="83"/>
        <v>0.2343558282208589</v>
      </c>
      <c r="AO124" s="53">
        <f t="shared" si="84"/>
        <v>192</v>
      </c>
      <c r="AP124" s="52">
        <f t="shared" si="85"/>
        <v>1.3121963190184052</v>
      </c>
      <c r="AQ124" s="42">
        <f t="shared" si="86"/>
        <v>0.7276073619631902</v>
      </c>
      <c r="AR124" s="46">
        <v>46219</v>
      </c>
      <c r="AS124" s="46">
        <v>46219</v>
      </c>
      <c r="AT124" s="50">
        <f t="shared" si="87"/>
        <v>6</v>
      </c>
      <c r="AU124" s="50">
        <f t="shared" si="67"/>
        <v>231</v>
      </c>
      <c r="AV124" s="50">
        <f t="shared" si="88"/>
        <v>173</v>
      </c>
      <c r="AW124" s="54">
        <f t="shared" si="89"/>
        <v>58</v>
      </c>
    </row>
    <row r="125" spans="1:49" x14ac:dyDescent="0.25">
      <c r="A125" s="33" t="s">
        <v>63</v>
      </c>
      <c r="B125" s="33" t="s">
        <v>84</v>
      </c>
      <c r="C125" s="33" t="s">
        <v>85</v>
      </c>
      <c r="D125" s="33" t="s">
        <v>206</v>
      </c>
      <c r="E125" s="34">
        <f>COUNTIF('Detalle por artículo'!$K$8:$K$592,D125)</f>
        <v>2</v>
      </c>
      <c r="F125" s="35">
        <f t="shared" si="41"/>
        <v>133.28545780969478</v>
      </c>
      <c r="G125" s="36">
        <f>SUMIF('Detalle por artículo'!$K$8:$K$592,$D125,'Detalle por artículo'!$E$8:$E$592)</f>
        <v>5.57</v>
      </c>
      <c r="H125" s="35">
        <f t="shared" si="42"/>
        <v>4</v>
      </c>
      <c r="I125" s="35">
        <f t="shared" si="43"/>
        <v>8</v>
      </c>
      <c r="J125" s="35">
        <f t="shared" si="44"/>
        <v>15</v>
      </c>
      <c r="K125" s="37">
        <f t="shared" si="45"/>
        <v>0.19892857142857143</v>
      </c>
      <c r="L125" s="36">
        <f>SUMIF('Detalle por artículo'!$K$8:$K$592,$D125,'Detalle por artículo'!$O$8:$O$592)</f>
        <v>742.4</v>
      </c>
      <c r="M125" s="38">
        <f>SUMIF('Detalle por artículo'!$K$8:$K$592,$D125,'Detalle por artículo'!$I$8:$I$592)</f>
        <v>1496</v>
      </c>
      <c r="N125" s="38">
        <f>SUMIF('Detalle por artículo'!$K$8:$K$592,$D125,'Detalle por artículo'!$M$8:$M$592)</f>
        <v>58</v>
      </c>
      <c r="O125" s="39">
        <f t="shared" si="46"/>
        <v>3.7232620320855618</v>
      </c>
      <c r="P125" s="40">
        <f t="shared" si="47"/>
        <v>496.25668449197855</v>
      </c>
      <c r="Q125" s="41">
        <f t="shared" si="48"/>
        <v>0.15</v>
      </c>
      <c r="R125" s="40">
        <f t="shared" si="49"/>
        <v>6.4055</v>
      </c>
      <c r="S125" s="42">
        <f>IFERROR(SUM($G$8:G125)/$G$6,0)</f>
        <v>0.72087755790622488</v>
      </c>
      <c r="T125" s="43" t="str">
        <f t="shared" si="50"/>
        <v>B</v>
      </c>
      <c r="U125" s="44">
        <v>1496</v>
      </c>
      <c r="V125" s="45">
        <f t="shared" si="80"/>
        <v>0</v>
      </c>
      <c r="W125" s="46">
        <v>46234</v>
      </c>
      <c r="X125" s="46">
        <v>46234</v>
      </c>
      <c r="Y125" s="47">
        <v>0</v>
      </c>
      <c r="Z125" s="48">
        <f t="shared" si="52"/>
        <v>0</v>
      </c>
      <c r="AA125" s="49">
        <f t="shared" si="53"/>
        <v>0</v>
      </c>
      <c r="AB125" s="44">
        <v>957</v>
      </c>
      <c r="AC125" s="44">
        <f t="shared" si="54"/>
        <v>499</v>
      </c>
      <c r="AD125" s="44">
        <f t="shared" si="55"/>
        <v>435</v>
      </c>
      <c r="AE125" s="50">
        <f t="shared" si="56"/>
        <v>35</v>
      </c>
      <c r="AF125" s="41">
        <f t="shared" si="57"/>
        <v>0.7</v>
      </c>
      <c r="AG125" s="44">
        <v>11</v>
      </c>
      <c r="AH125" s="44">
        <v>14</v>
      </c>
      <c r="AI125" s="42">
        <f t="shared" si="81"/>
        <v>0.33355614973262032</v>
      </c>
      <c r="AJ125" s="42">
        <f t="shared" si="82"/>
        <v>0.29077540106951871</v>
      </c>
      <c r="AK125" s="40">
        <f t="shared" si="60"/>
        <v>1.8579077540106952</v>
      </c>
      <c r="AL125" s="51">
        <v>539</v>
      </c>
      <c r="AM125" s="52">
        <f t="shared" si="61"/>
        <v>2.0068382352941176</v>
      </c>
      <c r="AN125" s="42">
        <f t="shared" si="83"/>
        <v>0.36029411764705882</v>
      </c>
      <c r="AO125" s="53">
        <f t="shared" si="84"/>
        <v>539</v>
      </c>
      <c r="AP125" s="52">
        <f t="shared" si="85"/>
        <v>2.0068382352941176</v>
      </c>
      <c r="AQ125" s="42">
        <f t="shared" si="86"/>
        <v>0.62433155080213909</v>
      </c>
      <c r="AR125" s="46">
        <v>46254</v>
      </c>
      <c r="AS125" s="46">
        <v>46255</v>
      </c>
      <c r="AT125" s="50">
        <f t="shared" si="87"/>
        <v>21</v>
      </c>
      <c r="AU125" s="50">
        <f t="shared" si="67"/>
        <v>97</v>
      </c>
      <c r="AV125" s="50">
        <f t="shared" si="88"/>
        <v>71</v>
      </c>
      <c r="AW125" s="54">
        <f t="shared" si="89"/>
        <v>26</v>
      </c>
    </row>
    <row r="126" spans="1:49" x14ac:dyDescent="0.25">
      <c r="A126" s="33" t="s">
        <v>63</v>
      </c>
      <c r="B126" s="33" t="s">
        <v>110</v>
      </c>
      <c r="C126" s="33" t="s">
        <v>100</v>
      </c>
      <c r="D126" s="33" t="s">
        <v>207</v>
      </c>
      <c r="E126" s="34">
        <f>COUNTIF('Detalle por artículo'!$K$8:$K$592,D126)</f>
        <v>1</v>
      </c>
      <c r="F126" s="35">
        <f t="shared" si="41"/>
        <v>85.668103448275872</v>
      </c>
      <c r="G126" s="36">
        <f>SUMIF('Detalle por artículo'!$K$8:$K$592,$D126,'Detalle por artículo'!$E$8:$E$592)</f>
        <v>5.5679999999999996</v>
      </c>
      <c r="H126" s="35">
        <f t="shared" si="42"/>
        <v>4</v>
      </c>
      <c r="I126" s="35">
        <f t="shared" si="43"/>
        <v>8</v>
      </c>
      <c r="J126" s="35">
        <f t="shared" si="44"/>
        <v>15</v>
      </c>
      <c r="K126" s="37">
        <f t="shared" si="45"/>
        <v>0.19885714285714284</v>
      </c>
      <c r="L126" s="36">
        <f>SUMIF('Detalle por artículo'!$K$8:$K$592,$D126,'Detalle por artículo'!$O$8:$O$592)</f>
        <v>477</v>
      </c>
      <c r="M126" s="38">
        <f>SUMIF('Detalle por artículo'!$K$8:$K$592,$D126,'Detalle por artículo'!$I$8:$I$592)</f>
        <v>1101</v>
      </c>
      <c r="N126" s="38">
        <f>SUMIF('Detalle por artículo'!$K$8:$K$592,$D126,'Detalle por artículo'!$M$8:$M$592)</f>
        <v>58</v>
      </c>
      <c r="O126" s="39">
        <f t="shared" si="46"/>
        <v>5.0572207084468666</v>
      </c>
      <c r="P126" s="40">
        <f t="shared" si="47"/>
        <v>433.24250681198913</v>
      </c>
      <c r="Q126" s="41">
        <f t="shared" si="48"/>
        <v>0.2</v>
      </c>
      <c r="R126" s="40">
        <f t="shared" si="49"/>
        <v>6.6815999999999995</v>
      </c>
      <c r="S126" s="42">
        <f>IFERROR(SUM($G$8:G126)/$G$6,0)</f>
        <v>0.7229235962681213</v>
      </c>
      <c r="T126" s="43" t="str">
        <f t="shared" si="50"/>
        <v>B</v>
      </c>
      <c r="U126" s="44">
        <v>1101</v>
      </c>
      <c r="V126" s="45">
        <f t="shared" si="80"/>
        <v>0</v>
      </c>
      <c r="W126" s="46">
        <v>46288</v>
      </c>
      <c r="X126" s="46">
        <v>46288</v>
      </c>
      <c r="Y126" s="47">
        <v>0</v>
      </c>
      <c r="Z126" s="48">
        <f t="shared" si="52"/>
        <v>0</v>
      </c>
      <c r="AA126" s="49">
        <f t="shared" si="53"/>
        <v>0</v>
      </c>
      <c r="AB126" s="44">
        <v>331</v>
      </c>
      <c r="AC126" s="44">
        <f t="shared" si="54"/>
        <v>330</v>
      </c>
      <c r="AD126" s="44">
        <f t="shared" si="55"/>
        <v>0</v>
      </c>
      <c r="AE126" s="50">
        <f t="shared" si="56"/>
        <v>48</v>
      </c>
      <c r="AF126" s="41">
        <f t="shared" si="57"/>
        <v>0.96</v>
      </c>
      <c r="AG126" s="44">
        <v>1</v>
      </c>
      <c r="AH126" s="44">
        <v>0</v>
      </c>
      <c r="AI126" s="42">
        <f t="shared" si="81"/>
        <v>0.29972752043596729</v>
      </c>
      <c r="AJ126" s="42">
        <f t="shared" si="82"/>
        <v>0</v>
      </c>
      <c r="AK126" s="40">
        <f t="shared" si="60"/>
        <v>1.6688828337874659</v>
      </c>
      <c r="AL126" s="51">
        <v>770</v>
      </c>
      <c r="AM126" s="52">
        <f t="shared" si="61"/>
        <v>3.8940599455040874</v>
      </c>
      <c r="AN126" s="42">
        <f t="shared" si="83"/>
        <v>0.69936421435059037</v>
      </c>
      <c r="AO126" s="53">
        <f t="shared" si="84"/>
        <v>770</v>
      </c>
      <c r="AP126" s="52">
        <f t="shared" si="85"/>
        <v>3.8940599455040874</v>
      </c>
      <c r="AQ126" s="42">
        <f t="shared" si="86"/>
        <v>0.29972752043596729</v>
      </c>
      <c r="AR126" s="46">
        <v>46293</v>
      </c>
      <c r="AS126" s="46">
        <v>46294</v>
      </c>
      <c r="AT126" s="50">
        <f t="shared" si="87"/>
        <v>6</v>
      </c>
      <c r="AU126" s="50">
        <f t="shared" si="67"/>
        <v>148</v>
      </c>
      <c r="AV126" s="50">
        <f t="shared" si="88"/>
        <v>337</v>
      </c>
      <c r="AW126" s="54">
        <f t="shared" si="89"/>
        <v>-189</v>
      </c>
    </row>
    <row r="127" spans="1:49" x14ac:dyDescent="0.25">
      <c r="A127" s="33" t="s">
        <v>63</v>
      </c>
      <c r="B127" s="33" t="s">
        <v>64</v>
      </c>
      <c r="C127" s="33" t="s">
        <v>66</v>
      </c>
      <c r="D127" s="33" t="s">
        <v>208</v>
      </c>
      <c r="E127" s="34">
        <f>COUNTIF('Detalle por artículo'!$K$8:$K$592,D127)</f>
        <v>1</v>
      </c>
      <c r="F127" s="35">
        <f t="shared" si="41"/>
        <v>240.94827586206901</v>
      </c>
      <c r="G127" s="36">
        <f>SUMIF('Detalle por artículo'!$K$8:$K$592,$D127,'Detalle por artículo'!$E$8:$E$592)</f>
        <v>5.5679999999999996</v>
      </c>
      <c r="H127" s="35">
        <f t="shared" si="42"/>
        <v>4</v>
      </c>
      <c r="I127" s="35">
        <f t="shared" si="43"/>
        <v>8</v>
      </c>
      <c r="J127" s="35">
        <f t="shared" si="44"/>
        <v>15</v>
      </c>
      <c r="K127" s="37">
        <f t="shared" si="45"/>
        <v>0.19885714285714284</v>
      </c>
      <c r="L127" s="36">
        <f>SUMIF('Detalle por artículo'!$K$8:$K$592,$D127,'Detalle por artículo'!$O$8:$O$592)</f>
        <v>1341.6000000000001</v>
      </c>
      <c r="M127" s="38">
        <f>SUMIF('Detalle por artículo'!$K$8:$K$592,$D127,'Detalle por artículo'!$I$8:$I$592)</f>
        <v>1137</v>
      </c>
      <c r="N127" s="38">
        <f>SUMIF('Detalle por artículo'!$K$8:$K$592,$D127,'Detalle por artículo'!$M$8:$M$592)</f>
        <v>58</v>
      </c>
      <c r="O127" s="39">
        <f t="shared" si="46"/>
        <v>4.8970976253298151</v>
      </c>
      <c r="P127" s="40">
        <f t="shared" si="47"/>
        <v>1179.9472295514513</v>
      </c>
      <c r="Q127" s="41">
        <f t="shared" si="48"/>
        <v>0.1</v>
      </c>
      <c r="R127" s="40">
        <f t="shared" si="49"/>
        <v>6.1248000000000005</v>
      </c>
      <c r="S127" s="42">
        <f>IFERROR(SUM($G$8:G127)/$G$6,0)</f>
        <v>0.72496963463001773</v>
      </c>
      <c r="T127" s="43" t="str">
        <f t="shared" si="50"/>
        <v>B</v>
      </c>
      <c r="U127" s="44">
        <v>1141</v>
      </c>
      <c r="V127" s="45">
        <f t="shared" si="80"/>
        <v>4</v>
      </c>
      <c r="W127" s="46">
        <v>46281</v>
      </c>
      <c r="X127" s="46">
        <v>46281</v>
      </c>
      <c r="Y127" s="47">
        <v>0</v>
      </c>
      <c r="Z127" s="48">
        <f t="shared" si="52"/>
        <v>0</v>
      </c>
      <c r="AA127" s="49">
        <f t="shared" si="53"/>
        <v>0</v>
      </c>
      <c r="AB127" s="44">
        <v>583</v>
      </c>
      <c r="AC127" s="44">
        <f t="shared" si="54"/>
        <v>431</v>
      </c>
      <c r="AD127" s="44">
        <f t="shared" si="55"/>
        <v>136</v>
      </c>
      <c r="AE127" s="50">
        <f t="shared" si="56"/>
        <v>45</v>
      </c>
      <c r="AF127" s="41">
        <f t="shared" si="57"/>
        <v>0.9</v>
      </c>
      <c r="AG127" s="44">
        <v>7</v>
      </c>
      <c r="AH127" s="44">
        <v>9</v>
      </c>
      <c r="AI127" s="42">
        <f t="shared" si="81"/>
        <v>0.37906772207563766</v>
      </c>
      <c r="AJ127" s="42">
        <f t="shared" si="82"/>
        <v>0.11961301671064203</v>
      </c>
      <c r="AK127" s="40">
        <f t="shared" si="60"/>
        <v>2.1106490765171504</v>
      </c>
      <c r="AL127" s="51">
        <v>555</v>
      </c>
      <c r="AM127" s="52">
        <f t="shared" si="61"/>
        <v>2.7178891820580473</v>
      </c>
      <c r="AN127" s="42">
        <f t="shared" si="83"/>
        <v>0.48641542506573182</v>
      </c>
      <c r="AO127" s="53">
        <f t="shared" si="84"/>
        <v>554</v>
      </c>
      <c r="AP127" s="52">
        <f t="shared" si="85"/>
        <v>2.7129920844327176</v>
      </c>
      <c r="AQ127" s="42">
        <f t="shared" si="86"/>
        <v>0.49868073878627966</v>
      </c>
      <c r="AR127" s="46">
        <v>46281</v>
      </c>
      <c r="AS127" s="46">
        <v>46283</v>
      </c>
      <c r="AT127" s="50">
        <f t="shared" si="87"/>
        <v>2</v>
      </c>
      <c r="AU127" s="50">
        <f t="shared" si="67"/>
        <v>144</v>
      </c>
      <c r="AV127" s="50">
        <f t="shared" si="88"/>
        <v>213</v>
      </c>
      <c r="AW127" s="54">
        <f t="shared" si="89"/>
        <v>-69</v>
      </c>
    </row>
    <row r="128" spans="1:49" x14ac:dyDescent="0.25">
      <c r="A128" s="33" t="s">
        <v>63</v>
      </c>
      <c r="B128" s="33" t="s">
        <v>64</v>
      </c>
      <c r="C128" s="33" t="s">
        <v>66</v>
      </c>
      <c r="D128" s="33" t="s">
        <v>209</v>
      </c>
      <c r="E128" s="34">
        <f>COUNTIF('Detalle por artículo'!$K$8:$K$592,D128)</f>
        <v>1</v>
      </c>
      <c r="F128" s="35">
        <f t="shared" si="41"/>
        <v>230.56208205313573</v>
      </c>
      <c r="G128" s="36">
        <f>SUMIF('Detalle por artículo'!$K$8:$K$592,$D128,'Detalle por artículo'!$E$8:$E$592)</f>
        <v>5.5330000000000004</v>
      </c>
      <c r="H128" s="35">
        <f t="shared" si="42"/>
        <v>4</v>
      </c>
      <c r="I128" s="35">
        <f t="shared" si="43"/>
        <v>8</v>
      </c>
      <c r="J128" s="35">
        <f t="shared" si="44"/>
        <v>15</v>
      </c>
      <c r="K128" s="37">
        <f t="shared" si="45"/>
        <v>0.19760714285714287</v>
      </c>
      <c r="L128" s="36">
        <f>SUMIF('Detalle por artículo'!$K$8:$K$592,$D128,'Detalle por artículo'!$O$8:$O$592)</f>
        <v>1275.7</v>
      </c>
      <c r="M128" s="38">
        <f>SUMIF('Detalle por artículo'!$K$8:$K$592,$D128,'Detalle por artículo'!$I$8:$I$592)</f>
        <v>1057</v>
      </c>
      <c r="N128" s="38">
        <f>SUMIF('Detalle por artículo'!$K$8:$K$592,$D128,'Detalle por artículo'!$M$8:$M$592)</f>
        <v>53</v>
      </c>
      <c r="O128" s="39">
        <f t="shared" si="46"/>
        <v>5.2346263008514669</v>
      </c>
      <c r="P128" s="40">
        <f t="shared" si="47"/>
        <v>1206.9063386944181</v>
      </c>
      <c r="Q128" s="41">
        <f t="shared" si="48"/>
        <v>0.1</v>
      </c>
      <c r="R128" s="40">
        <f t="shared" si="49"/>
        <v>6.0863000000000005</v>
      </c>
      <c r="S128" s="42">
        <f>IFERROR(SUM($G$8:G128)/$G$6,0)</f>
        <v>0.72700281175939496</v>
      </c>
      <c r="T128" s="43" t="str">
        <f t="shared" si="50"/>
        <v>B</v>
      </c>
      <c r="U128" s="44">
        <v>1034</v>
      </c>
      <c r="V128" s="45">
        <f t="shared" si="80"/>
        <v>-23</v>
      </c>
      <c r="W128" s="46">
        <v>46272</v>
      </c>
      <c r="X128" s="46">
        <v>46272</v>
      </c>
      <c r="Y128" s="47">
        <v>1080</v>
      </c>
      <c r="Z128" s="48">
        <f t="shared" si="52"/>
        <v>5.653396404919584</v>
      </c>
      <c r="AA128" s="49">
        <f t="shared" si="53"/>
        <v>0.20190701446141371</v>
      </c>
      <c r="AB128" s="44">
        <v>801</v>
      </c>
      <c r="AC128" s="44">
        <f t="shared" si="54"/>
        <v>572</v>
      </c>
      <c r="AD128" s="44">
        <f t="shared" si="55"/>
        <v>218</v>
      </c>
      <c r="AE128" s="50">
        <f t="shared" si="56"/>
        <v>48</v>
      </c>
      <c r="AF128" s="41">
        <f t="shared" si="57"/>
        <v>0.96</v>
      </c>
      <c r="AG128" s="44">
        <v>3</v>
      </c>
      <c r="AH128" s="44">
        <v>8</v>
      </c>
      <c r="AI128" s="42">
        <f t="shared" si="81"/>
        <v>0.54115421002838227</v>
      </c>
      <c r="AJ128" s="42">
        <f t="shared" si="82"/>
        <v>0.20624408703878902</v>
      </c>
      <c r="AK128" s="40">
        <f t="shared" si="60"/>
        <v>2.9942062440870392</v>
      </c>
      <c r="AL128" s="51">
        <v>244</v>
      </c>
      <c r="AM128" s="52">
        <f t="shared" si="61"/>
        <v>1.2772488174077581</v>
      </c>
      <c r="AN128" s="42">
        <f t="shared" si="83"/>
        <v>0.23597678916827852</v>
      </c>
      <c r="AO128" s="53">
        <f t="shared" si="84"/>
        <v>256</v>
      </c>
      <c r="AP128" s="52">
        <f t="shared" si="85"/>
        <v>1.3400643330179756</v>
      </c>
      <c r="AQ128" s="42">
        <f t="shared" si="86"/>
        <v>0.7473982970671712</v>
      </c>
      <c r="AR128" s="46">
        <v>46274</v>
      </c>
      <c r="AS128" s="46">
        <v>46275</v>
      </c>
      <c r="AT128" s="50">
        <f t="shared" si="87"/>
        <v>3</v>
      </c>
      <c r="AU128" s="50">
        <f t="shared" si="67"/>
        <v>155</v>
      </c>
      <c r="AV128" s="50">
        <f t="shared" si="88"/>
        <v>95</v>
      </c>
      <c r="AW128" s="54">
        <f t="shared" si="89"/>
        <v>60</v>
      </c>
    </row>
    <row r="129" spans="1:49" x14ac:dyDescent="0.25">
      <c r="A129" s="33" t="s">
        <v>55</v>
      </c>
      <c r="B129" s="33" t="s">
        <v>99</v>
      </c>
      <c r="C129" s="33" t="s">
        <v>100</v>
      </c>
      <c r="D129" s="33" t="s">
        <v>210</v>
      </c>
      <c r="E129" s="34">
        <f>COUNTIF('Detalle por artículo'!$K$8:$K$592,D129)</f>
        <v>2</v>
      </c>
      <c r="F129" s="35">
        <f t="shared" si="41"/>
        <v>115.82602339181287</v>
      </c>
      <c r="G129" s="36">
        <f>SUMIF('Detalle por artículo'!$K$8:$K$592,$D129,'Detalle por artículo'!$E$8:$E$592)</f>
        <v>5.4720000000000004</v>
      </c>
      <c r="H129" s="35">
        <f t="shared" si="42"/>
        <v>4</v>
      </c>
      <c r="I129" s="35">
        <f t="shared" si="43"/>
        <v>8</v>
      </c>
      <c r="J129" s="35">
        <f t="shared" si="44"/>
        <v>15</v>
      </c>
      <c r="K129" s="37">
        <f t="shared" si="45"/>
        <v>0.19542857142857145</v>
      </c>
      <c r="L129" s="36">
        <f>SUMIF('Detalle por artículo'!$K$8:$K$592,$D129,'Detalle por artículo'!$O$8:$O$592)</f>
        <v>633.80000000000007</v>
      </c>
      <c r="M129" s="38">
        <f>SUMIF('Detalle por artículo'!$K$8:$K$592,$D129,'Detalle por artículo'!$I$8:$I$592)</f>
        <v>1550</v>
      </c>
      <c r="N129" s="38">
        <f>SUMIF('Detalle por artículo'!$K$8:$K$592,$D129,'Detalle por artículo'!$M$8:$M$592)</f>
        <v>57</v>
      </c>
      <c r="O129" s="39">
        <f t="shared" si="46"/>
        <v>3.5303225806451617</v>
      </c>
      <c r="P129" s="40">
        <f t="shared" si="47"/>
        <v>408.90322580645164</v>
      </c>
      <c r="Q129" s="41">
        <f t="shared" si="48"/>
        <v>0.2</v>
      </c>
      <c r="R129" s="40">
        <f t="shared" si="49"/>
        <v>6.5664000000000007</v>
      </c>
      <c r="S129" s="42">
        <f>IFERROR(SUM($G$8:G129)/$G$6,0)</f>
        <v>0.72901357359781038</v>
      </c>
      <c r="T129" s="43" t="str">
        <f t="shared" si="50"/>
        <v>B</v>
      </c>
      <c r="U129" s="44">
        <v>1550</v>
      </c>
      <c r="V129" s="45">
        <f t="shared" si="80"/>
        <v>0</v>
      </c>
      <c r="W129" s="46">
        <v>46260</v>
      </c>
      <c r="X129" s="46">
        <v>46260</v>
      </c>
      <c r="Y129" s="47">
        <v>0</v>
      </c>
      <c r="Z129" s="48">
        <f t="shared" si="52"/>
        <v>0</v>
      </c>
      <c r="AA129" s="49">
        <f t="shared" si="53"/>
        <v>0</v>
      </c>
      <c r="AB129" s="44">
        <v>387</v>
      </c>
      <c r="AC129" s="44">
        <f t="shared" si="54"/>
        <v>322</v>
      </c>
      <c r="AD129" s="44">
        <f t="shared" si="55"/>
        <v>50</v>
      </c>
      <c r="AE129" s="50">
        <f t="shared" si="56"/>
        <v>17</v>
      </c>
      <c r="AF129" s="41">
        <f t="shared" si="57"/>
        <v>0.34</v>
      </c>
      <c r="AG129" s="44">
        <v>0</v>
      </c>
      <c r="AH129" s="44">
        <v>16</v>
      </c>
      <c r="AI129" s="42">
        <f t="shared" si="81"/>
        <v>0.20774193548387096</v>
      </c>
      <c r="AJ129" s="42">
        <f t="shared" si="82"/>
        <v>3.2258064516129031E-2</v>
      </c>
      <c r="AK129" s="40">
        <f t="shared" si="60"/>
        <v>1.1367638709677421</v>
      </c>
      <c r="AL129" s="51">
        <v>1163</v>
      </c>
      <c r="AM129" s="52">
        <f t="shared" si="61"/>
        <v>4.1057651612903232</v>
      </c>
      <c r="AN129" s="42">
        <f t="shared" si="83"/>
        <v>0.75032258064516133</v>
      </c>
      <c r="AO129" s="53">
        <f t="shared" si="84"/>
        <v>1163</v>
      </c>
      <c r="AP129" s="52">
        <f t="shared" si="85"/>
        <v>4.1057651612903232</v>
      </c>
      <c r="AQ129" s="42">
        <f t="shared" si="86"/>
        <v>0.24</v>
      </c>
      <c r="AR129" s="46">
        <v>46268</v>
      </c>
      <c r="AS129" s="46">
        <v>46268</v>
      </c>
      <c r="AT129" s="50">
        <f t="shared" si="87"/>
        <v>8</v>
      </c>
      <c r="AU129" s="50">
        <f t="shared" si="67"/>
        <v>86</v>
      </c>
      <c r="AV129" s="50">
        <f t="shared" si="88"/>
        <v>329</v>
      </c>
      <c r="AW129" s="54">
        <f t="shared" si="89"/>
        <v>-243</v>
      </c>
    </row>
    <row r="130" spans="1:49" x14ac:dyDescent="0.25">
      <c r="A130" s="33" t="s">
        <v>63</v>
      </c>
      <c r="B130" s="33" t="s">
        <v>64</v>
      </c>
      <c r="C130" s="33" t="s">
        <v>66</v>
      </c>
      <c r="D130" s="33" t="s">
        <v>211</v>
      </c>
      <c r="E130" s="34">
        <f>COUNTIF('Detalle por artículo'!$K$8:$K$592,D130)</f>
        <v>1</v>
      </c>
      <c r="F130" s="35">
        <f t="shared" si="41"/>
        <v>172.38888888888889</v>
      </c>
      <c r="G130" s="36">
        <f>SUMIF('Detalle por artículo'!$K$8:$K$592,$D130,'Detalle por artículo'!$E$8:$E$592)</f>
        <v>5.4</v>
      </c>
      <c r="H130" s="35">
        <f t="shared" si="42"/>
        <v>4</v>
      </c>
      <c r="I130" s="35">
        <f t="shared" si="43"/>
        <v>8</v>
      </c>
      <c r="J130" s="35">
        <f t="shared" si="44"/>
        <v>15</v>
      </c>
      <c r="K130" s="37">
        <f t="shared" si="45"/>
        <v>0.19285714285714287</v>
      </c>
      <c r="L130" s="36">
        <f>SUMIF('Detalle por artículo'!$K$8:$K$592,$D130,'Detalle por artículo'!$O$8:$O$592)</f>
        <v>930.9</v>
      </c>
      <c r="M130" s="38">
        <f>SUMIF('Detalle por artículo'!$K$8:$K$592,$D130,'Detalle por artículo'!$I$8:$I$592)</f>
        <v>746</v>
      </c>
      <c r="N130" s="38">
        <f>SUMIF('Detalle por artículo'!$K$8:$K$592,$D130,'Detalle por artículo'!$M$8:$M$592)</f>
        <v>50</v>
      </c>
      <c r="O130" s="39">
        <f t="shared" si="46"/>
        <v>7.2386058981233257</v>
      </c>
      <c r="P130" s="40">
        <f t="shared" si="47"/>
        <v>1247.8552278820373</v>
      </c>
      <c r="Q130" s="41">
        <f t="shared" si="48"/>
        <v>0.15</v>
      </c>
      <c r="R130" s="40">
        <f t="shared" si="49"/>
        <v>6.21</v>
      </c>
      <c r="S130" s="42">
        <f>IFERROR(SUM($G$8:G130)/$G$6,0)</f>
        <v>0.73099787804361516</v>
      </c>
      <c r="T130" s="43" t="str">
        <f t="shared" si="50"/>
        <v>B</v>
      </c>
      <c r="U130" s="44">
        <v>752</v>
      </c>
      <c r="V130" s="45">
        <f t="shared" si="80"/>
        <v>6</v>
      </c>
      <c r="W130" s="46">
        <v>46272</v>
      </c>
      <c r="X130" s="46">
        <v>46272</v>
      </c>
      <c r="Y130" s="47">
        <v>746</v>
      </c>
      <c r="Z130" s="48">
        <f t="shared" si="52"/>
        <v>5.4000000000000012</v>
      </c>
      <c r="AA130" s="49">
        <f t="shared" si="53"/>
        <v>0.19285714285714289</v>
      </c>
      <c r="AB130" s="44">
        <v>367</v>
      </c>
      <c r="AC130" s="44">
        <f t="shared" si="54"/>
        <v>350</v>
      </c>
      <c r="AD130" s="44">
        <f t="shared" si="55"/>
        <v>6</v>
      </c>
      <c r="AE130" s="50">
        <f t="shared" si="56"/>
        <v>36</v>
      </c>
      <c r="AF130" s="41">
        <f t="shared" si="57"/>
        <v>0.72</v>
      </c>
      <c r="AG130" s="44">
        <v>2</v>
      </c>
      <c r="AH130" s="44">
        <v>9</v>
      </c>
      <c r="AI130" s="42">
        <f t="shared" si="81"/>
        <v>0.46916890080428952</v>
      </c>
      <c r="AJ130" s="42">
        <f t="shared" si="82"/>
        <v>8.0428954423592495E-3</v>
      </c>
      <c r="AK130" s="40">
        <f t="shared" si="60"/>
        <v>2.5335120643431641</v>
      </c>
      <c r="AL130" s="51">
        <v>385</v>
      </c>
      <c r="AM130" s="52">
        <f t="shared" si="61"/>
        <v>2.7868632707774803</v>
      </c>
      <c r="AN130" s="42">
        <f t="shared" si="83"/>
        <v>0.51196808510638303</v>
      </c>
      <c r="AO130" s="53">
        <f t="shared" si="84"/>
        <v>379</v>
      </c>
      <c r="AP130" s="52">
        <f t="shared" si="85"/>
        <v>2.74343163538874</v>
      </c>
      <c r="AQ130" s="42">
        <f t="shared" si="86"/>
        <v>0.47721179624664878</v>
      </c>
      <c r="AR130" s="46">
        <v>46274</v>
      </c>
      <c r="AS130" s="46">
        <v>46279</v>
      </c>
      <c r="AT130" s="50">
        <f t="shared" si="87"/>
        <v>7</v>
      </c>
      <c r="AU130" s="50">
        <f t="shared" si="67"/>
        <v>287</v>
      </c>
      <c r="AV130" s="50">
        <f t="shared" si="88"/>
        <v>332</v>
      </c>
      <c r="AW130" s="54">
        <f t="shared" si="89"/>
        <v>-45</v>
      </c>
    </row>
    <row r="131" spans="1:49" x14ac:dyDescent="0.25">
      <c r="A131" s="33" t="s">
        <v>63</v>
      </c>
      <c r="B131" s="33" t="s">
        <v>64</v>
      </c>
      <c r="C131" s="33" t="s">
        <v>66</v>
      </c>
      <c r="D131" s="33" t="s">
        <v>212</v>
      </c>
      <c r="E131" s="34">
        <f>COUNTIF('Detalle por artículo'!$K$8:$K$592,D131)</f>
        <v>1</v>
      </c>
      <c r="F131" s="35">
        <f t="shared" si="41"/>
        <v>139.44237918215612</v>
      </c>
      <c r="G131" s="36">
        <f>SUMIF('Detalle por artículo'!$K$8:$K$592,$D131,'Detalle por artículo'!$E$8:$E$592)</f>
        <v>5.38</v>
      </c>
      <c r="H131" s="35">
        <f t="shared" si="42"/>
        <v>4</v>
      </c>
      <c r="I131" s="35">
        <f t="shared" si="43"/>
        <v>7</v>
      </c>
      <c r="J131" s="35">
        <f t="shared" si="44"/>
        <v>14</v>
      </c>
      <c r="K131" s="37">
        <f t="shared" si="45"/>
        <v>0.19214285714285714</v>
      </c>
      <c r="L131" s="36">
        <f>SUMIF('Detalle por artículo'!$K$8:$K$592,$D131,'Detalle por artículo'!$O$8:$O$592)</f>
        <v>750.19999999999993</v>
      </c>
      <c r="M131" s="38">
        <f>SUMIF('Detalle por artículo'!$K$8:$K$592,$D131,'Detalle por artículo'!$I$8:$I$592)</f>
        <v>716</v>
      </c>
      <c r="N131" s="38">
        <f>SUMIF('Detalle por artículo'!$K$8:$K$592,$D131,'Detalle por artículo'!$M$8:$M$592)</f>
        <v>56</v>
      </c>
      <c r="O131" s="39">
        <f t="shared" si="46"/>
        <v>7.5139664804469275</v>
      </c>
      <c r="P131" s="40">
        <f t="shared" si="47"/>
        <v>1047.7653631284916</v>
      </c>
      <c r="Q131" s="41">
        <f t="shared" si="48"/>
        <v>0.15</v>
      </c>
      <c r="R131" s="40">
        <f t="shared" si="49"/>
        <v>6.1869999999999994</v>
      </c>
      <c r="S131" s="42">
        <f>IFERROR(SUM($G$8:G131)/$G$6,0)</f>
        <v>0.73297483321369472</v>
      </c>
      <c r="T131" s="43" t="str">
        <f t="shared" si="50"/>
        <v>B</v>
      </c>
      <c r="U131" s="44">
        <v>718</v>
      </c>
      <c r="V131" s="45">
        <f t="shared" si="80"/>
        <v>2</v>
      </c>
      <c r="W131" s="46">
        <v>46247</v>
      </c>
      <c r="X131" s="46">
        <v>46247</v>
      </c>
      <c r="Y131" s="47">
        <v>0</v>
      </c>
      <c r="Z131" s="48">
        <f t="shared" si="52"/>
        <v>0</v>
      </c>
      <c r="AA131" s="49">
        <f t="shared" si="53"/>
        <v>0</v>
      </c>
      <c r="AB131" s="44">
        <v>530</v>
      </c>
      <c r="AC131" s="44">
        <f t="shared" si="54"/>
        <v>357</v>
      </c>
      <c r="AD131" s="44">
        <f t="shared" si="55"/>
        <v>163</v>
      </c>
      <c r="AE131" s="50">
        <f t="shared" si="56"/>
        <v>47</v>
      </c>
      <c r="AF131" s="41">
        <f t="shared" si="57"/>
        <v>0.94</v>
      </c>
      <c r="AG131" s="44">
        <v>3</v>
      </c>
      <c r="AH131" s="44">
        <v>7</v>
      </c>
      <c r="AI131" s="42">
        <f t="shared" si="81"/>
        <v>0.49860335195530725</v>
      </c>
      <c r="AJ131" s="42">
        <f t="shared" si="82"/>
        <v>0.2276536312849162</v>
      </c>
      <c r="AK131" s="40">
        <f t="shared" si="60"/>
        <v>2.6824860335195533</v>
      </c>
      <c r="AL131" s="51">
        <v>186</v>
      </c>
      <c r="AM131" s="52">
        <f t="shared" si="61"/>
        <v>1.3975977653631284</v>
      </c>
      <c r="AN131" s="42">
        <f t="shared" si="83"/>
        <v>0.25905292479108633</v>
      </c>
      <c r="AO131" s="53">
        <f t="shared" si="84"/>
        <v>186</v>
      </c>
      <c r="AP131" s="52">
        <f t="shared" si="85"/>
        <v>1.3975977653631284</v>
      </c>
      <c r="AQ131" s="42">
        <f t="shared" si="86"/>
        <v>0.72625698324022347</v>
      </c>
      <c r="AR131" s="46">
        <v>46268</v>
      </c>
      <c r="AS131" s="46">
        <v>46268</v>
      </c>
      <c r="AT131" s="50">
        <f t="shared" si="87"/>
        <v>21</v>
      </c>
      <c r="AU131" s="50">
        <f t="shared" si="67"/>
        <v>303</v>
      </c>
      <c r="AV131" s="50">
        <f t="shared" si="88"/>
        <v>253</v>
      </c>
      <c r="AW131" s="54">
        <f t="shared" si="89"/>
        <v>50</v>
      </c>
    </row>
    <row r="132" spans="1:49" x14ac:dyDescent="0.25">
      <c r="A132" s="33" t="s">
        <v>55</v>
      </c>
      <c r="B132" s="33" t="s">
        <v>99</v>
      </c>
      <c r="C132" s="33" t="s">
        <v>100</v>
      </c>
      <c r="D132" s="33" t="s">
        <v>213</v>
      </c>
      <c r="E132" s="34">
        <f>COUNTIF('Detalle por artículo'!$K$8:$K$592,D132)</f>
        <v>2</v>
      </c>
      <c r="F132" s="35">
        <f t="shared" si="41"/>
        <v>142.7641369047619</v>
      </c>
      <c r="G132" s="36">
        <f>SUMIF('Detalle por artículo'!$K$8:$K$592,$D132,'Detalle por artículo'!$E$8:$E$592)</f>
        <v>5.3760000000000003</v>
      </c>
      <c r="H132" s="35">
        <f t="shared" si="42"/>
        <v>4</v>
      </c>
      <c r="I132" s="35">
        <f t="shared" si="43"/>
        <v>7</v>
      </c>
      <c r="J132" s="35">
        <f t="shared" si="44"/>
        <v>14</v>
      </c>
      <c r="K132" s="37">
        <f t="shared" si="45"/>
        <v>0.192</v>
      </c>
      <c r="L132" s="36">
        <f>SUMIF('Detalle por artículo'!$K$8:$K$592,$D132,'Detalle por artículo'!$O$8:$O$592)</f>
        <v>767.5</v>
      </c>
      <c r="M132" s="38">
        <f>SUMIF('Detalle por artículo'!$K$8:$K$592,$D132,'Detalle por artículo'!$I$8:$I$592)</f>
        <v>1651</v>
      </c>
      <c r="N132" s="38">
        <f>SUMIF('Detalle por artículo'!$K$8:$K$592,$D132,'Detalle por artículo'!$M$8:$M$592)</f>
        <v>56</v>
      </c>
      <c r="O132" s="39">
        <f t="shared" si="46"/>
        <v>3.2562083585705635</v>
      </c>
      <c r="P132" s="40">
        <f t="shared" si="47"/>
        <v>464.86977589339796</v>
      </c>
      <c r="Q132" s="41">
        <f t="shared" si="48"/>
        <v>0.15</v>
      </c>
      <c r="R132" s="40">
        <f t="shared" si="49"/>
        <v>6.1824000000000003</v>
      </c>
      <c r="S132" s="42">
        <f>IFERROR(SUM($G$8:G132)/$G$6,0)</f>
        <v>0.73495031852862913</v>
      </c>
      <c r="T132" s="43" t="str">
        <f t="shared" si="50"/>
        <v>B</v>
      </c>
      <c r="U132" s="44">
        <v>1651</v>
      </c>
      <c r="V132" s="45">
        <f t="shared" si="80"/>
        <v>0</v>
      </c>
      <c r="W132" s="46">
        <v>46260</v>
      </c>
      <c r="X132" s="46">
        <v>46260</v>
      </c>
      <c r="Y132" s="47">
        <v>0</v>
      </c>
      <c r="Z132" s="48">
        <f t="shared" si="52"/>
        <v>0</v>
      </c>
      <c r="AA132" s="49">
        <f t="shared" si="53"/>
        <v>0</v>
      </c>
      <c r="AB132" s="44">
        <v>791</v>
      </c>
      <c r="AC132" s="44">
        <f t="shared" si="54"/>
        <v>714</v>
      </c>
      <c r="AD132" s="44">
        <f t="shared" si="55"/>
        <v>58</v>
      </c>
      <c r="AE132" s="50">
        <f t="shared" si="56"/>
        <v>47</v>
      </c>
      <c r="AF132" s="41">
        <f t="shared" si="57"/>
        <v>0.94</v>
      </c>
      <c r="AG132" s="44">
        <v>6</v>
      </c>
      <c r="AH132" s="44">
        <v>14</v>
      </c>
      <c r="AI132" s="42">
        <f t="shared" si="81"/>
        <v>0.43246517262265294</v>
      </c>
      <c r="AJ132" s="42">
        <f t="shared" si="82"/>
        <v>3.5130224106602062E-2</v>
      </c>
      <c r="AK132" s="40">
        <f t="shared" si="60"/>
        <v>2.3249327680193823</v>
      </c>
      <c r="AL132" s="51">
        <v>860</v>
      </c>
      <c r="AM132" s="52">
        <f t="shared" si="61"/>
        <v>2.8003391883706845</v>
      </c>
      <c r="AN132" s="42">
        <f t="shared" si="83"/>
        <v>0.52089642640823741</v>
      </c>
      <c r="AO132" s="53">
        <f t="shared" si="84"/>
        <v>860</v>
      </c>
      <c r="AP132" s="52">
        <f t="shared" si="85"/>
        <v>2.8003391883706845</v>
      </c>
      <c r="AQ132" s="42">
        <f t="shared" si="86"/>
        <v>0.46759539672925499</v>
      </c>
      <c r="AR132" s="46">
        <v>46268</v>
      </c>
      <c r="AS132" s="46">
        <v>46268</v>
      </c>
      <c r="AT132" s="50">
        <f t="shared" si="87"/>
        <v>8</v>
      </c>
      <c r="AU132" s="50">
        <f t="shared" si="67"/>
        <v>72</v>
      </c>
      <c r="AV132" s="50">
        <f t="shared" si="88"/>
        <v>98</v>
      </c>
      <c r="AW132" s="54">
        <f t="shared" si="89"/>
        <v>-26</v>
      </c>
    </row>
    <row r="133" spans="1:49" x14ac:dyDescent="0.25">
      <c r="A133" s="33" t="s">
        <v>63</v>
      </c>
      <c r="B133" s="33" t="s">
        <v>110</v>
      </c>
      <c r="C133" s="33" t="s">
        <v>100</v>
      </c>
      <c r="D133" s="33" t="s">
        <v>214</v>
      </c>
      <c r="E133" s="34">
        <f>COUNTIF('Detalle por artículo'!$K$8:$K$592,D133)</f>
        <v>1</v>
      </c>
      <c r="F133" s="35">
        <f t="shared" si="41"/>
        <v>102.15934475055845</v>
      </c>
      <c r="G133" s="36">
        <f>SUMIF('Detalle por artículo'!$K$8:$K$592,$D133,'Detalle por artículo'!$E$8:$E$592)</f>
        <v>5.3719999999999999</v>
      </c>
      <c r="H133" s="35">
        <f t="shared" si="42"/>
        <v>4</v>
      </c>
      <c r="I133" s="35">
        <f t="shared" si="43"/>
        <v>7</v>
      </c>
      <c r="J133" s="35">
        <f t="shared" si="44"/>
        <v>14</v>
      </c>
      <c r="K133" s="37">
        <f t="shared" si="45"/>
        <v>0.19185714285714286</v>
      </c>
      <c r="L133" s="36">
        <f>SUMIF('Detalle por artículo'!$K$8:$K$592,$D133,'Detalle por artículo'!$O$8:$O$592)</f>
        <v>548.79999999999995</v>
      </c>
      <c r="M133" s="38">
        <f>SUMIF('Detalle por artículo'!$K$8:$K$592,$D133,'Detalle por artículo'!$I$8:$I$592)</f>
        <v>1435</v>
      </c>
      <c r="N133" s="38">
        <f>SUMIF('Detalle por artículo'!$K$8:$K$592,$D133,'Detalle por artículo'!$M$8:$M$592)</f>
        <v>56</v>
      </c>
      <c r="O133" s="39">
        <f t="shared" si="46"/>
        <v>3.7435540069686408</v>
      </c>
      <c r="P133" s="40">
        <f t="shared" si="47"/>
        <v>382.43902439024384</v>
      </c>
      <c r="Q133" s="41">
        <f t="shared" si="48"/>
        <v>0.2</v>
      </c>
      <c r="R133" s="40">
        <f t="shared" si="49"/>
        <v>6.4463999999999997</v>
      </c>
      <c r="S133" s="42">
        <f>IFERROR(SUM($G$8:G133)/$G$6,0)</f>
        <v>0.73692433398841861</v>
      </c>
      <c r="T133" s="43" t="str">
        <f t="shared" si="50"/>
        <v>B</v>
      </c>
      <c r="U133" s="44">
        <v>1435</v>
      </c>
      <c r="V133" s="45">
        <f t="shared" si="80"/>
        <v>0</v>
      </c>
      <c r="W133" s="46">
        <v>46286</v>
      </c>
      <c r="X133" s="46">
        <v>46286</v>
      </c>
      <c r="Y133" s="47">
        <v>0</v>
      </c>
      <c r="Z133" s="48">
        <f t="shared" si="52"/>
        <v>0</v>
      </c>
      <c r="AA133" s="49">
        <f t="shared" si="53"/>
        <v>0</v>
      </c>
      <c r="AB133" s="44">
        <v>558</v>
      </c>
      <c r="AC133" s="44">
        <f t="shared" si="54"/>
        <v>556</v>
      </c>
      <c r="AD133" s="44">
        <f t="shared" si="55"/>
        <v>0</v>
      </c>
      <c r="AE133" s="50">
        <f t="shared" si="56"/>
        <v>38</v>
      </c>
      <c r="AF133" s="41">
        <f t="shared" si="57"/>
        <v>0.76</v>
      </c>
      <c r="AG133" s="44">
        <v>2</v>
      </c>
      <c r="AH133" s="44">
        <v>0</v>
      </c>
      <c r="AI133" s="42">
        <f t="shared" si="81"/>
        <v>0.38745644599303136</v>
      </c>
      <c r="AJ133" s="42">
        <f t="shared" si="82"/>
        <v>0</v>
      </c>
      <c r="AK133" s="40">
        <f t="shared" si="60"/>
        <v>2.0814160278745644</v>
      </c>
      <c r="AL133" s="51">
        <v>877</v>
      </c>
      <c r="AM133" s="52">
        <f t="shared" si="61"/>
        <v>3.2830968641114979</v>
      </c>
      <c r="AN133" s="42">
        <f t="shared" si="83"/>
        <v>0.61114982578397214</v>
      </c>
      <c r="AO133" s="53">
        <f t="shared" si="84"/>
        <v>877</v>
      </c>
      <c r="AP133" s="52">
        <f t="shared" si="85"/>
        <v>3.2830968641114979</v>
      </c>
      <c r="AQ133" s="42">
        <f t="shared" si="86"/>
        <v>0.38745644599303136</v>
      </c>
      <c r="AR133" s="46">
        <v>46293</v>
      </c>
      <c r="AS133" s="46">
        <v>46294</v>
      </c>
      <c r="AT133" s="50">
        <f t="shared" si="87"/>
        <v>8</v>
      </c>
      <c r="AU133" s="50">
        <f t="shared" si="67"/>
        <v>111</v>
      </c>
      <c r="AV133" s="50">
        <f t="shared" si="88"/>
        <v>233</v>
      </c>
      <c r="AW133" s="54">
        <f t="shared" si="89"/>
        <v>-122</v>
      </c>
    </row>
    <row r="134" spans="1:49" x14ac:dyDescent="0.25">
      <c r="A134" s="33" t="s">
        <v>63</v>
      </c>
      <c r="B134" s="33" t="s">
        <v>110</v>
      </c>
      <c r="C134" s="33" t="s">
        <v>100</v>
      </c>
      <c r="D134" s="33" t="s">
        <v>215</v>
      </c>
      <c r="E134" s="34">
        <f>COUNTIF('Detalle por artículo'!$K$8:$K$592,D134)</f>
        <v>1</v>
      </c>
      <c r="F134" s="35">
        <f t="shared" si="41"/>
        <v>117.70833333333333</v>
      </c>
      <c r="G134" s="36">
        <f>SUMIF('Detalle por artículo'!$K$8:$K$592,$D134,'Detalle por artículo'!$E$8:$E$592)</f>
        <v>5.28</v>
      </c>
      <c r="H134" s="35">
        <f t="shared" si="42"/>
        <v>4</v>
      </c>
      <c r="I134" s="35">
        <f t="shared" si="43"/>
        <v>7</v>
      </c>
      <c r="J134" s="35">
        <f t="shared" si="44"/>
        <v>14</v>
      </c>
      <c r="K134" s="37">
        <f t="shared" si="45"/>
        <v>0.18857142857142858</v>
      </c>
      <c r="L134" s="36">
        <f>SUMIF('Detalle por artículo'!$K$8:$K$592,$D134,'Detalle por artículo'!$O$8:$O$592)</f>
        <v>621.5</v>
      </c>
      <c r="M134" s="38">
        <f>SUMIF('Detalle por artículo'!$K$8:$K$592,$D134,'Detalle por artículo'!$I$8:$I$592)</f>
        <v>1394</v>
      </c>
      <c r="N134" s="38">
        <f>SUMIF('Detalle por artículo'!$K$8:$K$592,$D134,'Detalle por artículo'!$M$8:$M$592)</f>
        <v>55</v>
      </c>
      <c r="O134" s="39">
        <f t="shared" si="46"/>
        <v>3.7876614060258254</v>
      </c>
      <c r="P134" s="40">
        <f t="shared" si="47"/>
        <v>445.83931133428985</v>
      </c>
      <c r="Q134" s="41">
        <f t="shared" si="48"/>
        <v>0.2</v>
      </c>
      <c r="R134" s="40">
        <f t="shared" si="49"/>
        <v>6.3360000000000003</v>
      </c>
      <c r="S134" s="42">
        <f>IFERROR(SUM($G$8:G134)/$G$6,0)</f>
        <v>0.73886454277987201</v>
      </c>
      <c r="T134" s="43" t="str">
        <f t="shared" si="50"/>
        <v>B</v>
      </c>
      <c r="U134" s="44">
        <v>1394</v>
      </c>
      <c r="V134" s="45">
        <f t="shared" si="80"/>
        <v>0</v>
      </c>
      <c r="W134" s="46">
        <v>46286</v>
      </c>
      <c r="X134" s="46">
        <v>46286</v>
      </c>
      <c r="Y134" s="47">
        <v>0</v>
      </c>
      <c r="Z134" s="48">
        <f t="shared" si="52"/>
        <v>0</v>
      </c>
      <c r="AA134" s="49">
        <f t="shared" si="53"/>
        <v>0</v>
      </c>
      <c r="AB134" s="44">
        <v>594</v>
      </c>
      <c r="AC134" s="44">
        <f t="shared" si="54"/>
        <v>579</v>
      </c>
      <c r="AD134" s="44">
        <f t="shared" si="55"/>
        <v>10</v>
      </c>
      <c r="AE134" s="50">
        <f t="shared" si="56"/>
        <v>42</v>
      </c>
      <c r="AF134" s="41">
        <f t="shared" si="57"/>
        <v>0.84</v>
      </c>
      <c r="AG134" s="44">
        <v>5</v>
      </c>
      <c r="AH134" s="44">
        <v>0</v>
      </c>
      <c r="AI134" s="42">
        <f t="shared" si="81"/>
        <v>0.41535150645624103</v>
      </c>
      <c r="AJ134" s="42">
        <f t="shared" si="82"/>
        <v>7.1736011477761836E-3</v>
      </c>
      <c r="AK134" s="40">
        <f t="shared" si="60"/>
        <v>2.1930559540889529</v>
      </c>
      <c r="AL134" s="51">
        <v>800</v>
      </c>
      <c r="AM134" s="52">
        <f t="shared" si="61"/>
        <v>3.0301291248206601</v>
      </c>
      <c r="AN134" s="42">
        <f t="shared" si="83"/>
        <v>0.57388809182209466</v>
      </c>
      <c r="AO134" s="53">
        <f t="shared" si="84"/>
        <v>800</v>
      </c>
      <c r="AP134" s="52">
        <f t="shared" si="85"/>
        <v>3.0301291248206601</v>
      </c>
      <c r="AQ134" s="42">
        <f t="shared" si="86"/>
        <v>0.42252510760401724</v>
      </c>
      <c r="AR134" s="46">
        <v>46293</v>
      </c>
      <c r="AS134" s="46">
        <v>46294</v>
      </c>
      <c r="AT134" s="50">
        <f t="shared" si="87"/>
        <v>8</v>
      </c>
      <c r="AU134" s="50">
        <f t="shared" si="67"/>
        <v>118</v>
      </c>
      <c r="AV134" s="50">
        <f t="shared" si="88"/>
        <v>198</v>
      </c>
      <c r="AW134" s="54">
        <f t="shared" si="89"/>
        <v>-80</v>
      </c>
    </row>
    <row r="135" spans="1:49" x14ac:dyDescent="0.25">
      <c r="A135" s="33" t="s">
        <v>63</v>
      </c>
      <c r="B135" s="33" t="s">
        <v>64</v>
      </c>
      <c r="C135" s="33" t="s">
        <v>66</v>
      </c>
      <c r="D135" s="33" t="s">
        <v>216</v>
      </c>
      <c r="E135" s="34">
        <f>COUNTIF('Detalle por artículo'!$K$8:$K$592,D135)</f>
        <v>1</v>
      </c>
      <c r="F135" s="35">
        <f t="shared" si="41"/>
        <v>147.53787878787878</v>
      </c>
      <c r="G135" s="36">
        <f>SUMIF('Detalle por artículo'!$K$8:$K$592,$D135,'Detalle por artículo'!$E$8:$E$592)</f>
        <v>5.28</v>
      </c>
      <c r="H135" s="35">
        <f t="shared" si="42"/>
        <v>4</v>
      </c>
      <c r="I135" s="35">
        <f t="shared" si="43"/>
        <v>7</v>
      </c>
      <c r="J135" s="35">
        <f t="shared" si="44"/>
        <v>14</v>
      </c>
      <c r="K135" s="37">
        <f t="shared" si="45"/>
        <v>0.18857142857142858</v>
      </c>
      <c r="L135" s="36">
        <f>SUMIF('Detalle por artículo'!$K$8:$K$592,$D135,'Detalle por artículo'!$O$8:$O$592)</f>
        <v>779</v>
      </c>
      <c r="M135" s="38">
        <f>SUMIF('Detalle por artículo'!$K$8:$K$592,$D135,'Detalle por artículo'!$I$8:$I$592)</f>
        <v>717</v>
      </c>
      <c r="N135" s="38">
        <f>SUMIF('Detalle por artículo'!$K$8:$K$592,$D135,'Detalle por artículo'!$M$8:$M$592)</f>
        <v>55</v>
      </c>
      <c r="O135" s="39">
        <f t="shared" si="46"/>
        <v>7.3640167364016742</v>
      </c>
      <c r="P135" s="40">
        <f t="shared" si="47"/>
        <v>1086.4714086471408</v>
      </c>
      <c r="Q135" s="41">
        <f t="shared" si="48"/>
        <v>0.15</v>
      </c>
      <c r="R135" s="40">
        <f t="shared" si="49"/>
        <v>6.0720000000000001</v>
      </c>
      <c r="S135" s="42">
        <f>IFERROR(SUM($G$8:G135)/$G$6,0)</f>
        <v>0.74080475157132553</v>
      </c>
      <c r="T135" s="43" t="str">
        <f t="shared" si="50"/>
        <v>B</v>
      </c>
      <c r="U135" s="44">
        <v>0</v>
      </c>
      <c r="V135" s="45">
        <f t="shared" si="80"/>
        <v>-717</v>
      </c>
      <c r="W135" s="46"/>
      <c r="X135" s="46"/>
      <c r="Y135" s="47">
        <v>717</v>
      </c>
      <c r="Z135" s="48">
        <f t="shared" si="52"/>
        <v>5.28</v>
      </c>
      <c r="AA135" s="49">
        <f t="shared" si="53"/>
        <v>0.18857142857142858</v>
      </c>
      <c r="AB135" s="44">
        <v>0</v>
      </c>
      <c r="AC135" s="44">
        <f t="shared" si="54"/>
        <v>0</v>
      </c>
      <c r="AD135" s="44">
        <f t="shared" si="55"/>
        <v>0</v>
      </c>
      <c r="AE135" s="50">
        <f t="shared" si="56"/>
        <v>0</v>
      </c>
      <c r="AF135" s="41">
        <f t="shared" si="57"/>
        <v>0</v>
      </c>
      <c r="AG135" s="44">
        <v>0</v>
      </c>
      <c r="AH135" s="44">
        <v>0</v>
      </c>
      <c r="AI135" s="42">
        <f t="shared" si="81"/>
        <v>0</v>
      </c>
      <c r="AJ135" s="42">
        <f t="shared" si="82"/>
        <v>0</v>
      </c>
      <c r="AK135" s="40">
        <f t="shared" si="60"/>
        <v>0</v>
      </c>
      <c r="AL135" s="51">
        <v>0</v>
      </c>
      <c r="AM135" s="52">
        <f t="shared" si="61"/>
        <v>0</v>
      </c>
      <c r="AN135" s="42">
        <f t="shared" si="83"/>
        <v>0</v>
      </c>
      <c r="AO135" s="53">
        <f t="shared" si="84"/>
        <v>717</v>
      </c>
      <c r="AP135" s="52">
        <f t="shared" si="85"/>
        <v>5.28</v>
      </c>
      <c r="AQ135" s="42">
        <f t="shared" si="86"/>
        <v>0</v>
      </c>
      <c r="AR135" s="46"/>
      <c r="AS135" s="46"/>
      <c r="AT135" s="50" t="str">
        <f t="shared" si="87"/>
        <v/>
      </c>
      <c r="AU135" s="50">
        <f t="shared" si="67"/>
        <v>302</v>
      </c>
      <c r="AV135" s="50" t="str">
        <f t="shared" si="88"/>
        <v/>
      </c>
      <c r="AW135" s="54" t="str">
        <f t="shared" si="89"/>
        <v/>
      </c>
    </row>
    <row r="136" spans="1:49" x14ac:dyDescent="0.25">
      <c r="A136" s="33" t="s">
        <v>55</v>
      </c>
      <c r="B136" s="33" t="s">
        <v>56</v>
      </c>
      <c r="C136" s="33" t="s">
        <v>66</v>
      </c>
      <c r="D136" s="33" t="s">
        <v>217</v>
      </c>
      <c r="E136" s="34">
        <f>COUNTIF('Detalle por artículo'!$K$8:$K$592,D136)</f>
        <v>1</v>
      </c>
      <c r="F136" s="35">
        <f t="shared" ref="F136:F199" si="90">IFERROR(L136/G136,0)</f>
        <v>162.89916779562611</v>
      </c>
      <c r="G136" s="36">
        <f>SUMIF('Detalle por artículo'!$K$8:$K$592,$D136,'Detalle por artículo'!$E$8:$E$592)</f>
        <v>5.1669999999999998</v>
      </c>
      <c r="H136" s="35">
        <f t="shared" ref="H136:H199" si="91">ROUNDUP(G136/1.54,0)</f>
        <v>4</v>
      </c>
      <c r="I136" s="35">
        <f t="shared" ref="I136:I199" si="92">ROUNDUP(G136/0.77,0)</f>
        <v>7</v>
      </c>
      <c r="J136" s="35">
        <f t="shared" ref="J136:J199" si="93">ROUNDUP(G136/0.385,0)</f>
        <v>14</v>
      </c>
      <c r="K136" s="37">
        <f t="shared" ref="K136:K199" si="94">G136/28</f>
        <v>0.18453571428571428</v>
      </c>
      <c r="L136" s="36">
        <f>SUMIF('Detalle por artículo'!$K$8:$K$592,$D136,'Detalle por artículo'!$O$8:$O$592)</f>
        <v>841.7</v>
      </c>
      <c r="M136" s="38">
        <f>SUMIF('Detalle por artículo'!$K$8:$K$592,$D136,'Detalle por artículo'!$I$8:$I$592)</f>
        <v>635</v>
      </c>
      <c r="N136" s="38">
        <f>SUMIF('Detalle por artículo'!$K$8:$K$592,$D136,'Detalle por artículo'!$M$8:$M$592)</f>
        <v>49</v>
      </c>
      <c r="O136" s="39">
        <f t="shared" ref="O136:O199" si="95">IFERROR(G136/M136*1000,0)</f>
        <v>8.1370078740157492</v>
      </c>
      <c r="P136" s="40">
        <f t="shared" ref="P136:P199" si="96">IFERROR(L136/M136*1000,0)</f>
        <v>1325.5118110236222</v>
      </c>
      <c r="Q136" s="41">
        <f t="shared" ref="Q136:Q199" si="97">IF(F136=0,0,IF(F136&lt;120,0.2,IF(F136&gt;200,0.1,0.15)))</f>
        <v>0.15</v>
      </c>
      <c r="R136" s="40">
        <f t="shared" ref="R136:R199" si="98">G136*(1+Q136)</f>
        <v>5.9420499999999992</v>
      </c>
      <c r="S136" s="42">
        <f>IFERROR(SUM($G$8:G136)/$G$6,0)</f>
        <v>0.74270343695493157</v>
      </c>
      <c r="T136" s="43" t="str">
        <f t="shared" ref="T136:T199" si="99">IF(S136&lt;=0.5,"A",IF(S136&lt;=0.84,"B","C"))</f>
        <v>B</v>
      </c>
      <c r="U136" s="44">
        <v>635</v>
      </c>
      <c r="V136" s="45">
        <f t="shared" si="80"/>
        <v>0</v>
      </c>
      <c r="W136" s="46">
        <v>46286</v>
      </c>
      <c r="X136" s="46">
        <v>46286</v>
      </c>
      <c r="Y136" s="47">
        <v>0</v>
      </c>
      <c r="Z136" s="48">
        <f t="shared" ref="Z136:Z199" si="100">Y136*O136/1000</f>
        <v>0</v>
      </c>
      <c r="AA136" s="49">
        <f t="shared" ref="AA136:AA199" si="101">Z136/28</f>
        <v>0</v>
      </c>
      <c r="AB136" s="44">
        <v>42</v>
      </c>
      <c r="AC136" s="44">
        <f t="shared" ref="AC136:AC199" si="102">IFERROR(INDEX(IMP_TOT,MATCH(D136,IMP_MOD,0)),0)</f>
        <v>36</v>
      </c>
      <c r="AD136" s="44">
        <f t="shared" ref="AD136:AD199" si="103">IFERROR(INDEX(REP_TOT,MATCH(D136,REP_MOD,0)),0)</f>
        <v>0</v>
      </c>
      <c r="AE136" s="50">
        <f t="shared" ref="AE136:AE199" si="104">IFERROR(INDEX(IMP_NT,MATCH(D136,IMP_MOD,0)),0)</f>
        <v>1</v>
      </c>
      <c r="AF136" s="41">
        <f t="shared" ref="AF136:AF199" si="105">IFERROR(AE136/TIENDAS,0)</f>
        <v>0.02</v>
      </c>
      <c r="AG136" s="44">
        <v>6</v>
      </c>
      <c r="AH136" s="44">
        <v>0</v>
      </c>
      <c r="AI136" s="42">
        <f t="shared" si="81"/>
        <v>5.6692913385826771E-2</v>
      </c>
      <c r="AJ136" s="42">
        <f t="shared" si="82"/>
        <v>0</v>
      </c>
      <c r="AK136" s="40">
        <f t="shared" ref="AK136:AK199" si="106">AC136*O136/1000</f>
        <v>0.29293228346456696</v>
      </c>
      <c r="AL136" s="51">
        <v>593</v>
      </c>
      <c r="AM136" s="52">
        <f t="shared" ref="AM136:AM199" si="107">AL136*O136/1000</f>
        <v>4.8252456692913395</v>
      </c>
      <c r="AN136" s="42">
        <f t="shared" si="83"/>
        <v>0.93385826771653546</v>
      </c>
      <c r="AO136" s="53">
        <f t="shared" si="84"/>
        <v>593</v>
      </c>
      <c r="AP136" s="52">
        <f t="shared" si="85"/>
        <v>4.8252456692913395</v>
      </c>
      <c r="AQ136" s="42">
        <f t="shared" si="86"/>
        <v>5.6692913385826771E-2</v>
      </c>
      <c r="AR136" s="46">
        <v>46293</v>
      </c>
      <c r="AS136" s="46">
        <v>46294</v>
      </c>
      <c r="AT136" s="50">
        <f t="shared" si="87"/>
        <v>8</v>
      </c>
      <c r="AU136" s="50">
        <f t="shared" ref="AU136:AU199" si="108">IF(M136=0,"",RANK(M136,$M$8:$M$474))</f>
        <v>371</v>
      </c>
      <c r="AV136" s="50">
        <f t="shared" si="88"/>
        <v>404</v>
      </c>
      <c r="AW136" s="54">
        <f t="shared" si="89"/>
        <v>-33</v>
      </c>
    </row>
    <row r="137" spans="1:49" x14ac:dyDescent="0.25">
      <c r="A137" s="33" t="s">
        <v>63</v>
      </c>
      <c r="B137" s="33" t="s">
        <v>171</v>
      </c>
      <c r="C137" s="33" t="s">
        <v>172</v>
      </c>
      <c r="D137" s="33" t="s">
        <v>218</v>
      </c>
      <c r="E137" s="34">
        <f>COUNTIF('Detalle por artículo'!$K$8:$K$592,D137)</f>
        <v>1</v>
      </c>
      <c r="F137" s="35">
        <f t="shared" si="90"/>
        <v>155.27756059421426</v>
      </c>
      <c r="G137" s="36">
        <f>SUMIF('Detalle por artículo'!$K$8:$K$592,$D137,'Detalle por artículo'!$E$8:$E$592)</f>
        <v>5.1159999999999997</v>
      </c>
      <c r="H137" s="35">
        <f t="shared" si="91"/>
        <v>4</v>
      </c>
      <c r="I137" s="35">
        <f t="shared" si="92"/>
        <v>7</v>
      </c>
      <c r="J137" s="35">
        <f t="shared" si="93"/>
        <v>14</v>
      </c>
      <c r="K137" s="37">
        <f t="shared" si="94"/>
        <v>0.18271428571428569</v>
      </c>
      <c r="L137" s="36">
        <f>SUMIF('Detalle por artículo'!$K$8:$K$592,$D137,'Detalle por artículo'!$O$8:$O$592)</f>
        <v>794.40000000000009</v>
      </c>
      <c r="M137" s="38">
        <f>SUMIF('Detalle por artículo'!$K$8:$K$592,$D137,'Detalle por artículo'!$I$8:$I$592)</f>
        <v>971</v>
      </c>
      <c r="N137" s="38">
        <f>SUMIF('Detalle por artículo'!$K$8:$K$592,$D137,'Detalle por artículo'!$M$8:$M$592)</f>
        <v>49</v>
      </c>
      <c r="O137" s="39">
        <f t="shared" si="95"/>
        <v>5.2687950566426363</v>
      </c>
      <c r="P137" s="40">
        <f t="shared" si="96"/>
        <v>818.12564366632341</v>
      </c>
      <c r="Q137" s="41">
        <f t="shared" si="97"/>
        <v>0.15</v>
      </c>
      <c r="R137" s="40">
        <f t="shared" si="98"/>
        <v>5.8833999999999991</v>
      </c>
      <c r="S137" s="42">
        <f>IFERROR(SUM($G$8:G137)/$G$6,0)</f>
        <v>0.74458338168543836</v>
      </c>
      <c r="T137" s="43" t="str">
        <f t="shared" si="99"/>
        <v>B</v>
      </c>
      <c r="U137" s="44">
        <v>971</v>
      </c>
      <c r="V137" s="45">
        <f t="shared" si="80"/>
        <v>0</v>
      </c>
      <c r="W137" s="46">
        <v>46272</v>
      </c>
      <c r="X137" s="46">
        <v>46272</v>
      </c>
      <c r="Y137" s="47">
        <v>971</v>
      </c>
      <c r="Z137" s="48">
        <f t="shared" si="100"/>
        <v>5.1159999999999997</v>
      </c>
      <c r="AA137" s="49">
        <f t="shared" si="101"/>
        <v>0.18271428571428569</v>
      </c>
      <c r="AB137" s="44">
        <v>551</v>
      </c>
      <c r="AC137" s="44">
        <f t="shared" si="102"/>
        <v>440</v>
      </c>
      <c r="AD137" s="44">
        <f t="shared" si="103"/>
        <v>101</v>
      </c>
      <c r="AE137" s="50">
        <f t="shared" si="104"/>
        <v>47</v>
      </c>
      <c r="AF137" s="41">
        <f t="shared" si="105"/>
        <v>0.94</v>
      </c>
      <c r="AG137" s="44">
        <v>2</v>
      </c>
      <c r="AH137" s="44">
        <v>8</v>
      </c>
      <c r="AI137" s="42">
        <f t="shared" si="81"/>
        <v>0.45314109165808447</v>
      </c>
      <c r="AJ137" s="42">
        <f t="shared" si="82"/>
        <v>0.10401647785787847</v>
      </c>
      <c r="AK137" s="40">
        <f t="shared" si="106"/>
        <v>2.3182698249227602</v>
      </c>
      <c r="AL137" s="51">
        <v>420</v>
      </c>
      <c r="AM137" s="52">
        <f t="shared" si="107"/>
        <v>2.212893923789907</v>
      </c>
      <c r="AN137" s="42">
        <f t="shared" si="83"/>
        <v>0.43254376930998972</v>
      </c>
      <c r="AO137" s="53">
        <f t="shared" si="84"/>
        <v>420</v>
      </c>
      <c r="AP137" s="52">
        <f t="shared" si="85"/>
        <v>2.212893923789907</v>
      </c>
      <c r="AQ137" s="42">
        <f t="shared" si="86"/>
        <v>0.55715756951596296</v>
      </c>
      <c r="AR137" s="46">
        <v>46274</v>
      </c>
      <c r="AS137" s="46">
        <v>46275</v>
      </c>
      <c r="AT137" s="50">
        <f t="shared" si="87"/>
        <v>3</v>
      </c>
      <c r="AU137" s="50">
        <f t="shared" si="108"/>
        <v>179</v>
      </c>
      <c r="AV137" s="50">
        <f t="shared" si="88"/>
        <v>236</v>
      </c>
      <c r="AW137" s="54">
        <f t="shared" si="89"/>
        <v>-57</v>
      </c>
    </row>
    <row r="138" spans="1:49" x14ac:dyDescent="0.25">
      <c r="A138" s="33" t="s">
        <v>63</v>
      </c>
      <c r="B138" s="33" t="s">
        <v>64</v>
      </c>
      <c r="C138" s="33" t="s">
        <v>66</v>
      </c>
      <c r="D138" s="33" t="s">
        <v>219</v>
      </c>
      <c r="E138" s="34">
        <f>COUNTIF('Detalle por artículo'!$K$8:$K$592,D138)</f>
        <v>1</v>
      </c>
      <c r="F138" s="35">
        <f t="shared" si="90"/>
        <v>244.62307616900304</v>
      </c>
      <c r="G138" s="36">
        <f>SUMIF('Detalle por artículo'!$K$8:$K$592,$D138,'Detalle por artículo'!$E$8:$E$592)</f>
        <v>5.1005000000000003</v>
      </c>
      <c r="H138" s="35">
        <f t="shared" si="91"/>
        <v>4</v>
      </c>
      <c r="I138" s="35">
        <f t="shared" si="92"/>
        <v>7</v>
      </c>
      <c r="J138" s="35">
        <f t="shared" si="93"/>
        <v>14</v>
      </c>
      <c r="K138" s="37">
        <f t="shared" si="94"/>
        <v>0.18216071428571429</v>
      </c>
      <c r="L138" s="36">
        <f>SUMIF('Detalle por artículo'!$K$8:$K$592,$D138,'Detalle por artículo'!$O$8:$O$592)</f>
        <v>1247.7</v>
      </c>
      <c r="M138" s="38">
        <f>SUMIF('Detalle por artículo'!$K$8:$K$592,$D138,'Detalle por artículo'!$I$8:$I$592)</f>
        <v>874</v>
      </c>
      <c r="N138" s="38">
        <f>SUMIF('Detalle por artículo'!$K$8:$K$592,$D138,'Detalle por artículo'!$M$8:$M$592)</f>
        <v>46</v>
      </c>
      <c r="O138" s="39">
        <f t="shared" si="95"/>
        <v>5.8358123569794049</v>
      </c>
      <c r="P138" s="40">
        <f t="shared" si="96"/>
        <v>1427.5743707093823</v>
      </c>
      <c r="Q138" s="41">
        <f t="shared" si="97"/>
        <v>0.1</v>
      </c>
      <c r="R138" s="40">
        <f t="shared" si="98"/>
        <v>5.6105500000000008</v>
      </c>
      <c r="S138" s="42">
        <f>IFERROR(SUM($G$8:G138)/$G$6,0)</f>
        <v>0.74645763072725824</v>
      </c>
      <c r="T138" s="43" t="str">
        <f t="shared" si="99"/>
        <v>B</v>
      </c>
      <c r="U138" s="44">
        <v>874</v>
      </c>
      <c r="V138" s="45">
        <f t="shared" si="80"/>
        <v>0</v>
      </c>
      <c r="W138" s="46">
        <v>46237</v>
      </c>
      <c r="X138" s="46">
        <v>46237</v>
      </c>
      <c r="Y138" s="47">
        <v>0</v>
      </c>
      <c r="Z138" s="48">
        <f t="shared" si="100"/>
        <v>0</v>
      </c>
      <c r="AA138" s="49">
        <f t="shared" si="101"/>
        <v>0</v>
      </c>
      <c r="AB138" s="44">
        <v>657</v>
      </c>
      <c r="AC138" s="44">
        <f t="shared" si="102"/>
        <v>456</v>
      </c>
      <c r="AD138" s="44">
        <f t="shared" si="103"/>
        <v>192</v>
      </c>
      <c r="AE138" s="50">
        <f t="shared" si="104"/>
        <v>47</v>
      </c>
      <c r="AF138" s="41">
        <f t="shared" si="105"/>
        <v>0.94</v>
      </c>
      <c r="AG138" s="44">
        <v>1</v>
      </c>
      <c r="AH138" s="44">
        <v>8</v>
      </c>
      <c r="AI138" s="42">
        <f t="shared" si="81"/>
        <v>0.52173913043478259</v>
      </c>
      <c r="AJ138" s="42">
        <f t="shared" si="82"/>
        <v>0.21967963386727687</v>
      </c>
      <c r="AK138" s="40">
        <f t="shared" si="106"/>
        <v>2.6611304347826086</v>
      </c>
      <c r="AL138" s="51">
        <v>214</v>
      </c>
      <c r="AM138" s="52">
        <f t="shared" si="107"/>
        <v>1.2488638443935927</v>
      </c>
      <c r="AN138" s="42">
        <f t="shared" si="83"/>
        <v>0.24485125858123569</v>
      </c>
      <c r="AO138" s="53">
        <f t="shared" si="84"/>
        <v>217</v>
      </c>
      <c r="AP138" s="52">
        <f t="shared" si="85"/>
        <v>1.2663712814645309</v>
      </c>
      <c r="AQ138" s="42">
        <f t="shared" si="86"/>
        <v>0.74141876430205955</v>
      </c>
      <c r="AR138" s="46">
        <v>46257</v>
      </c>
      <c r="AS138" s="46">
        <v>46258</v>
      </c>
      <c r="AT138" s="50">
        <f t="shared" si="87"/>
        <v>21</v>
      </c>
      <c r="AU138" s="50">
        <f t="shared" si="108"/>
        <v>205</v>
      </c>
      <c r="AV138" s="50">
        <f t="shared" si="88"/>
        <v>151</v>
      </c>
      <c r="AW138" s="54">
        <f t="shared" si="89"/>
        <v>54</v>
      </c>
    </row>
    <row r="139" spans="1:49" x14ac:dyDescent="0.25">
      <c r="A139" s="33" t="s">
        <v>63</v>
      </c>
      <c r="B139" s="33" t="s">
        <v>102</v>
      </c>
      <c r="C139" s="33" t="s">
        <v>220</v>
      </c>
      <c r="D139" s="33" t="s">
        <v>221</v>
      </c>
      <c r="E139" s="34">
        <f>COUNTIF('Detalle por artículo'!$K$8:$K$592,D139)</f>
        <v>2</v>
      </c>
      <c r="F139" s="35">
        <f t="shared" si="90"/>
        <v>236.15686274509807</v>
      </c>
      <c r="G139" s="36">
        <f>SUMIF('Detalle por artículo'!$K$8:$K$592,$D139,'Detalle por artículo'!$E$8:$E$592)</f>
        <v>5.0999999999999996</v>
      </c>
      <c r="H139" s="35">
        <f t="shared" si="91"/>
        <v>4</v>
      </c>
      <c r="I139" s="35">
        <f t="shared" si="92"/>
        <v>7</v>
      </c>
      <c r="J139" s="35">
        <f t="shared" si="93"/>
        <v>14</v>
      </c>
      <c r="K139" s="37">
        <f t="shared" si="94"/>
        <v>0.18214285714285713</v>
      </c>
      <c r="L139" s="36">
        <f>SUMIF('Detalle por artículo'!$K$8:$K$592,$D139,'Detalle por artículo'!$O$8:$O$592)</f>
        <v>1204.4000000000001</v>
      </c>
      <c r="M139" s="38">
        <f>SUMIF('Detalle por artículo'!$K$8:$K$592,$D139,'Detalle por artículo'!$I$8:$I$592)</f>
        <v>1431</v>
      </c>
      <c r="N139" s="38">
        <f>SUMIF('Detalle por artículo'!$K$8:$K$592,$D139,'Detalle por artículo'!$M$8:$M$592)</f>
        <v>60</v>
      </c>
      <c r="O139" s="39">
        <f t="shared" si="95"/>
        <v>3.5639412997903563</v>
      </c>
      <c r="P139" s="40">
        <f t="shared" si="96"/>
        <v>841.64919636617753</v>
      </c>
      <c r="Q139" s="41">
        <f t="shared" si="97"/>
        <v>0.1</v>
      </c>
      <c r="R139" s="40">
        <f t="shared" si="98"/>
        <v>5.61</v>
      </c>
      <c r="S139" s="42">
        <f>IFERROR(SUM($G$8:G139)/$G$6,0)</f>
        <v>0.74833169603718486</v>
      </c>
      <c r="T139" s="43" t="str">
        <f t="shared" si="99"/>
        <v>B</v>
      </c>
      <c r="U139" s="44">
        <v>1433</v>
      </c>
      <c r="V139" s="45">
        <f t="shared" si="80"/>
        <v>2</v>
      </c>
      <c r="W139" s="46">
        <v>46233</v>
      </c>
      <c r="X139" s="46">
        <v>46233</v>
      </c>
      <c r="Y139" s="47">
        <v>0</v>
      </c>
      <c r="Z139" s="48">
        <f t="shared" si="100"/>
        <v>0</v>
      </c>
      <c r="AA139" s="49">
        <f t="shared" si="101"/>
        <v>0</v>
      </c>
      <c r="AB139" s="44">
        <v>1135</v>
      </c>
      <c r="AC139" s="44">
        <f t="shared" si="102"/>
        <v>777</v>
      </c>
      <c r="AD139" s="44">
        <f t="shared" si="103"/>
        <v>341</v>
      </c>
      <c r="AE139" s="50">
        <f t="shared" si="104"/>
        <v>48</v>
      </c>
      <c r="AF139" s="41">
        <f t="shared" si="105"/>
        <v>0.96</v>
      </c>
      <c r="AG139" s="44">
        <v>1</v>
      </c>
      <c r="AH139" s="44">
        <v>16</v>
      </c>
      <c r="AI139" s="42">
        <f t="shared" si="81"/>
        <v>0.54297693920335433</v>
      </c>
      <c r="AJ139" s="42">
        <f t="shared" si="82"/>
        <v>0.23829489867225717</v>
      </c>
      <c r="AK139" s="40">
        <f t="shared" si="106"/>
        <v>2.7691823899371069</v>
      </c>
      <c r="AL139" s="51">
        <v>295</v>
      </c>
      <c r="AM139" s="52">
        <f t="shared" si="107"/>
        <v>1.0513626834381551</v>
      </c>
      <c r="AN139" s="42">
        <f t="shared" si="83"/>
        <v>0.20586182833217026</v>
      </c>
      <c r="AO139" s="53">
        <f t="shared" si="84"/>
        <v>296</v>
      </c>
      <c r="AP139" s="52">
        <f t="shared" si="85"/>
        <v>1.0549266247379456</v>
      </c>
      <c r="AQ139" s="42">
        <f t="shared" si="86"/>
        <v>0.7812718378756115</v>
      </c>
      <c r="AR139" s="46">
        <v>46254</v>
      </c>
      <c r="AS139" s="46">
        <v>46255</v>
      </c>
      <c r="AT139" s="50">
        <f t="shared" si="87"/>
        <v>22</v>
      </c>
      <c r="AU139" s="50">
        <f t="shared" si="108"/>
        <v>114</v>
      </c>
      <c r="AV139" s="50">
        <f t="shared" si="88"/>
        <v>54</v>
      </c>
      <c r="AW139" s="54">
        <f t="shared" si="89"/>
        <v>60</v>
      </c>
    </row>
    <row r="140" spans="1:49" x14ac:dyDescent="0.25">
      <c r="A140" s="33" t="s">
        <v>55</v>
      </c>
      <c r="B140" s="33" t="s">
        <v>56</v>
      </c>
      <c r="C140" s="33" t="s">
        <v>66</v>
      </c>
      <c r="D140" s="33" t="s">
        <v>222</v>
      </c>
      <c r="E140" s="34">
        <f>COUNTIF('Detalle por artículo'!$K$8:$K$592,D140)</f>
        <v>1</v>
      </c>
      <c r="F140" s="35">
        <f t="shared" si="90"/>
        <v>84.656188605108056</v>
      </c>
      <c r="G140" s="36">
        <f>SUMIF('Detalle por artículo'!$K$8:$K$592,$D140,'Detalle por artículo'!$E$8:$E$592)</f>
        <v>5.09</v>
      </c>
      <c r="H140" s="35">
        <f t="shared" si="91"/>
        <v>4</v>
      </c>
      <c r="I140" s="35">
        <f t="shared" si="92"/>
        <v>7</v>
      </c>
      <c r="J140" s="35">
        <f t="shared" si="93"/>
        <v>14</v>
      </c>
      <c r="K140" s="37">
        <f t="shared" si="94"/>
        <v>0.18178571428571427</v>
      </c>
      <c r="L140" s="36">
        <f>SUMIF('Detalle por artículo'!$K$8:$K$592,$D140,'Detalle por artículo'!$O$8:$O$592)</f>
        <v>430.9</v>
      </c>
      <c r="M140" s="38">
        <f>SUMIF('Detalle por artículo'!$K$8:$K$592,$D140,'Detalle por artículo'!$I$8:$I$592)</f>
        <v>848</v>
      </c>
      <c r="N140" s="38">
        <f>SUMIF('Detalle por artículo'!$K$8:$K$592,$D140,'Detalle por artículo'!$M$8:$M$592)</f>
        <v>53</v>
      </c>
      <c r="O140" s="39">
        <f t="shared" si="95"/>
        <v>6.0023584905660377</v>
      </c>
      <c r="P140" s="40">
        <f t="shared" si="96"/>
        <v>508.13679245283015</v>
      </c>
      <c r="Q140" s="41">
        <f t="shared" si="97"/>
        <v>0.2</v>
      </c>
      <c r="R140" s="40">
        <f t="shared" si="98"/>
        <v>6.1079999999999997</v>
      </c>
      <c r="S140" s="42">
        <f>IFERROR(SUM($G$8:G140)/$G$6,0)</f>
        <v>0.75020208670924882</v>
      </c>
      <c r="T140" s="43" t="str">
        <f t="shared" si="99"/>
        <v>B</v>
      </c>
      <c r="U140" s="44">
        <v>848</v>
      </c>
      <c r="V140" s="45">
        <f t="shared" si="80"/>
        <v>0</v>
      </c>
      <c r="W140" s="46">
        <v>46213</v>
      </c>
      <c r="X140" s="46">
        <v>46213</v>
      </c>
      <c r="Y140" s="47">
        <v>0</v>
      </c>
      <c r="Z140" s="48">
        <f t="shared" si="100"/>
        <v>0</v>
      </c>
      <c r="AA140" s="49">
        <f t="shared" si="101"/>
        <v>0</v>
      </c>
      <c r="AB140" s="44">
        <v>692</v>
      </c>
      <c r="AC140" s="44">
        <f t="shared" si="102"/>
        <v>440</v>
      </c>
      <c r="AD140" s="44">
        <f t="shared" si="103"/>
        <v>223</v>
      </c>
      <c r="AE140" s="50">
        <f t="shared" si="104"/>
        <v>48</v>
      </c>
      <c r="AF140" s="41">
        <f t="shared" si="105"/>
        <v>0.96</v>
      </c>
      <c r="AG140" s="44">
        <v>7</v>
      </c>
      <c r="AH140" s="44">
        <v>23</v>
      </c>
      <c r="AI140" s="42">
        <f t="shared" si="81"/>
        <v>0.51886792452830188</v>
      </c>
      <c r="AJ140" s="42">
        <f t="shared" si="82"/>
        <v>0.26297169811320753</v>
      </c>
      <c r="AK140" s="40">
        <f t="shared" si="106"/>
        <v>2.6410377358490562</v>
      </c>
      <c r="AL140" s="51">
        <v>153</v>
      </c>
      <c r="AM140" s="52">
        <f t="shared" si="107"/>
        <v>0.91836084905660376</v>
      </c>
      <c r="AN140" s="42">
        <f t="shared" si="83"/>
        <v>0.18042452830188679</v>
      </c>
      <c r="AO140" s="53">
        <f t="shared" si="84"/>
        <v>156</v>
      </c>
      <c r="AP140" s="52">
        <f t="shared" si="85"/>
        <v>0.93636792452830186</v>
      </c>
      <c r="AQ140" s="42">
        <f t="shared" si="86"/>
        <v>0.78183962264150941</v>
      </c>
      <c r="AR140" s="46">
        <v>46219</v>
      </c>
      <c r="AS140" s="46">
        <v>46219</v>
      </c>
      <c r="AT140" s="50">
        <f t="shared" si="87"/>
        <v>6</v>
      </c>
      <c r="AU140" s="50">
        <f t="shared" si="108"/>
        <v>216</v>
      </c>
      <c r="AV140" s="50">
        <f t="shared" si="88"/>
        <v>123</v>
      </c>
      <c r="AW140" s="54">
        <f t="shared" si="89"/>
        <v>93</v>
      </c>
    </row>
    <row r="141" spans="1:49" x14ac:dyDescent="0.25">
      <c r="A141" s="33" t="s">
        <v>63</v>
      </c>
      <c r="B141" s="33" t="s">
        <v>102</v>
      </c>
      <c r="C141" s="33" t="s">
        <v>132</v>
      </c>
      <c r="D141" s="33" t="s">
        <v>223</v>
      </c>
      <c r="E141" s="34">
        <f>COUNTIF('Detalle por artículo'!$K$8:$K$592,D141)</f>
        <v>1</v>
      </c>
      <c r="F141" s="35">
        <f t="shared" si="90"/>
        <v>243.70993589743588</v>
      </c>
      <c r="G141" s="36">
        <f>SUMIF('Detalle por artículo'!$K$8:$K$592,$D141,'Detalle por artículo'!$E$8:$E$592)</f>
        <v>4.992</v>
      </c>
      <c r="H141" s="35">
        <f t="shared" si="91"/>
        <v>4</v>
      </c>
      <c r="I141" s="35">
        <f t="shared" si="92"/>
        <v>7</v>
      </c>
      <c r="J141" s="35">
        <f t="shared" si="93"/>
        <v>13</v>
      </c>
      <c r="K141" s="37">
        <f t="shared" si="94"/>
        <v>0.1782857142857143</v>
      </c>
      <c r="L141" s="36">
        <f>SUMIF('Detalle por artículo'!$K$8:$K$592,$D141,'Detalle por artículo'!$O$8:$O$592)</f>
        <v>1216.5999999999999</v>
      </c>
      <c r="M141" s="38">
        <f>SUMIF('Detalle por artículo'!$K$8:$K$592,$D141,'Detalle por artículo'!$I$8:$I$592)</f>
        <v>1659</v>
      </c>
      <c r="N141" s="38">
        <f>SUMIF('Detalle por artículo'!$K$8:$K$592,$D141,'Detalle por artículo'!$M$8:$M$592)</f>
        <v>52</v>
      </c>
      <c r="O141" s="39">
        <f t="shared" si="95"/>
        <v>3.0090415913200723</v>
      </c>
      <c r="P141" s="40">
        <f t="shared" si="96"/>
        <v>733.33333333333326</v>
      </c>
      <c r="Q141" s="41">
        <f t="shared" si="97"/>
        <v>0.1</v>
      </c>
      <c r="R141" s="40">
        <f t="shared" si="98"/>
        <v>5.4912000000000001</v>
      </c>
      <c r="S141" s="42">
        <f>IFERROR(SUM($G$8:G141)/$G$6,0)</f>
        <v>0.75203646593025941</v>
      </c>
      <c r="T141" s="43" t="str">
        <f t="shared" si="99"/>
        <v>B</v>
      </c>
      <c r="U141" s="44">
        <v>1659</v>
      </c>
      <c r="V141" s="45">
        <f t="shared" si="80"/>
        <v>0</v>
      </c>
      <c r="W141" s="46">
        <v>46237</v>
      </c>
      <c r="X141" s="46">
        <v>46237</v>
      </c>
      <c r="Y141" s="47">
        <v>0</v>
      </c>
      <c r="Z141" s="48">
        <f t="shared" si="100"/>
        <v>0</v>
      </c>
      <c r="AA141" s="49">
        <f t="shared" si="101"/>
        <v>0</v>
      </c>
      <c r="AB141" s="44">
        <v>714</v>
      </c>
      <c r="AC141" s="44">
        <f t="shared" si="102"/>
        <v>467</v>
      </c>
      <c r="AD141" s="44">
        <f t="shared" si="103"/>
        <v>238</v>
      </c>
      <c r="AE141" s="50">
        <f t="shared" si="104"/>
        <v>49</v>
      </c>
      <c r="AF141" s="41">
        <f t="shared" si="105"/>
        <v>0.98</v>
      </c>
      <c r="AG141" s="44">
        <v>1</v>
      </c>
      <c r="AH141" s="44">
        <v>8</v>
      </c>
      <c r="AI141" s="42">
        <f t="shared" si="81"/>
        <v>0.28149487643158527</v>
      </c>
      <c r="AJ141" s="42">
        <f t="shared" si="82"/>
        <v>0.14345991561181434</v>
      </c>
      <c r="AK141" s="40">
        <f t="shared" si="106"/>
        <v>1.4052224231464738</v>
      </c>
      <c r="AL141" s="51">
        <v>938</v>
      </c>
      <c r="AM141" s="52">
        <f t="shared" si="107"/>
        <v>2.822481012658228</v>
      </c>
      <c r="AN141" s="42">
        <f t="shared" si="83"/>
        <v>0.56540084388185652</v>
      </c>
      <c r="AO141" s="53">
        <f t="shared" si="84"/>
        <v>945</v>
      </c>
      <c r="AP141" s="52">
        <f t="shared" si="85"/>
        <v>2.8435443037974681</v>
      </c>
      <c r="AQ141" s="42">
        <f t="shared" si="86"/>
        <v>0.42495479204339964</v>
      </c>
      <c r="AR141" s="46">
        <v>46261</v>
      </c>
      <c r="AS141" s="46">
        <v>46262</v>
      </c>
      <c r="AT141" s="50">
        <f t="shared" si="87"/>
        <v>25</v>
      </c>
      <c r="AU141" s="50">
        <f t="shared" si="108"/>
        <v>71</v>
      </c>
      <c r="AV141" s="50">
        <f t="shared" si="88"/>
        <v>117</v>
      </c>
      <c r="AW141" s="54">
        <f t="shared" si="89"/>
        <v>-46</v>
      </c>
    </row>
    <row r="142" spans="1:49" x14ac:dyDescent="0.25">
      <c r="A142" s="33" t="s">
        <v>63</v>
      </c>
      <c r="B142" s="33" t="s">
        <v>110</v>
      </c>
      <c r="C142" s="33" t="s">
        <v>100</v>
      </c>
      <c r="D142" s="33" t="s">
        <v>224</v>
      </c>
      <c r="E142" s="34">
        <f>COUNTIF('Detalle por artículo'!$K$8:$K$592,D142)</f>
        <v>1</v>
      </c>
      <c r="F142" s="35">
        <f t="shared" si="90"/>
        <v>160.77724358974359</v>
      </c>
      <c r="G142" s="36">
        <f>SUMIF('Detalle por artículo'!$K$8:$K$592,$D142,'Detalle por artículo'!$E$8:$E$592)</f>
        <v>4.992</v>
      </c>
      <c r="H142" s="35">
        <f t="shared" si="91"/>
        <v>4</v>
      </c>
      <c r="I142" s="35">
        <f t="shared" si="92"/>
        <v>7</v>
      </c>
      <c r="J142" s="35">
        <f t="shared" si="93"/>
        <v>13</v>
      </c>
      <c r="K142" s="37">
        <f t="shared" si="94"/>
        <v>0.1782857142857143</v>
      </c>
      <c r="L142" s="36">
        <f>SUMIF('Detalle por artículo'!$K$8:$K$592,$D142,'Detalle por artículo'!$O$8:$O$592)</f>
        <v>802.6</v>
      </c>
      <c r="M142" s="38">
        <f>SUMIF('Detalle por artículo'!$K$8:$K$592,$D142,'Detalle por artículo'!$I$8:$I$592)</f>
        <v>1961</v>
      </c>
      <c r="N142" s="38">
        <f>SUMIF('Detalle por artículo'!$K$8:$K$592,$D142,'Detalle por artículo'!$M$8:$M$592)</f>
        <v>52</v>
      </c>
      <c r="O142" s="39">
        <f t="shared" si="95"/>
        <v>2.5456399796022438</v>
      </c>
      <c r="P142" s="40">
        <f t="shared" si="96"/>
        <v>409.2809790922999</v>
      </c>
      <c r="Q142" s="41">
        <f t="shared" si="97"/>
        <v>0.15</v>
      </c>
      <c r="R142" s="40">
        <f t="shared" si="98"/>
        <v>5.7407999999999992</v>
      </c>
      <c r="S142" s="42">
        <f>IFERROR(SUM($G$8:G142)/$G$6,0)</f>
        <v>0.75387084515127001</v>
      </c>
      <c r="T142" s="43" t="str">
        <f t="shared" si="99"/>
        <v>B</v>
      </c>
      <c r="U142" s="44">
        <v>1952</v>
      </c>
      <c r="V142" s="45">
        <f t="shared" si="80"/>
        <v>-9</v>
      </c>
      <c r="W142" s="46">
        <v>46275</v>
      </c>
      <c r="X142" s="46">
        <v>46289</v>
      </c>
      <c r="Y142" s="47">
        <v>31</v>
      </c>
      <c r="Z142" s="48">
        <f t="shared" si="100"/>
        <v>7.8914839367669562E-2</v>
      </c>
      <c r="AA142" s="49">
        <f t="shared" si="101"/>
        <v>2.8183871202739131E-3</v>
      </c>
      <c r="AB142" s="44">
        <v>975</v>
      </c>
      <c r="AC142" s="44">
        <f t="shared" si="102"/>
        <v>672</v>
      </c>
      <c r="AD142" s="44">
        <f t="shared" si="103"/>
        <v>284</v>
      </c>
      <c r="AE142" s="50">
        <f t="shared" si="104"/>
        <v>44</v>
      </c>
      <c r="AF142" s="41">
        <f t="shared" si="105"/>
        <v>0.88</v>
      </c>
      <c r="AG142" s="44">
        <v>5</v>
      </c>
      <c r="AH142" s="44">
        <v>14</v>
      </c>
      <c r="AI142" s="42">
        <f t="shared" si="81"/>
        <v>0.34268230494645591</v>
      </c>
      <c r="AJ142" s="42">
        <f t="shared" si="82"/>
        <v>0.14482406935237124</v>
      </c>
      <c r="AK142" s="40">
        <f t="shared" si="106"/>
        <v>1.7106700662927079</v>
      </c>
      <c r="AL142" s="51">
        <v>985</v>
      </c>
      <c r="AM142" s="52">
        <f t="shared" si="107"/>
        <v>2.50745537990821</v>
      </c>
      <c r="AN142" s="42">
        <f t="shared" si="83"/>
        <v>0.50461065573770492</v>
      </c>
      <c r="AO142" s="53">
        <f t="shared" si="84"/>
        <v>986</v>
      </c>
      <c r="AP142" s="52">
        <f t="shared" si="85"/>
        <v>2.5100010198878122</v>
      </c>
      <c r="AQ142" s="42">
        <f t="shared" si="86"/>
        <v>0.48750637429882715</v>
      </c>
      <c r="AR142" s="46">
        <v>46281</v>
      </c>
      <c r="AS142" s="46">
        <v>46282</v>
      </c>
      <c r="AT142" s="50">
        <f t="shared" si="87"/>
        <v>7</v>
      </c>
      <c r="AU142" s="50">
        <f t="shared" si="108"/>
        <v>44</v>
      </c>
      <c r="AV142" s="50">
        <f t="shared" si="88"/>
        <v>69</v>
      </c>
      <c r="AW142" s="54">
        <f t="shared" si="89"/>
        <v>-25</v>
      </c>
    </row>
    <row r="143" spans="1:49" x14ac:dyDescent="0.25">
      <c r="A143" s="33" t="s">
        <v>63</v>
      </c>
      <c r="B143" s="33" t="s">
        <v>110</v>
      </c>
      <c r="C143" s="33" t="s">
        <v>100</v>
      </c>
      <c r="D143" s="33" t="s">
        <v>225</v>
      </c>
      <c r="E143" s="34">
        <f>COUNTIF('Detalle por artículo'!$K$8:$K$592,D143)</f>
        <v>2</v>
      </c>
      <c r="F143" s="35">
        <f t="shared" si="90"/>
        <v>141.02564102564102</v>
      </c>
      <c r="G143" s="36">
        <f>SUMIF('Detalle por artículo'!$K$8:$K$592,$D143,'Detalle por artículo'!$E$8:$E$592)</f>
        <v>4.992</v>
      </c>
      <c r="H143" s="35">
        <f t="shared" si="91"/>
        <v>4</v>
      </c>
      <c r="I143" s="35">
        <f t="shared" si="92"/>
        <v>7</v>
      </c>
      <c r="J143" s="35">
        <f t="shared" si="93"/>
        <v>13</v>
      </c>
      <c r="K143" s="37">
        <f t="shared" si="94"/>
        <v>0.1782857142857143</v>
      </c>
      <c r="L143" s="36">
        <f>SUMIF('Detalle por artículo'!$K$8:$K$592,$D143,'Detalle por artículo'!$O$8:$O$592)</f>
        <v>704</v>
      </c>
      <c r="M143" s="38">
        <f>SUMIF('Detalle por artículo'!$K$8:$K$592,$D143,'Detalle por artículo'!$I$8:$I$592)</f>
        <v>1664</v>
      </c>
      <c r="N143" s="38">
        <f>SUMIF('Detalle por artículo'!$K$8:$K$592,$D143,'Detalle por artículo'!$M$8:$M$592)</f>
        <v>52</v>
      </c>
      <c r="O143" s="39">
        <f t="shared" si="95"/>
        <v>3</v>
      </c>
      <c r="P143" s="40">
        <f t="shared" si="96"/>
        <v>423.07692307692309</v>
      </c>
      <c r="Q143" s="41">
        <f t="shared" si="97"/>
        <v>0.15</v>
      </c>
      <c r="R143" s="40">
        <f t="shared" si="98"/>
        <v>5.7407999999999992</v>
      </c>
      <c r="S143" s="42">
        <f>IFERROR(SUM($G$8:G143)/$G$6,0)</f>
        <v>0.75570522437228071</v>
      </c>
      <c r="T143" s="43" t="str">
        <f t="shared" si="99"/>
        <v>B</v>
      </c>
      <c r="U143" s="44">
        <v>1664</v>
      </c>
      <c r="V143" s="45">
        <f t="shared" si="80"/>
        <v>0</v>
      </c>
      <c r="W143" s="46">
        <v>46318</v>
      </c>
      <c r="X143" s="46">
        <v>46318</v>
      </c>
      <c r="Y143" s="47">
        <v>0</v>
      </c>
      <c r="Z143" s="48">
        <f t="shared" si="100"/>
        <v>0</v>
      </c>
      <c r="AA143" s="49">
        <f t="shared" si="101"/>
        <v>0</v>
      </c>
      <c r="AB143" s="44">
        <v>0</v>
      </c>
      <c r="AC143" s="44">
        <f t="shared" si="102"/>
        <v>0</v>
      </c>
      <c r="AD143" s="44">
        <f t="shared" si="103"/>
        <v>0</v>
      </c>
      <c r="AE143" s="50">
        <f t="shared" si="104"/>
        <v>0</v>
      </c>
      <c r="AF143" s="41">
        <f t="shared" si="105"/>
        <v>0</v>
      </c>
      <c r="AG143" s="44">
        <v>0</v>
      </c>
      <c r="AH143" s="44">
        <v>0</v>
      </c>
      <c r="AI143" s="42">
        <f t="shared" si="81"/>
        <v>0</v>
      </c>
      <c r="AJ143" s="42">
        <f t="shared" si="82"/>
        <v>0</v>
      </c>
      <c r="AK143" s="40">
        <f t="shared" si="106"/>
        <v>0</v>
      </c>
      <c r="AL143" s="51">
        <v>1664</v>
      </c>
      <c r="AM143" s="52">
        <f t="shared" si="107"/>
        <v>4.992</v>
      </c>
      <c r="AN143" s="42">
        <f t="shared" si="83"/>
        <v>1</v>
      </c>
      <c r="AO143" s="53">
        <f t="shared" si="84"/>
        <v>1664</v>
      </c>
      <c r="AP143" s="52">
        <f t="shared" si="85"/>
        <v>4.992</v>
      </c>
      <c r="AQ143" s="42">
        <f t="shared" si="86"/>
        <v>0</v>
      </c>
      <c r="AR143" s="46"/>
      <c r="AS143" s="46"/>
      <c r="AT143" s="50" t="str">
        <f t="shared" si="87"/>
        <v/>
      </c>
      <c r="AU143" s="50">
        <f t="shared" si="108"/>
        <v>70</v>
      </c>
      <c r="AV143" s="50" t="str">
        <f t="shared" si="88"/>
        <v/>
      </c>
      <c r="AW143" s="54" t="str">
        <f t="shared" si="89"/>
        <v/>
      </c>
    </row>
    <row r="144" spans="1:49" x14ac:dyDescent="0.25">
      <c r="A144" s="33" t="s">
        <v>63</v>
      </c>
      <c r="B144" s="33" t="s">
        <v>171</v>
      </c>
      <c r="C144" s="33" t="s">
        <v>172</v>
      </c>
      <c r="D144" s="33" t="s">
        <v>226</v>
      </c>
      <c r="E144" s="34">
        <f>COUNTIF('Detalle por artículo'!$K$8:$K$592,D144)</f>
        <v>1</v>
      </c>
      <c r="F144" s="35">
        <f t="shared" si="90"/>
        <v>125.85170340681363</v>
      </c>
      <c r="G144" s="36">
        <f>SUMIF('Detalle por artículo'!$K$8:$K$592,$D144,'Detalle por artículo'!$E$8:$E$592)</f>
        <v>4.99</v>
      </c>
      <c r="H144" s="35">
        <f t="shared" si="91"/>
        <v>4</v>
      </c>
      <c r="I144" s="35">
        <f t="shared" si="92"/>
        <v>7</v>
      </c>
      <c r="J144" s="35">
        <f t="shared" si="93"/>
        <v>13</v>
      </c>
      <c r="K144" s="37">
        <f t="shared" si="94"/>
        <v>0.17821428571428571</v>
      </c>
      <c r="L144" s="36">
        <f>SUMIF('Detalle por artículo'!$K$8:$K$592,$D144,'Detalle por artículo'!$O$8:$O$592)</f>
        <v>628</v>
      </c>
      <c r="M144" s="38">
        <f>SUMIF('Detalle por artículo'!$K$8:$K$592,$D144,'Detalle por artículo'!$I$8:$I$592)</f>
        <v>626</v>
      </c>
      <c r="N144" s="38">
        <f>SUMIF('Detalle por artículo'!$K$8:$K$592,$D144,'Detalle por artículo'!$M$8:$M$592)</f>
        <v>52</v>
      </c>
      <c r="O144" s="39">
        <f t="shared" si="95"/>
        <v>7.9712460063897774</v>
      </c>
      <c r="P144" s="40">
        <f t="shared" si="96"/>
        <v>1003.1948881789136</v>
      </c>
      <c r="Q144" s="41">
        <f t="shared" si="97"/>
        <v>0.15</v>
      </c>
      <c r="R144" s="40">
        <f t="shared" si="98"/>
        <v>5.7385000000000002</v>
      </c>
      <c r="S144" s="42">
        <f>IFERROR(SUM($G$8:G144)/$G$6,0)</f>
        <v>0.75753886866571862</v>
      </c>
      <c r="T144" s="43" t="str">
        <f t="shared" si="99"/>
        <v>B</v>
      </c>
      <c r="U144" s="44">
        <v>626</v>
      </c>
      <c r="V144" s="45">
        <f t="shared" ref="V144:V175" si="109">U144-M144</f>
        <v>0</v>
      </c>
      <c r="W144" s="46">
        <v>46213</v>
      </c>
      <c r="X144" s="46">
        <v>46213</v>
      </c>
      <c r="Y144" s="47">
        <v>0</v>
      </c>
      <c r="Z144" s="48">
        <f t="shared" si="100"/>
        <v>0</v>
      </c>
      <c r="AA144" s="49">
        <f t="shared" si="101"/>
        <v>0</v>
      </c>
      <c r="AB144" s="44">
        <v>345</v>
      </c>
      <c r="AC144" s="44">
        <f t="shared" si="102"/>
        <v>269</v>
      </c>
      <c r="AD144" s="44">
        <f t="shared" si="103"/>
        <v>61</v>
      </c>
      <c r="AE144" s="50">
        <f t="shared" si="104"/>
        <v>33</v>
      </c>
      <c r="AF144" s="41">
        <f t="shared" si="105"/>
        <v>0.66</v>
      </c>
      <c r="AG144" s="44">
        <v>7</v>
      </c>
      <c r="AH144" s="44">
        <v>8</v>
      </c>
      <c r="AI144" s="42">
        <f t="shared" ref="AI144:AI175" si="110">IFERROR(AC144/M144,0)</f>
        <v>0.42971246006389774</v>
      </c>
      <c r="AJ144" s="42">
        <f t="shared" ref="AJ144:AJ175" si="111">IFERROR(AD144/M144,0)</f>
        <v>9.7444089456869012E-2</v>
      </c>
      <c r="AK144" s="40">
        <f t="shared" si="106"/>
        <v>2.14426517571885</v>
      </c>
      <c r="AL144" s="51">
        <v>281</v>
      </c>
      <c r="AM144" s="52">
        <f t="shared" si="107"/>
        <v>2.2399201277955276</v>
      </c>
      <c r="AN144" s="42">
        <f t="shared" ref="AN144:AN175" si="112">IFERROR(AL144/U144,0)</f>
        <v>0.44888178913738019</v>
      </c>
      <c r="AO144" s="53">
        <f t="shared" ref="AO144:AO175" si="113">M144-AB144</f>
        <v>281</v>
      </c>
      <c r="AP144" s="52">
        <f t="shared" ref="AP144:AP175" si="114">AO144*O144/1000</f>
        <v>2.2399201277955276</v>
      </c>
      <c r="AQ144" s="42">
        <f t="shared" ref="AQ144:AQ175" si="115">IFERROR((AC144+AD144)/M144,0)</f>
        <v>0.52715654952076674</v>
      </c>
      <c r="AR144" s="46">
        <v>46219</v>
      </c>
      <c r="AS144" s="46">
        <v>46219</v>
      </c>
      <c r="AT144" s="50">
        <f t="shared" ref="AT144:AT175" si="116">IF(OR(W144="",AS144=""),"",AS144-W144)</f>
        <v>6</v>
      </c>
      <c r="AU144" s="50">
        <f t="shared" si="108"/>
        <v>378</v>
      </c>
      <c r="AV144" s="50">
        <f t="shared" ref="AV144:AV175" si="117">IF(AB144=0,"",RANK(AB144,$AB$8:$AB$474))</f>
        <v>333</v>
      </c>
      <c r="AW144" s="54">
        <f t="shared" ref="AW144:AW175" si="118">IF(OR(AU144="",AV144=""),"",AU144-AV144)</f>
        <v>45</v>
      </c>
    </row>
    <row r="145" spans="1:49" x14ac:dyDescent="0.25">
      <c r="A145" s="33" t="s">
        <v>138</v>
      </c>
      <c r="B145" s="33" t="s">
        <v>139</v>
      </c>
      <c r="C145" s="33" t="s">
        <v>122</v>
      </c>
      <c r="D145" s="33" t="s">
        <v>227</v>
      </c>
      <c r="E145" s="34">
        <f>COUNTIF('Detalle por artículo'!$K$8:$K$592,D145)</f>
        <v>1</v>
      </c>
      <c r="F145" s="35">
        <f t="shared" si="90"/>
        <v>103.68951612903226</v>
      </c>
      <c r="G145" s="36">
        <f>SUMIF('Detalle por artículo'!$K$8:$K$592,$D145,'Detalle por artículo'!$E$8:$E$592)</f>
        <v>4.96</v>
      </c>
      <c r="H145" s="35">
        <f t="shared" si="91"/>
        <v>4</v>
      </c>
      <c r="I145" s="35">
        <f t="shared" si="92"/>
        <v>7</v>
      </c>
      <c r="J145" s="35">
        <f t="shared" si="93"/>
        <v>13</v>
      </c>
      <c r="K145" s="37">
        <f t="shared" si="94"/>
        <v>0.17714285714285713</v>
      </c>
      <c r="L145" s="36">
        <f>SUMIF('Detalle por artículo'!$K$8:$K$592,$D145,'Detalle por artículo'!$O$8:$O$592)</f>
        <v>514.29999999999995</v>
      </c>
      <c r="M145" s="38">
        <f>SUMIF('Detalle por artículo'!$K$8:$K$592,$D145,'Detalle por artículo'!$I$8:$I$592)</f>
        <v>616</v>
      </c>
      <c r="N145" s="38">
        <f>SUMIF('Detalle por artículo'!$K$8:$K$592,$D145,'Detalle por artículo'!$M$8:$M$592)</f>
        <v>41</v>
      </c>
      <c r="O145" s="39">
        <f t="shared" si="95"/>
        <v>8.0519480519480506</v>
      </c>
      <c r="P145" s="40">
        <f t="shared" si="96"/>
        <v>834.90259740259728</v>
      </c>
      <c r="Q145" s="41">
        <f t="shared" si="97"/>
        <v>0.2</v>
      </c>
      <c r="R145" s="40">
        <f t="shared" si="98"/>
        <v>5.952</v>
      </c>
      <c r="S145" s="42">
        <f>IFERROR(SUM($G$8:G145)/$G$6,0)</f>
        <v>0.75936148904556888</v>
      </c>
      <c r="T145" s="43" t="str">
        <f t="shared" si="99"/>
        <v>B</v>
      </c>
      <c r="U145" s="44">
        <v>611</v>
      </c>
      <c r="V145" s="45">
        <f t="shared" si="109"/>
        <v>-5</v>
      </c>
      <c r="W145" s="46">
        <v>46272</v>
      </c>
      <c r="X145" s="46">
        <v>46272</v>
      </c>
      <c r="Y145" s="47">
        <v>631</v>
      </c>
      <c r="Z145" s="48">
        <f t="shared" si="100"/>
        <v>5.0807792207792195</v>
      </c>
      <c r="AA145" s="49">
        <f t="shared" si="101"/>
        <v>0.18145640074211497</v>
      </c>
      <c r="AB145" s="44">
        <v>22</v>
      </c>
      <c r="AC145" s="44">
        <f t="shared" si="102"/>
        <v>60</v>
      </c>
      <c r="AD145" s="44">
        <f t="shared" si="103"/>
        <v>0</v>
      </c>
      <c r="AE145" s="50">
        <f t="shared" si="104"/>
        <v>12</v>
      </c>
      <c r="AF145" s="41">
        <f t="shared" si="105"/>
        <v>0.24</v>
      </c>
      <c r="AG145" s="44">
        <v>0</v>
      </c>
      <c r="AH145" s="44">
        <v>6</v>
      </c>
      <c r="AI145" s="42">
        <f t="shared" si="110"/>
        <v>9.7402597402597407E-2</v>
      </c>
      <c r="AJ145" s="42">
        <f t="shared" si="111"/>
        <v>0</v>
      </c>
      <c r="AK145" s="40">
        <f t="shared" si="106"/>
        <v>0.48311688311688306</v>
      </c>
      <c r="AL145" s="51">
        <v>589</v>
      </c>
      <c r="AM145" s="52">
        <f t="shared" si="107"/>
        <v>4.7425974025974016</v>
      </c>
      <c r="AN145" s="42">
        <f t="shared" si="112"/>
        <v>0.96399345335515552</v>
      </c>
      <c r="AO145" s="53">
        <f t="shared" si="113"/>
        <v>594</v>
      </c>
      <c r="AP145" s="52">
        <f t="shared" si="114"/>
        <v>4.782857142857142</v>
      </c>
      <c r="AQ145" s="42">
        <f t="shared" si="115"/>
        <v>9.7402597402597407E-2</v>
      </c>
      <c r="AR145" s="46">
        <v>46274</v>
      </c>
      <c r="AS145" s="46">
        <v>46279</v>
      </c>
      <c r="AT145" s="50">
        <f t="shared" si="116"/>
        <v>7</v>
      </c>
      <c r="AU145" s="50">
        <f t="shared" si="108"/>
        <v>388</v>
      </c>
      <c r="AV145" s="50">
        <f t="shared" si="117"/>
        <v>416</v>
      </c>
      <c r="AW145" s="54">
        <f t="shared" si="118"/>
        <v>-28</v>
      </c>
    </row>
    <row r="146" spans="1:49" x14ac:dyDescent="0.25">
      <c r="A146" s="33" t="s">
        <v>55</v>
      </c>
      <c r="B146" s="33" t="s">
        <v>56</v>
      </c>
      <c r="C146" s="33" t="s">
        <v>66</v>
      </c>
      <c r="D146" s="33" t="s">
        <v>228</v>
      </c>
      <c r="E146" s="34">
        <f>COUNTIF('Detalle por artículo'!$K$8:$K$592,D146)</f>
        <v>1</v>
      </c>
      <c r="F146" s="35">
        <f t="shared" si="90"/>
        <v>115.06072874493925</v>
      </c>
      <c r="G146" s="36">
        <f>SUMIF('Detalle por artículo'!$K$8:$K$592,$D146,'Detalle por artículo'!$E$8:$E$592)</f>
        <v>4.9400000000000004</v>
      </c>
      <c r="H146" s="35">
        <f t="shared" si="91"/>
        <v>4</v>
      </c>
      <c r="I146" s="35">
        <f t="shared" si="92"/>
        <v>7</v>
      </c>
      <c r="J146" s="35">
        <f t="shared" si="93"/>
        <v>13</v>
      </c>
      <c r="K146" s="37">
        <f t="shared" si="94"/>
        <v>0.17642857142857143</v>
      </c>
      <c r="L146" s="36">
        <f>SUMIF('Detalle por artículo'!$K$8:$K$592,$D146,'Detalle por artículo'!$O$8:$O$592)</f>
        <v>568.4</v>
      </c>
      <c r="M146" s="38">
        <f>SUMIF('Detalle por artículo'!$K$8:$K$592,$D146,'Detalle por artículo'!$I$8:$I$592)</f>
        <v>719</v>
      </c>
      <c r="N146" s="38">
        <f>SUMIF('Detalle por artículo'!$K$8:$K$592,$D146,'Detalle por artículo'!$M$8:$M$592)</f>
        <v>38</v>
      </c>
      <c r="O146" s="39">
        <f t="shared" si="95"/>
        <v>6.8706536856745482</v>
      </c>
      <c r="P146" s="40">
        <f t="shared" si="96"/>
        <v>790.54242002781643</v>
      </c>
      <c r="Q146" s="41">
        <f t="shared" si="97"/>
        <v>0.2</v>
      </c>
      <c r="R146" s="40">
        <f t="shared" si="98"/>
        <v>5.9279999999999999</v>
      </c>
      <c r="S146" s="42">
        <f>IFERROR(SUM($G$8:G146)/$G$6,0)</f>
        <v>0.76117676014969393</v>
      </c>
      <c r="T146" s="43" t="str">
        <f t="shared" si="99"/>
        <v>B</v>
      </c>
      <c r="U146" s="44">
        <v>726</v>
      </c>
      <c r="V146" s="45">
        <f t="shared" si="109"/>
        <v>7</v>
      </c>
      <c r="W146" s="46">
        <v>46288</v>
      </c>
      <c r="X146" s="46">
        <v>46288</v>
      </c>
      <c r="Y146" s="47">
        <v>0</v>
      </c>
      <c r="Z146" s="48">
        <f t="shared" si="100"/>
        <v>0</v>
      </c>
      <c r="AA146" s="49">
        <f t="shared" si="101"/>
        <v>0</v>
      </c>
      <c r="AB146" s="44">
        <v>429</v>
      </c>
      <c r="AC146" s="44">
        <f t="shared" si="102"/>
        <v>397</v>
      </c>
      <c r="AD146" s="44">
        <f t="shared" si="103"/>
        <v>29</v>
      </c>
      <c r="AE146" s="50">
        <f t="shared" si="104"/>
        <v>47</v>
      </c>
      <c r="AF146" s="41">
        <f t="shared" si="105"/>
        <v>0.94</v>
      </c>
      <c r="AG146" s="44">
        <v>3</v>
      </c>
      <c r="AH146" s="44">
        <v>0</v>
      </c>
      <c r="AI146" s="42">
        <f t="shared" si="110"/>
        <v>0.5521557719054242</v>
      </c>
      <c r="AJ146" s="42">
        <f t="shared" si="111"/>
        <v>4.0333796940194712E-2</v>
      </c>
      <c r="AK146" s="40">
        <f t="shared" si="106"/>
        <v>2.7276495132127958</v>
      </c>
      <c r="AL146" s="51">
        <v>297</v>
      </c>
      <c r="AM146" s="52">
        <f t="shared" si="107"/>
        <v>2.0405841446453405</v>
      </c>
      <c r="AN146" s="42">
        <f t="shared" si="112"/>
        <v>0.40909090909090912</v>
      </c>
      <c r="AO146" s="53">
        <f t="shared" si="113"/>
        <v>290</v>
      </c>
      <c r="AP146" s="52">
        <f t="shared" si="114"/>
        <v>1.992489568845619</v>
      </c>
      <c r="AQ146" s="42">
        <f t="shared" si="115"/>
        <v>0.59248956884561887</v>
      </c>
      <c r="AR146" s="46">
        <v>46292</v>
      </c>
      <c r="AS146" s="46">
        <v>46293</v>
      </c>
      <c r="AT146" s="50">
        <f t="shared" si="116"/>
        <v>5</v>
      </c>
      <c r="AU146" s="50">
        <f t="shared" si="108"/>
        <v>301</v>
      </c>
      <c r="AV146" s="50">
        <f t="shared" si="117"/>
        <v>315</v>
      </c>
      <c r="AW146" s="54">
        <f t="shared" si="118"/>
        <v>-14</v>
      </c>
    </row>
    <row r="147" spans="1:49" x14ac:dyDescent="0.25">
      <c r="A147" s="33" t="s">
        <v>138</v>
      </c>
      <c r="B147" s="33" t="s">
        <v>139</v>
      </c>
      <c r="C147" s="33" t="s">
        <v>122</v>
      </c>
      <c r="D147" s="33" t="s">
        <v>229</v>
      </c>
      <c r="E147" s="34">
        <f>COUNTIF('Detalle por artículo'!$K$8:$K$592,D147)</f>
        <v>1</v>
      </c>
      <c r="F147" s="35">
        <f t="shared" si="90"/>
        <v>85.083435083435091</v>
      </c>
      <c r="G147" s="36">
        <f>SUMIF('Detalle por artículo'!$K$8:$K$592,$D147,'Detalle por artículo'!$E$8:$E$592)</f>
        <v>4.9139999999999997</v>
      </c>
      <c r="H147" s="35">
        <f t="shared" si="91"/>
        <v>4</v>
      </c>
      <c r="I147" s="35">
        <f t="shared" si="92"/>
        <v>7</v>
      </c>
      <c r="J147" s="35">
        <f t="shared" si="93"/>
        <v>13</v>
      </c>
      <c r="K147" s="37">
        <f t="shared" si="94"/>
        <v>0.17549999999999999</v>
      </c>
      <c r="L147" s="36">
        <f>SUMIF('Detalle por artículo'!$K$8:$K$592,$D147,'Detalle por artículo'!$O$8:$O$592)</f>
        <v>418.1</v>
      </c>
      <c r="M147" s="38">
        <f>SUMIF('Detalle por artículo'!$K$8:$K$592,$D147,'Detalle por artículo'!$I$8:$I$592)</f>
        <v>640</v>
      </c>
      <c r="N147" s="38">
        <f>SUMIF('Detalle por artículo'!$K$8:$K$592,$D147,'Detalle por artículo'!$M$8:$M$592)</f>
        <v>42</v>
      </c>
      <c r="O147" s="39">
        <f t="shared" si="95"/>
        <v>7.6781249999999988</v>
      </c>
      <c r="P147" s="40">
        <f t="shared" si="96"/>
        <v>653.28125</v>
      </c>
      <c r="Q147" s="41">
        <f t="shared" si="97"/>
        <v>0.2</v>
      </c>
      <c r="R147" s="40">
        <f t="shared" si="98"/>
        <v>5.8967999999999998</v>
      </c>
      <c r="S147" s="42">
        <f>IFERROR(SUM($G$8:G147)/$G$6,0)</f>
        <v>0.76298247719537637</v>
      </c>
      <c r="T147" s="43" t="str">
        <f t="shared" si="99"/>
        <v>B</v>
      </c>
      <c r="U147" s="44">
        <v>640</v>
      </c>
      <c r="V147" s="45">
        <f t="shared" si="109"/>
        <v>0</v>
      </c>
      <c r="W147" s="46">
        <v>46272</v>
      </c>
      <c r="X147" s="46">
        <v>46272</v>
      </c>
      <c r="Y147" s="47">
        <v>640</v>
      </c>
      <c r="Z147" s="48">
        <f t="shared" si="100"/>
        <v>4.9139999999999988</v>
      </c>
      <c r="AA147" s="49">
        <f t="shared" si="101"/>
        <v>0.17549999999999996</v>
      </c>
      <c r="AB147" s="44">
        <v>297</v>
      </c>
      <c r="AC147" s="44">
        <f t="shared" si="102"/>
        <v>273</v>
      </c>
      <c r="AD147" s="44">
        <f t="shared" si="103"/>
        <v>15</v>
      </c>
      <c r="AE147" s="50">
        <f t="shared" si="104"/>
        <v>32</v>
      </c>
      <c r="AF147" s="41">
        <f t="shared" si="105"/>
        <v>0.64</v>
      </c>
      <c r="AG147" s="44">
        <v>1</v>
      </c>
      <c r="AH147" s="44">
        <v>8</v>
      </c>
      <c r="AI147" s="42">
        <f t="shared" si="110"/>
        <v>0.42656250000000001</v>
      </c>
      <c r="AJ147" s="42">
        <f t="shared" si="111"/>
        <v>2.34375E-2</v>
      </c>
      <c r="AK147" s="40">
        <f t="shared" si="106"/>
        <v>2.0961281249999999</v>
      </c>
      <c r="AL147" s="51">
        <v>343</v>
      </c>
      <c r="AM147" s="52">
        <f t="shared" si="107"/>
        <v>2.6335968749999998</v>
      </c>
      <c r="AN147" s="42">
        <f t="shared" si="112"/>
        <v>0.53593749999999996</v>
      </c>
      <c r="AO147" s="53">
        <f t="shared" si="113"/>
        <v>343</v>
      </c>
      <c r="AP147" s="52">
        <f t="shared" si="114"/>
        <v>2.6335968749999998</v>
      </c>
      <c r="AQ147" s="42">
        <f t="shared" si="115"/>
        <v>0.45</v>
      </c>
      <c r="AR147" s="46">
        <v>46274</v>
      </c>
      <c r="AS147" s="46">
        <v>46279</v>
      </c>
      <c r="AT147" s="50">
        <f t="shared" si="116"/>
        <v>7</v>
      </c>
      <c r="AU147" s="50">
        <f t="shared" si="108"/>
        <v>366</v>
      </c>
      <c r="AV147" s="50">
        <f t="shared" si="117"/>
        <v>347</v>
      </c>
      <c r="AW147" s="54">
        <f t="shared" si="118"/>
        <v>19</v>
      </c>
    </row>
    <row r="148" spans="1:49" x14ac:dyDescent="0.25">
      <c r="A148" s="33" t="s">
        <v>63</v>
      </c>
      <c r="B148" s="33" t="s">
        <v>102</v>
      </c>
      <c r="C148" s="33" t="s">
        <v>132</v>
      </c>
      <c r="D148" s="33" t="s">
        <v>230</v>
      </c>
      <c r="E148" s="34">
        <f>COUNTIF('Detalle por artículo'!$K$8:$K$592,D148)</f>
        <v>1</v>
      </c>
      <c r="F148" s="35">
        <f t="shared" si="90"/>
        <v>247.91666666666669</v>
      </c>
      <c r="G148" s="36">
        <f>SUMIF('Detalle por artículo'!$K$8:$K$592,$D148,'Detalle por artículo'!$E$8:$E$592)</f>
        <v>4.8</v>
      </c>
      <c r="H148" s="35">
        <f t="shared" si="91"/>
        <v>4</v>
      </c>
      <c r="I148" s="35">
        <f t="shared" si="92"/>
        <v>7</v>
      </c>
      <c r="J148" s="35">
        <f t="shared" si="93"/>
        <v>13</v>
      </c>
      <c r="K148" s="37">
        <f t="shared" si="94"/>
        <v>0.17142857142857143</v>
      </c>
      <c r="L148" s="36">
        <f>SUMIF('Detalle por artículo'!$K$8:$K$592,$D148,'Detalle por artículo'!$O$8:$O$592)</f>
        <v>1190</v>
      </c>
      <c r="M148" s="38">
        <f>SUMIF('Detalle por artículo'!$K$8:$K$592,$D148,'Detalle por artículo'!$I$8:$I$592)</f>
        <v>1576</v>
      </c>
      <c r="N148" s="38">
        <f>SUMIF('Detalle por artículo'!$K$8:$K$592,$D148,'Detalle por artículo'!$M$8:$M$592)</f>
        <v>50</v>
      </c>
      <c r="O148" s="39">
        <f t="shared" si="95"/>
        <v>3.0456852791878171</v>
      </c>
      <c r="P148" s="40">
        <f t="shared" si="96"/>
        <v>755.07614213197974</v>
      </c>
      <c r="Q148" s="41">
        <f t="shared" si="97"/>
        <v>0.1</v>
      </c>
      <c r="R148" s="40">
        <f t="shared" si="98"/>
        <v>5.28</v>
      </c>
      <c r="S148" s="42">
        <f>IFERROR(SUM($G$8:G148)/$G$6,0)</f>
        <v>0.76474630336942506</v>
      </c>
      <c r="T148" s="43" t="str">
        <f t="shared" si="99"/>
        <v>B</v>
      </c>
      <c r="U148" s="44">
        <v>1576</v>
      </c>
      <c r="V148" s="45">
        <f t="shared" si="109"/>
        <v>0</v>
      </c>
      <c r="W148" s="46">
        <v>46237</v>
      </c>
      <c r="X148" s="46">
        <v>46237</v>
      </c>
      <c r="Y148" s="47">
        <v>0</v>
      </c>
      <c r="Z148" s="48">
        <f t="shared" si="100"/>
        <v>0</v>
      </c>
      <c r="AA148" s="49">
        <f t="shared" si="101"/>
        <v>0</v>
      </c>
      <c r="AB148" s="44">
        <v>674</v>
      </c>
      <c r="AC148" s="44">
        <f t="shared" si="102"/>
        <v>466</v>
      </c>
      <c r="AD148" s="44">
        <f t="shared" si="103"/>
        <v>196</v>
      </c>
      <c r="AE148" s="50">
        <f t="shared" si="104"/>
        <v>49</v>
      </c>
      <c r="AF148" s="41">
        <f t="shared" si="105"/>
        <v>0.98</v>
      </c>
      <c r="AG148" s="44">
        <v>3</v>
      </c>
      <c r="AH148" s="44">
        <v>9</v>
      </c>
      <c r="AI148" s="42">
        <f t="shared" si="110"/>
        <v>0.29568527918781728</v>
      </c>
      <c r="AJ148" s="42">
        <f t="shared" si="111"/>
        <v>0.12436548223350254</v>
      </c>
      <c r="AK148" s="40">
        <f t="shared" si="106"/>
        <v>1.4192893401015227</v>
      </c>
      <c r="AL148" s="51">
        <v>903</v>
      </c>
      <c r="AM148" s="52">
        <f t="shared" si="107"/>
        <v>2.7502538071065987</v>
      </c>
      <c r="AN148" s="42">
        <f t="shared" si="112"/>
        <v>0.57296954314720816</v>
      </c>
      <c r="AO148" s="53">
        <f t="shared" si="113"/>
        <v>902</v>
      </c>
      <c r="AP148" s="52">
        <f t="shared" si="114"/>
        <v>2.7472081218274109</v>
      </c>
      <c r="AQ148" s="42">
        <f t="shared" si="115"/>
        <v>0.42005076142131981</v>
      </c>
      <c r="AR148" s="46">
        <v>46252</v>
      </c>
      <c r="AS148" s="46">
        <v>46252</v>
      </c>
      <c r="AT148" s="50">
        <f t="shared" si="116"/>
        <v>15</v>
      </c>
      <c r="AU148" s="50">
        <f t="shared" si="108"/>
        <v>85</v>
      </c>
      <c r="AV148" s="50">
        <f t="shared" si="117"/>
        <v>136</v>
      </c>
      <c r="AW148" s="54">
        <f t="shared" si="118"/>
        <v>-51</v>
      </c>
    </row>
    <row r="149" spans="1:49" x14ac:dyDescent="0.25">
      <c r="A149" s="33" t="s">
        <v>55</v>
      </c>
      <c r="B149" s="33" t="s">
        <v>56</v>
      </c>
      <c r="C149" s="33" t="s">
        <v>66</v>
      </c>
      <c r="D149" s="33" t="s">
        <v>231</v>
      </c>
      <c r="E149" s="34">
        <f>COUNTIF('Detalle por artículo'!$K$8:$K$592,D149)</f>
        <v>1</v>
      </c>
      <c r="F149" s="35">
        <f t="shared" si="90"/>
        <v>-16.25</v>
      </c>
      <c r="G149" s="36">
        <f>SUMIF('Detalle por artículo'!$K$8:$K$592,$D149,'Detalle por artículo'!$E$8:$E$592)</f>
        <v>4.8</v>
      </c>
      <c r="H149" s="35">
        <f t="shared" si="91"/>
        <v>4</v>
      </c>
      <c r="I149" s="35">
        <f t="shared" si="92"/>
        <v>7</v>
      </c>
      <c r="J149" s="35">
        <f t="shared" si="93"/>
        <v>13</v>
      </c>
      <c r="K149" s="37">
        <f t="shared" si="94"/>
        <v>0.17142857142857143</v>
      </c>
      <c r="L149" s="36">
        <f>SUMIF('Detalle por artículo'!$K$8:$K$592,$D149,'Detalle por artículo'!$O$8:$O$592)</f>
        <v>-78</v>
      </c>
      <c r="M149" s="38">
        <f>SUMIF('Detalle por artículo'!$K$8:$K$592,$D149,'Detalle por artículo'!$I$8:$I$592)</f>
        <v>1299</v>
      </c>
      <c r="N149" s="38">
        <f>SUMIF('Detalle por artículo'!$K$8:$K$592,$D149,'Detalle por artículo'!$M$8:$M$592)</f>
        <v>65</v>
      </c>
      <c r="O149" s="39">
        <f t="shared" si="95"/>
        <v>3.695150115473441</v>
      </c>
      <c r="P149" s="40">
        <f t="shared" si="96"/>
        <v>-60.046189376443415</v>
      </c>
      <c r="Q149" s="41">
        <f t="shared" si="97"/>
        <v>0.2</v>
      </c>
      <c r="R149" s="40">
        <f t="shared" si="98"/>
        <v>5.76</v>
      </c>
      <c r="S149" s="42">
        <f>IFERROR(SUM($G$8:G149)/$G$6,0)</f>
        <v>0.76651012954347375</v>
      </c>
      <c r="T149" s="43" t="str">
        <f t="shared" si="99"/>
        <v>B</v>
      </c>
      <c r="U149" s="44">
        <v>1275</v>
      </c>
      <c r="V149" s="45">
        <f t="shared" si="109"/>
        <v>-24</v>
      </c>
      <c r="W149" s="46">
        <v>46246</v>
      </c>
      <c r="X149" s="46">
        <v>46246</v>
      </c>
      <c r="Y149" s="47">
        <v>36</v>
      </c>
      <c r="Z149" s="48">
        <f t="shared" si="100"/>
        <v>0.13302540415704389</v>
      </c>
      <c r="AA149" s="49">
        <f t="shared" si="101"/>
        <v>4.7509072913229965E-3</v>
      </c>
      <c r="AB149" s="44">
        <v>687</v>
      </c>
      <c r="AC149" s="44">
        <f t="shared" si="102"/>
        <v>474</v>
      </c>
      <c r="AD149" s="44">
        <f t="shared" si="103"/>
        <v>201</v>
      </c>
      <c r="AE149" s="50">
        <f t="shared" si="104"/>
        <v>48</v>
      </c>
      <c r="AF149" s="41">
        <f t="shared" si="105"/>
        <v>0.96</v>
      </c>
      <c r="AG149" s="44">
        <v>4</v>
      </c>
      <c r="AH149" s="44">
        <v>8</v>
      </c>
      <c r="AI149" s="42">
        <f t="shared" si="110"/>
        <v>0.36489607390300233</v>
      </c>
      <c r="AJ149" s="42">
        <f t="shared" si="111"/>
        <v>0.15473441108545036</v>
      </c>
      <c r="AK149" s="40">
        <f t="shared" si="106"/>
        <v>1.751501154734411</v>
      </c>
      <c r="AL149" s="51">
        <v>588</v>
      </c>
      <c r="AM149" s="52">
        <f t="shared" si="107"/>
        <v>2.1727482678983834</v>
      </c>
      <c r="AN149" s="42">
        <f t="shared" si="112"/>
        <v>0.4611764705882353</v>
      </c>
      <c r="AO149" s="53">
        <f t="shared" si="113"/>
        <v>612</v>
      </c>
      <c r="AP149" s="52">
        <f t="shared" si="114"/>
        <v>2.261431870669746</v>
      </c>
      <c r="AQ149" s="42">
        <f t="shared" si="115"/>
        <v>0.51963048498845266</v>
      </c>
      <c r="AR149" s="46">
        <v>46254</v>
      </c>
      <c r="AS149" s="46">
        <v>46255</v>
      </c>
      <c r="AT149" s="50">
        <f t="shared" si="116"/>
        <v>9</v>
      </c>
      <c r="AU149" s="50">
        <f t="shared" si="108"/>
        <v>125</v>
      </c>
      <c r="AV149" s="50">
        <f t="shared" si="117"/>
        <v>129</v>
      </c>
      <c r="AW149" s="54">
        <f t="shared" si="118"/>
        <v>-4</v>
      </c>
    </row>
    <row r="150" spans="1:49" x14ac:dyDescent="0.25">
      <c r="A150" s="33" t="s">
        <v>55</v>
      </c>
      <c r="B150" s="33" t="s">
        <v>99</v>
      </c>
      <c r="C150" s="33" t="s">
        <v>111</v>
      </c>
      <c r="D150" s="33" t="s">
        <v>232</v>
      </c>
      <c r="E150" s="34">
        <f>COUNTIF('Detalle por artículo'!$K$8:$K$592,D150)</f>
        <v>2</v>
      </c>
      <c r="F150" s="35">
        <f t="shared" si="90"/>
        <v>116.35416666666667</v>
      </c>
      <c r="G150" s="36">
        <f>SUMIF('Detalle por artículo'!$K$8:$K$592,$D150,'Detalle por artículo'!$E$8:$E$592)</f>
        <v>4.8</v>
      </c>
      <c r="H150" s="35">
        <f t="shared" si="91"/>
        <v>4</v>
      </c>
      <c r="I150" s="35">
        <f t="shared" si="92"/>
        <v>7</v>
      </c>
      <c r="J150" s="35">
        <f t="shared" si="93"/>
        <v>13</v>
      </c>
      <c r="K150" s="37">
        <f t="shared" si="94"/>
        <v>0.17142857142857143</v>
      </c>
      <c r="L150" s="36">
        <f>SUMIF('Detalle por artículo'!$K$8:$K$592,$D150,'Detalle por artículo'!$O$8:$O$592)</f>
        <v>558.5</v>
      </c>
      <c r="M150" s="38">
        <f>SUMIF('Detalle por artículo'!$K$8:$K$592,$D150,'Detalle por artículo'!$I$8:$I$592)</f>
        <v>1603</v>
      </c>
      <c r="N150" s="38">
        <f>SUMIF('Detalle por artículo'!$K$8:$K$592,$D150,'Detalle por artículo'!$M$8:$M$592)</f>
        <v>50</v>
      </c>
      <c r="O150" s="39">
        <f t="shared" si="95"/>
        <v>2.9943855271366187</v>
      </c>
      <c r="P150" s="40">
        <f t="shared" si="96"/>
        <v>348.40923268870864</v>
      </c>
      <c r="Q150" s="41">
        <f t="shared" si="97"/>
        <v>0.2</v>
      </c>
      <c r="R150" s="40">
        <f t="shared" si="98"/>
        <v>5.76</v>
      </c>
      <c r="S150" s="42">
        <f>IFERROR(SUM($G$8:G150)/$G$6,0)</f>
        <v>0.76827395571752244</v>
      </c>
      <c r="T150" s="43" t="str">
        <f t="shared" si="99"/>
        <v>B</v>
      </c>
      <c r="U150" s="44">
        <v>1603</v>
      </c>
      <c r="V150" s="45">
        <f t="shared" si="109"/>
        <v>0</v>
      </c>
      <c r="W150" s="46">
        <v>46260</v>
      </c>
      <c r="X150" s="46">
        <v>46260</v>
      </c>
      <c r="Y150" s="47">
        <v>0</v>
      </c>
      <c r="Z150" s="48">
        <f t="shared" si="100"/>
        <v>0</v>
      </c>
      <c r="AA150" s="49">
        <f t="shared" si="101"/>
        <v>0</v>
      </c>
      <c r="AB150" s="44">
        <v>389</v>
      </c>
      <c r="AC150" s="44">
        <f t="shared" si="102"/>
        <v>321</v>
      </c>
      <c r="AD150" s="44">
        <f t="shared" si="103"/>
        <v>47</v>
      </c>
      <c r="AE150" s="50">
        <f t="shared" si="104"/>
        <v>17</v>
      </c>
      <c r="AF150" s="41">
        <f t="shared" si="105"/>
        <v>0.34</v>
      </c>
      <c r="AG150" s="44">
        <v>5</v>
      </c>
      <c r="AH150" s="44">
        <v>16</v>
      </c>
      <c r="AI150" s="42">
        <f t="shared" si="110"/>
        <v>0.20024953212726138</v>
      </c>
      <c r="AJ150" s="42">
        <f t="shared" si="111"/>
        <v>2.9320024953212728E-2</v>
      </c>
      <c r="AK150" s="40">
        <f t="shared" si="106"/>
        <v>0.96119775421085452</v>
      </c>
      <c r="AL150" s="51">
        <v>1214</v>
      </c>
      <c r="AM150" s="52">
        <f t="shared" si="107"/>
        <v>3.6351840299438551</v>
      </c>
      <c r="AN150" s="42">
        <f t="shared" si="112"/>
        <v>0.75733000623830316</v>
      </c>
      <c r="AO150" s="53">
        <f t="shared" si="113"/>
        <v>1214</v>
      </c>
      <c r="AP150" s="52">
        <f t="shared" si="114"/>
        <v>3.6351840299438551</v>
      </c>
      <c r="AQ150" s="42">
        <f t="shared" si="115"/>
        <v>0.22956955708047411</v>
      </c>
      <c r="AR150" s="46">
        <v>46268</v>
      </c>
      <c r="AS150" s="46">
        <v>46268</v>
      </c>
      <c r="AT150" s="50">
        <f t="shared" si="116"/>
        <v>8</v>
      </c>
      <c r="AU150" s="50">
        <f t="shared" si="108"/>
        <v>78</v>
      </c>
      <c r="AV150" s="50">
        <f t="shared" si="117"/>
        <v>327</v>
      </c>
      <c r="AW150" s="54">
        <f t="shared" si="118"/>
        <v>-249</v>
      </c>
    </row>
    <row r="151" spans="1:49" x14ac:dyDescent="0.25">
      <c r="A151" s="33" t="s">
        <v>63</v>
      </c>
      <c r="B151" s="33" t="s">
        <v>102</v>
      </c>
      <c r="C151" s="33" t="s">
        <v>132</v>
      </c>
      <c r="D151" s="33" t="s">
        <v>233</v>
      </c>
      <c r="E151" s="34">
        <f>COUNTIF('Detalle por artículo'!$K$8:$K$592,D151)</f>
        <v>1</v>
      </c>
      <c r="F151" s="35">
        <f t="shared" si="90"/>
        <v>187.10416666666669</v>
      </c>
      <c r="G151" s="36">
        <f>SUMIF('Detalle por artículo'!$K$8:$K$592,$D151,'Detalle por artículo'!$E$8:$E$592)</f>
        <v>4.8</v>
      </c>
      <c r="H151" s="35">
        <f t="shared" si="91"/>
        <v>4</v>
      </c>
      <c r="I151" s="35">
        <f t="shared" si="92"/>
        <v>7</v>
      </c>
      <c r="J151" s="35">
        <f t="shared" si="93"/>
        <v>13</v>
      </c>
      <c r="K151" s="37">
        <f t="shared" si="94"/>
        <v>0.17142857142857143</v>
      </c>
      <c r="L151" s="36">
        <f>SUMIF('Detalle por artículo'!$K$8:$K$592,$D151,'Detalle por artículo'!$O$8:$O$592)</f>
        <v>898.1</v>
      </c>
      <c r="M151" s="38">
        <f>SUMIF('Detalle por artículo'!$K$8:$K$592,$D151,'Detalle por artículo'!$I$8:$I$592)</f>
        <v>1511</v>
      </c>
      <c r="N151" s="38">
        <f>SUMIF('Detalle por artículo'!$K$8:$K$592,$D151,'Detalle por artículo'!$M$8:$M$592)</f>
        <v>50</v>
      </c>
      <c r="O151" s="39">
        <f t="shared" si="95"/>
        <v>3.1767041694242222</v>
      </c>
      <c r="P151" s="40">
        <f t="shared" si="96"/>
        <v>594.37458636664462</v>
      </c>
      <c r="Q151" s="41">
        <f t="shared" si="97"/>
        <v>0.15</v>
      </c>
      <c r="R151" s="40">
        <f t="shared" si="98"/>
        <v>5.52</v>
      </c>
      <c r="S151" s="42">
        <f>IFERROR(SUM($G$8:G151)/$G$6,0)</f>
        <v>0.77003778189157113</v>
      </c>
      <c r="T151" s="43" t="str">
        <f t="shared" si="99"/>
        <v>B</v>
      </c>
      <c r="U151" s="44">
        <v>1511</v>
      </c>
      <c r="V151" s="45">
        <f t="shared" si="109"/>
        <v>0</v>
      </c>
      <c r="W151" s="46">
        <v>46293</v>
      </c>
      <c r="X151" s="46">
        <v>46293</v>
      </c>
      <c r="Y151" s="47">
        <v>0</v>
      </c>
      <c r="Z151" s="48">
        <f t="shared" si="100"/>
        <v>0</v>
      </c>
      <c r="AA151" s="49">
        <f t="shared" si="101"/>
        <v>0</v>
      </c>
      <c r="AB151" s="44">
        <v>0</v>
      </c>
      <c r="AC151" s="44">
        <f t="shared" si="102"/>
        <v>0</v>
      </c>
      <c r="AD151" s="44">
        <f t="shared" si="103"/>
        <v>0</v>
      </c>
      <c r="AE151" s="50">
        <f t="shared" si="104"/>
        <v>0</v>
      </c>
      <c r="AF151" s="41">
        <f t="shared" si="105"/>
        <v>0</v>
      </c>
      <c r="AG151" s="44">
        <v>0</v>
      </c>
      <c r="AH151" s="44">
        <v>0</v>
      </c>
      <c r="AI151" s="42">
        <f t="shared" si="110"/>
        <v>0</v>
      </c>
      <c r="AJ151" s="42">
        <f t="shared" si="111"/>
        <v>0</v>
      </c>
      <c r="AK151" s="40">
        <f t="shared" si="106"/>
        <v>0</v>
      </c>
      <c r="AL151" s="51">
        <v>1511</v>
      </c>
      <c r="AM151" s="52">
        <f t="shared" si="107"/>
        <v>4.8</v>
      </c>
      <c r="AN151" s="42">
        <f t="shared" si="112"/>
        <v>1</v>
      </c>
      <c r="AO151" s="53">
        <f t="shared" si="113"/>
        <v>1511</v>
      </c>
      <c r="AP151" s="52">
        <f t="shared" si="114"/>
        <v>4.8</v>
      </c>
      <c r="AQ151" s="42">
        <f t="shared" si="115"/>
        <v>0</v>
      </c>
      <c r="AR151" s="46"/>
      <c r="AS151" s="46"/>
      <c r="AT151" s="50" t="str">
        <f t="shared" si="116"/>
        <v/>
      </c>
      <c r="AU151" s="50">
        <f t="shared" si="108"/>
        <v>92</v>
      </c>
      <c r="AV151" s="50" t="str">
        <f t="shared" si="117"/>
        <v/>
      </c>
      <c r="AW151" s="54" t="str">
        <f t="shared" si="118"/>
        <v/>
      </c>
    </row>
    <row r="152" spans="1:49" x14ac:dyDescent="0.25">
      <c r="A152" s="33" t="s">
        <v>55</v>
      </c>
      <c r="B152" s="33" t="s">
        <v>93</v>
      </c>
      <c r="C152" s="33" t="s">
        <v>87</v>
      </c>
      <c r="D152" s="33" t="s">
        <v>234</v>
      </c>
      <c r="E152" s="34">
        <f>COUNTIF('Detalle por artículo'!$K$8:$K$592,D152)</f>
        <v>2</v>
      </c>
      <c r="F152" s="35">
        <f t="shared" si="90"/>
        <v>127.875</v>
      </c>
      <c r="G152" s="36">
        <f>SUMIF('Detalle por artículo'!$K$8:$K$592,$D152,'Detalle por artículo'!$E$8:$E$592)</f>
        <v>4.8</v>
      </c>
      <c r="H152" s="35">
        <f t="shared" si="91"/>
        <v>4</v>
      </c>
      <c r="I152" s="35">
        <f t="shared" si="92"/>
        <v>7</v>
      </c>
      <c r="J152" s="35">
        <f t="shared" si="93"/>
        <v>13</v>
      </c>
      <c r="K152" s="37">
        <f t="shared" si="94"/>
        <v>0.17142857142857143</v>
      </c>
      <c r="L152" s="36">
        <f>SUMIF('Detalle por artículo'!$K$8:$K$592,$D152,'Detalle por artículo'!$O$8:$O$592)</f>
        <v>613.79999999999995</v>
      </c>
      <c r="M152" s="38">
        <f>SUMIF('Detalle por artículo'!$K$8:$K$592,$D152,'Detalle por artículo'!$I$8:$I$592)</f>
        <v>1380</v>
      </c>
      <c r="N152" s="38">
        <f>SUMIF('Detalle por artículo'!$K$8:$K$592,$D152,'Detalle por artículo'!$M$8:$M$592)</f>
        <v>50</v>
      </c>
      <c r="O152" s="39">
        <f t="shared" si="95"/>
        <v>3.4782608695652173</v>
      </c>
      <c r="P152" s="40">
        <f t="shared" si="96"/>
        <v>444.78260869565213</v>
      </c>
      <c r="Q152" s="41">
        <f t="shared" si="97"/>
        <v>0.15</v>
      </c>
      <c r="R152" s="40">
        <f t="shared" si="98"/>
        <v>5.52</v>
      </c>
      <c r="S152" s="42">
        <f>IFERROR(SUM($G$8:G152)/$G$6,0)</f>
        <v>0.77180160806561982</v>
      </c>
      <c r="T152" s="43" t="str">
        <f t="shared" si="99"/>
        <v>B</v>
      </c>
      <c r="U152" s="44">
        <v>1382</v>
      </c>
      <c r="V152" s="45">
        <f t="shared" si="109"/>
        <v>2</v>
      </c>
      <c r="W152" s="46">
        <v>46219</v>
      </c>
      <c r="X152" s="46">
        <v>46219</v>
      </c>
      <c r="Y152" s="47">
        <v>0</v>
      </c>
      <c r="Z152" s="48">
        <f t="shared" si="100"/>
        <v>0</v>
      </c>
      <c r="AA152" s="49">
        <f t="shared" si="101"/>
        <v>0</v>
      </c>
      <c r="AB152" s="44">
        <v>1375</v>
      </c>
      <c r="AC152" s="44">
        <f t="shared" si="102"/>
        <v>481</v>
      </c>
      <c r="AD152" s="44">
        <f t="shared" si="103"/>
        <v>871</v>
      </c>
      <c r="AE152" s="50">
        <f t="shared" si="104"/>
        <v>48</v>
      </c>
      <c r="AF152" s="41">
        <f t="shared" si="105"/>
        <v>0.96</v>
      </c>
      <c r="AG152" s="44">
        <v>3</v>
      </c>
      <c r="AH152" s="44">
        <v>20</v>
      </c>
      <c r="AI152" s="42">
        <f t="shared" si="110"/>
        <v>0.34855072463768116</v>
      </c>
      <c r="AJ152" s="42">
        <f t="shared" si="111"/>
        <v>0.63115942028985506</v>
      </c>
      <c r="AK152" s="40">
        <f t="shared" si="106"/>
        <v>1.6730434782608694</v>
      </c>
      <c r="AL152" s="51">
        <v>0</v>
      </c>
      <c r="AM152" s="52">
        <f t="shared" si="107"/>
        <v>0</v>
      </c>
      <c r="AN152" s="42">
        <f t="shared" si="112"/>
        <v>0</v>
      </c>
      <c r="AO152" s="53">
        <f t="shared" si="113"/>
        <v>5</v>
      </c>
      <c r="AP152" s="52">
        <f t="shared" si="114"/>
        <v>1.7391304347826087E-2</v>
      </c>
      <c r="AQ152" s="42">
        <f t="shared" si="115"/>
        <v>0.97971014492753628</v>
      </c>
      <c r="AR152" s="46">
        <v>46233</v>
      </c>
      <c r="AS152" s="46">
        <v>46234</v>
      </c>
      <c r="AT152" s="50">
        <f t="shared" si="116"/>
        <v>15</v>
      </c>
      <c r="AU152" s="50">
        <f t="shared" si="108"/>
        <v>119</v>
      </c>
      <c r="AV152" s="50">
        <f t="shared" si="117"/>
        <v>29</v>
      </c>
      <c r="AW152" s="54">
        <f t="shared" si="118"/>
        <v>90</v>
      </c>
    </row>
    <row r="153" spans="1:49" x14ac:dyDescent="0.25">
      <c r="A153" s="33" t="s">
        <v>55</v>
      </c>
      <c r="B153" s="33" t="s">
        <v>99</v>
      </c>
      <c r="C153" s="33" t="s">
        <v>100</v>
      </c>
      <c r="D153" s="33" t="s">
        <v>235</v>
      </c>
      <c r="E153" s="34">
        <f>COUNTIF('Detalle por artículo'!$K$8:$K$592,D153)</f>
        <v>2</v>
      </c>
      <c r="F153" s="35">
        <f t="shared" si="90"/>
        <v>73.229166666666671</v>
      </c>
      <c r="G153" s="36">
        <f>SUMIF('Detalle por artículo'!$K$8:$K$592,$D153,'Detalle por artículo'!$E$8:$E$592)</f>
        <v>4.8</v>
      </c>
      <c r="H153" s="35">
        <f t="shared" si="91"/>
        <v>4</v>
      </c>
      <c r="I153" s="35">
        <f t="shared" si="92"/>
        <v>7</v>
      </c>
      <c r="J153" s="35">
        <f t="shared" si="93"/>
        <v>13</v>
      </c>
      <c r="K153" s="37">
        <f t="shared" si="94"/>
        <v>0.17142857142857143</v>
      </c>
      <c r="L153" s="36">
        <f>SUMIF('Detalle por artículo'!$K$8:$K$592,$D153,'Detalle por artículo'!$O$8:$O$592)</f>
        <v>351.5</v>
      </c>
      <c r="M153" s="38">
        <f>SUMIF('Detalle por artículo'!$K$8:$K$592,$D153,'Detalle por artículo'!$I$8:$I$592)</f>
        <v>1449</v>
      </c>
      <c r="N153" s="38">
        <f>SUMIF('Detalle por artículo'!$K$8:$K$592,$D153,'Detalle por artículo'!$M$8:$M$592)</f>
        <v>50</v>
      </c>
      <c r="O153" s="39">
        <f t="shared" si="95"/>
        <v>3.3126293995859215</v>
      </c>
      <c r="P153" s="40">
        <f t="shared" si="96"/>
        <v>242.58109040717738</v>
      </c>
      <c r="Q153" s="41">
        <f t="shared" si="97"/>
        <v>0.2</v>
      </c>
      <c r="R153" s="40">
        <f t="shared" si="98"/>
        <v>5.76</v>
      </c>
      <c r="S153" s="42">
        <f>IFERROR(SUM($G$8:G153)/$G$6,0)</f>
        <v>0.7735654342396685</v>
      </c>
      <c r="T153" s="43" t="str">
        <f t="shared" si="99"/>
        <v>B</v>
      </c>
      <c r="U153" s="44">
        <v>1450</v>
      </c>
      <c r="V153" s="45">
        <f t="shared" si="109"/>
        <v>1</v>
      </c>
      <c r="W153" s="46">
        <v>46239</v>
      </c>
      <c r="X153" s="46">
        <v>46239</v>
      </c>
      <c r="Y153" s="47">
        <v>1</v>
      </c>
      <c r="Z153" s="48">
        <f t="shared" si="100"/>
        <v>3.3126293995859213E-3</v>
      </c>
      <c r="AA153" s="49">
        <f t="shared" si="101"/>
        <v>1.1830819284235433E-4</v>
      </c>
      <c r="AB153" s="44">
        <v>919</v>
      </c>
      <c r="AC153" s="44">
        <f t="shared" si="102"/>
        <v>683</v>
      </c>
      <c r="AD153" s="44">
        <f t="shared" si="103"/>
        <v>205</v>
      </c>
      <c r="AE153" s="50">
        <f t="shared" si="104"/>
        <v>47</v>
      </c>
      <c r="AF153" s="41">
        <f t="shared" si="105"/>
        <v>0.94</v>
      </c>
      <c r="AG153" s="44">
        <v>5</v>
      </c>
      <c r="AH153" s="44">
        <v>26</v>
      </c>
      <c r="AI153" s="42">
        <f t="shared" si="110"/>
        <v>0.47135955831608006</v>
      </c>
      <c r="AJ153" s="42">
        <f t="shared" si="111"/>
        <v>0.14147688060731539</v>
      </c>
      <c r="AK153" s="40">
        <f t="shared" si="106"/>
        <v>2.2625258799171841</v>
      </c>
      <c r="AL153" s="51">
        <v>531</v>
      </c>
      <c r="AM153" s="52">
        <f t="shared" si="107"/>
        <v>1.7590062111801243</v>
      </c>
      <c r="AN153" s="42">
        <f t="shared" si="112"/>
        <v>0.36620689655172411</v>
      </c>
      <c r="AO153" s="53">
        <f t="shared" si="113"/>
        <v>530</v>
      </c>
      <c r="AP153" s="52">
        <f t="shared" si="114"/>
        <v>1.7556935817805384</v>
      </c>
      <c r="AQ153" s="42">
        <f t="shared" si="115"/>
        <v>0.61283643892339545</v>
      </c>
      <c r="AR153" s="46">
        <v>46254</v>
      </c>
      <c r="AS153" s="46">
        <v>46255</v>
      </c>
      <c r="AT153" s="50">
        <f t="shared" si="116"/>
        <v>16</v>
      </c>
      <c r="AU153" s="50">
        <f t="shared" si="108"/>
        <v>108</v>
      </c>
      <c r="AV153" s="50">
        <f t="shared" si="117"/>
        <v>77</v>
      </c>
      <c r="AW153" s="54">
        <f t="shared" si="118"/>
        <v>31</v>
      </c>
    </row>
    <row r="154" spans="1:49" x14ac:dyDescent="0.25">
      <c r="A154" s="33" t="s">
        <v>63</v>
      </c>
      <c r="B154" s="33" t="s">
        <v>102</v>
      </c>
      <c r="C154" s="33" t="s">
        <v>103</v>
      </c>
      <c r="D154" s="33" t="s">
        <v>236</v>
      </c>
      <c r="E154" s="34">
        <f>COUNTIF('Detalle por artículo'!$K$8:$K$592,D154)</f>
        <v>2</v>
      </c>
      <c r="F154" s="35">
        <f t="shared" si="90"/>
        <v>264.72689075630251</v>
      </c>
      <c r="G154" s="36">
        <f>SUMIF('Detalle por artículo'!$K$8:$K$592,$D154,'Detalle por artículo'!$E$8:$E$592)</f>
        <v>4.76</v>
      </c>
      <c r="H154" s="35">
        <f t="shared" si="91"/>
        <v>4</v>
      </c>
      <c r="I154" s="35">
        <f t="shared" si="92"/>
        <v>7</v>
      </c>
      <c r="J154" s="35">
        <f t="shared" si="93"/>
        <v>13</v>
      </c>
      <c r="K154" s="37">
        <f t="shared" si="94"/>
        <v>0.16999999999999998</v>
      </c>
      <c r="L154" s="36">
        <f>SUMIF('Detalle por artículo'!$K$8:$K$592,$D154,'Detalle por artículo'!$O$8:$O$592)</f>
        <v>1260.0999999999999</v>
      </c>
      <c r="M154" s="38">
        <f>SUMIF('Detalle por artículo'!$K$8:$K$592,$D154,'Detalle por artículo'!$I$8:$I$592)</f>
        <v>1794</v>
      </c>
      <c r="N154" s="38">
        <f>SUMIF('Detalle por artículo'!$K$8:$K$592,$D154,'Detalle por artículo'!$M$8:$M$592)</f>
        <v>56</v>
      </c>
      <c r="O154" s="39">
        <f t="shared" si="95"/>
        <v>2.6532887402452618</v>
      </c>
      <c r="P154" s="40">
        <f t="shared" si="96"/>
        <v>702.39687848383494</v>
      </c>
      <c r="Q154" s="41">
        <f t="shared" si="97"/>
        <v>0.1</v>
      </c>
      <c r="R154" s="40">
        <f t="shared" si="98"/>
        <v>5.2359999999999998</v>
      </c>
      <c r="S154" s="42">
        <f>IFERROR(SUM($G$8:G154)/$G$6,0)</f>
        <v>0.77531456186226677</v>
      </c>
      <c r="T154" s="43" t="str">
        <f t="shared" si="99"/>
        <v>B</v>
      </c>
      <c r="U154" s="44">
        <v>1801</v>
      </c>
      <c r="V154" s="45">
        <f t="shared" si="109"/>
        <v>7</v>
      </c>
      <c r="W154" s="46">
        <v>46233</v>
      </c>
      <c r="X154" s="46">
        <v>46233</v>
      </c>
      <c r="Y154" s="47">
        <v>0</v>
      </c>
      <c r="Z154" s="48">
        <f t="shared" si="100"/>
        <v>0</v>
      </c>
      <c r="AA154" s="49">
        <f t="shared" si="101"/>
        <v>0</v>
      </c>
      <c r="AB154" s="44">
        <v>1313</v>
      </c>
      <c r="AC154" s="44">
        <f t="shared" si="102"/>
        <v>758</v>
      </c>
      <c r="AD154" s="44">
        <f t="shared" si="103"/>
        <v>528</v>
      </c>
      <c r="AE154" s="50">
        <f t="shared" si="104"/>
        <v>49</v>
      </c>
      <c r="AF154" s="41">
        <f t="shared" si="105"/>
        <v>0.98</v>
      </c>
      <c r="AG154" s="44">
        <v>1</v>
      </c>
      <c r="AH154" s="44">
        <v>26</v>
      </c>
      <c r="AI154" s="42">
        <f t="shared" si="110"/>
        <v>0.42251950947603123</v>
      </c>
      <c r="AJ154" s="42">
        <f t="shared" si="111"/>
        <v>0.29431438127090304</v>
      </c>
      <c r="AK154" s="40">
        <f t="shared" si="106"/>
        <v>2.0111928651059086</v>
      </c>
      <c r="AL154" s="51">
        <v>478</v>
      </c>
      <c r="AM154" s="52">
        <f t="shared" si="107"/>
        <v>1.2682720178372351</v>
      </c>
      <c r="AN154" s="42">
        <f t="shared" si="112"/>
        <v>0.2654081066074403</v>
      </c>
      <c r="AO154" s="53">
        <f t="shared" si="113"/>
        <v>481</v>
      </c>
      <c r="AP154" s="52">
        <f t="shared" si="114"/>
        <v>1.2762318840579709</v>
      </c>
      <c r="AQ154" s="42">
        <f t="shared" si="115"/>
        <v>0.71683389074693427</v>
      </c>
      <c r="AR154" s="46">
        <v>46254</v>
      </c>
      <c r="AS154" s="46">
        <v>46255</v>
      </c>
      <c r="AT154" s="50">
        <f t="shared" si="116"/>
        <v>22</v>
      </c>
      <c r="AU154" s="50">
        <f t="shared" si="108"/>
        <v>59</v>
      </c>
      <c r="AV154" s="50">
        <f t="shared" si="117"/>
        <v>38</v>
      </c>
      <c r="AW154" s="54">
        <f t="shared" si="118"/>
        <v>21</v>
      </c>
    </row>
    <row r="155" spans="1:49" x14ac:dyDescent="0.25">
      <c r="A155" s="33" t="s">
        <v>55</v>
      </c>
      <c r="B155" s="33" t="s">
        <v>93</v>
      </c>
      <c r="C155" s="33" t="s">
        <v>94</v>
      </c>
      <c r="D155" s="33" t="s">
        <v>237</v>
      </c>
      <c r="E155" s="34">
        <f>COUNTIF('Detalle por artículo'!$K$8:$K$592,D155)</f>
        <v>1</v>
      </c>
      <c r="F155" s="35">
        <f t="shared" si="90"/>
        <v>152.08333333333337</v>
      </c>
      <c r="G155" s="36">
        <f>SUMIF('Detalle por artículo'!$K$8:$K$592,$D155,'Detalle por artículo'!$E$8:$E$592)</f>
        <v>4.7039999999999997</v>
      </c>
      <c r="H155" s="35">
        <f t="shared" si="91"/>
        <v>4</v>
      </c>
      <c r="I155" s="35">
        <f t="shared" si="92"/>
        <v>7</v>
      </c>
      <c r="J155" s="35">
        <f t="shared" si="93"/>
        <v>13</v>
      </c>
      <c r="K155" s="37">
        <f t="shared" si="94"/>
        <v>0.16799999999999998</v>
      </c>
      <c r="L155" s="36">
        <f>SUMIF('Detalle por artículo'!$K$8:$K$592,$D155,'Detalle por artículo'!$O$8:$O$592)</f>
        <v>715.40000000000009</v>
      </c>
      <c r="M155" s="38">
        <f>SUMIF('Detalle por artículo'!$K$8:$K$592,$D155,'Detalle por artículo'!$I$8:$I$592)</f>
        <v>916</v>
      </c>
      <c r="N155" s="38">
        <f>SUMIF('Detalle por artículo'!$K$8:$K$592,$D155,'Detalle por artículo'!$M$8:$M$592)</f>
        <v>49</v>
      </c>
      <c r="O155" s="39">
        <f t="shared" si="95"/>
        <v>5.1353711790393017</v>
      </c>
      <c r="P155" s="40">
        <f t="shared" si="96"/>
        <v>781.0043668122272</v>
      </c>
      <c r="Q155" s="41">
        <f t="shared" si="97"/>
        <v>0.15</v>
      </c>
      <c r="R155" s="40">
        <f t="shared" si="98"/>
        <v>5.4095999999999993</v>
      </c>
      <c r="S155" s="42">
        <f>IFERROR(SUM($G$8:G155)/$G$6,0)</f>
        <v>0.77704311151283445</v>
      </c>
      <c r="T155" s="43" t="str">
        <f t="shared" si="99"/>
        <v>B</v>
      </c>
      <c r="U155" s="44">
        <v>918</v>
      </c>
      <c r="V155" s="45">
        <f t="shared" si="109"/>
        <v>2</v>
      </c>
      <c r="W155" s="46">
        <v>46217</v>
      </c>
      <c r="X155" s="46">
        <v>46217</v>
      </c>
      <c r="Y155" s="47">
        <v>0</v>
      </c>
      <c r="Z155" s="48">
        <f t="shared" si="100"/>
        <v>0</v>
      </c>
      <c r="AA155" s="49">
        <f t="shared" si="101"/>
        <v>0</v>
      </c>
      <c r="AB155" s="44">
        <v>917</v>
      </c>
      <c r="AC155" s="44">
        <f t="shared" si="102"/>
        <v>533</v>
      </c>
      <c r="AD155" s="44">
        <f t="shared" si="103"/>
        <v>375</v>
      </c>
      <c r="AE155" s="50">
        <f t="shared" si="104"/>
        <v>47</v>
      </c>
      <c r="AF155" s="41">
        <f t="shared" si="105"/>
        <v>0.94</v>
      </c>
      <c r="AG155" s="44">
        <v>9</v>
      </c>
      <c r="AH155" s="44">
        <v>0</v>
      </c>
      <c r="AI155" s="42">
        <f t="shared" si="110"/>
        <v>0.58187772925764192</v>
      </c>
      <c r="AJ155" s="42">
        <f t="shared" si="111"/>
        <v>0.40938864628820959</v>
      </c>
      <c r="AK155" s="40">
        <f t="shared" si="106"/>
        <v>2.7371528384279475</v>
      </c>
      <c r="AL155" s="51">
        <v>-1</v>
      </c>
      <c r="AM155" s="52">
        <f t="shared" si="107"/>
        <v>-5.1353711790393022E-3</v>
      </c>
      <c r="AN155" s="42">
        <f t="shared" si="112"/>
        <v>-1.0893246187363835E-3</v>
      </c>
      <c r="AO155" s="53">
        <f t="shared" si="113"/>
        <v>-1</v>
      </c>
      <c r="AP155" s="52">
        <f t="shared" si="114"/>
        <v>-5.1353711790393022E-3</v>
      </c>
      <c r="AQ155" s="42">
        <f t="shared" si="115"/>
        <v>0.99126637554585151</v>
      </c>
      <c r="AR155" s="46">
        <v>46233</v>
      </c>
      <c r="AS155" s="46">
        <v>46234</v>
      </c>
      <c r="AT155" s="50">
        <f t="shared" si="116"/>
        <v>17</v>
      </c>
      <c r="AU155" s="50">
        <f t="shared" si="108"/>
        <v>194</v>
      </c>
      <c r="AV155" s="50">
        <f t="shared" si="117"/>
        <v>78</v>
      </c>
      <c r="AW155" s="54">
        <f t="shared" si="118"/>
        <v>116</v>
      </c>
    </row>
    <row r="156" spans="1:49" x14ac:dyDescent="0.25">
      <c r="A156" s="33" t="s">
        <v>63</v>
      </c>
      <c r="B156" s="33" t="s">
        <v>110</v>
      </c>
      <c r="C156" s="33" t="s">
        <v>100</v>
      </c>
      <c r="D156" s="33" t="s">
        <v>238</v>
      </c>
      <c r="E156" s="34">
        <f>COUNTIF('Detalle por artículo'!$K$8:$K$592,D156)</f>
        <v>2</v>
      </c>
      <c r="F156" s="35">
        <f t="shared" si="90"/>
        <v>157.69557823129253</v>
      </c>
      <c r="G156" s="36">
        <f>SUMIF('Detalle por artículo'!$K$8:$K$592,$D156,'Detalle por artículo'!$E$8:$E$592)</f>
        <v>4.7039999999999997</v>
      </c>
      <c r="H156" s="35">
        <f t="shared" si="91"/>
        <v>4</v>
      </c>
      <c r="I156" s="35">
        <f t="shared" si="92"/>
        <v>7</v>
      </c>
      <c r="J156" s="35">
        <f t="shared" si="93"/>
        <v>13</v>
      </c>
      <c r="K156" s="37">
        <f t="shared" si="94"/>
        <v>0.16799999999999998</v>
      </c>
      <c r="L156" s="36">
        <f>SUMIF('Detalle por artículo'!$K$8:$K$592,$D156,'Detalle por artículo'!$O$8:$O$592)</f>
        <v>741.80000000000007</v>
      </c>
      <c r="M156" s="38">
        <f>SUMIF('Detalle por artículo'!$K$8:$K$592,$D156,'Detalle por artículo'!$I$8:$I$592)</f>
        <v>1956</v>
      </c>
      <c r="N156" s="38">
        <f>SUMIF('Detalle por artículo'!$K$8:$K$592,$D156,'Detalle por artículo'!$M$8:$M$592)</f>
        <v>49</v>
      </c>
      <c r="O156" s="39">
        <f t="shared" si="95"/>
        <v>2.4049079754601226</v>
      </c>
      <c r="P156" s="40">
        <f t="shared" si="96"/>
        <v>379.2433537832311</v>
      </c>
      <c r="Q156" s="41">
        <f t="shared" si="97"/>
        <v>0.15</v>
      </c>
      <c r="R156" s="40">
        <f t="shared" si="98"/>
        <v>5.4095999999999993</v>
      </c>
      <c r="S156" s="42">
        <f>IFERROR(SUM($G$8:G156)/$G$6,0)</f>
        <v>0.77877166116340224</v>
      </c>
      <c r="T156" s="43" t="str">
        <f t="shared" si="99"/>
        <v>B</v>
      </c>
      <c r="U156" s="44">
        <v>1956</v>
      </c>
      <c r="V156" s="45">
        <f t="shared" si="109"/>
        <v>0</v>
      </c>
      <c r="W156" s="46">
        <v>46288</v>
      </c>
      <c r="X156" s="46">
        <v>46288</v>
      </c>
      <c r="Y156" s="47">
        <v>0</v>
      </c>
      <c r="Z156" s="48">
        <f t="shared" si="100"/>
        <v>0</v>
      </c>
      <c r="AA156" s="49">
        <f t="shared" si="101"/>
        <v>0</v>
      </c>
      <c r="AB156" s="44">
        <v>642</v>
      </c>
      <c r="AC156" s="44">
        <f t="shared" si="102"/>
        <v>634</v>
      </c>
      <c r="AD156" s="44">
        <f t="shared" si="103"/>
        <v>2</v>
      </c>
      <c r="AE156" s="50">
        <f t="shared" si="104"/>
        <v>48</v>
      </c>
      <c r="AF156" s="41">
        <f t="shared" si="105"/>
        <v>0.96</v>
      </c>
      <c r="AG156" s="44">
        <v>6</v>
      </c>
      <c r="AH156" s="44">
        <v>0</v>
      </c>
      <c r="AI156" s="42">
        <f t="shared" si="110"/>
        <v>0.32413087934560325</v>
      </c>
      <c r="AJ156" s="42">
        <f t="shared" si="111"/>
        <v>1.0224948875255625E-3</v>
      </c>
      <c r="AK156" s="40">
        <f t="shared" si="106"/>
        <v>1.5247116564417176</v>
      </c>
      <c r="AL156" s="51">
        <v>1314</v>
      </c>
      <c r="AM156" s="52">
        <f t="shared" si="107"/>
        <v>3.1600490797546015</v>
      </c>
      <c r="AN156" s="42">
        <f t="shared" si="112"/>
        <v>0.67177914110429449</v>
      </c>
      <c r="AO156" s="53">
        <f t="shared" si="113"/>
        <v>1314</v>
      </c>
      <c r="AP156" s="52">
        <f t="shared" si="114"/>
        <v>3.1600490797546015</v>
      </c>
      <c r="AQ156" s="42">
        <f t="shared" si="115"/>
        <v>0.32515337423312884</v>
      </c>
      <c r="AR156" s="46">
        <v>46293</v>
      </c>
      <c r="AS156" s="46">
        <v>46294</v>
      </c>
      <c r="AT156" s="50">
        <f t="shared" si="116"/>
        <v>6</v>
      </c>
      <c r="AU156" s="50">
        <f t="shared" si="108"/>
        <v>45</v>
      </c>
      <c r="AV156" s="50">
        <f t="shared" si="117"/>
        <v>160</v>
      </c>
      <c r="AW156" s="54">
        <f t="shared" si="118"/>
        <v>-115</v>
      </c>
    </row>
    <row r="157" spans="1:49" x14ac:dyDescent="0.25">
      <c r="A157" s="33" t="s">
        <v>63</v>
      </c>
      <c r="B157" s="33" t="s">
        <v>102</v>
      </c>
      <c r="C157" s="33" t="s">
        <v>132</v>
      </c>
      <c r="D157" s="33" t="s">
        <v>239</v>
      </c>
      <c r="E157" s="34">
        <f>COUNTIF('Detalle por artículo'!$K$8:$K$592,D157)</f>
        <v>1</v>
      </c>
      <c r="F157" s="35">
        <f t="shared" si="90"/>
        <v>228.81944444444449</v>
      </c>
      <c r="G157" s="36">
        <f>SUMIF('Detalle por artículo'!$K$8:$K$592,$D157,'Detalle por artículo'!$E$8:$E$592)</f>
        <v>4.6079999999999997</v>
      </c>
      <c r="H157" s="35">
        <f t="shared" si="91"/>
        <v>3</v>
      </c>
      <c r="I157" s="35">
        <f t="shared" si="92"/>
        <v>6</v>
      </c>
      <c r="J157" s="35">
        <f t="shared" si="93"/>
        <v>12</v>
      </c>
      <c r="K157" s="37">
        <f t="shared" si="94"/>
        <v>0.16457142857142856</v>
      </c>
      <c r="L157" s="36">
        <f>SUMIF('Detalle por artículo'!$K$8:$K$592,$D157,'Detalle por artículo'!$O$8:$O$592)</f>
        <v>1054.4000000000001</v>
      </c>
      <c r="M157" s="38">
        <f>SUMIF('Detalle por artículo'!$K$8:$K$592,$D157,'Detalle por artículo'!$I$8:$I$592)</f>
        <v>1540</v>
      </c>
      <c r="N157" s="38">
        <f>SUMIF('Detalle por artículo'!$K$8:$K$592,$D157,'Detalle por artículo'!$M$8:$M$592)</f>
        <v>48</v>
      </c>
      <c r="O157" s="39">
        <f t="shared" si="95"/>
        <v>2.9922077922077923</v>
      </c>
      <c r="P157" s="40">
        <f t="shared" si="96"/>
        <v>684.67532467532476</v>
      </c>
      <c r="Q157" s="41">
        <f t="shared" si="97"/>
        <v>0.1</v>
      </c>
      <c r="R157" s="40">
        <f t="shared" si="98"/>
        <v>5.0688000000000004</v>
      </c>
      <c r="S157" s="42">
        <f>IFERROR(SUM($G$8:G157)/$G$6,0)</f>
        <v>0.78046493429048891</v>
      </c>
      <c r="T157" s="43" t="str">
        <f t="shared" si="99"/>
        <v>B</v>
      </c>
      <c r="U157" s="44">
        <v>1540</v>
      </c>
      <c r="V157" s="45">
        <f t="shared" si="109"/>
        <v>0</v>
      </c>
      <c r="W157" s="46">
        <v>46218</v>
      </c>
      <c r="X157" s="46">
        <v>46218</v>
      </c>
      <c r="Y157" s="47">
        <v>0</v>
      </c>
      <c r="Z157" s="48">
        <f t="shared" si="100"/>
        <v>0</v>
      </c>
      <c r="AA157" s="49">
        <f t="shared" si="101"/>
        <v>0</v>
      </c>
      <c r="AB157" s="44">
        <v>820</v>
      </c>
      <c r="AC157" s="44">
        <f t="shared" si="102"/>
        <v>493</v>
      </c>
      <c r="AD157" s="44">
        <f t="shared" si="103"/>
        <v>317</v>
      </c>
      <c r="AE157" s="50">
        <f t="shared" si="104"/>
        <v>49</v>
      </c>
      <c r="AF157" s="41">
        <f t="shared" si="105"/>
        <v>0.98</v>
      </c>
      <c r="AG157" s="44">
        <v>10</v>
      </c>
      <c r="AH157" s="44">
        <v>0</v>
      </c>
      <c r="AI157" s="42">
        <f t="shared" si="110"/>
        <v>0.32012987012987015</v>
      </c>
      <c r="AJ157" s="42">
        <f t="shared" si="111"/>
        <v>0.20584415584415586</v>
      </c>
      <c r="AK157" s="40">
        <f t="shared" si="106"/>
        <v>1.4751584415584416</v>
      </c>
      <c r="AL157" s="51">
        <v>718</v>
      </c>
      <c r="AM157" s="52">
        <f t="shared" si="107"/>
        <v>2.1484051948051945</v>
      </c>
      <c r="AN157" s="42">
        <f t="shared" si="112"/>
        <v>0.46623376623376622</v>
      </c>
      <c r="AO157" s="53">
        <f t="shared" si="113"/>
        <v>720</v>
      </c>
      <c r="AP157" s="52">
        <f t="shared" si="114"/>
        <v>2.1543896103896105</v>
      </c>
      <c r="AQ157" s="42">
        <f t="shared" si="115"/>
        <v>0.52597402597402598</v>
      </c>
      <c r="AR157" s="46">
        <v>46225</v>
      </c>
      <c r="AS157" s="46">
        <v>46225</v>
      </c>
      <c r="AT157" s="50">
        <f t="shared" si="116"/>
        <v>7</v>
      </c>
      <c r="AU157" s="50">
        <f t="shared" si="108"/>
        <v>89</v>
      </c>
      <c r="AV157" s="50">
        <f t="shared" si="117"/>
        <v>92</v>
      </c>
      <c r="AW157" s="54">
        <f t="shared" si="118"/>
        <v>-3</v>
      </c>
    </row>
    <row r="158" spans="1:49" x14ac:dyDescent="0.25">
      <c r="A158" s="33" t="s">
        <v>55</v>
      </c>
      <c r="B158" s="33" t="s">
        <v>56</v>
      </c>
      <c r="C158" s="33" t="s">
        <v>80</v>
      </c>
      <c r="D158" s="33" t="s">
        <v>240</v>
      </c>
      <c r="E158" s="34">
        <f>COUNTIF('Detalle por artículo'!$K$8:$K$592,D158)</f>
        <v>1</v>
      </c>
      <c r="F158" s="35">
        <f t="shared" si="90"/>
        <v>185.41666666666669</v>
      </c>
      <c r="G158" s="36">
        <f>SUMIF('Detalle por artículo'!$K$8:$K$592,$D158,'Detalle por artículo'!$E$8:$E$592)</f>
        <v>4.5119999999999996</v>
      </c>
      <c r="H158" s="35">
        <f t="shared" si="91"/>
        <v>3</v>
      </c>
      <c r="I158" s="35">
        <f t="shared" si="92"/>
        <v>6</v>
      </c>
      <c r="J158" s="35">
        <f t="shared" si="93"/>
        <v>12</v>
      </c>
      <c r="K158" s="37">
        <f t="shared" si="94"/>
        <v>0.16114285714285712</v>
      </c>
      <c r="L158" s="36">
        <f>SUMIF('Detalle por artículo'!$K$8:$K$592,$D158,'Detalle por artículo'!$O$8:$O$592)</f>
        <v>836.6</v>
      </c>
      <c r="M158" s="38">
        <f>SUMIF('Detalle por artículo'!$K$8:$K$592,$D158,'Detalle por artículo'!$I$8:$I$592)</f>
        <v>689</v>
      </c>
      <c r="N158" s="38">
        <f>SUMIF('Detalle por artículo'!$K$8:$K$592,$D158,'Detalle por artículo'!$M$8:$M$592)</f>
        <v>47</v>
      </c>
      <c r="O158" s="39">
        <f t="shared" si="95"/>
        <v>6.548621190130623</v>
      </c>
      <c r="P158" s="40">
        <f t="shared" si="96"/>
        <v>1214.22351233672</v>
      </c>
      <c r="Q158" s="41">
        <f t="shared" si="97"/>
        <v>0.15</v>
      </c>
      <c r="R158" s="40">
        <f t="shared" si="98"/>
        <v>5.1887999999999987</v>
      </c>
      <c r="S158" s="42">
        <f>IFERROR(SUM($G$8:G158)/$G$6,0)</f>
        <v>0.78212293089409468</v>
      </c>
      <c r="T158" s="43" t="str">
        <f t="shared" si="99"/>
        <v>B</v>
      </c>
      <c r="U158" s="44">
        <v>689</v>
      </c>
      <c r="V158" s="45">
        <f t="shared" si="109"/>
        <v>0</v>
      </c>
      <c r="W158" s="46">
        <v>46297</v>
      </c>
      <c r="X158" s="46">
        <v>46297</v>
      </c>
      <c r="Y158" s="47">
        <v>0</v>
      </c>
      <c r="Z158" s="48">
        <f t="shared" si="100"/>
        <v>0</v>
      </c>
      <c r="AA158" s="49">
        <f t="shared" si="101"/>
        <v>0</v>
      </c>
      <c r="AB158" s="44">
        <v>441</v>
      </c>
      <c r="AC158" s="44">
        <f t="shared" si="102"/>
        <v>407</v>
      </c>
      <c r="AD158" s="44">
        <f t="shared" si="103"/>
        <v>30</v>
      </c>
      <c r="AE158" s="50">
        <f t="shared" si="104"/>
        <v>47</v>
      </c>
      <c r="AF158" s="41">
        <f t="shared" si="105"/>
        <v>0.94</v>
      </c>
      <c r="AG158" s="44">
        <v>4</v>
      </c>
      <c r="AH158" s="44">
        <v>0</v>
      </c>
      <c r="AI158" s="42">
        <f t="shared" si="110"/>
        <v>0.59071117561683595</v>
      </c>
      <c r="AJ158" s="42">
        <f t="shared" si="111"/>
        <v>4.3541364296081277E-2</v>
      </c>
      <c r="AK158" s="40">
        <f t="shared" si="106"/>
        <v>2.6652888243831634</v>
      </c>
      <c r="AL158" s="51">
        <v>248</v>
      </c>
      <c r="AM158" s="52">
        <f t="shared" si="107"/>
        <v>1.6240580551523944</v>
      </c>
      <c r="AN158" s="42">
        <f t="shared" si="112"/>
        <v>0.35994194484760522</v>
      </c>
      <c r="AO158" s="53">
        <f t="shared" si="113"/>
        <v>248</v>
      </c>
      <c r="AP158" s="52">
        <f t="shared" si="114"/>
        <v>1.6240580551523944</v>
      </c>
      <c r="AQ158" s="42">
        <f t="shared" si="115"/>
        <v>0.6342525399129173</v>
      </c>
      <c r="AR158" s="46">
        <v>46300</v>
      </c>
      <c r="AS158" s="46">
        <v>46302</v>
      </c>
      <c r="AT158" s="50">
        <f t="shared" si="116"/>
        <v>5</v>
      </c>
      <c r="AU158" s="50">
        <f t="shared" si="108"/>
        <v>325</v>
      </c>
      <c r="AV158" s="50">
        <f t="shared" si="117"/>
        <v>310</v>
      </c>
      <c r="AW158" s="54">
        <f t="shared" si="118"/>
        <v>15</v>
      </c>
    </row>
    <row r="159" spans="1:49" x14ac:dyDescent="0.25">
      <c r="A159" s="33" t="s">
        <v>63</v>
      </c>
      <c r="B159" s="33" t="s">
        <v>64</v>
      </c>
      <c r="C159" s="33" t="s">
        <v>66</v>
      </c>
      <c r="D159" s="33" t="s">
        <v>241</v>
      </c>
      <c r="E159" s="34">
        <f>COUNTIF('Detalle por artículo'!$K$8:$K$592,D159)</f>
        <v>1</v>
      </c>
      <c r="F159" s="35">
        <f t="shared" si="90"/>
        <v>161.17516629711753</v>
      </c>
      <c r="G159" s="36">
        <f>SUMIF('Detalle por artículo'!$K$8:$K$592,$D159,'Detalle por artículo'!$E$8:$E$592)</f>
        <v>4.51</v>
      </c>
      <c r="H159" s="35">
        <f t="shared" si="91"/>
        <v>3</v>
      </c>
      <c r="I159" s="35">
        <f t="shared" si="92"/>
        <v>6</v>
      </c>
      <c r="J159" s="35">
        <f t="shared" si="93"/>
        <v>12</v>
      </c>
      <c r="K159" s="37">
        <f t="shared" si="94"/>
        <v>0.16107142857142856</v>
      </c>
      <c r="L159" s="36">
        <f>SUMIF('Detalle por artículo'!$K$8:$K$592,$D159,'Detalle por artículo'!$O$8:$O$592)</f>
        <v>726.9</v>
      </c>
      <c r="M159" s="38">
        <f>SUMIF('Detalle por artículo'!$K$8:$K$592,$D159,'Detalle por artículo'!$I$8:$I$592)</f>
        <v>633</v>
      </c>
      <c r="N159" s="38">
        <f>SUMIF('Detalle por artículo'!$K$8:$K$592,$D159,'Detalle por artículo'!$M$8:$M$592)</f>
        <v>47</v>
      </c>
      <c r="O159" s="39">
        <f t="shared" si="95"/>
        <v>7.1248025276461293</v>
      </c>
      <c r="P159" s="40">
        <f t="shared" si="96"/>
        <v>1148.3412322274883</v>
      </c>
      <c r="Q159" s="41">
        <f t="shared" si="97"/>
        <v>0.15</v>
      </c>
      <c r="R159" s="40">
        <f t="shared" si="98"/>
        <v>5.1864999999999997</v>
      </c>
      <c r="S159" s="42">
        <f>IFERROR(SUM($G$8:G159)/$G$6,0)</f>
        <v>0.78378019257012799</v>
      </c>
      <c r="T159" s="43" t="str">
        <f t="shared" si="99"/>
        <v>B</v>
      </c>
      <c r="U159" s="44">
        <v>629</v>
      </c>
      <c r="V159" s="45">
        <f t="shared" si="109"/>
        <v>-4</v>
      </c>
      <c r="W159" s="46">
        <v>46247</v>
      </c>
      <c r="X159" s="46">
        <v>46247</v>
      </c>
      <c r="Y159" s="47">
        <v>4</v>
      </c>
      <c r="Z159" s="48">
        <f t="shared" si="100"/>
        <v>2.8499210110584518E-2</v>
      </c>
      <c r="AA159" s="49">
        <f t="shared" si="101"/>
        <v>1.0178289325208755E-3</v>
      </c>
      <c r="AB159" s="44">
        <v>608</v>
      </c>
      <c r="AC159" s="44">
        <f t="shared" si="102"/>
        <v>461</v>
      </c>
      <c r="AD159" s="44">
        <f t="shared" si="103"/>
        <v>147</v>
      </c>
      <c r="AE159" s="50">
        <f t="shared" si="104"/>
        <v>47</v>
      </c>
      <c r="AF159" s="41">
        <f t="shared" si="105"/>
        <v>0.94</v>
      </c>
      <c r="AG159" s="44">
        <v>0</v>
      </c>
      <c r="AH159" s="44">
        <v>0</v>
      </c>
      <c r="AI159" s="42">
        <f t="shared" si="110"/>
        <v>0.72827804107424965</v>
      </c>
      <c r="AJ159" s="42">
        <f t="shared" si="111"/>
        <v>0.23222748815165878</v>
      </c>
      <c r="AK159" s="40">
        <f t="shared" si="106"/>
        <v>3.2845339652448655</v>
      </c>
      <c r="AL159" s="51">
        <v>16</v>
      </c>
      <c r="AM159" s="52">
        <f t="shared" si="107"/>
        <v>0.11399684044233807</v>
      </c>
      <c r="AN159" s="42">
        <f t="shared" si="112"/>
        <v>2.5437201907790145E-2</v>
      </c>
      <c r="AO159" s="53">
        <f t="shared" si="113"/>
        <v>25</v>
      </c>
      <c r="AP159" s="52">
        <f t="shared" si="114"/>
        <v>0.17812006319115323</v>
      </c>
      <c r="AQ159" s="42">
        <f t="shared" si="115"/>
        <v>0.96050552922590837</v>
      </c>
      <c r="AR159" s="46">
        <v>46257</v>
      </c>
      <c r="AS159" s="46">
        <v>46258</v>
      </c>
      <c r="AT159" s="50">
        <f t="shared" si="116"/>
        <v>11</v>
      </c>
      <c r="AU159" s="50">
        <f t="shared" si="108"/>
        <v>374</v>
      </c>
      <c r="AV159" s="50">
        <f t="shared" si="117"/>
        <v>182</v>
      </c>
      <c r="AW159" s="54">
        <f t="shared" si="118"/>
        <v>192</v>
      </c>
    </row>
    <row r="160" spans="1:49" x14ac:dyDescent="0.25">
      <c r="A160" s="33" t="s">
        <v>55</v>
      </c>
      <c r="B160" s="33" t="s">
        <v>56</v>
      </c>
      <c r="C160" s="33" t="s">
        <v>161</v>
      </c>
      <c r="D160" s="33" t="s">
        <v>242</v>
      </c>
      <c r="E160" s="34">
        <f>COUNTIF('Detalle por artículo'!$K$8:$K$592,D160)</f>
        <v>1</v>
      </c>
      <c r="F160" s="35">
        <f t="shared" si="90"/>
        <v>99.800443458980055</v>
      </c>
      <c r="G160" s="36">
        <f>SUMIF('Detalle por artículo'!$K$8:$K$592,$D160,'Detalle por artículo'!$E$8:$E$592)</f>
        <v>4.51</v>
      </c>
      <c r="H160" s="35">
        <f t="shared" si="91"/>
        <v>3</v>
      </c>
      <c r="I160" s="35">
        <f t="shared" si="92"/>
        <v>6</v>
      </c>
      <c r="J160" s="35">
        <f t="shared" si="93"/>
        <v>12</v>
      </c>
      <c r="K160" s="37">
        <f t="shared" si="94"/>
        <v>0.16107142857142856</v>
      </c>
      <c r="L160" s="36">
        <f>SUMIF('Detalle por artículo'!$K$8:$K$592,$D160,'Detalle por artículo'!$O$8:$O$592)</f>
        <v>450.1</v>
      </c>
      <c r="M160" s="38">
        <f>SUMIF('Detalle por artículo'!$K$8:$K$592,$D160,'Detalle por artículo'!$I$8:$I$592)</f>
        <v>659</v>
      </c>
      <c r="N160" s="38">
        <f>SUMIF('Detalle por artículo'!$K$8:$K$592,$D160,'Detalle por artículo'!$M$8:$M$592)</f>
        <v>47</v>
      </c>
      <c r="O160" s="39">
        <f t="shared" si="95"/>
        <v>6.8437025796661608</v>
      </c>
      <c r="P160" s="40">
        <f t="shared" si="96"/>
        <v>683.00455235204856</v>
      </c>
      <c r="Q160" s="41">
        <f t="shared" si="97"/>
        <v>0.2</v>
      </c>
      <c r="R160" s="40">
        <f t="shared" si="98"/>
        <v>5.4119999999999999</v>
      </c>
      <c r="S160" s="42">
        <f>IFERROR(SUM($G$8:G160)/$G$6,0)</f>
        <v>0.78543745424616129</v>
      </c>
      <c r="T160" s="43" t="str">
        <f t="shared" si="99"/>
        <v>B</v>
      </c>
      <c r="U160" s="44">
        <v>659</v>
      </c>
      <c r="V160" s="45">
        <f t="shared" si="109"/>
        <v>0</v>
      </c>
      <c r="W160" s="46">
        <v>46289</v>
      </c>
      <c r="X160" s="46">
        <v>46289</v>
      </c>
      <c r="Y160" s="47">
        <v>0</v>
      </c>
      <c r="Z160" s="48">
        <f t="shared" si="100"/>
        <v>0</v>
      </c>
      <c r="AA160" s="49">
        <f t="shared" si="101"/>
        <v>0</v>
      </c>
      <c r="AB160" s="44">
        <v>426</v>
      </c>
      <c r="AC160" s="44">
        <f t="shared" si="102"/>
        <v>406</v>
      </c>
      <c r="AD160" s="44">
        <f t="shared" si="103"/>
        <v>20</v>
      </c>
      <c r="AE160" s="50">
        <f t="shared" si="104"/>
        <v>47</v>
      </c>
      <c r="AF160" s="41">
        <f t="shared" si="105"/>
        <v>0.94</v>
      </c>
      <c r="AG160" s="44">
        <v>0</v>
      </c>
      <c r="AH160" s="44">
        <v>0</v>
      </c>
      <c r="AI160" s="42">
        <f t="shared" si="110"/>
        <v>0.61608497723823974</v>
      </c>
      <c r="AJ160" s="42">
        <f t="shared" si="111"/>
        <v>3.0349013657056147E-2</v>
      </c>
      <c r="AK160" s="40">
        <f t="shared" si="106"/>
        <v>2.7785432473444613</v>
      </c>
      <c r="AL160" s="51">
        <v>233</v>
      </c>
      <c r="AM160" s="52">
        <f t="shared" si="107"/>
        <v>1.5945827010622153</v>
      </c>
      <c r="AN160" s="42">
        <f t="shared" si="112"/>
        <v>0.35356600910470409</v>
      </c>
      <c r="AO160" s="53">
        <f t="shared" si="113"/>
        <v>233</v>
      </c>
      <c r="AP160" s="52">
        <f t="shared" si="114"/>
        <v>1.5945827010622153</v>
      </c>
      <c r="AQ160" s="42">
        <f t="shared" si="115"/>
        <v>0.64643399089529585</v>
      </c>
      <c r="AR160" s="46">
        <v>46293</v>
      </c>
      <c r="AS160" s="46">
        <v>46294</v>
      </c>
      <c r="AT160" s="50">
        <f t="shared" si="116"/>
        <v>5</v>
      </c>
      <c r="AU160" s="50">
        <f t="shared" si="108"/>
        <v>350</v>
      </c>
      <c r="AV160" s="50">
        <f t="shared" si="117"/>
        <v>318</v>
      </c>
      <c r="AW160" s="54">
        <f t="shared" si="118"/>
        <v>32</v>
      </c>
    </row>
    <row r="161" spans="1:49" x14ac:dyDescent="0.25">
      <c r="A161" s="33" t="s">
        <v>55</v>
      </c>
      <c r="B161" s="33" t="s">
        <v>56</v>
      </c>
      <c r="C161" s="33" t="s">
        <v>66</v>
      </c>
      <c r="D161" s="33" t="s">
        <v>243</v>
      </c>
      <c r="E161" s="34">
        <f>COUNTIF('Detalle por artículo'!$K$8:$K$592,D161)</f>
        <v>1</v>
      </c>
      <c r="F161" s="35">
        <f t="shared" si="90"/>
        <v>131.48148148148147</v>
      </c>
      <c r="G161" s="36">
        <f>SUMIF('Detalle por artículo'!$K$8:$K$592,$D161,'Detalle por artículo'!$E$8:$E$592)</f>
        <v>4.32</v>
      </c>
      <c r="H161" s="35">
        <f t="shared" si="91"/>
        <v>3</v>
      </c>
      <c r="I161" s="35">
        <f t="shared" si="92"/>
        <v>6</v>
      </c>
      <c r="J161" s="35">
        <f t="shared" si="93"/>
        <v>12</v>
      </c>
      <c r="K161" s="37">
        <f t="shared" si="94"/>
        <v>0.1542857142857143</v>
      </c>
      <c r="L161" s="36">
        <f>SUMIF('Detalle por artículo'!$K$8:$K$592,$D161,'Detalle por artículo'!$O$8:$O$592)</f>
        <v>568</v>
      </c>
      <c r="M161" s="38">
        <f>SUMIF('Detalle por artículo'!$K$8:$K$592,$D161,'Detalle por artículo'!$I$8:$I$592)</f>
        <v>654</v>
      </c>
      <c r="N161" s="38">
        <f>SUMIF('Detalle por artículo'!$K$8:$K$592,$D161,'Detalle por artículo'!$M$8:$M$592)</f>
        <v>45</v>
      </c>
      <c r="O161" s="39">
        <f t="shared" si="95"/>
        <v>6.6055045871559637</v>
      </c>
      <c r="P161" s="40">
        <f t="shared" si="96"/>
        <v>868.50152905198775</v>
      </c>
      <c r="Q161" s="41">
        <f t="shared" si="97"/>
        <v>0.15</v>
      </c>
      <c r="R161" s="40">
        <f t="shared" si="98"/>
        <v>4.968</v>
      </c>
      <c r="S161" s="42">
        <f>IFERROR(SUM($G$8:G161)/$G$6,0)</f>
        <v>0.78702489780280505</v>
      </c>
      <c r="T161" s="43" t="str">
        <f t="shared" si="99"/>
        <v>B</v>
      </c>
      <c r="U161" s="44">
        <v>664</v>
      </c>
      <c r="V161" s="45">
        <f t="shared" si="109"/>
        <v>10</v>
      </c>
      <c r="W161" s="46">
        <v>46289</v>
      </c>
      <c r="X161" s="46">
        <v>46289</v>
      </c>
      <c r="Y161" s="47">
        <v>0</v>
      </c>
      <c r="Z161" s="48">
        <f t="shared" si="100"/>
        <v>0</v>
      </c>
      <c r="AA161" s="49">
        <f t="shared" si="101"/>
        <v>0</v>
      </c>
      <c r="AB161" s="44">
        <v>498</v>
      </c>
      <c r="AC161" s="44">
        <f t="shared" si="102"/>
        <v>455</v>
      </c>
      <c r="AD161" s="44">
        <f t="shared" si="103"/>
        <v>41</v>
      </c>
      <c r="AE161" s="50">
        <f t="shared" si="104"/>
        <v>47</v>
      </c>
      <c r="AF161" s="41">
        <f t="shared" si="105"/>
        <v>0.94</v>
      </c>
      <c r="AG161" s="44">
        <v>2</v>
      </c>
      <c r="AH161" s="44">
        <v>0</v>
      </c>
      <c r="AI161" s="42">
        <f t="shared" si="110"/>
        <v>0.69571865443425074</v>
      </c>
      <c r="AJ161" s="42">
        <f t="shared" si="111"/>
        <v>6.2691131498470942E-2</v>
      </c>
      <c r="AK161" s="40">
        <f t="shared" si="106"/>
        <v>3.0055045871559636</v>
      </c>
      <c r="AL161" s="51">
        <v>166</v>
      </c>
      <c r="AM161" s="52">
        <f t="shared" si="107"/>
        <v>1.0965137614678899</v>
      </c>
      <c r="AN161" s="42">
        <f t="shared" si="112"/>
        <v>0.25</v>
      </c>
      <c r="AO161" s="53">
        <f t="shared" si="113"/>
        <v>156</v>
      </c>
      <c r="AP161" s="52">
        <f t="shared" si="114"/>
        <v>1.0304587155963305</v>
      </c>
      <c r="AQ161" s="42">
        <f t="shared" si="115"/>
        <v>0.75840978593272168</v>
      </c>
      <c r="AR161" s="46">
        <v>46293</v>
      </c>
      <c r="AS161" s="46">
        <v>46294</v>
      </c>
      <c r="AT161" s="50">
        <f t="shared" si="116"/>
        <v>5</v>
      </c>
      <c r="AU161" s="50">
        <f t="shared" si="108"/>
        <v>354</v>
      </c>
      <c r="AV161" s="50">
        <f t="shared" si="117"/>
        <v>273</v>
      </c>
      <c r="AW161" s="54">
        <f t="shared" si="118"/>
        <v>81</v>
      </c>
    </row>
    <row r="162" spans="1:49" x14ac:dyDescent="0.25">
      <c r="A162" s="33" t="s">
        <v>63</v>
      </c>
      <c r="B162" s="33" t="s">
        <v>102</v>
      </c>
      <c r="C162" s="33" t="s">
        <v>132</v>
      </c>
      <c r="D162" s="33" t="s">
        <v>244</v>
      </c>
      <c r="E162" s="34">
        <f>COUNTIF('Detalle por artículo'!$K$8:$K$592,D162)</f>
        <v>2</v>
      </c>
      <c r="F162" s="35">
        <f t="shared" si="90"/>
        <v>165.27777777777777</v>
      </c>
      <c r="G162" s="36">
        <f>SUMIF('Detalle por artículo'!$K$8:$K$592,$D162,'Detalle por artículo'!$E$8:$E$592)</f>
        <v>4.32</v>
      </c>
      <c r="H162" s="35">
        <f t="shared" si="91"/>
        <v>3</v>
      </c>
      <c r="I162" s="35">
        <f t="shared" si="92"/>
        <v>6</v>
      </c>
      <c r="J162" s="35">
        <f t="shared" si="93"/>
        <v>12</v>
      </c>
      <c r="K162" s="37">
        <f t="shared" si="94"/>
        <v>0.1542857142857143</v>
      </c>
      <c r="L162" s="36">
        <f>SUMIF('Detalle por artículo'!$K$8:$K$592,$D162,'Detalle por artículo'!$O$8:$O$592)</f>
        <v>714</v>
      </c>
      <c r="M162" s="38">
        <f>SUMIF('Detalle por artículo'!$K$8:$K$592,$D162,'Detalle por artículo'!$I$8:$I$592)</f>
        <v>1321</v>
      </c>
      <c r="N162" s="38">
        <f>SUMIF('Detalle por artículo'!$K$8:$K$592,$D162,'Detalle por artículo'!$M$8:$M$592)</f>
        <v>45</v>
      </c>
      <c r="O162" s="39">
        <f t="shared" si="95"/>
        <v>3.2702498107494327</v>
      </c>
      <c r="P162" s="40">
        <f t="shared" si="96"/>
        <v>540.4996214988646</v>
      </c>
      <c r="Q162" s="41">
        <f t="shared" si="97"/>
        <v>0.15</v>
      </c>
      <c r="R162" s="40">
        <f t="shared" si="98"/>
        <v>4.968</v>
      </c>
      <c r="S162" s="42">
        <f>IFERROR(SUM($G$8:G162)/$G$6,0)</f>
        <v>0.78861234135944891</v>
      </c>
      <c r="T162" s="43" t="str">
        <f t="shared" si="99"/>
        <v>B</v>
      </c>
      <c r="U162" s="44">
        <v>1321</v>
      </c>
      <c r="V162" s="45">
        <f t="shared" si="109"/>
        <v>0</v>
      </c>
      <c r="W162" s="46">
        <v>46218</v>
      </c>
      <c r="X162" s="46">
        <v>46218</v>
      </c>
      <c r="Y162" s="47">
        <v>0</v>
      </c>
      <c r="Z162" s="48">
        <f t="shared" si="100"/>
        <v>0</v>
      </c>
      <c r="AA162" s="49">
        <f t="shared" si="101"/>
        <v>0</v>
      </c>
      <c r="AB162" s="44">
        <v>1086</v>
      </c>
      <c r="AC162" s="44">
        <f t="shared" si="102"/>
        <v>875</v>
      </c>
      <c r="AD162" s="44">
        <f t="shared" si="103"/>
        <v>191</v>
      </c>
      <c r="AE162" s="50">
        <f t="shared" si="104"/>
        <v>48</v>
      </c>
      <c r="AF162" s="41">
        <f t="shared" si="105"/>
        <v>0.96</v>
      </c>
      <c r="AG162" s="44">
        <v>2</v>
      </c>
      <c r="AH162" s="44">
        <v>18</v>
      </c>
      <c r="AI162" s="42">
        <f t="shared" si="110"/>
        <v>0.66237698713096138</v>
      </c>
      <c r="AJ162" s="42">
        <f t="shared" si="111"/>
        <v>0.14458743376230129</v>
      </c>
      <c r="AK162" s="40">
        <f t="shared" si="106"/>
        <v>2.8614685844057535</v>
      </c>
      <c r="AL162" s="51">
        <v>234</v>
      </c>
      <c r="AM162" s="52">
        <f t="shared" si="107"/>
        <v>0.76523845571536719</v>
      </c>
      <c r="AN162" s="42">
        <f t="shared" si="112"/>
        <v>0.17713853141559424</v>
      </c>
      <c r="AO162" s="53">
        <f t="shared" si="113"/>
        <v>235</v>
      </c>
      <c r="AP162" s="52">
        <f t="shared" si="114"/>
        <v>0.76850870552611672</v>
      </c>
      <c r="AQ162" s="42">
        <f t="shared" si="115"/>
        <v>0.8069644208932627</v>
      </c>
      <c r="AR162" s="46">
        <v>46225</v>
      </c>
      <c r="AS162" s="46">
        <v>46225</v>
      </c>
      <c r="AT162" s="50">
        <f t="shared" si="116"/>
        <v>7</v>
      </c>
      <c r="AU162" s="50">
        <f t="shared" si="108"/>
        <v>123</v>
      </c>
      <c r="AV162" s="50">
        <f t="shared" si="117"/>
        <v>61</v>
      </c>
      <c r="AW162" s="54">
        <f t="shared" si="118"/>
        <v>62</v>
      </c>
    </row>
    <row r="163" spans="1:49" x14ac:dyDescent="0.25">
      <c r="A163" s="33" t="s">
        <v>63</v>
      </c>
      <c r="B163" s="33" t="s">
        <v>64</v>
      </c>
      <c r="C163" s="33" t="s">
        <v>161</v>
      </c>
      <c r="D163" s="33" t="s">
        <v>245</v>
      </c>
      <c r="E163" s="34">
        <f>COUNTIF('Detalle por artículo'!$K$8:$K$592,D163)</f>
        <v>1</v>
      </c>
      <c r="F163" s="35">
        <f t="shared" si="90"/>
        <v>102.44755244755245</v>
      </c>
      <c r="G163" s="36">
        <f>SUMIF('Detalle por artículo'!$K$8:$K$592,$D163,'Detalle por artículo'!$E$8:$E$592)</f>
        <v>4.29</v>
      </c>
      <c r="H163" s="35">
        <f t="shared" si="91"/>
        <v>3</v>
      </c>
      <c r="I163" s="35">
        <f t="shared" si="92"/>
        <v>6</v>
      </c>
      <c r="J163" s="35">
        <f t="shared" si="93"/>
        <v>12</v>
      </c>
      <c r="K163" s="37">
        <f t="shared" si="94"/>
        <v>0.15321428571428572</v>
      </c>
      <c r="L163" s="36">
        <f>SUMIF('Detalle por artículo'!$K$8:$K$592,$D163,'Detalle por artículo'!$O$8:$O$592)</f>
        <v>439.5</v>
      </c>
      <c r="M163" s="38">
        <f>SUMIF('Detalle por artículo'!$K$8:$K$592,$D163,'Detalle por artículo'!$I$8:$I$592)</f>
        <v>819</v>
      </c>
      <c r="N163" s="38">
        <f>SUMIF('Detalle por artículo'!$K$8:$K$592,$D163,'Detalle por artículo'!$M$8:$M$592)</f>
        <v>42</v>
      </c>
      <c r="O163" s="39">
        <f t="shared" si="95"/>
        <v>5.2380952380952381</v>
      </c>
      <c r="P163" s="40">
        <f t="shared" si="96"/>
        <v>536.63003663003656</v>
      </c>
      <c r="Q163" s="41">
        <f t="shared" si="97"/>
        <v>0.2</v>
      </c>
      <c r="R163" s="40">
        <f t="shared" si="98"/>
        <v>5.1479999999999997</v>
      </c>
      <c r="S163" s="42">
        <f>IFERROR(SUM($G$8:G163)/$G$6,0)</f>
        <v>0.79018876100250479</v>
      </c>
      <c r="T163" s="43" t="str">
        <f t="shared" si="99"/>
        <v>B</v>
      </c>
      <c r="U163" s="44">
        <v>819</v>
      </c>
      <c r="V163" s="45">
        <f t="shared" si="109"/>
        <v>0</v>
      </c>
      <c r="W163" s="46">
        <v>46272</v>
      </c>
      <c r="X163" s="46">
        <v>46272</v>
      </c>
      <c r="Y163" s="47">
        <v>819</v>
      </c>
      <c r="Z163" s="48">
        <f t="shared" si="100"/>
        <v>4.29</v>
      </c>
      <c r="AA163" s="49">
        <f t="shared" si="101"/>
        <v>0.15321428571428572</v>
      </c>
      <c r="AB163" s="44">
        <v>593</v>
      </c>
      <c r="AC163" s="44">
        <f t="shared" si="102"/>
        <v>421</v>
      </c>
      <c r="AD163" s="44">
        <f t="shared" si="103"/>
        <v>163</v>
      </c>
      <c r="AE163" s="50">
        <f t="shared" si="104"/>
        <v>49</v>
      </c>
      <c r="AF163" s="41">
        <f t="shared" si="105"/>
        <v>0.98</v>
      </c>
      <c r="AG163" s="44">
        <v>1</v>
      </c>
      <c r="AH163" s="44">
        <v>8</v>
      </c>
      <c r="AI163" s="42">
        <f t="shared" si="110"/>
        <v>0.51404151404151399</v>
      </c>
      <c r="AJ163" s="42">
        <f t="shared" si="111"/>
        <v>0.19902319902319901</v>
      </c>
      <c r="AK163" s="40">
        <f t="shared" si="106"/>
        <v>2.2052380952380952</v>
      </c>
      <c r="AL163" s="51">
        <v>226</v>
      </c>
      <c r="AM163" s="52">
        <f t="shared" si="107"/>
        <v>1.1838095238095239</v>
      </c>
      <c r="AN163" s="42">
        <f t="shared" si="112"/>
        <v>0.27594627594627597</v>
      </c>
      <c r="AO163" s="53">
        <f t="shared" si="113"/>
        <v>226</v>
      </c>
      <c r="AP163" s="52">
        <f t="shared" si="114"/>
        <v>1.1838095238095239</v>
      </c>
      <c r="AQ163" s="42">
        <f t="shared" si="115"/>
        <v>0.71306471306471308</v>
      </c>
      <c r="AR163" s="46">
        <v>46274</v>
      </c>
      <c r="AS163" s="46">
        <v>46275</v>
      </c>
      <c r="AT163" s="50">
        <f t="shared" si="116"/>
        <v>3</v>
      </c>
      <c r="AU163" s="50">
        <f t="shared" si="108"/>
        <v>229</v>
      </c>
      <c r="AV163" s="50">
        <f t="shared" si="117"/>
        <v>199</v>
      </c>
      <c r="AW163" s="54">
        <f t="shared" si="118"/>
        <v>30</v>
      </c>
    </row>
    <row r="164" spans="1:49" x14ac:dyDescent="0.25">
      <c r="A164" s="33" t="s">
        <v>63</v>
      </c>
      <c r="B164" s="33" t="s">
        <v>102</v>
      </c>
      <c r="C164" s="33" t="s">
        <v>132</v>
      </c>
      <c r="D164" s="33" t="s">
        <v>246</v>
      </c>
      <c r="E164" s="34">
        <f>COUNTIF('Detalle por artículo'!$K$8:$K$592,D164)</f>
        <v>1</v>
      </c>
      <c r="F164" s="35">
        <f t="shared" si="90"/>
        <v>189.1098484848485</v>
      </c>
      <c r="G164" s="36">
        <f>SUMIF('Detalle por artículo'!$K$8:$K$592,$D164,'Detalle por artículo'!$E$8:$E$592)</f>
        <v>4.2240000000000002</v>
      </c>
      <c r="H164" s="35">
        <f t="shared" si="91"/>
        <v>3</v>
      </c>
      <c r="I164" s="35">
        <f t="shared" si="92"/>
        <v>6</v>
      </c>
      <c r="J164" s="35">
        <f t="shared" si="93"/>
        <v>11</v>
      </c>
      <c r="K164" s="37">
        <f t="shared" si="94"/>
        <v>0.15085714285714286</v>
      </c>
      <c r="L164" s="36">
        <f>SUMIF('Detalle por artículo'!$K$8:$K$592,$D164,'Detalle por artículo'!$O$8:$O$592)</f>
        <v>798.80000000000007</v>
      </c>
      <c r="M164" s="38">
        <f>SUMIF('Detalle por artículo'!$K$8:$K$592,$D164,'Detalle por artículo'!$I$8:$I$592)</f>
        <v>1301</v>
      </c>
      <c r="N164" s="38">
        <f>SUMIF('Detalle por artículo'!$K$8:$K$592,$D164,'Detalle por artículo'!$M$8:$M$592)</f>
        <v>44</v>
      </c>
      <c r="O164" s="39">
        <f t="shared" si="95"/>
        <v>3.2467332820906996</v>
      </c>
      <c r="P164" s="40">
        <f t="shared" si="96"/>
        <v>613.98923904688706</v>
      </c>
      <c r="Q164" s="41">
        <f t="shared" si="97"/>
        <v>0.15</v>
      </c>
      <c r="R164" s="40">
        <f t="shared" si="98"/>
        <v>4.8575999999999997</v>
      </c>
      <c r="S164" s="42">
        <f>IFERROR(SUM($G$8:G164)/$G$6,0)</f>
        <v>0.79174092803566765</v>
      </c>
      <c r="T164" s="43" t="str">
        <f t="shared" si="99"/>
        <v>B</v>
      </c>
      <c r="U164" s="44">
        <v>1301</v>
      </c>
      <c r="V164" s="45">
        <f t="shared" si="109"/>
        <v>0</v>
      </c>
      <c r="W164" s="46">
        <v>46293</v>
      </c>
      <c r="X164" s="46">
        <v>46293</v>
      </c>
      <c r="Y164" s="47">
        <v>0</v>
      </c>
      <c r="Z164" s="48">
        <f t="shared" si="100"/>
        <v>0</v>
      </c>
      <c r="AA164" s="49">
        <f t="shared" si="101"/>
        <v>0</v>
      </c>
      <c r="AB164" s="44">
        <v>0</v>
      </c>
      <c r="AC164" s="44">
        <f t="shared" si="102"/>
        <v>0</v>
      </c>
      <c r="AD164" s="44">
        <f t="shared" si="103"/>
        <v>0</v>
      </c>
      <c r="AE164" s="50">
        <f t="shared" si="104"/>
        <v>0</v>
      </c>
      <c r="AF164" s="41">
        <f t="shared" si="105"/>
        <v>0</v>
      </c>
      <c r="AG164" s="44">
        <v>0</v>
      </c>
      <c r="AH164" s="44">
        <v>0</v>
      </c>
      <c r="AI164" s="42">
        <f t="shared" si="110"/>
        <v>0</v>
      </c>
      <c r="AJ164" s="42">
        <f t="shared" si="111"/>
        <v>0</v>
      </c>
      <c r="AK164" s="40">
        <f t="shared" si="106"/>
        <v>0</v>
      </c>
      <c r="AL164" s="51">
        <v>1301</v>
      </c>
      <c r="AM164" s="52">
        <f t="shared" si="107"/>
        <v>4.2240000000000002</v>
      </c>
      <c r="AN164" s="42">
        <f t="shared" si="112"/>
        <v>1</v>
      </c>
      <c r="AO164" s="53">
        <f t="shared" si="113"/>
        <v>1301</v>
      </c>
      <c r="AP164" s="52">
        <f t="shared" si="114"/>
        <v>4.2240000000000002</v>
      </c>
      <c r="AQ164" s="42">
        <f t="shared" si="115"/>
        <v>0</v>
      </c>
      <c r="AR164" s="46"/>
      <c r="AS164" s="46"/>
      <c r="AT164" s="50" t="str">
        <f t="shared" si="116"/>
        <v/>
      </c>
      <c r="AU164" s="50">
        <f t="shared" si="108"/>
        <v>124</v>
      </c>
      <c r="AV164" s="50" t="str">
        <f t="shared" si="117"/>
        <v/>
      </c>
      <c r="AW164" s="54" t="str">
        <f t="shared" si="118"/>
        <v/>
      </c>
    </row>
    <row r="165" spans="1:49" x14ac:dyDescent="0.25">
      <c r="A165" s="33" t="s">
        <v>63</v>
      </c>
      <c r="B165" s="33" t="s">
        <v>110</v>
      </c>
      <c r="C165" s="33" t="s">
        <v>100</v>
      </c>
      <c r="D165" s="33" t="s">
        <v>247</v>
      </c>
      <c r="E165" s="34">
        <f>COUNTIF('Detalle por artículo'!$K$8:$K$592,D165)</f>
        <v>1</v>
      </c>
      <c r="F165" s="35">
        <f t="shared" si="90"/>
        <v>79.757250113938937</v>
      </c>
      <c r="G165" s="36">
        <f>SUMIF('Detalle por artículo'!$K$8:$K$592,$D165,'Detalle por artículo'!$E$8:$E$592)</f>
        <v>4.1688999999999998</v>
      </c>
      <c r="H165" s="35">
        <f t="shared" si="91"/>
        <v>3</v>
      </c>
      <c r="I165" s="35">
        <f t="shared" si="92"/>
        <v>6</v>
      </c>
      <c r="J165" s="35">
        <f t="shared" si="93"/>
        <v>11</v>
      </c>
      <c r="K165" s="37">
        <f t="shared" si="94"/>
        <v>0.1488892857142857</v>
      </c>
      <c r="L165" s="36">
        <f>SUMIF('Detalle por artículo'!$K$8:$K$592,$D165,'Detalle por artículo'!$O$8:$O$592)</f>
        <v>332.5</v>
      </c>
      <c r="M165" s="38">
        <f>SUMIF('Detalle por artículo'!$K$8:$K$592,$D165,'Detalle por artículo'!$I$8:$I$592)</f>
        <v>742</v>
      </c>
      <c r="N165" s="38">
        <f>SUMIF('Detalle por artículo'!$K$8:$K$592,$D165,'Detalle por artículo'!$M$8:$M$592)</f>
        <v>40</v>
      </c>
      <c r="O165" s="39">
        <f t="shared" si="95"/>
        <v>5.6184636118598377</v>
      </c>
      <c r="P165" s="40">
        <f t="shared" si="96"/>
        <v>448.11320754716985</v>
      </c>
      <c r="Q165" s="41">
        <f t="shared" si="97"/>
        <v>0.2</v>
      </c>
      <c r="R165" s="40">
        <f t="shared" si="98"/>
        <v>5.0026799999999998</v>
      </c>
      <c r="S165" s="42">
        <f>IFERROR(SUM($G$8:G165)/$G$6,0)</f>
        <v>0.79327284781420759</v>
      </c>
      <c r="T165" s="43" t="str">
        <f t="shared" si="99"/>
        <v>B</v>
      </c>
      <c r="U165" s="44">
        <v>742</v>
      </c>
      <c r="V165" s="45">
        <f t="shared" si="109"/>
        <v>0</v>
      </c>
      <c r="W165" s="46">
        <v>46288</v>
      </c>
      <c r="X165" s="46">
        <v>46288</v>
      </c>
      <c r="Y165" s="47">
        <v>0</v>
      </c>
      <c r="Z165" s="48">
        <f t="shared" si="100"/>
        <v>0</v>
      </c>
      <c r="AA165" s="49">
        <f t="shared" si="101"/>
        <v>0</v>
      </c>
      <c r="AB165" s="44">
        <v>28</v>
      </c>
      <c r="AC165" s="44">
        <f t="shared" si="102"/>
        <v>26</v>
      </c>
      <c r="AD165" s="44">
        <f t="shared" si="103"/>
        <v>0</v>
      </c>
      <c r="AE165" s="50">
        <f t="shared" si="104"/>
        <v>0</v>
      </c>
      <c r="AF165" s="41">
        <f t="shared" si="105"/>
        <v>0</v>
      </c>
      <c r="AG165" s="44">
        <v>2</v>
      </c>
      <c r="AH165" s="44">
        <v>0</v>
      </c>
      <c r="AI165" s="42">
        <f t="shared" si="110"/>
        <v>3.5040431266846361E-2</v>
      </c>
      <c r="AJ165" s="42">
        <f t="shared" si="111"/>
        <v>0</v>
      </c>
      <c r="AK165" s="40">
        <f t="shared" si="106"/>
        <v>0.14608005390835577</v>
      </c>
      <c r="AL165" s="51">
        <v>714</v>
      </c>
      <c r="AM165" s="52">
        <f t="shared" si="107"/>
        <v>4.011583018867924</v>
      </c>
      <c r="AN165" s="42">
        <f t="shared" si="112"/>
        <v>0.96226415094339623</v>
      </c>
      <c r="AO165" s="53">
        <f t="shared" si="113"/>
        <v>714</v>
      </c>
      <c r="AP165" s="52">
        <f t="shared" si="114"/>
        <v>4.011583018867924</v>
      </c>
      <c r="AQ165" s="42">
        <f t="shared" si="115"/>
        <v>3.5040431266846361E-2</v>
      </c>
      <c r="AR165" s="46">
        <v>46293</v>
      </c>
      <c r="AS165" s="46">
        <v>46294</v>
      </c>
      <c r="AT165" s="50">
        <f t="shared" si="116"/>
        <v>6</v>
      </c>
      <c r="AU165" s="50">
        <f t="shared" si="108"/>
        <v>289</v>
      </c>
      <c r="AV165" s="50">
        <f t="shared" si="117"/>
        <v>411</v>
      </c>
      <c r="AW165" s="54">
        <f t="shared" si="118"/>
        <v>-122</v>
      </c>
    </row>
    <row r="166" spans="1:49" x14ac:dyDescent="0.25">
      <c r="A166" s="33" t="s">
        <v>63</v>
      </c>
      <c r="B166" s="33" t="s">
        <v>110</v>
      </c>
      <c r="C166" s="33" t="s">
        <v>100</v>
      </c>
      <c r="D166" s="33" t="s">
        <v>248</v>
      </c>
      <c r="E166" s="34">
        <f>COUNTIF('Detalle por artículo'!$K$8:$K$592,D166)</f>
        <v>1</v>
      </c>
      <c r="F166" s="35">
        <f t="shared" si="90"/>
        <v>114.34671016335245</v>
      </c>
      <c r="G166" s="36">
        <f>SUMIF('Detalle por artículo'!$K$8:$K$592,$D166,'Detalle por artículo'!$E$8:$E$592)</f>
        <v>4.1688999999999998</v>
      </c>
      <c r="H166" s="35">
        <f t="shared" si="91"/>
        <v>3</v>
      </c>
      <c r="I166" s="35">
        <f t="shared" si="92"/>
        <v>6</v>
      </c>
      <c r="J166" s="35">
        <f t="shared" si="93"/>
        <v>11</v>
      </c>
      <c r="K166" s="37">
        <f t="shared" si="94"/>
        <v>0.1488892857142857</v>
      </c>
      <c r="L166" s="36">
        <f>SUMIF('Detalle por artículo'!$K$8:$K$592,$D166,'Detalle por artículo'!$O$8:$O$592)</f>
        <v>476.70000000000005</v>
      </c>
      <c r="M166" s="38">
        <f>SUMIF('Detalle por artículo'!$K$8:$K$592,$D166,'Detalle por artículo'!$I$8:$I$592)</f>
        <v>811</v>
      </c>
      <c r="N166" s="38">
        <f>SUMIF('Detalle por artículo'!$K$8:$K$592,$D166,'Detalle por artículo'!$M$8:$M$592)</f>
        <v>40</v>
      </c>
      <c r="O166" s="39">
        <f t="shared" si="95"/>
        <v>5.1404438964241672</v>
      </c>
      <c r="P166" s="40">
        <f t="shared" si="96"/>
        <v>587.7928483353885</v>
      </c>
      <c r="Q166" s="41">
        <f t="shared" si="97"/>
        <v>0.2</v>
      </c>
      <c r="R166" s="40">
        <f t="shared" si="98"/>
        <v>5.0026799999999998</v>
      </c>
      <c r="S166" s="42">
        <f>IFERROR(SUM($G$8:G166)/$G$6,0)</f>
        <v>0.79480476759274743</v>
      </c>
      <c r="T166" s="43" t="str">
        <f t="shared" si="99"/>
        <v>B</v>
      </c>
      <c r="U166" s="44">
        <v>811</v>
      </c>
      <c r="V166" s="45">
        <f t="shared" si="109"/>
        <v>0</v>
      </c>
      <c r="W166" s="46">
        <v>46288</v>
      </c>
      <c r="X166" s="46">
        <v>46288</v>
      </c>
      <c r="Y166" s="47">
        <v>0</v>
      </c>
      <c r="Z166" s="48">
        <f t="shared" si="100"/>
        <v>0</v>
      </c>
      <c r="AA166" s="49">
        <f t="shared" si="101"/>
        <v>0</v>
      </c>
      <c r="AB166" s="44">
        <v>26</v>
      </c>
      <c r="AC166" s="44">
        <f t="shared" si="102"/>
        <v>30</v>
      </c>
      <c r="AD166" s="44">
        <f t="shared" si="103"/>
        <v>0</v>
      </c>
      <c r="AE166" s="50">
        <f t="shared" si="104"/>
        <v>1</v>
      </c>
      <c r="AF166" s="41">
        <f t="shared" si="105"/>
        <v>0.02</v>
      </c>
      <c r="AG166" s="44">
        <v>0</v>
      </c>
      <c r="AH166" s="44">
        <v>0</v>
      </c>
      <c r="AI166" s="42">
        <f t="shared" si="110"/>
        <v>3.6991368680641186E-2</v>
      </c>
      <c r="AJ166" s="42">
        <f t="shared" si="111"/>
        <v>0</v>
      </c>
      <c r="AK166" s="40">
        <f t="shared" si="106"/>
        <v>0.15421331689272499</v>
      </c>
      <c r="AL166" s="51">
        <v>785</v>
      </c>
      <c r="AM166" s="52">
        <f t="shared" si="107"/>
        <v>4.0352484586929709</v>
      </c>
      <c r="AN166" s="42">
        <f t="shared" si="112"/>
        <v>0.96794081381011099</v>
      </c>
      <c r="AO166" s="53">
        <f t="shared" si="113"/>
        <v>785</v>
      </c>
      <c r="AP166" s="52">
        <f t="shared" si="114"/>
        <v>4.0352484586929709</v>
      </c>
      <c r="AQ166" s="42">
        <f t="shared" si="115"/>
        <v>3.6991368680641186E-2</v>
      </c>
      <c r="AR166" s="46">
        <v>46293</v>
      </c>
      <c r="AS166" s="46">
        <v>46294</v>
      </c>
      <c r="AT166" s="50">
        <f t="shared" si="116"/>
        <v>6</v>
      </c>
      <c r="AU166" s="50">
        <f t="shared" si="108"/>
        <v>234</v>
      </c>
      <c r="AV166" s="50">
        <f t="shared" si="117"/>
        <v>414</v>
      </c>
      <c r="AW166" s="54">
        <f t="shared" si="118"/>
        <v>-180</v>
      </c>
    </row>
    <row r="167" spans="1:49" x14ac:dyDescent="0.25">
      <c r="A167" s="33" t="s">
        <v>55</v>
      </c>
      <c r="B167" s="33" t="s">
        <v>56</v>
      </c>
      <c r="C167" s="33" t="s">
        <v>66</v>
      </c>
      <c r="D167" s="33" t="s">
        <v>249</v>
      </c>
      <c r="E167" s="34">
        <f>COUNTIF('Detalle por artículo'!$K$8:$K$592,D167)</f>
        <v>1</v>
      </c>
      <c r="F167" s="35">
        <f t="shared" si="90"/>
        <v>118.41346153846153</v>
      </c>
      <c r="G167" s="36">
        <f>SUMIF('Detalle por artículo'!$K$8:$K$592,$D167,'Detalle por artículo'!$E$8:$E$592)</f>
        <v>4.16</v>
      </c>
      <c r="H167" s="35">
        <f t="shared" si="91"/>
        <v>3</v>
      </c>
      <c r="I167" s="35">
        <f t="shared" si="92"/>
        <v>6</v>
      </c>
      <c r="J167" s="35">
        <f t="shared" si="93"/>
        <v>11</v>
      </c>
      <c r="K167" s="37">
        <f t="shared" si="94"/>
        <v>0.14857142857142858</v>
      </c>
      <c r="L167" s="36">
        <f>SUMIF('Detalle por artículo'!$K$8:$K$592,$D167,'Detalle por artículo'!$O$8:$O$592)</f>
        <v>492.6</v>
      </c>
      <c r="M167" s="38">
        <f>SUMIF('Detalle por artículo'!$K$8:$K$592,$D167,'Detalle por artículo'!$I$8:$I$592)</f>
        <v>624</v>
      </c>
      <c r="N167" s="38">
        <f>SUMIF('Detalle por artículo'!$K$8:$K$592,$D167,'Detalle por artículo'!$M$8:$M$592)</f>
        <v>32</v>
      </c>
      <c r="O167" s="39">
        <f t="shared" si="95"/>
        <v>6.666666666666667</v>
      </c>
      <c r="P167" s="40">
        <f t="shared" si="96"/>
        <v>789.42307692307702</v>
      </c>
      <c r="Q167" s="41">
        <f t="shared" si="97"/>
        <v>0.2</v>
      </c>
      <c r="R167" s="40">
        <f t="shared" si="98"/>
        <v>4.992</v>
      </c>
      <c r="S167" s="42">
        <f>IFERROR(SUM($G$8:G167)/$G$6,0)</f>
        <v>0.79633341694358961</v>
      </c>
      <c r="T167" s="43" t="str">
        <f t="shared" si="99"/>
        <v>B</v>
      </c>
      <c r="U167" s="44">
        <v>608</v>
      </c>
      <c r="V167" s="45">
        <f t="shared" si="109"/>
        <v>-16</v>
      </c>
      <c r="W167" s="46">
        <v>46288</v>
      </c>
      <c r="X167" s="46">
        <v>46288</v>
      </c>
      <c r="Y167" s="47">
        <v>16</v>
      </c>
      <c r="Z167" s="48">
        <f t="shared" si="100"/>
        <v>0.10666666666666667</v>
      </c>
      <c r="AA167" s="49">
        <f t="shared" si="101"/>
        <v>3.80952380952381E-3</v>
      </c>
      <c r="AB167" s="44">
        <v>536</v>
      </c>
      <c r="AC167" s="44">
        <f t="shared" si="102"/>
        <v>385</v>
      </c>
      <c r="AD167" s="44">
        <f t="shared" si="103"/>
        <v>149</v>
      </c>
      <c r="AE167" s="50">
        <f t="shared" si="104"/>
        <v>48</v>
      </c>
      <c r="AF167" s="41">
        <f t="shared" si="105"/>
        <v>0.96</v>
      </c>
      <c r="AG167" s="44">
        <v>2</v>
      </c>
      <c r="AH167" s="44">
        <v>0</v>
      </c>
      <c r="AI167" s="42">
        <f t="shared" si="110"/>
        <v>0.61698717948717952</v>
      </c>
      <c r="AJ167" s="42">
        <f t="shared" si="111"/>
        <v>0.23878205128205129</v>
      </c>
      <c r="AK167" s="40">
        <f t="shared" si="106"/>
        <v>2.5666666666666669</v>
      </c>
      <c r="AL167" s="51">
        <v>61</v>
      </c>
      <c r="AM167" s="52">
        <f t="shared" si="107"/>
        <v>0.40666666666666668</v>
      </c>
      <c r="AN167" s="42">
        <f t="shared" si="112"/>
        <v>0.10032894736842106</v>
      </c>
      <c r="AO167" s="53">
        <f t="shared" si="113"/>
        <v>88</v>
      </c>
      <c r="AP167" s="52">
        <f t="shared" si="114"/>
        <v>0.58666666666666678</v>
      </c>
      <c r="AQ167" s="42">
        <f t="shared" si="115"/>
        <v>0.85576923076923073</v>
      </c>
      <c r="AR167" s="46">
        <v>46292</v>
      </c>
      <c r="AS167" s="46">
        <v>46293</v>
      </c>
      <c r="AT167" s="50">
        <f t="shared" si="116"/>
        <v>5</v>
      </c>
      <c r="AU167" s="50">
        <f t="shared" si="108"/>
        <v>380</v>
      </c>
      <c r="AV167" s="50">
        <f t="shared" si="117"/>
        <v>246</v>
      </c>
      <c r="AW167" s="54">
        <f t="shared" si="118"/>
        <v>134</v>
      </c>
    </row>
    <row r="168" spans="1:49" x14ac:dyDescent="0.25">
      <c r="A168" s="33" t="s">
        <v>63</v>
      </c>
      <c r="B168" s="33" t="s">
        <v>64</v>
      </c>
      <c r="C168" s="33" t="s">
        <v>57</v>
      </c>
      <c r="D168" s="33" t="s">
        <v>250</v>
      </c>
      <c r="E168" s="34">
        <f>COUNTIF('Detalle por artículo'!$K$8:$K$592,D168)</f>
        <v>1</v>
      </c>
      <c r="F168" s="35">
        <f t="shared" si="90"/>
        <v>106.1749903213318</v>
      </c>
      <c r="G168" s="36">
        <f>SUMIF('Detalle por artículo'!$K$8:$K$592,$D168,'Detalle por artículo'!$E$8:$E$592)</f>
        <v>4.1327999999999996</v>
      </c>
      <c r="H168" s="35">
        <f t="shared" si="91"/>
        <v>3</v>
      </c>
      <c r="I168" s="35">
        <f t="shared" si="92"/>
        <v>6</v>
      </c>
      <c r="J168" s="35">
        <f t="shared" si="93"/>
        <v>11</v>
      </c>
      <c r="K168" s="37">
        <f t="shared" si="94"/>
        <v>0.14759999999999998</v>
      </c>
      <c r="L168" s="36">
        <f>SUMIF('Detalle por artículo'!$K$8:$K$592,$D168,'Detalle por artículo'!$O$8:$O$592)</f>
        <v>438.8</v>
      </c>
      <c r="M168" s="38">
        <f>SUMIF('Detalle por artículo'!$K$8:$K$592,$D168,'Detalle por artículo'!$I$8:$I$592)</f>
        <v>794</v>
      </c>
      <c r="N168" s="38">
        <f>SUMIF('Detalle por artículo'!$K$8:$K$592,$D168,'Detalle por artículo'!$M$8:$M$592)</f>
        <v>41</v>
      </c>
      <c r="O168" s="39">
        <f t="shared" si="95"/>
        <v>5.2050377833753139</v>
      </c>
      <c r="P168" s="40">
        <f t="shared" si="96"/>
        <v>552.64483627204027</v>
      </c>
      <c r="Q168" s="41">
        <f t="shared" si="97"/>
        <v>0.2</v>
      </c>
      <c r="R168" s="40">
        <f t="shared" si="98"/>
        <v>4.9593599999999993</v>
      </c>
      <c r="S168" s="42">
        <f>IFERROR(SUM($G$8:G168)/$G$6,0)</f>
        <v>0.79785207127944535</v>
      </c>
      <c r="T168" s="43" t="str">
        <f t="shared" si="99"/>
        <v>B</v>
      </c>
      <c r="U168" s="44">
        <v>794</v>
      </c>
      <c r="V168" s="45">
        <f t="shared" si="109"/>
        <v>0</v>
      </c>
      <c r="W168" s="46">
        <v>46237</v>
      </c>
      <c r="X168" s="46">
        <v>46237</v>
      </c>
      <c r="Y168" s="47">
        <v>20</v>
      </c>
      <c r="Z168" s="48">
        <f t="shared" si="100"/>
        <v>0.10410075566750628</v>
      </c>
      <c r="AA168" s="49">
        <f t="shared" si="101"/>
        <v>3.7178841309823672E-3</v>
      </c>
      <c r="AB168" s="44">
        <v>564</v>
      </c>
      <c r="AC168" s="44">
        <f t="shared" si="102"/>
        <v>441</v>
      </c>
      <c r="AD168" s="44">
        <f t="shared" si="103"/>
        <v>116</v>
      </c>
      <c r="AE168" s="50">
        <f t="shared" si="104"/>
        <v>48</v>
      </c>
      <c r="AF168" s="41">
        <f t="shared" si="105"/>
        <v>0.96</v>
      </c>
      <c r="AG168" s="44">
        <v>1</v>
      </c>
      <c r="AH168" s="44">
        <v>8</v>
      </c>
      <c r="AI168" s="42">
        <f t="shared" si="110"/>
        <v>0.55541561712846343</v>
      </c>
      <c r="AJ168" s="42">
        <f t="shared" si="111"/>
        <v>0.14609571788413098</v>
      </c>
      <c r="AK168" s="40">
        <f t="shared" si="106"/>
        <v>2.2954216624685131</v>
      </c>
      <c r="AL168" s="51">
        <v>230</v>
      </c>
      <c r="AM168" s="52">
        <f t="shared" si="107"/>
        <v>1.197158690176322</v>
      </c>
      <c r="AN168" s="42">
        <f t="shared" si="112"/>
        <v>0.28967254408060455</v>
      </c>
      <c r="AO168" s="53">
        <f t="shared" si="113"/>
        <v>230</v>
      </c>
      <c r="AP168" s="52">
        <f t="shared" si="114"/>
        <v>1.197158690176322</v>
      </c>
      <c r="AQ168" s="42">
        <f t="shared" si="115"/>
        <v>0.70151133501259444</v>
      </c>
      <c r="AR168" s="46">
        <v>46258</v>
      </c>
      <c r="AS168" s="46">
        <v>46258</v>
      </c>
      <c r="AT168" s="50">
        <f t="shared" si="116"/>
        <v>21</v>
      </c>
      <c r="AU168" s="50">
        <f t="shared" si="108"/>
        <v>246</v>
      </c>
      <c r="AV168" s="50">
        <f t="shared" si="117"/>
        <v>230</v>
      </c>
      <c r="AW168" s="54">
        <f t="shared" si="118"/>
        <v>16</v>
      </c>
    </row>
    <row r="169" spans="1:49" x14ac:dyDescent="0.25">
      <c r="A169" s="33" t="s">
        <v>63</v>
      </c>
      <c r="B169" s="33" t="s">
        <v>102</v>
      </c>
      <c r="C169" s="33" t="s">
        <v>132</v>
      </c>
      <c r="D169" s="33" t="s">
        <v>251</v>
      </c>
      <c r="E169" s="34">
        <f>COUNTIF('Detalle por artículo'!$K$8:$K$592,D169)</f>
        <v>1</v>
      </c>
      <c r="F169" s="35">
        <f t="shared" si="90"/>
        <v>235.56201550387595</v>
      </c>
      <c r="G169" s="36">
        <f>SUMIF('Detalle por artículo'!$K$8:$K$592,$D169,'Detalle por artículo'!$E$8:$E$592)</f>
        <v>4.1280000000000001</v>
      </c>
      <c r="H169" s="35">
        <f t="shared" si="91"/>
        <v>3</v>
      </c>
      <c r="I169" s="35">
        <f t="shared" si="92"/>
        <v>6</v>
      </c>
      <c r="J169" s="35">
        <f t="shared" si="93"/>
        <v>11</v>
      </c>
      <c r="K169" s="37">
        <f t="shared" si="94"/>
        <v>0.14742857142857144</v>
      </c>
      <c r="L169" s="36">
        <f>SUMIF('Detalle por artículo'!$K$8:$K$592,$D169,'Detalle por artículo'!$O$8:$O$592)</f>
        <v>972.4</v>
      </c>
      <c r="M169" s="38">
        <f>SUMIF('Detalle por artículo'!$K$8:$K$592,$D169,'Detalle por artículo'!$I$8:$I$592)</f>
        <v>1688</v>
      </c>
      <c r="N169" s="38">
        <f>SUMIF('Detalle por artículo'!$K$8:$K$592,$D169,'Detalle por artículo'!$M$8:$M$592)</f>
        <v>43</v>
      </c>
      <c r="O169" s="39">
        <f t="shared" si="95"/>
        <v>2.4454976303317535</v>
      </c>
      <c r="P169" s="40">
        <f t="shared" si="96"/>
        <v>576.06635071090056</v>
      </c>
      <c r="Q169" s="41">
        <f t="shared" si="97"/>
        <v>0.1</v>
      </c>
      <c r="R169" s="40">
        <f t="shared" si="98"/>
        <v>4.5408000000000008</v>
      </c>
      <c r="S169" s="42">
        <f>IFERROR(SUM($G$8:G169)/$G$6,0)</f>
        <v>0.7993689617891272</v>
      </c>
      <c r="T169" s="43" t="str">
        <f t="shared" si="99"/>
        <v>B</v>
      </c>
      <c r="U169" s="44">
        <v>1688</v>
      </c>
      <c r="V169" s="45">
        <f t="shared" si="109"/>
        <v>0</v>
      </c>
      <c r="W169" s="46">
        <v>46218</v>
      </c>
      <c r="X169" s="46">
        <v>46218</v>
      </c>
      <c r="Y169" s="47">
        <v>0</v>
      </c>
      <c r="Z169" s="48">
        <f t="shared" si="100"/>
        <v>0</v>
      </c>
      <c r="AA169" s="49">
        <f t="shared" si="101"/>
        <v>0</v>
      </c>
      <c r="AB169" s="44">
        <v>1055</v>
      </c>
      <c r="AC169" s="44">
        <f t="shared" si="102"/>
        <v>500</v>
      </c>
      <c r="AD169" s="44">
        <f t="shared" si="103"/>
        <v>532</v>
      </c>
      <c r="AE169" s="50">
        <f t="shared" si="104"/>
        <v>49</v>
      </c>
      <c r="AF169" s="41">
        <f t="shared" si="105"/>
        <v>0.98</v>
      </c>
      <c r="AG169" s="44">
        <v>1</v>
      </c>
      <c r="AH169" s="44">
        <v>24</v>
      </c>
      <c r="AI169" s="42">
        <f t="shared" si="110"/>
        <v>0.29620853080568721</v>
      </c>
      <c r="AJ169" s="42">
        <f t="shared" si="111"/>
        <v>0.31516587677725116</v>
      </c>
      <c r="AK169" s="40">
        <f t="shared" si="106"/>
        <v>1.2227488151658767</v>
      </c>
      <c r="AL169" s="51">
        <v>632</v>
      </c>
      <c r="AM169" s="52">
        <f t="shared" si="107"/>
        <v>1.5455545023696682</v>
      </c>
      <c r="AN169" s="42">
        <f t="shared" si="112"/>
        <v>0.37440758293838861</v>
      </c>
      <c r="AO169" s="53">
        <f t="shared" si="113"/>
        <v>633</v>
      </c>
      <c r="AP169" s="52">
        <f t="shared" si="114"/>
        <v>1.548</v>
      </c>
      <c r="AQ169" s="42">
        <f t="shared" si="115"/>
        <v>0.61137440758293837</v>
      </c>
      <c r="AR169" s="46">
        <v>46225</v>
      </c>
      <c r="AS169" s="46">
        <v>46225</v>
      </c>
      <c r="AT169" s="50">
        <f t="shared" si="116"/>
        <v>7</v>
      </c>
      <c r="AU169" s="50">
        <f t="shared" si="108"/>
        <v>69</v>
      </c>
      <c r="AV169" s="50">
        <f t="shared" si="117"/>
        <v>63</v>
      </c>
      <c r="AW169" s="54">
        <f t="shared" si="118"/>
        <v>6</v>
      </c>
    </row>
    <row r="170" spans="1:49" x14ac:dyDescent="0.25">
      <c r="A170" s="33" t="s">
        <v>63</v>
      </c>
      <c r="B170" s="33" t="s">
        <v>110</v>
      </c>
      <c r="C170" s="33" t="s">
        <v>100</v>
      </c>
      <c r="D170" s="33" t="s">
        <v>252</v>
      </c>
      <c r="E170" s="34">
        <f>COUNTIF('Detalle por artículo'!$K$8:$K$592,D170)</f>
        <v>1</v>
      </c>
      <c r="F170" s="35">
        <f t="shared" si="90"/>
        <v>110.22286821705426</v>
      </c>
      <c r="G170" s="36">
        <f>SUMIF('Detalle por artículo'!$K$8:$K$592,$D170,'Detalle por artículo'!$E$8:$E$592)</f>
        <v>4.1280000000000001</v>
      </c>
      <c r="H170" s="35">
        <f t="shared" si="91"/>
        <v>3</v>
      </c>
      <c r="I170" s="35">
        <f t="shared" si="92"/>
        <v>6</v>
      </c>
      <c r="J170" s="35">
        <f t="shared" si="93"/>
        <v>11</v>
      </c>
      <c r="K170" s="37">
        <f t="shared" si="94"/>
        <v>0.14742857142857144</v>
      </c>
      <c r="L170" s="36">
        <f>SUMIF('Detalle por artículo'!$K$8:$K$592,$D170,'Detalle por artículo'!$O$8:$O$592)</f>
        <v>455</v>
      </c>
      <c r="M170" s="38">
        <f>SUMIF('Detalle por artículo'!$K$8:$K$592,$D170,'Detalle por artículo'!$I$8:$I$592)</f>
        <v>759</v>
      </c>
      <c r="N170" s="38">
        <f>SUMIF('Detalle por artículo'!$K$8:$K$592,$D170,'Detalle por artículo'!$M$8:$M$592)</f>
        <v>43</v>
      </c>
      <c r="O170" s="39">
        <f t="shared" si="95"/>
        <v>5.4387351778656132</v>
      </c>
      <c r="P170" s="40">
        <f t="shared" si="96"/>
        <v>599.47299077733862</v>
      </c>
      <c r="Q170" s="41">
        <f t="shared" si="97"/>
        <v>0.2</v>
      </c>
      <c r="R170" s="40">
        <f t="shared" si="98"/>
        <v>4.9535999999999998</v>
      </c>
      <c r="S170" s="42">
        <f>IFERROR(SUM($G$8:G170)/$G$6,0)</f>
        <v>0.80088585229880915</v>
      </c>
      <c r="T170" s="43" t="str">
        <f t="shared" si="99"/>
        <v>B</v>
      </c>
      <c r="U170" s="44">
        <v>759</v>
      </c>
      <c r="V170" s="45">
        <f t="shared" si="109"/>
        <v>0</v>
      </c>
      <c r="W170" s="46">
        <v>46318</v>
      </c>
      <c r="X170" s="46">
        <v>46318</v>
      </c>
      <c r="Y170" s="47">
        <v>0</v>
      </c>
      <c r="Z170" s="48">
        <f t="shared" si="100"/>
        <v>0</v>
      </c>
      <c r="AA170" s="49">
        <f t="shared" si="101"/>
        <v>0</v>
      </c>
      <c r="AB170" s="44">
        <v>1</v>
      </c>
      <c r="AC170" s="44">
        <f t="shared" si="102"/>
        <v>0</v>
      </c>
      <c r="AD170" s="44">
        <f t="shared" si="103"/>
        <v>0</v>
      </c>
      <c r="AE170" s="50">
        <f t="shared" si="104"/>
        <v>0</v>
      </c>
      <c r="AF170" s="41">
        <f t="shared" si="105"/>
        <v>0</v>
      </c>
      <c r="AG170" s="44">
        <v>1</v>
      </c>
      <c r="AH170" s="44">
        <v>0</v>
      </c>
      <c r="AI170" s="42">
        <f t="shared" si="110"/>
        <v>0</v>
      </c>
      <c r="AJ170" s="42">
        <f t="shared" si="111"/>
        <v>0</v>
      </c>
      <c r="AK170" s="40">
        <f t="shared" si="106"/>
        <v>0</v>
      </c>
      <c r="AL170" s="51">
        <v>758</v>
      </c>
      <c r="AM170" s="52">
        <f t="shared" si="107"/>
        <v>4.122561264822135</v>
      </c>
      <c r="AN170" s="42">
        <f t="shared" si="112"/>
        <v>0.99868247694334655</v>
      </c>
      <c r="AO170" s="53">
        <f t="shared" si="113"/>
        <v>758</v>
      </c>
      <c r="AP170" s="52">
        <f t="shared" si="114"/>
        <v>4.122561264822135</v>
      </c>
      <c r="AQ170" s="42">
        <f t="shared" si="115"/>
        <v>0</v>
      </c>
      <c r="AR170" s="46"/>
      <c r="AS170" s="46"/>
      <c r="AT170" s="50" t="str">
        <f t="shared" si="116"/>
        <v/>
      </c>
      <c r="AU170" s="50">
        <f t="shared" si="108"/>
        <v>270</v>
      </c>
      <c r="AV170" s="50">
        <f t="shared" si="117"/>
        <v>423</v>
      </c>
      <c r="AW170" s="54">
        <f t="shared" si="118"/>
        <v>-153</v>
      </c>
    </row>
    <row r="171" spans="1:49" x14ac:dyDescent="0.25">
      <c r="A171" s="33" t="s">
        <v>63</v>
      </c>
      <c r="B171" s="33" t="s">
        <v>84</v>
      </c>
      <c r="C171" s="33" t="s">
        <v>94</v>
      </c>
      <c r="D171" s="33" t="s">
        <v>253</v>
      </c>
      <c r="E171" s="34">
        <f>COUNTIF('Detalle por artículo'!$K$8:$K$592,D171)</f>
        <v>1</v>
      </c>
      <c r="F171" s="35">
        <f t="shared" si="90"/>
        <v>122.00000000000003</v>
      </c>
      <c r="G171" s="36">
        <f>SUMIF('Detalle por artículo'!$K$8:$K$592,$D171,'Detalle por artículo'!$E$8:$E$592)</f>
        <v>4.0999999999999996</v>
      </c>
      <c r="H171" s="35">
        <f t="shared" si="91"/>
        <v>3</v>
      </c>
      <c r="I171" s="35">
        <f t="shared" si="92"/>
        <v>6</v>
      </c>
      <c r="J171" s="35">
        <f t="shared" si="93"/>
        <v>11</v>
      </c>
      <c r="K171" s="37">
        <f t="shared" si="94"/>
        <v>0.14642857142857141</v>
      </c>
      <c r="L171" s="36">
        <f>SUMIF('Detalle por artículo'!$K$8:$K$592,$D171,'Detalle por artículo'!$O$8:$O$592)</f>
        <v>500.20000000000005</v>
      </c>
      <c r="M171" s="38">
        <f>SUMIF('Detalle por artículo'!$K$8:$K$592,$D171,'Detalle por artículo'!$I$8:$I$592)</f>
        <v>787</v>
      </c>
      <c r="N171" s="38">
        <f>SUMIF('Detalle por artículo'!$K$8:$K$592,$D171,'Detalle por artículo'!$M$8:$M$592)</f>
        <v>40</v>
      </c>
      <c r="O171" s="39">
        <f t="shared" si="95"/>
        <v>5.2096569250317657</v>
      </c>
      <c r="P171" s="40">
        <f t="shared" si="96"/>
        <v>635.57814485387553</v>
      </c>
      <c r="Q171" s="41">
        <f t="shared" si="97"/>
        <v>0.15</v>
      </c>
      <c r="R171" s="40">
        <f t="shared" si="98"/>
        <v>4.714999999999999</v>
      </c>
      <c r="S171" s="42">
        <f>IFERROR(SUM($G$8:G171)/$G$6,0)</f>
        <v>0.80239245382247559</v>
      </c>
      <c r="T171" s="43" t="str">
        <f t="shared" si="99"/>
        <v>B</v>
      </c>
      <c r="U171" s="44">
        <v>787</v>
      </c>
      <c r="V171" s="45">
        <f t="shared" si="109"/>
        <v>0</v>
      </c>
      <c r="W171" s="46">
        <v>46240</v>
      </c>
      <c r="X171" s="46">
        <v>46240</v>
      </c>
      <c r="Y171" s="47">
        <v>0</v>
      </c>
      <c r="Z171" s="48">
        <f t="shared" si="100"/>
        <v>0</v>
      </c>
      <c r="AA171" s="49">
        <f t="shared" si="101"/>
        <v>0</v>
      </c>
      <c r="AB171" s="44">
        <v>786</v>
      </c>
      <c r="AC171" s="44">
        <f t="shared" si="102"/>
        <v>415</v>
      </c>
      <c r="AD171" s="44">
        <f t="shared" si="103"/>
        <v>360</v>
      </c>
      <c r="AE171" s="50">
        <f t="shared" si="104"/>
        <v>49</v>
      </c>
      <c r="AF171" s="41">
        <f t="shared" si="105"/>
        <v>0.98</v>
      </c>
      <c r="AG171" s="44">
        <v>4</v>
      </c>
      <c r="AH171" s="44">
        <v>7</v>
      </c>
      <c r="AI171" s="42">
        <f t="shared" si="110"/>
        <v>0.52731893265565444</v>
      </c>
      <c r="AJ171" s="42">
        <f t="shared" si="111"/>
        <v>0.45743329097839897</v>
      </c>
      <c r="AK171" s="40">
        <f t="shared" si="106"/>
        <v>2.1620076238881829</v>
      </c>
      <c r="AL171" s="51">
        <v>-1</v>
      </c>
      <c r="AM171" s="52">
        <f t="shared" si="107"/>
        <v>-5.2096569250317656E-3</v>
      </c>
      <c r="AN171" s="42">
        <f t="shared" si="112"/>
        <v>-1.2706480304955528E-3</v>
      </c>
      <c r="AO171" s="53">
        <f t="shared" si="113"/>
        <v>1</v>
      </c>
      <c r="AP171" s="52">
        <f t="shared" si="114"/>
        <v>5.2096569250317656E-3</v>
      </c>
      <c r="AQ171" s="42">
        <f t="shared" si="115"/>
        <v>0.98475222363405335</v>
      </c>
      <c r="AR171" s="46">
        <v>46244</v>
      </c>
      <c r="AS171" s="46">
        <v>46245</v>
      </c>
      <c r="AT171" s="50">
        <f t="shared" si="116"/>
        <v>5</v>
      </c>
      <c r="AU171" s="50">
        <f t="shared" si="108"/>
        <v>251</v>
      </c>
      <c r="AV171" s="50">
        <f t="shared" si="117"/>
        <v>100</v>
      </c>
      <c r="AW171" s="54">
        <f t="shared" si="118"/>
        <v>151</v>
      </c>
    </row>
    <row r="172" spans="1:49" x14ac:dyDescent="0.25">
      <c r="A172" s="33" t="s">
        <v>120</v>
      </c>
      <c r="B172" s="33" t="s">
        <v>121</v>
      </c>
      <c r="C172" s="33" t="s">
        <v>122</v>
      </c>
      <c r="D172" s="33" t="s">
        <v>254</v>
      </c>
      <c r="E172" s="34">
        <f>COUNTIF('Detalle por artículo'!$K$8:$K$592,D172)</f>
        <v>1</v>
      </c>
      <c r="F172" s="35">
        <f t="shared" si="90"/>
        <v>124.52783909737553</v>
      </c>
      <c r="G172" s="36">
        <f>SUMIF('Detalle por artículo'!$K$8:$K$592,$D172,'Detalle por artículo'!$E$8:$E$592)</f>
        <v>4.077</v>
      </c>
      <c r="H172" s="35">
        <f t="shared" si="91"/>
        <v>3</v>
      </c>
      <c r="I172" s="35">
        <f t="shared" si="92"/>
        <v>6</v>
      </c>
      <c r="J172" s="35">
        <f t="shared" si="93"/>
        <v>11</v>
      </c>
      <c r="K172" s="37">
        <f t="shared" si="94"/>
        <v>0.14560714285714285</v>
      </c>
      <c r="L172" s="36">
        <f>SUMIF('Detalle por artículo'!$K$8:$K$592,$D172,'Detalle por artículo'!$O$8:$O$592)</f>
        <v>507.70000000000005</v>
      </c>
      <c r="M172" s="38">
        <f>SUMIF('Detalle por artículo'!$K$8:$K$592,$D172,'Detalle por artículo'!$I$8:$I$592)</f>
        <v>553</v>
      </c>
      <c r="N172" s="38">
        <f>SUMIF('Detalle por artículo'!$K$8:$K$592,$D172,'Detalle por artículo'!$M$8:$M$592)</f>
        <v>37</v>
      </c>
      <c r="O172" s="39">
        <f t="shared" si="95"/>
        <v>7.3725135623869793</v>
      </c>
      <c r="P172" s="40">
        <f t="shared" si="96"/>
        <v>918.08318264014474</v>
      </c>
      <c r="Q172" s="41">
        <f t="shared" si="97"/>
        <v>0.15</v>
      </c>
      <c r="R172" s="40">
        <f t="shared" si="98"/>
        <v>4.6885499999999993</v>
      </c>
      <c r="S172" s="42">
        <f>IFERROR(SUM($G$8:G172)/$G$6,0)</f>
        <v>0.80389060367905829</v>
      </c>
      <c r="T172" s="43" t="str">
        <f t="shared" si="99"/>
        <v>B</v>
      </c>
      <c r="U172" s="44">
        <v>552</v>
      </c>
      <c r="V172" s="45">
        <f t="shared" si="109"/>
        <v>-1</v>
      </c>
      <c r="W172" s="46">
        <v>46272</v>
      </c>
      <c r="X172" s="46">
        <v>46272</v>
      </c>
      <c r="Y172" s="47">
        <v>554</v>
      </c>
      <c r="Z172" s="48">
        <f t="shared" si="100"/>
        <v>4.0843725135623865</v>
      </c>
      <c r="AA172" s="49">
        <f t="shared" si="101"/>
        <v>0.14587044691294238</v>
      </c>
      <c r="AB172" s="44">
        <v>166</v>
      </c>
      <c r="AC172" s="44">
        <f t="shared" si="102"/>
        <v>142</v>
      </c>
      <c r="AD172" s="44">
        <f t="shared" si="103"/>
        <v>20</v>
      </c>
      <c r="AE172" s="50">
        <f t="shared" si="104"/>
        <v>32</v>
      </c>
      <c r="AF172" s="41">
        <f t="shared" si="105"/>
        <v>0.64</v>
      </c>
      <c r="AG172" s="44">
        <v>0</v>
      </c>
      <c r="AH172" s="44">
        <v>4</v>
      </c>
      <c r="AI172" s="42">
        <f t="shared" si="110"/>
        <v>0.25678119349005424</v>
      </c>
      <c r="AJ172" s="42">
        <f t="shared" si="111"/>
        <v>3.6166365280289332E-2</v>
      </c>
      <c r="AK172" s="40">
        <f t="shared" si="106"/>
        <v>1.0468969258589511</v>
      </c>
      <c r="AL172" s="51">
        <v>386</v>
      </c>
      <c r="AM172" s="52">
        <f t="shared" si="107"/>
        <v>2.845790235081374</v>
      </c>
      <c r="AN172" s="42">
        <f t="shared" si="112"/>
        <v>0.69927536231884058</v>
      </c>
      <c r="AO172" s="53">
        <f t="shared" si="113"/>
        <v>387</v>
      </c>
      <c r="AP172" s="52">
        <f t="shared" si="114"/>
        <v>2.853162748643761</v>
      </c>
      <c r="AQ172" s="42">
        <f t="shared" si="115"/>
        <v>0.29294755877034356</v>
      </c>
      <c r="AR172" s="46">
        <v>46274</v>
      </c>
      <c r="AS172" s="46">
        <v>46279</v>
      </c>
      <c r="AT172" s="50">
        <f t="shared" si="116"/>
        <v>7</v>
      </c>
      <c r="AU172" s="50">
        <f t="shared" si="108"/>
        <v>413</v>
      </c>
      <c r="AV172" s="50">
        <f t="shared" si="117"/>
        <v>383</v>
      </c>
      <c r="AW172" s="54">
        <f t="shared" si="118"/>
        <v>30</v>
      </c>
    </row>
    <row r="173" spans="1:49" x14ac:dyDescent="0.25">
      <c r="A173" s="33" t="s">
        <v>55</v>
      </c>
      <c r="B173" s="33" t="s">
        <v>255</v>
      </c>
      <c r="C173" s="33" t="s">
        <v>132</v>
      </c>
      <c r="D173" s="33" t="s">
        <v>256</v>
      </c>
      <c r="E173" s="34">
        <f>COUNTIF('Detalle por artículo'!$K$8:$K$592,D173)</f>
        <v>2</v>
      </c>
      <c r="F173" s="35">
        <f t="shared" si="90"/>
        <v>243.24390723270446</v>
      </c>
      <c r="G173" s="36">
        <f>SUMIF('Detalle por artículo'!$K$8:$K$592,$D173,'Detalle por artículo'!$E$8:$E$592)</f>
        <v>4.0703999999999994</v>
      </c>
      <c r="H173" s="35">
        <f t="shared" si="91"/>
        <v>3</v>
      </c>
      <c r="I173" s="35">
        <f t="shared" si="92"/>
        <v>6</v>
      </c>
      <c r="J173" s="35">
        <f t="shared" si="93"/>
        <v>11</v>
      </c>
      <c r="K173" s="37">
        <f t="shared" si="94"/>
        <v>0.14537142857142854</v>
      </c>
      <c r="L173" s="36">
        <f>SUMIF('Detalle por artículo'!$K$8:$K$592,$D173,'Detalle por artículo'!$O$8:$O$592)</f>
        <v>990.1</v>
      </c>
      <c r="M173" s="38">
        <f>SUMIF('Detalle por artículo'!$K$8:$K$592,$D173,'Detalle por artículo'!$I$8:$I$592)</f>
        <v>1594</v>
      </c>
      <c r="N173" s="38">
        <f>SUMIF('Detalle por artículo'!$K$8:$K$592,$D173,'Detalle por artículo'!$M$8:$M$592)</f>
        <v>53</v>
      </c>
      <c r="O173" s="39">
        <f t="shared" si="95"/>
        <v>2.5535759096612294</v>
      </c>
      <c r="P173" s="40">
        <f t="shared" si="96"/>
        <v>621.14178168130491</v>
      </c>
      <c r="Q173" s="41">
        <f t="shared" si="97"/>
        <v>0.1</v>
      </c>
      <c r="R173" s="40">
        <f t="shared" si="98"/>
        <v>4.4774399999999996</v>
      </c>
      <c r="S173" s="42">
        <f>IFERROR(SUM($G$8:G173)/$G$6,0)</f>
        <v>0.80538632827465151</v>
      </c>
      <c r="T173" s="43" t="str">
        <f t="shared" si="99"/>
        <v>B</v>
      </c>
      <c r="U173" s="44">
        <v>1593</v>
      </c>
      <c r="V173" s="45">
        <f t="shared" si="109"/>
        <v>-1</v>
      </c>
      <c r="W173" s="46">
        <v>46188</v>
      </c>
      <c r="X173" s="46">
        <v>46188</v>
      </c>
      <c r="Y173" s="47">
        <v>1</v>
      </c>
      <c r="Z173" s="48">
        <f t="shared" si="100"/>
        <v>2.5535759096612294E-3</v>
      </c>
      <c r="AA173" s="49">
        <f t="shared" si="101"/>
        <v>9.1199139630758187E-5</v>
      </c>
      <c r="AB173" s="44">
        <v>1590</v>
      </c>
      <c r="AC173" s="44">
        <f t="shared" si="102"/>
        <v>839</v>
      </c>
      <c r="AD173" s="44">
        <f t="shared" si="103"/>
        <v>738</v>
      </c>
      <c r="AE173" s="50">
        <f t="shared" si="104"/>
        <v>49</v>
      </c>
      <c r="AF173" s="41">
        <f t="shared" si="105"/>
        <v>0.98</v>
      </c>
      <c r="AG173" s="44">
        <v>11</v>
      </c>
      <c r="AH173" s="44">
        <v>2</v>
      </c>
      <c r="AI173" s="42">
        <f t="shared" si="110"/>
        <v>0.52634880803011297</v>
      </c>
      <c r="AJ173" s="42">
        <f t="shared" si="111"/>
        <v>0.46298619824341281</v>
      </c>
      <c r="AK173" s="40">
        <f t="shared" si="106"/>
        <v>2.1424501882057716</v>
      </c>
      <c r="AL173" s="51">
        <v>0</v>
      </c>
      <c r="AM173" s="52">
        <f t="shared" si="107"/>
        <v>0</v>
      </c>
      <c r="AN173" s="42">
        <f t="shared" si="112"/>
        <v>0</v>
      </c>
      <c r="AO173" s="53">
        <f t="shared" si="113"/>
        <v>4</v>
      </c>
      <c r="AP173" s="52">
        <f t="shared" si="114"/>
        <v>1.0214303638644917E-2</v>
      </c>
      <c r="AQ173" s="42">
        <f t="shared" si="115"/>
        <v>0.98933500627352577</v>
      </c>
      <c r="AR173" s="46">
        <v>46213</v>
      </c>
      <c r="AS173" s="46">
        <v>46213</v>
      </c>
      <c r="AT173" s="50">
        <f t="shared" si="116"/>
        <v>25</v>
      </c>
      <c r="AU173" s="50">
        <f t="shared" si="108"/>
        <v>83</v>
      </c>
      <c r="AV173" s="50">
        <f t="shared" si="117"/>
        <v>20</v>
      </c>
      <c r="AW173" s="54">
        <f t="shared" si="118"/>
        <v>63</v>
      </c>
    </row>
    <row r="174" spans="1:49" x14ac:dyDescent="0.25">
      <c r="A174" s="33" t="s">
        <v>55</v>
      </c>
      <c r="B174" s="33" t="s">
        <v>56</v>
      </c>
      <c r="C174" s="33" t="s">
        <v>71</v>
      </c>
      <c r="D174" s="33" t="s">
        <v>257</v>
      </c>
      <c r="E174" s="34">
        <f>COUNTIF('Detalle por artículo'!$K$8:$K$592,D174)</f>
        <v>1</v>
      </c>
      <c r="F174" s="35">
        <f t="shared" si="90"/>
        <v>140.96623120532414</v>
      </c>
      <c r="G174" s="36">
        <f>SUMIF('Detalle por artículo'!$K$8:$K$592,$D174,'Detalle por artículo'!$E$8:$E$592)</f>
        <v>4.0570000000000004</v>
      </c>
      <c r="H174" s="35">
        <f t="shared" si="91"/>
        <v>3</v>
      </c>
      <c r="I174" s="35">
        <f t="shared" si="92"/>
        <v>6</v>
      </c>
      <c r="J174" s="35">
        <f t="shared" si="93"/>
        <v>11</v>
      </c>
      <c r="K174" s="37">
        <f t="shared" si="94"/>
        <v>0.14489285714285716</v>
      </c>
      <c r="L174" s="36">
        <f>SUMIF('Detalle por artículo'!$K$8:$K$592,$D174,'Detalle por artículo'!$O$8:$O$592)</f>
        <v>571.90000000000009</v>
      </c>
      <c r="M174" s="38">
        <f>SUMIF('Detalle por artículo'!$K$8:$K$592,$D174,'Detalle por artículo'!$I$8:$I$592)</f>
        <v>536</v>
      </c>
      <c r="N174" s="38">
        <f>SUMIF('Detalle por artículo'!$K$8:$K$592,$D174,'Detalle por artículo'!$M$8:$M$592)</f>
        <v>49</v>
      </c>
      <c r="O174" s="39">
        <f t="shared" si="95"/>
        <v>7.5690298507462694</v>
      </c>
      <c r="P174" s="40">
        <f t="shared" si="96"/>
        <v>1066.9776119402986</v>
      </c>
      <c r="Q174" s="41">
        <f t="shared" si="97"/>
        <v>0.15</v>
      </c>
      <c r="R174" s="40">
        <f t="shared" si="98"/>
        <v>4.6655499999999996</v>
      </c>
      <c r="S174" s="42">
        <f>IFERROR(SUM($G$8:G174)/$G$6,0)</f>
        <v>0.80687712885550877</v>
      </c>
      <c r="T174" s="43" t="str">
        <f t="shared" si="99"/>
        <v>B</v>
      </c>
      <c r="U174" s="44">
        <v>539</v>
      </c>
      <c r="V174" s="45">
        <f t="shared" si="109"/>
        <v>3</v>
      </c>
      <c r="W174" s="46">
        <v>46281</v>
      </c>
      <c r="X174" s="46">
        <v>46281</v>
      </c>
      <c r="Y174" s="47">
        <v>0</v>
      </c>
      <c r="Z174" s="48">
        <f t="shared" si="100"/>
        <v>0</v>
      </c>
      <c r="AA174" s="49">
        <f t="shared" si="101"/>
        <v>0</v>
      </c>
      <c r="AB174" s="44">
        <v>447</v>
      </c>
      <c r="AC174" s="44">
        <f t="shared" si="102"/>
        <v>365</v>
      </c>
      <c r="AD174" s="44">
        <f t="shared" si="103"/>
        <v>74</v>
      </c>
      <c r="AE174" s="50">
        <f t="shared" si="104"/>
        <v>43</v>
      </c>
      <c r="AF174" s="41">
        <f t="shared" si="105"/>
        <v>0.86</v>
      </c>
      <c r="AG174" s="44">
        <v>0</v>
      </c>
      <c r="AH174" s="44">
        <v>8</v>
      </c>
      <c r="AI174" s="42">
        <f t="shared" si="110"/>
        <v>0.68097014925373134</v>
      </c>
      <c r="AJ174" s="42">
        <f t="shared" si="111"/>
        <v>0.13805970149253732</v>
      </c>
      <c r="AK174" s="40">
        <f t="shared" si="106"/>
        <v>2.7626958955223881</v>
      </c>
      <c r="AL174" s="51">
        <v>92</v>
      </c>
      <c r="AM174" s="52">
        <f t="shared" si="107"/>
        <v>0.69635074626865678</v>
      </c>
      <c r="AN174" s="42">
        <f t="shared" si="112"/>
        <v>0.17068645640074212</v>
      </c>
      <c r="AO174" s="53">
        <f t="shared" si="113"/>
        <v>89</v>
      </c>
      <c r="AP174" s="52">
        <f t="shared" si="114"/>
        <v>0.67364365671641802</v>
      </c>
      <c r="AQ174" s="42">
        <f t="shared" si="115"/>
        <v>0.81902985074626866</v>
      </c>
      <c r="AR174" s="46">
        <v>46285</v>
      </c>
      <c r="AS174" s="46">
        <v>46287</v>
      </c>
      <c r="AT174" s="50">
        <f t="shared" si="116"/>
        <v>6</v>
      </c>
      <c r="AU174" s="50">
        <f t="shared" si="108"/>
        <v>418</v>
      </c>
      <c r="AV174" s="50">
        <f t="shared" si="117"/>
        <v>308</v>
      </c>
      <c r="AW174" s="54">
        <f t="shared" si="118"/>
        <v>110</v>
      </c>
    </row>
    <row r="175" spans="1:49" x14ac:dyDescent="0.25">
      <c r="A175" s="33" t="s">
        <v>55</v>
      </c>
      <c r="B175" s="33" t="s">
        <v>56</v>
      </c>
      <c r="C175" s="33" t="s">
        <v>80</v>
      </c>
      <c r="D175" s="33" t="s">
        <v>258</v>
      </c>
      <c r="E175" s="34">
        <f>COUNTIF('Detalle por artículo'!$K$8:$K$592,D175)</f>
        <v>1</v>
      </c>
      <c r="F175" s="35">
        <f t="shared" si="90"/>
        <v>195.83333333333334</v>
      </c>
      <c r="G175" s="36">
        <f>SUMIF('Detalle por artículo'!$K$8:$K$592,$D175,'Detalle por artículo'!$E$8:$E$592)</f>
        <v>4.032</v>
      </c>
      <c r="H175" s="35">
        <f t="shared" si="91"/>
        <v>3</v>
      </c>
      <c r="I175" s="35">
        <f t="shared" si="92"/>
        <v>6</v>
      </c>
      <c r="J175" s="35">
        <f t="shared" si="93"/>
        <v>11</v>
      </c>
      <c r="K175" s="37">
        <f t="shared" si="94"/>
        <v>0.14399999999999999</v>
      </c>
      <c r="L175" s="36">
        <f>SUMIF('Detalle por artículo'!$K$8:$K$592,$D175,'Detalle por artículo'!$O$8:$O$592)</f>
        <v>789.6</v>
      </c>
      <c r="M175" s="38">
        <f>SUMIF('Detalle por artículo'!$K$8:$K$592,$D175,'Detalle por artículo'!$I$8:$I$592)</f>
        <v>748</v>
      </c>
      <c r="N175" s="38">
        <f>SUMIF('Detalle por artículo'!$K$8:$K$592,$D175,'Detalle por artículo'!$M$8:$M$592)</f>
        <v>42</v>
      </c>
      <c r="O175" s="39">
        <f t="shared" si="95"/>
        <v>5.3903743315508024</v>
      </c>
      <c r="P175" s="40">
        <f t="shared" si="96"/>
        <v>1055.6149732620322</v>
      </c>
      <c r="Q175" s="41">
        <f t="shared" si="97"/>
        <v>0.15</v>
      </c>
      <c r="R175" s="40">
        <f t="shared" si="98"/>
        <v>4.6368</v>
      </c>
      <c r="S175" s="42">
        <f>IFERROR(SUM($G$8:G175)/$G$6,0)</f>
        <v>0.80835874284170972</v>
      </c>
      <c r="T175" s="43" t="str">
        <f t="shared" si="99"/>
        <v>B</v>
      </c>
      <c r="U175" s="44">
        <v>748</v>
      </c>
      <c r="V175" s="45">
        <f t="shared" si="109"/>
        <v>0</v>
      </c>
      <c r="W175" s="46">
        <v>46297</v>
      </c>
      <c r="X175" s="46">
        <v>46297</v>
      </c>
      <c r="Y175" s="47">
        <v>0</v>
      </c>
      <c r="Z175" s="48">
        <f t="shared" si="100"/>
        <v>0</v>
      </c>
      <c r="AA175" s="49">
        <f t="shared" si="101"/>
        <v>0</v>
      </c>
      <c r="AB175" s="44">
        <v>510</v>
      </c>
      <c r="AC175" s="44">
        <f t="shared" si="102"/>
        <v>457</v>
      </c>
      <c r="AD175" s="44">
        <f t="shared" si="103"/>
        <v>52</v>
      </c>
      <c r="AE175" s="50">
        <f t="shared" si="104"/>
        <v>47</v>
      </c>
      <c r="AF175" s="41">
        <f t="shared" si="105"/>
        <v>0.94</v>
      </c>
      <c r="AG175" s="44">
        <v>1</v>
      </c>
      <c r="AH175" s="44">
        <v>0</v>
      </c>
      <c r="AI175" s="42">
        <f t="shared" si="110"/>
        <v>0.61096256684491979</v>
      </c>
      <c r="AJ175" s="42">
        <f t="shared" si="111"/>
        <v>6.9518716577540107E-2</v>
      </c>
      <c r="AK175" s="40">
        <f t="shared" si="106"/>
        <v>2.4634010695187167</v>
      </c>
      <c r="AL175" s="51">
        <v>238</v>
      </c>
      <c r="AM175" s="52">
        <f t="shared" si="107"/>
        <v>1.282909090909091</v>
      </c>
      <c r="AN175" s="42">
        <f t="shared" si="112"/>
        <v>0.31818181818181818</v>
      </c>
      <c r="AO175" s="53">
        <f t="shared" si="113"/>
        <v>238</v>
      </c>
      <c r="AP175" s="52">
        <f t="shared" si="114"/>
        <v>1.282909090909091</v>
      </c>
      <c r="AQ175" s="42">
        <f t="shared" si="115"/>
        <v>0.68048128342245995</v>
      </c>
      <c r="AR175" s="46">
        <v>46300</v>
      </c>
      <c r="AS175" s="46">
        <v>46300</v>
      </c>
      <c r="AT175" s="50">
        <f t="shared" si="116"/>
        <v>3</v>
      </c>
      <c r="AU175" s="50">
        <f t="shared" si="108"/>
        <v>282</v>
      </c>
      <c r="AV175" s="50">
        <f t="shared" si="117"/>
        <v>266</v>
      </c>
      <c r="AW175" s="54">
        <f t="shared" si="118"/>
        <v>16</v>
      </c>
    </row>
    <row r="176" spans="1:49" x14ac:dyDescent="0.25">
      <c r="A176" s="33" t="s">
        <v>120</v>
      </c>
      <c r="B176" s="33" t="s">
        <v>121</v>
      </c>
      <c r="C176" s="33" t="s">
        <v>122</v>
      </c>
      <c r="D176" s="33" t="s">
        <v>259</v>
      </c>
      <c r="E176" s="34">
        <f>COUNTIF('Detalle por artículo'!$K$8:$K$592,D176)</f>
        <v>1</v>
      </c>
      <c r="F176" s="35">
        <f t="shared" si="90"/>
        <v>109.60423493824048</v>
      </c>
      <c r="G176" s="36">
        <f>SUMIF('Detalle por artículo'!$K$8:$K$592,$D176,'Detalle por artículo'!$E$8:$E$592)</f>
        <v>3.9670000000000001</v>
      </c>
      <c r="H176" s="35">
        <f t="shared" si="91"/>
        <v>3</v>
      </c>
      <c r="I176" s="35">
        <f t="shared" si="92"/>
        <v>6</v>
      </c>
      <c r="J176" s="35">
        <f t="shared" si="93"/>
        <v>11</v>
      </c>
      <c r="K176" s="37">
        <f t="shared" si="94"/>
        <v>0.14167857142857143</v>
      </c>
      <c r="L176" s="36">
        <f>SUMIF('Detalle por artículo'!$K$8:$K$592,$D176,'Detalle por artículo'!$O$8:$O$592)</f>
        <v>434.8</v>
      </c>
      <c r="M176" s="38">
        <f>SUMIF('Detalle por artículo'!$K$8:$K$592,$D176,'Detalle por artículo'!$I$8:$I$592)</f>
        <v>531</v>
      </c>
      <c r="N176" s="38">
        <f>SUMIF('Detalle por artículo'!$K$8:$K$592,$D176,'Detalle por artículo'!$M$8:$M$592)</f>
        <v>36</v>
      </c>
      <c r="O176" s="39">
        <f t="shared" si="95"/>
        <v>7.4708097928436912</v>
      </c>
      <c r="P176" s="40">
        <f t="shared" si="96"/>
        <v>818.83239171374771</v>
      </c>
      <c r="Q176" s="41">
        <f t="shared" si="97"/>
        <v>0.2</v>
      </c>
      <c r="R176" s="40">
        <f t="shared" si="98"/>
        <v>4.7603999999999997</v>
      </c>
      <c r="S176" s="42">
        <f>IFERROR(SUM($G$8:G176)/$G$6,0)</f>
        <v>0.8098164716818036</v>
      </c>
      <c r="T176" s="43" t="str">
        <f t="shared" si="99"/>
        <v>B</v>
      </c>
      <c r="U176" s="44">
        <v>531</v>
      </c>
      <c r="V176" s="45">
        <f t="shared" ref="V176:V196" si="119">U176-M176</f>
        <v>0</v>
      </c>
      <c r="W176" s="46">
        <v>46286</v>
      </c>
      <c r="X176" s="46">
        <v>46286</v>
      </c>
      <c r="Y176" s="47">
        <v>15</v>
      </c>
      <c r="Z176" s="48">
        <f t="shared" si="100"/>
        <v>0.11206214689265537</v>
      </c>
      <c r="AA176" s="49">
        <f t="shared" si="101"/>
        <v>4.0022195318805487E-3</v>
      </c>
      <c r="AB176" s="44">
        <v>12</v>
      </c>
      <c r="AC176" s="44">
        <f t="shared" si="102"/>
        <v>51</v>
      </c>
      <c r="AD176" s="44">
        <f t="shared" si="103"/>
        <v>0</v>
      </c>
      <c r="AE176" s="50">
        <f t="shared" si="104"/>
        <v>11</v>
      </c>
      <c r="AF176" s="41">
        <f t="shared" si="105"/>
        <v>0.22</v>
      </c>
      <c r="AG176" s="44">
        <v>0</v>
      </c>
      <c r="AH176" s="44">
        <v>0</v>
      </c>
      <c r="AI176" s="42">
        <f t="shared" ref="AI176:AI196" si="120">IFERROR(AC176/M176,0)</f>
        <v>9.6045197740112997E-2</v>
      </c>
      <c r="AJ176" s="42">
        <f t="shared" ref="AJ176:AJ196" si="121">IFERROR(AD176/M176,0)</f>
        <v>0</v>
      </c>
      <c r="AK176" s="40">
        <f t="shared" si="106"/>
        <v>0.38101129943502826</v>
      </c>
      <c r="AL176" s="51">
        <v>519</v>
      </c>
      <c r="AM176" s="52">
        <f t="shared" si="107"/>
        <v>3.8773502824858754</v>
      </c>
      <c r="AN176" s="42">
        <f t="shared" ref="AN176:AN196" si="122">IFERROR(AL176/U176,0)</f>
        <v>0.97740112994350281</v>
      </c>
      <c r="AO176" s="53">
        <f t="shared" ref="AO176:AO196" si="123">M176-AB176</f>
        <v>519</v>
      </c>
      <c r="AP176" s="52">
        <f t="shared" ref="AP176:AP196" si="124">AO176*O176/1000</f>
        <v>3.8773502824858754</v>
      </c>
      <c r="AQ176" s="42">
        <f t="shared" ref="AQ176:AQ196" si="125">IFERROR((AC176+AD176)/M176,0)</f>
        <v>9.6045197740112997E-2</v>
      </c>
      <c r="AR176" s="46">
        <v>46293</v>
      </c>
      <c r="AS176" s="46">
        <v>46294</v>
      </c>
      <c r="AT176" s="50">
        <f t="shared" ref="AT176:AT196" si="126">IF(OR(W176="",AS176=""),"",AS176-W176)</f>
        <v>8</v>
      </c>
      <c r="AU176" s="50">
        <f t="shared" si="108"/>
        <v>421</v>
      </c>
      <c r="AV176" s="50">
        <f t="shared" ref="AV176:AV196" si="127">IF(AB176=0,"",RANK(AB176,$AB$8:$AB$474))</f>
        <v>419</v>
      </c>
      <c r="AW176" s="54">
        <f t="shared" ref="AW176:AW196" si="128">IF(OR(AU176="",AV176=""),"",AU176-AV176)</f>
        <v>2</v>
      </c>
    </row>
    <row r="177" spans="1:49" x14ac:dyDescent="0.25">
      <c r="A177" s="33" t="s">
        <v>63</v>
      </c>
      <c r="B177" s="33" t="s">
        <v>84</v>
      </c>
      <c r="C177" s="33" t="s">
        <v>85</v>
      </c>
      <c r="D177" s="33" t="s">
        <v>260</v>
      </c>
      <c r="E177" s="34">
        <f>COUNTIF('Detalle por artículo'!$K$8:$K$592,D177)</f>
        <v>1</v>
      </c>
      <c r="F177" s="35">
        <f t="shared" si="90"/>
        <v>141.7258883248731</v>
      </c>
      <c r="G177" s="36">
        <f>SUMIF('Detalle por artículo'!$K$8:$K$592,$D177,'Detalle por artículo'!$E$8:$E$592)</f>
        <v>3.94</v>
      </c>
      <c r="H177" s="35">
        <f t="shared" si="91"/>
        <v>3</v>
      </c>
      <c r="I177" s="35">
        <f t="shared" si="92"/>
        <v>6</v>
      </c>
      <c r="J177" s="35">
        <f t="shared" si="93"/>
        <v>11</v>
      </c>
      <c r="K177" s="37">
        <f t="shared" si="94"/>
        <v>0.14071428571428571</v>
      </c>
      <c r="L177" s="36">
        <f>SUMIF('Detalle por artículo'!$K$8:$K$592,$D177,'Detalle por artículo'!$O$8:$O$592)</f>
        <v>558.4</v>
      </c>
      <c r="M177" s="38">
        <f>SUMIF('Detalle por artículo'!$K$8:$K$592,$D177,'Detalle por artículo'!$I$8:$I$592)</f>
        <v>1000</v>
      </c>
      <c r="N177" s="38">
        <f>SUMIF('Detalle por artículo'!$K$8:$K$592,$D177,'Detalle por artículo'!$M$8:$M$592)</f>
        <v>41</v>
      </c>
      <c r="O177" s="39">
        <f t="shared" si="95"/>
        <v>3.94</v>
      </c>
      <c r="P177" s="40">
        <f t="shared" si="96"/>
        <v>558.4</v>
      </c>
      <c r="Q177" s="41">
        <f t="shared" si="97"/>
        <v>0.15</v>
      </c>
      <c r="R177" s="40">
        <f t="shared" si="98"/>
        <v>4.5309999999999997</v>
      </c>
      <c r="S177" s="42">
        <f>IFERROR(SUM($G$8:G177)/$G$6,0)</f>
        <v>0.81126427899966858</v>
      </c>
      <c r="T177" s="43" t="str">
        <f t="shared" si="99"/>
        <v>B</v>
      </c>
      <c r="U177" s="44">
        <v>1000</v>
      </c>
      <c r="V177" s="45">
        <f t="shared" si="119"/>
        <v>0</v>
      </c>
      <c r="W177" s="46">
        <v>46244</v>
      </c>
      <c r="X177" s="46">
        <v>46244</v>
      </c>
      <c r="Y177" s="47">
        <v>0</v>
      </c>
      <c r="Z177" s="48">
        <f t="shared" si="100"/>
        <v>0</v>
      </c>
      <c r="AA177" s="49">
        <f t="shared" si="101"/>
        <v>0</v>
      </c>
      <c r="AB177" s="44">
        <v>571</v>
      </c>
      <c r="AC177" s="44">
        <f t="shared" si="102"/>
        <v>361</v>
      </c>
      <c r="AD177" s="44">
        <f t="shared" si="103"/>
        <v>202</v>
      </c>
      <c r="AE177" s="50">
        <f t="shared" si="104"/>
        <v>49</v>
      </c>
      <c r="AF177" s="41">
        <f t="shared" si="105"/>
        <v>0.98</v>
      </c>
      <c r="AG177" s="44">
        <v>2</v>
      </c>
      <c r="AH177" s="44">
        <v>7</v>
      </c>
      <c r="AI177" s="42">
        <f t="shared" si="120"/>
        <v>0.36099999999999999</v>
      </c>
      <c r="AJ177" s="42">
        <f t="shared" si="121"/>
        <v>0.20200000000000001</v>
      </c>
      <c r="AK177" s="40">
        <f t="shared" si="106"/>
        <v>1.4223399999999999</v>
      </c>
      <c r="AL177" s="51">
        <v>429</v>
      </c>
      <c r="AM177" s="52">
        <f t="shared" si="107"/>
        <v>1.6902600000000001</v>
      </c>
      <c r="AN177" s="42">
        <f t="shared" si="122"/>
        <v>0.42899999999999999</v>
      </c>
      <c r="AO177" s="53">
        <f t="shared" si="123"/>
        <v>429</v>
      </c>
      <c r="AP177" s="52">
        <f t="shared" si="124"/>
        <v>1.6902600000000001</v>
      </c>
      <c r="AQ177" s="42">
        <f t="shared" si="125"/>
        <v>0.56299999999999994</v>
      </c>
      <c r="AR177" s="46">
        <v>46254</v>
      </c>
      <c r="AS177" s="46">
        <v>46255</v>
      </c>
      <c r="AT177" s="50">
        <f t="shared" si="126"/>
        <v>11</v>
      </c>
      <c r="AU177" s="50">
        <f t="shared" si="108"/>
        <v>172</v>
      </c>
      <c r="AV177" s="50">
        <f t="shared" si="127"/>
        <v>227</v>
      </c>
      <c r="AW177" s="54">
        <f t="shared" si="128"/>
        <v>-55</v>
      </c>
    </row>
    <row r="178" spans="1:49" x14ac:dyDescent="0.25">
      <c r="A178" s="33" t="s">
        <v>55</v>
      </c>
      <c r="B178" s="33" t="s">
        <v>93</v>
      </c>
      <c r="C178" s="33" t="s">
        <v>94</v>
      </c>
      <c r="D178" s="33" t="s">
        <v>261</v>
      </c>
      <c r="E178" s="34">
        <f>COUNTIF('Detalle por artículo'!$K$8:$K$592,D178)</f>
        <v>1</v>
      </c>
      <c r="F178" s="35">
        <f t="shared" si="90"/>
        <v>148.95833333333331</v>
      </c>
      <c r="G178" s="36">
        <f>SUMIF('Detalle por artículo'!$K$8:$K$592,$D178,'Detalle por artículo'!$E$8:$E$592)</f>
        <v>3.9359999999999999</v>
      </c>
      <c r="H178" s="35">
        <f t="shared" si="91"/>
        <v>3</v>
      </c>
      <c r="I178" s="35">
        <f t="shared" si="92"/>
        <v>6</v>
      </c>
      <c r="J178" s="35">
        <f t="shared" si="93"/>
        <v>11</v>
      </c>
      <c r="K178" s="37">
        <f t="shared" si="94"/>
        <v>0.14057142857142857</v>
      </c>
      <c r="L178" s="36">
        <f>SUMIF('Detalle por artículo'!$K$8:$K$592,$D178,'Detalle por artículo'!$O$8:$O$592)</f>
        <v>586.29999999999995</v>
      </c>
      <c r="M178" s="38">
        <f>SUMIF('Detalle por artículo'!$K$8:$K$592,$D178,'Detalle por artículo'!$I$8:$I$592)</f>
        <v>723</v>
      </c>
      <c r="N178" s="38">
        <f>SUMIF('Detalle por artículo'!$K$8:$K$592,$D178,'Detalle por artículo'!$M$8:$M$592)</f>
        <v>41</v>
      </c>
      <c r="O178" s="39">
        <f t="shared" si="95"/>
        <v>5.4439834024896259</v>
      </c>
      <c r="P178" s="40">
        <f t="shared" si="96"/>
        <v>810.92669432918387</v>
      </c>
      <c r="Q178" s="41">
        <f t="shared" si="97"/>
        <v>0.15</v>
      </c>
      <c r="R178" s="40">
        <f t="shared" si="98"/>
        <v>4.5263999999999998</v>
      </c>
      <c r="S178" s="42">
        <f>IFERROR(SUM($G$8:G178)/$G$6,0)</f>
        <v>0.81271061646238851</v>
      </c>
      <c r="T178" s="43" t="str">
        <f t="shared" si="99"/>
        <v>B</v>
      </c>
      <c r="U178" s="44">
        <v>723</v>
      </c>
      <c r="V178" s="45">
        <f t="shared" si="119"/>
        <v>0</v>
      </c>
      <c r="W178" s="46">
        <v>46217</v>
      </c>
      <c r="X178" s="46">
        <v>46217</v>
      </c>
      <c r="Y178" s="47">
        <v>0</v>
      </c>
      <c r="Z178" s="48">
        <f t="shared" si="100"/>
        <v>0</v>
      </c>
      <c r="AA178" s="49">
        <f t="shared" si="101"/>
        <v>0</v>
      </c>
      <c r="AB178" s="44">
        <v>589</v>
      </c>
      <c r="AC178" s="44">
        <f t="shared" si="102"/>
        <v>390</v>
      </c>
      <c r="AD178" s="44">
        <f t="shared" si="103"/>
        <v>177</v>
      </c>
      <c r="AE178" s="50">
        <f t="shared" si="104"/>
        <v>48</v>
      </c>
      <c r="AF178" s="41">
        <f t="shared" si="105"/>
        <v>0.96</v>
      </c>
      <c r="AG178" s="44">
        <v>1</v>
      </c>
      <c r="AH178" s="44">
        <v>22</v>
      </c>
      <c r="AI178" s="42">
        <f t="shared" si="120"/>
        <v>0.53941908713692943</v>
      </c>
      <c r="AJ178" s="42">
        <f t="shared" si="121"/>
        <v>0.24481327800829875</v>
      </c>
      <c r="AK178" s="40">
        <f t="shared" si="106"/>
        <v>2.1231535269709538</v>
      </c>
      <c r="AL178" s="51">
        <v>133</v>
      </c>
      <c r="AM178" s="52">
        <f t="shared" si="107"/>
        <v>0.72404979253112023</v>
      </c>
      <c r="AN178" s="42">
        <f t="shared" si="122"/>
        <v>0.1839557399723375</v>
      </c>
      <c r="AO178" s="53">
        <f t="shared" si="123"/>
        <v>134</v>
      </c>
      <c r="AP178" s="52">
        <f t="shared" si="124"/>
        <v>0.72949377593360987</v>
      </c>
      <c r="AQ178" s="42">
        <f t="shared" si="125"/>
        <v>0.78423236514522821</v>
      </c>
      <c r="AR178" s="46">
        <v>46233</v>
      </c>
      <c r="AS178" s="46">
        <v>46234</v>
      </c>
      <c r="AT178" s="50">
        <f t="shared" si="126"/>
        <v>17</v>
      </c>
      <c r="AU178" s="50">
        <f t="shared" si="108"/>
        <v>299</v>
      </c>
      <c r="AV178" s="50">
        <f t="shared" si="127"/>
        <v>206</v>
      </c>
      <c r="AW178" s="54">
        <f t="shared" si="128"/>
        <v>93</v>
      </c>
    </row>
    <row r="179" spans="1:49" x14ac:dyDescent="0.25">
      <c r="A179" s="33" t="s">
        <v>63</v>
      </c>
      <c r="B179" s="33" t="s">
        <v>84</v>
      </c>
      <c r="C179" s="33" t="s">
        <v>85</v>
      </c>
      <c r="D179" s="33" t="s">
        <v>262</v>
      </c>
      <c r="E179" s="34">
        <f>COUNTIF('Detalle por artículo'!$K$8:$K$592,D179)</f>
        <v>1</v>
      </c>
      <c r="F179" s="35">
        <f t="shared" si="90"/>
        <v>122.91666666666667</v>
      </c>
      <c r="G179" s="36">
        <f>SUMIF('Detalle por artículo'!$K$8:$K$592,$D179,'Detalle por artículo'!$E$8:$E$592)</f>
        <v>3.9359999999999999</v>
      </c>
      <c r="H179" s="35">
        <f t="shared" si="91"/>
        <v>3</v>
      </c>
      <c r="I179" s="35">
        <f t="shared" si="92"/>
        <v>6</v>
      </c>
      <c r="J179" s="35">
        <f t="shared" si="93"/>
        <v>11</v>
      </c>
      <c r="K179" s="37">
        <f t="shared" si="94"/>
        <v>0.14057142857142857</v>
      </c>
      <c r="L179" s="36">
        <f>SUMIF('Detalle por artículo'!$K$8:$K$592,$D179,'Detalle por artículo'!$O$8:$O$592)</f>
        <v>483.8</v>
      </c>
      <c r="M179" s="38">
        <f>SUMIF('Detalle por artículo'!$K$8:$K$592,$D179,'Detalle por artículo'!$I$8:$I$592)</f>
        <v>822</v>
      </c>
      <c r="N179" s="38">
        <f>SUMIF('Detalle por artículo'!$K$8:$K$592,$D179,'Detalle por artículo'!$M$8:$M$592)</f>
        <v>41</v>
      </c>
      <c r="O179" s="39">
        <f t="shared" si="95"/>
        <v>4.7883211678832112</v>
      </c>
      <c r="P179" s="40">
        <f t="shared" si="96"/>
        <v>588.56447688564469</v>
      </c>
      <c r="Q179" s="41">
        <f t="shared" si="97"/>
        <v>0.15</v>
      </c>
      <c r="R179" s="40">
        <f t="shared" si="98"/>
        <v>4.5263999999999998</v>
      </c>
      <c r="S179" s="42">
        <f>IFERROR(SUM($G$8:G179)/$G$6,0)</f>
        <v>0.81415695392510845</v>
      </c>
      <c r="T179" s="43" t="str">
        <f t="shared" si="99"/>
        <v>B</v>
      </c>
      <c r="U179" s="44">
        <v>822</v>
      </c>
      <c r="V179" s="45">
        <f t="shared" si="119"/>
        <v>0</v>
      </c>
      <c r="W179" s="46">
        <v>46246</v>
      </c>
      <c r="X179" s="46">
        <v>46246</v>
      </c>
      <c r="Y179" s="47">
        <v>0</v>
      </c>
      <c r="Z179" s="48">
        <f t="shared" si="100"/>
        <v>0</v>
      </c>
      <c r="AA179" s="49">
        <f t="shared" si="101"/>
        <v>0</v>
      </c>
      <c r="AB179" s="44">
        <v>527</v>
      </c>
      <c r="AC179" s="44">
        <f t="shared" si="102"/>
        <v>405</v>
      </c>
      <c r="AD179" s="44">
        <f t="shared" si="103"/>
        <v>111</v>
      </c>
      <c r="AE179" s="50">
        <f t="shared" si="104"/>
        <v>47</v>
      </c>
      <c r="AF179" s="41">
        <f t="shared" si="105"/>
        <v>0.94</v>
      </c>
      <c r="AG179" s="44">
        <v>4</v>
      </c>
      <c r="AH179" s="44">
        <v>8</v>
      </c>
      <c r="AI179" s="42">
        <f t="shared" si="120"/>
        <v>0.49270072992700731</v>
      </c>
      <c r="AJ179" s="42">
        <f t="shared" si="121"/>
        <v>0.13503649635036497</v>
      </c>
      <c r="AK179" s="40">
        <f t="shared" si="106"/>
        <v>1.9392700729927006</v>
      </c>
      <c r="AL179" s="51">
        <v>295</v>
      </c>
      <c r="AM179" s="52">
        <f t="shared" si="107"/>
        <v>1.4125547445255473</v>
      </c>
      <c r="AN179" s="42">
        <f t="shared" si="122"/>
        <v>0.35888077858880779</v>
      </c>
      <c r="AO179" s="53">
        <f t="shared" si="123"/>
        <v>295</v>
      </c>
      <c r="AP179" s="52">
        <f t="shared" si="124"/>
        <v>1.4125547445255473</v>
      </c>
      <c r="AQ179" s="42">
        <f t="shared" si="125"/>
        <v>0.62773722627737227</v>
      </c>
      <c r="AR179" s="46">
        <v>46254</v>
      </c>
      <c r="AS179" s="46">
        <v>46255</v>
      </c>
      <c r="AT179" s="50">
        <f t="shared" si="126"/>
        <v>9</v>
      </c>
      <c r="AU179" s="50">
        <f t="shared" si="108"/>
        <v>226</v>
      </c>
      <c r="AV179" s="50">
        <f t="shared" si="127"/>
        <v>254</v>
      </c>
      <c r="AW179" s="54">
        <f t="shared" si="128"/>
        <v>-28</v>
      </c>
    </row>
    <row r="180" spans="1:49" x14ac:dyDescent="0.25">
      <c r="A180" s="33" t="s">
        <v>63</v>
      </c>
      <c r="B180" s="33" t="s">
        <v>263</v>
      </c>
      <c r="C180" s="33" t="s">
        <v>264</v>
      </c>
      <c r="D180" s="33" t="s">
        <v>265</v>
      </c>
      <c r="E180" s="34">
        <f>COUNTIF('Detalle por artículo'!$K$8:$K$592,D180)</f>
        <v>3</v>
      </c>
      <c r="F180" s="35">
        <f t="shared" si="90"/>
        <v>218.82621951219514</v>
      </c>
      <c r="G180" s="36">
        <f>SUMIF('Detalle por artículo'!$K$8:$K$592,$D180,'Detalle por artículo'!$E$8:$E$592)</f>
        <v>3.9359999999999999</v>
      </c>
      <c r="H180" s="35">
        <f t="shared" si="91"/>
        <v>3</v>
      </c>
      <c r="I180" s="35">
        <f t="shared" si="92"/>
        <v>6</v>
      </c>
      <c r="J180" s="35">
        <f t="shared" si="93"/>
        <v>11</v>
      </c>
      <c r="K180" s="37">
        <f t="shared" si="94"/>
        <v>0.14057142857142857</v>
      </c>
      <c r="L180" s="36">
        <f>SUMIF('Detalle por artículo'!$K$8:$K$592,$D180,'Detalle por artículo'!$O$8:$O$592)</f>
        <v>861.30000000000007</v>
      </c>
      <c r="M180" s="38">
        <f>SUMIF('Detalle por artículo'!$K$8:$K$592,$D180,'Detalle por artículo'!$I$8:$I$592)</f>
        <v>2775</v>
      </c>
      <c r="N180" s="38">
        <f>SUMIF('Detalle por artículo'!$K$8:$K$592,$D180,'Detalle por artículo'!$M$8:$M$592)</f>
        <v>41</v>
      </c>
      <c r="O180" s="39">
        <f t="shared" si="95"/>
        <v>1.4183783783783783</v>
      </c>
      <c r="P180" s="40">
        <f t="shared" si="96"/>
        <v>310.37837837837839</v>
      </c>
      <c r="Q180" s="41">
        <f t="shared" si="97"/>
        <v>0.1</v>
      </c>
      <c r="R180" s="40">
        <f t="shared" si="98"/>
        <v>4.3296000000000001</v>
      </c>
      <c r="S180" s="42">
        <f>IFERROR(SUM($G$8:G180)/$G$6,0)</f>
        <v>0.81560329138782839</v>
      </c>
      <c r="T180" s="43" t="str">
        <f t="shared" si="99"/>
        <v>B</v>
      </c>
      <c r="U180" s="44">
        <v>2775</v>
      </c>
      <c r="V180" s="45">
        <f t="shared" si="119"/>
        <v>0</v>
      </c>
      <c r="W180" s="46">
        <v>46233</v>
      </c>
      <c r="X180" s="46">
        <v>46233</v>
      </c>
      <c r="Y180" s="47">
        <v>0</v>
      </c>
      <c r="Z180" s="48">
        <f t="shared" si="100"/>
        <v>0</v>
      </c>
      <c r="AA180" s="49">
        <f t="shared" si="101"/>
        <v>0</v>
      </c>
      <c r="AB180" s="44">
        <v>2133</v>
      </c>
      <c r="AC180" s="44">
        <f t="shared" si="102"/>
        <v>1168</v>
      </c>
      <c r="AD180" s="44">
        <f t="shared" si="103"/>
        <v>924</v>
      </c>
      <c r="AE180" s="50">
        <f t="shared" si="104"/>
        <v>49</v>
      </c>
      <c r="AF180" s="41">
        <f t="shared" si="105"/>
        <v>0.98</v>
      </c>
      <c r="AG180" s="44">
        <v>6</v>
      </c>
      <c r="AH180" s="44">
        <v>35</v>
      </c>
      <c r="AI180" s="42">
        <f t="shared" si="120"/>
        <v>0.42090090090090088</v>
      </c>
      <c r="AJ180" s="42">
        <f t="shared" si="121"/>
        <v>0.33297297297297296</v>
      </c>
      <c r="AK180" s="40">
        <f t="shared" si="106"/>
        <v>1.6566659459459459</v>
      </c>
      <c r="AL180" s="51">
        <v>637</v>
      </c>
      <c r="AM180" s="52">
        <f t="shared" si="107"/>
        <v>0.90350702702702701</v>
      </c>
      <c r="AN180" s="42">
        <f t="shared" si="122"/>
        <v>0.22954954954954954</v>
      </c>
      <c r="AO180" s="53">
        <f t="shared" si="123"/>
        <v>642</v>
      </c>
      <c r="AP180" s="52">
        <f t="shared" si="124"/>
        <v>0.91059891891891886</v>
      </c>
      <c r="AQ180" s="42">
        <f t="shared" si="125"/>
        <v>0.75387387387387383</v>
      </c>
      <c r="AR180" s="46">
        <v>46238</v>
      </c>
      <c r="AS180" s="46">
        <v>46238</v>
      </c>
      <c r="AT180" s="50">
        <f t="shared" si="126"/>
        <v>5</v>
      </c>
      <c r="AU180" s="50">
        <f t="shared" si="108"/>
        <v>25</v>
      </c>
      <c r="AV180" s="50">
        <f t="shared" si="127"/>
        <v>8</v>
      </c>
      <c r="AW180" s="54">
        <f t="shared" si="128"/>
        <v>17</v>
      </c>
    </row>
    <row r="181" spans="1:49" x14ac:dyDescent="0.25">
      <c r="A181" s="33" t="s">
        <v>63</v>
      </c>
      <c r="B181" s="33" t="s">
        <v>84</v>
      </c>
      <c r="C181" s="33" t="s">
        <v>85</v>
      </c>
      <c r="D181" s="33" t="s">
        <v>266</v>
      </c>
      <c r="E181" s="34">
        <f>COUNTIF('Detalle por artículo'!$K$8:$K$592,D181)</f>
        <v>1</v>
      </c>
      <c r="F181" s="35">
        <f t="shared" si="90"/>
        <v>168.12015503875966</v>
      </c>
      <c r="G181" s="36">
        <f>SUMIF('Detalle por artículo'!$K$8:$K$592,$D181,'Detalle por artículo'!$E$8:$E$592)</f>
        <v>3.9216000000000002</v>
      </c>
      <c r="H181" s="35">
        <f t="shared" si="91"/>
        <v>3</v>
      </c>
      <c r="I181" s="35">
        <f t="shared" si="92"/>
        <v>6</v>
      </c>
      <c r="J181" s="35">
        <f t="shared" si="93"/>
        <v>11</v>
      </c>
      <c r="K181" s="37">
        <f t="shared" si="94"/>
        <v>0.14005714285714285</v>
      </c>
      <c r="L181" s="36">
        <f>SUMIF('Detalle por artículo'!$K$8:$K$592,$D181,'Detalle por artículo'!$O$8:$O$592)</f>
        <v>659.3</v>
      </c>
      <c r="M181" s="38">
        <f>SUMIF('Detalle por artículo'!$K$8:$K$592,$D181,'Detalle por artículo'!$I$8:$I$592)</f>
        <v>1174</v>
      </c>
      <c r="N181" s="38">
        <f>SUMIF('Detalle por artículo'!$K$8:$K$592,$D181,'Detalle por artículo'!$M$8:$M$592)</f>
        <v>38</v>
      </c>
      <c r="O181" s="39">
        <f t="shared" si="95"/>
        <v>3.3403747870528111</v>
      </c>
      <c r="P181" s="40">
        <f t="shared" si="96"/>
        <v>561.58432708688247</v>
      </c>
      <c r="Q181" s="41">
        <f t="shared" si="97"/>
        <v>0.15</v>
      </c>
      <c r="R181" s="40">
        <f t="shared" si="98"/>
        <v>4.5098399999999996</v>
      </c>
      <c r="S181" s="42">
        <f>IFERROR(SUM($G$8:G181)/$G$6,0)</f>
        <v>0.81704433737202609</v>
      </c>
      <c r="T181" s="43" t="str">
        <f t="shared" si="99"/>
        <v>B</v>
      </c>
      <c r="U181" s="44">
        <v>0</v>
      </c>
      <c r="V181" s="45">
        <f t="shared" si="119"/>
        <v>-1174</v>
      </c>
      <c r="W181" s="46"/>
      <c r="X181" s="46"/>
      <c r="Y181" s="47">
        <v>1174</v>
      </c>
      <c r="Z181" s="48">
        <f t="shared" si="100"/>
        <v>3.9216000000000002</v>
      </c>
      <c r="AA181" s="49">
        <f t="shared" si="101"/>
        <v>0.14005714285714285</v>
      </c>
      <c r="AB181" s="44">
        <v>0</v>
      </c>
      <c r="AC181" s="44">
        <f t="shared" si="102"/>
        <v>0</v>
      </c>
      <c r="AD181" s="44">
        <f t="shared" si="103"/>
        <v>0</v>
      </c>
      <c r="AE181" s="50">
        <f t="shared" si="104"/>
        <v>0</v>
      </c>
      <c r="AF181" s="41">
        <f t="shared" si="105"/>
        <v>0</v>
      </c>
      <c r="AG181" s="44">
        <v>0</v>
      </c>
      <c r="AH181" s="44">
        <v>0</v>
      </c>
      <c r="AI181" s="42">
        <f t="shared" si="120"/>
        <v>0</v>
      </c>
      <c r="AJ181" s="42">
        <f t="shared" si="121"/>
        <v>0</v>
      </c>
      <c r="AK181" s="40">
        <f t="shared" si="106"/>
        <v>0</v>
      </c>
      <c r="AL181" s="51">
        <v>0</v>
      </c>
      <c r="AM181" s="52">
        <f t="shared" si="107"/>
        <v>0</v>
      </c>
      <c r="AN181" s="42">
        <f t="shared" si="122"/>
        <v>0</v>
      </c>
      <c r="AO181" s="53">
        <f t="shared" si="123"/>
        <v>1174</v>
      </c>
      <c r="AP181" s="52">
        <f t="shared" si="124"/>
        <v>3.9216000000000002</v>
      </c>
      <c r="AQ181" s="42">
        <f t="shared" si="125"/>
        <v>0</v>
      </c>
      <c r="AR181" s="46"/>
      <c r="AS181" s="46"/>
      <c r="AT181" s="50" t="str">
        <f t="shared" si="126"/>
        <v/>
      </c>
      <c r="AU181" s="50">
        <f t="shared" si="108"/>
        <v>142</v>
      </c>
      <c r="AV181" s="50" t="str">
        <f t="shared" si="127"/>
        <v/>
      </c>
      <c r="AW181" s="54" t="str">
        <f t="shared" si="128"/>
        <v/>
      </c>
    </row>
    <row r="182" spans="1:49" x14ac:dyDescent="0.25">
      <c r="A182" s="33" t="s">
        <v>63</v>
      </c>
      <c r="B182" s="33" t="s">
        <v>102</v>
      </c>
      <c r="C182" s="33" t="s">
        <v>103</v>
      </c>
      <c r="D182" s="33" t="s">
        <v>267</v>
      </c>
      <c r="E182" s="34">
        <f>COUNTIF('Detalle por artículo'!$K$8:$K$592,D182)</f>
        <v>2</v>
      </c>
      <c r="F182" s="35">
        <f t="shared" si="90"/>
        <v>234.60358056265983</v>
      </c>
      <c r="G182" s="36">
        <f>SUMIF('Detalle por artículo'!$K$8:$K$592,$D182,'Detalle por artículo'!$E$8:$E$592)</f>
        <v>3.91</v>
      </c>
      <c r="H182" s="35">
        <f t="shared" si="91"/>
        <v>3</v>
      </c>
      <c r="I182" s="35">
        <f t="shared" si="92"/>
        <v>6</v>
      </c>
      <c r="J182" s="35">
        <f t="shared" si="93"/>
        <v>11</v>
      </c>
      <c r="K182" s="37">
        <f t="shared" si="94"/>
        <v>0.13964285714285715</v>
      </c>
      <c r="L182" s="36">
        <f>SUMIF('Detalle por artículo'!$K$8:$K$592,$D182,'Detalle por artículo'!$O$8:$O$592)</f>
        <v>917.3</v>
      </c>
      <c r="M182" s="38">
        <f>SUMIF('Detalle por artículo'!$K$8:$K$592,$D182,'Detalle por artículo'!$I$8:$I$592)</f>
        <v>1801</v>
      </c>
      <c r="N182" s="38">
        <f>SUMIF('Detalle por artículo'!$K$8:$K$592,$D182,'Detalle por artículo'!$M$8:$M$592)</f>
        <v>46</v>
      </c>
      <c r="O182" s="39">
        <f t="shared" si="95"/>
        <v>2.1710161021654635</v>
      </c>
      <c r="P182" s="40">
        <f t="shared" si="96"/>
        <v>509.32815102720707</v>
      </c>
      <c r="Q182" s="41">
        <f t="shared" si="97"/>
        <v>0.1</v>
      </c>
      <c r="R182" s="40">
        <f t="shared" si="98"/>
        <v>4.3010000000000002</v>
      </c>
      <c r="S182" s="42">
        <f>IFERROR(SUM($G$8:G182)/$G$6,0)</f>
        <v>0.81848112077630319</v>
      </c>
      <c r="T182" s="43" t="str">
        <f t="shared" si="99"/>
        <v>B</v>
      </c>
      <c r="U182" s="44">
        <v>1801</v>
      </c>
      <c r="V182" s="45">
        <f t="shared" si="119"/>
        <v>0</v>
      </c>
      <c r="W182" s="46">
        <v>46233</v>
      </c>
      <c r="X182" s="46">
        <v>46233</v>
      </c>
      <c r="Y182" s="47">
        <v>0</v>
      </c>
      <c r="Z182" s="48">
        <f t="shared" si="100"/>
        <v>0</v>
      </c>
      <c r="AA182" s="49">
        <f t="shared" si="101"/>
        <v>0</v>
      </c>
      <c r="AB182" s="44">
        <v>1300</v>
      </c>
      <c r="AC182" s="44">
        <f t="shared" si="102"/>
        <v>742</v>
      </c>
      <c r="AD182" s="44">
        <f t="shared" si="103"/>
        <v>535</v>
      </c>
      <c r="AE182" s="50">
        <f t="shared" si="104"/>
        <v>49</v>
      </c>
      <c r="AF182" s="41">
        <f t="shared" si="105"/>
        <v>0.98</v>
      </c>
      <c r="AG182" s="44">
        <v>2</v>
      </c>
      <c r="AH182" s="44">
        <v>24</v>
      </c>
      <c r="AI182" s="42">
        <f t="shared" si="120"/>
        <v>0.41199333703498059</v>
      </c>
      <c r="AJ182" s="42">
        <f t="shared" si="121"/>
        <v>0.29705719044975015</v>
      </c>
      <c r="AK182" s="40">
        <f t="shared" si="106"/>
        <v>1.6108939478067739</v>
      </c>
      <c r="AL182" s="51">
        <v>499</v>
      </c>
      <c r="AM182" s="52">
        <f t="shared" si="107"/>
        <v>1.0833370349805664</v>
      </c>
      <c r="AN182" s="42">
        <f t="shared" si="122"/>
        <v>0.27706829539144917</v>
      </c>
      <c r="AO182" s="53">
        <f t="shared" si="123"/>
        <v>501</v>
      </c>
      <c r="AP182" s="52">
        <f t="shared" si="124"/>
        <v>1.087679067184897</v>
      </c>
      <c r="AQ182" s="42">
        <f t="shared" si="125"/>
        <v>0.70905052748473074</v>
      </c>
      <c r="AR182" s="46">
        <v>46254</v>
      </c>
      <c r="AS182" s="46">
        <v>46254</v>
      </c>
      <c r="AT182" s="50">
        <f t="shared" si="126"/>
        <v>21</v>
      </c>
      <c r="AU182" s="50">
        <f t="shared" si="108"/>
        <v>57</v>
      </c>
      <c r="AV182" s="50">
        <f t="shared" si="127"/>
        <v>41</v>
      </c>
      <c r="AW182" s="54">
        <f t="shared" si="128"/>
        <v>16</v>
      </c>
    </row>
    <row r="183" spans="1:49" x14ac:dyDescent="0.25">
      <c r="A183" s="33" t="s">
        <v>63</v>
      </c>
      <c r="B183" s="33" t="s">
        <v>263</v>
      </c>
      <c r="C183" s="33" t="s">
        <v>264</v>
      </c>
      <c r="D183" s="33" t="s">
        <v>268</v>
      </c>
      <c r="E183" s="34">
        <f>COUNTIF('Detalle por artículo'!$K$8:$K$592,D183)</f>
        <v>1</v>
      </c>
      <c r="F183" s="35">
        <f t="shared" si="90"/>
        <v>201.56410256410257</v>
      </c>
      <c r="G183" s="36">
        <f>SUMIF('Detalle por artículo'!$K$8:$K$592,$D183,'Detalle por artículo'!$E$8:$E$592)</f>
        <v>3.9</v>
      </c>
      <c r="H183" s="35">
        <f t="shared" si="91"/>
        <v>3</v>
      </c>
      <c r="I183" s="35">
        <f t="shared" si="92"/>
        <v>6</v>
      </c>
      <c r="J183" s="35">
        <f t="shared" si="93"/>
        <v>11</v>
      </c>
      <c r="K183" s="37">
        <f t="shared" si="94"/>
        <v>0.13928571428571429</v>
      </c>
      <c r="L183" s="36">
        <f>SUMIF('Detalle por artículo'!$K$8:$K$592,$D183,'Detalle por artículo'!$O$8:$O$592)</f>
        <v>786.1</v>
      </c>
      <c r="M183" s="38">
        <f>SUMIF('Detalle por artículo'!$K$8:$K$592,$D183,'Detalle por artículo'!$I$8:$I$592)</f>
        <v>1704</v>
      </c>
      <c r="N183" s="38">
        <f>SUMIF('Detalle por artículo'!$K$8:$K$592,$D183,'Detalle por artículo'!$M$8:$M$592)</f>
        <v>38</v>
      </c>
      <c r="O183" s="39">
        <f t="shared" si="95"/>
        <v>2.288732394366197</v>
      </c>
      <c r="P183" s="40">
        <f t="shared" si="96"/>
        <v>461.32629107981222</v>
      </c>
      <c r="Q183" s="41">
        <f t="shared" si="97"/>
        <v>0.1</v>
      </c>
      <c r="R183" s="40">
        <f t="shared" si="98"/>
        <v>4.29</v>
      </c>
      <c r="S183" s="42">
        <f>IFERROR(SUM($G$8:G183)/$G$6,0)</f>
        <v>0.81991422954271775</v>
      </c>
      <c r="T183" s="43" t="str">
        <f t="shared" si="99"/>
        <v>B</v>
      </c>
      <c r="U183" s="44">
        <v>1704</v>
      </c>
      <c r="V183" s="45">
        <f t="shared" si="119"/>
        <v>0</v>
      </c>
      <c r="W183" s="46">
        <v>46240</v>
      </c>
      <c r="X183" s="46">
        <v>46240</v>
      </c>
      <c r="Y183" s="47">
        <v>0</v>
      </c>
      <c r="Z183" s="48">
        <f t="shared" si="100"/>
        <v>0</v>
      </c>
      <c r="AA183" s="49">
        <f t="shared" si="101"/>
        <v>0</v>
      </c>
      <c r="AB183" s="44">
        <v>1352</v>
      </c>
      <c r="AC183" s="44">
        <f t="shared" si="102"/>
        <v>943</v>
      </c>
      <c r="AD183" s="44">
        <f t="shared" si="103"/>
        <v>358</v>
      </c>
      <c r="AE183" s="50">
        <f t="shared" si="104"/>
        <v>48</v>
      </c>
      <c r="AF183" s="41">
        <f t="shared" si="105"/>
        <v>0.96</v>
      </c>
      <c r="AG183" s="44">
        <v>5</v>
      </c>
      <c r="AH183" s="44">
        <v>47</v>
      </c>
      <c r="AI183" s="42">
        <f t="shared" si="120"/>
        <v>0.55340375586854462</v>
      </c>
      <c r="AJ183" s="42">
        <f t="shared" si="121"/>
        <v>0.21009389671361503</v>
      </c>
      <c r="AK183" s="40">
        <f t="shared" si="106"/>
        <v>2.1582746478873238</v>
      </c>
      <c r="AL183" s="51">
        <v>351</v>
      </c>
      <c r="AM183" s="52">
        <f t="shared" si="107"/>
        <v>0.80334507042253522</v>
      </c>
      <c r="AN183" s="42">
        <f t="shared" si="122"/>
        <v>0.20598591549295775</v>
      </c>
      <c r="AO183" s="53">
        <f t="shared" si="123"/>
        <v>352</v>
      </c>
      <c r="AP183" s="52">
        <f t="shared" si="124"/>
        <v>0.80563380281690133</v>
      </c>
      <c r="AQ183" s="42">
        <f t="shared" si="125"/>
        <v>0.76349765258215962</v>
      </c>
      <c r="AR183" s="46">
        <v>46254</v>
      </c>
      <c r="AS183" s="46">
        <v>46255</v>
      </c>
      <c r="AT183" s="50">
        <f t="shared" si="126"/>
        <v>15</v>
      </c>
      <c r="AU183" s="50">
        <f t="shared" si="108"/>
        <v>67</v>
      </c>
      <c r="AV183" s="50">
        <f t="shared" si="127"/>
        <v>35</v>
      </c>
      <c r="AW183" s="54">
        <f t="shared" si="128"/>
        <v>32</v>
      </c>
    </row>
    <row r="184" spans="1:49" x14ac:dyDescent="0.25">
      <c r="A184" s="33" t="s">
        <v>120</v>
      </c>
      <c r="B184" s="33" t="s">
        <v>121</v>
      </c>
      <c r="C184" s="33" t="s">
        <v>122</v>
      </c>
      <c r="D184" s="33" t="s">
        <v>269</v>
      </c>
      <c r="E184" s="34">
        <f>COUNTIF('Detalle por artículo'!$K$8:$K$592,D184)</f>
        <v>1</v>
      </c>
      <c r="F184" s="35">
        <f t="shared" si="90"/>
        <v>126.99275362318842</v>
      </c>
      <c r="G184" s="36">
        <f>SUMIF('Detalle por artículo'!$K$8:$K$592,$D184,'Detalle por artículo'!$E$8:$E$592)</f>
        <v>3.8639999999999999</v>
      </c>
      <c r="H184" s="35">
        <f t="shared" si="91"/>
        <v>3</v>
      </c>
      <c r="I184" s="35">
        <f t="shared" si="92"/>
        <v>6</v>
      </c>
      <c r="J184" s="35">
        <f t="shared" si="93"/>
        <v>11</v>
      </c>
      <c r="K184" s="37">
        <f t="shared" si="94"/>
        <v>0.13799999999999998</v>
      </c>
      <c r="L184" s="36">
        <f>SUMIF('Detalle por artículo'!$K$8:$K$592,$D184,'Detalle por artículo'!$O$8:$O$592)</f>
        <v>490.70000000000005</v>
      </c>
      <c r="M184" s="38">
        <f>SUMIF('Detalle por artículo'!$K$8:$K$592,$D184,'Detalle por artículo'!$I$8:$I$592)</f>
        <v>515</v>
      </c>
      <c r="N184" s="38">
        <f>SUMIF('Detalle por artículo'!$K$8:$K$592,$D184,'Detalle por artículo'!$M$8:$M$592)</f>
        <v>35</v>
      </c>
      <c r="O184" s="39">
        <f t="shared" si="95"/>
        <v>7.502912621359223</v>
      </c>
      <c r="P184" s="40">
        <f t="shared" si="96"/>
        <v>952.81553398058259</v>
      </c>
      <c r="Q184" s="41">
        <f t="shared" si="97"/>
        <v>0.15</v>
      </c>
      <c r="R184" s="40">
        <f t="shared" si="98"/>
        <v>4.4435999999999991</v>
      </c>
      <c r="S184" s="42">
        <f>IFERROR(SUM($G$8:G184)/$G$6,0)</f>
        <v>0.82133410961282682</v>
      </c>
      <c r="T184" s="43" t="str">
        <f t="shared" si="99"/>
        <v>B</v>
      </c>
      <c r="U184" s="44">
        <v>515</v>
      </c>
      <c r="V184" s="45">
        <f t="shared" si="119"/>
        <v>0</v>
      </c>
      <c r="W184" s="46">
        <v>46286</v>
      </c>
      <c r="X184" s="46">
        <v>46286</v>
      </c>
      <c r="Y184" s="47">
        <v>0</v>
      </c>
      <c r="Z184" s="48">
        <f t="shared" si="100"/>
        <v>0</v>
      </c>
      <c r="AA184" s="49">
        <f t="shared" si="101"/>
        <v>0</v>
      </c>
      <c r="AB184" s="44">
        <v>12</v>
      </c>
      <c r="AC184" s="44">
        <f t="shared" si="102"/>
        <v>51</v>
      </c>
      <c r="AD184" s="44">
        <f t="shared" si="103"/>
        <v>0</v>
      </c>
      <c r="AE184" s="50">
        <f t="shared" si="104"/>
        <v>11</v>
      </c>
      <c r="AF184" s="41">
        <f t="shared" si="105"/>
        <v>0.22</v>
      </c>
      <c r="AG184" s="44">
        <v>1</v>
      </c>
      <c r="AH184" s="44">
        <v>0</v>
      </c>
      <c r="AI184" s="42">
        <f t="shared" si="120"/>
        <v>9.9029126213592236E-2</v>
      </c>
      <c r="AJ184" s="42">
        <f t="shared" si="121"/>
        <v>0</v>
      </c>
      <c r="AK184" s="40">
        <f t="shared" si="106"/>
        <v>0.38264854368932039</v>
      </c>
      <c r="AL184" s="51">
        <v>503</v>
      </c>
      <c r="AM184" s="52">
        <f t="shared" si="107"/>
        <v>3.7739650485436891</v>
      </c>
      <c r="AN184" s="42">
        <f t="shared" si="122"/>
        <v>0.97669902912621365</v>
      </c>
      <c r="AO184" s="53">
        <f t="shared" si="123"/>
        <v>503</v>
      </c>
      <c r="AP184" s="52">
        <f t="shared" si="124"/>
        <v>3.7739650485436891</v>
      </c>
      <c r="AQ184" s="42">
        <f t="shared" si="125"/>
        <v>9.9029126213592236E-2</v>
      </c>
      <c r="AR184" s="46">
        <v>46293</v>
      </c>
      <c r="AS184" s="46">
        <v>46294</v>
      </c>
      <c r="AT184" s="50">
        <f t="shared" si="126"/>
        <v>8</v>
      </c>
      <c r="AU184" s="50">
        <f t="shared" si="108"/>
        <v>425</v>
      </c>
      <c r="AV184" s="50">
        <f t="shared" si="127"/>
        <v>419</v>
      </c>
      <c r="AW184" s="54">
        <f t="shared" si="128"/>
        <v>6</v>
      </c>
    </row>
    <row r="185" spans="1:49" x14ac:dyDescent="0.25">
      <c r="A185" s="33" t="s">
        <v>55</v>
      </c>
      <c r="B185" s="33" t="s">
        <v>93</v>
      </c>
      <c r="C185" s="33" t="s">
        <v>94</v>
      </c>
      <c r="D185" s="33" t="s">
        <v>270</v>
      </c>
      <c r="E185" s="34">
        <f>COUNTIF('Detalle por artículo'!$K$8:$K$592,D185)</f>
        <v>1</v>
      </c>
      <c r="F185" s="35">
        <f t="shared" si="90"/>
        <v>137.5</v>
      </c>
      <c r="G185" s="36">
        <f>SUMIF('Detalle por artículo'!$K$8:$K$592,$D185,'Detalle por artículo'!$E$8:$E$592)</f>
        <v>3.84</v>
      </c>
      <c r="H185" s="35">
        <f t="shared" si="91"/>
        <v>3</v>
      </c>
      <c r="I185" s="35">
        <f t="shared" si="92"/>
        <v>5</v>
      </c>
      <c r="J185" s="35">
        <f t="shared" si="93"/>
        <v>10</v>
      </c>
      <c r="K185" s="37">
        <f t="shared" si="94"/>
        <v>0.13714285714285715</v>
      </c>
      <c r="L185" s="36">
        <f>SUMIF('Detalle por artículo'!$K$8:$K$592,$D185,'Detalle por artículo'!$O$8:$O$592)</f>
        <v>528</v>
      </c>
      <c r="M185" s="38">
        <f>SUMIF('Detalle por artículo'!$K$8:$K$592,$D185,'Detalle por artículo'!$I$8:$I$592)</f>
        <v>693</v>
      </c>
      <c r="N185" s="38">
        <f>SUMIF('Detalle por artículo'!$K$8:$K$592,$D185,'Detalle por artículo'!$M$8:$M$592)</f>
        <v>40</v>
      </c>
      <c r="O185" s="39">
        <f t="shared" si="95"/>
        <v>5.5411255411255409</v>
      </c>
      <c r="P185" s="40">
        <f t="shared" si="96"/>
        <v>761.90476190476181</v>
      </c>
      <c r="Q185" s="41">
        <f t="shared" si="97"/>
        <v>0.15</v>
      </c>
      <c r="R185" s="40">
        <f t="shared" si="98"/>
        <v>4.4159999999999995</v>
      </c>
      <c r="S185" s="42">
        <f>IFERROR(SUM($G$8:G185)/$G$6,0)</f>
        <v>0.82274517055206586</v>
      </c>
      <c r="T185" s="43" t="str">
        <f t="shared" si="99"/>
        <v>B</v>
      </c>
      <c r="U185" s="44">
        <v>693</v>
      </c>
      <c r="V185" s="45">
        <f t="shared" si="119"/>
        <v>0</v>
      </c>
      <c r="W185" s="46">
        <v>46217</v>
      </c>
      <c r="X185" s="46">
        <v>46217</v>
      </c>
      <c r="Y185" s="47">
        <v>0</v>
      </c>
      <c r="Z185" s="48">
        <f t="shared" si="100"/>
        <v>0</v>
      </c>
      <c r="AA185" s="49">
        <f t="shared" si="101"/>
        <v>0</v>
      </c>
      <c r="AB185" s="44">
        <v>602</v>
      </c>
      <c r="AC185" s="44">
        <f t="shared" si="102"/>
        <v>384</v>
      </c>
      <c r="AD185" s="44">
        <f t="shared" si="103"/>
        <v>196</v>
      </c>
      <c r="AE185" s="50">
        <f t="shared" si="104"/>
        <v>47</v>
      </c>
      <c r="AF185" s="41">
        <f t="shared" si="105"/>
        <v>0.94</v>
      </c>
      <c r="AG185" s="44">
        <v>4</v>
      </c>
      <c r="AH185" s="44">
        <v>19</v>
      </c>
      <c r="AI185" s="42">
        <f t="shared" si="120"/>
        <v>0.55411255411255411</v>
      </c>
      <c r="AJ185" s="42">
        <f t="shared" si="121"/>
        <v>0.28282828282828282</v>
      </c>
      <c r="AK185" s="40">
        <f t="shared" si="106"/>
        <v>2.1277922077922078</v>
      </c>
      <c r="AL185" s="51">
        <v>91</v>
      </c>
      <c r="AM185" s="52">
        <f t="shared" si="107"/>
        <v>0.50424242424242427</v>
      </c>
      <c r="AN185" s="42">
        <f t="shared" si="122"/>
        <v>0.13131313131313133</v>
      </c>
      <c r="AO185" s="53">
        <f t="shared" si="123"/>
        <v>91</v>
      </c>
      <c r="AP185" s="52">
        <f t="shared" si="124"/>
        <v>0.50424242424242427</v>
      </c>
      <c r="AQ185" s="42">
        <f t="shared" si="125"/>
        <v>0.83694083694083699</v>
      </c>
      <c r="AR185" s="46">
        <v>46234</v>
      </c>
      <c r="AS185" s="46">
        <v>46234</v>
      </c>
      <c r="AT185" s="50">
        <f t="shared" si="126"/>
        <v>17</v>
      </c>
      <c r="AU185" s="50">
        <f t="shared" si="108"/>
        <v>322</v>
      </c>
      <c r="AV185" s="50">
        <f t="shared" si="127"/>
        <v>189</v>
      </c>
      <c r="AW185" s="54">
        <f t="shared" si="128"/>
        <v>133</v>
      </c>
    </row>
    <row r="186" spans="1:49" x14ac:dyDescent="0.25">
      <c r="A186" s="33" t="s">
        <v>63</v>
      </c>
      <c r="B186" s="33" t="s">
        <v>102</v>
      </c>
      <c r="C186" s="33" t="s">
        <v>132</v>
      </c>
      <c r="D186" s="33" t="s">
        <v>271</v>
      </c>
      <c r="E186" s="34">
        <f>COUNTIF('Detalle por artículo'!$K$8:$K$592,D186)</f>
        <v>1</v>
      </c>
      <c r="F186" s="35">
        <f t="shared" si="90"/>
        <v>235.02144550709968</v>
      </c>
      <c r="G186" s="36">
        <f>SUMIF('Detalle por artículo'!$K$8:$K$592,$D186,'Detalle por artículo'!$E$8:$E$592)</f>
        <v>3.7536999999999998</v>
      </c>
      <c r="H186" s="35">
        <f t="shared" si="91"/>
        <v>3</v>
      </c>
      <c r="I186" s="35">
        <f t="shared" si="92"/>
        <v>5</v>
      </c>
      <c r="J186" s="35">
        <f t="shared" si="93"/>
        <v>10</v>
      </c>
      <c r="K186" s="37">
        <f t="shared" si="94"/>
        <v>0.13406071428571428</v>
      </c>
      <c r="L186" s="36">
        <f>SUMIF('Detalle por artículo'!$K$8:$K$592,$D186,'Detalle por artículo'!$O$8:$O$592)</f>
        <v>882.2</v>
      </c>
      <c r="M186" s="38">
        <f>SUMIF('Detalle por artículo'!$K$8:$K$592,$D186,'Detalle por artículo'!$I$8:$I$592)</f>
        <v>1547</v>
      </c>
      <c r="N186" s="38">
        <f>SUMIF('Detalle por artículo'!$K$8:$K$592,$D186,'Detalle por artículo'!$M$8:$M$592)</f>
        <v>39</v>
      </c>
      <c r="O186" s="39">
        <f t="shared" si="95"/>
        <v>2.426438267614738</v>
      </c>
      <c r="P186" s="40">
        <f t="shared" si="96"/>
        <v>570.26502908855855</v>
      </c>
      <c r="Q186" s="41">
        <f t="shared" si="97"/>
        <v>0.1</v>
      </c>
      <c r="R186" s="40">
        <f t="shared" si="98"/>
        <v>4.1290700000000005</v>
      </c>
      <c r="S186" s="42">
        <f>IFERROR(SUM($G$8:G186)/$G$6,0)</f>
        <v>0.82412451936655051</v>
      </c>
      <c r="T186" s="43" t="str">
        <f t="shared" si="99"/>
        <v>B</v>
      </c>
      <c r="U186" s="44">
        <v>1547</v>
      </c>
      <c r="V186" s="45">
        <f t="shared" si="119"/>
        <v>0</v>
      </c>
      <c r="W186" s="46">
        <v>46237</v>
      </c>
      <c r="X186" s="46">
        <v>46237</v>
      </c>
      <c r="Y186" s="47">
        <v>0</v>
      </c>
      <c r="Z186" s="48">
        <f t="shared" si="100"/>
        <v>0</v>
      </c>
      <c r="AA186" s="49">
        <f t="shared" si="101"/>
        <v>0</v>
      </c>
      <c r="AB186" s="44">
        <v>763</v>
      </c>
      <c r="AC186" s="44">
        <f t="shared" si="102"/>
        <v>457</v>
      </c>
      <c r="AD186" s="44">
        <f t="shared" si="103"/>
        <v>295</v>
      </c>
      <c r="AE186" s="50">
        <f t="shared" si="104"/>
        <v>48</v>
      </c>
      <c r="AF186" s="41">
        <f t="shared" si="105"/>
        <v>0.96</v>
      </c>
      <c r="AG186" s="44">
        <v>2</v>
      </c>
      <c r="AH186" s="44">
        <v>9</v>
      </c>
      <c r="AI186" s="42">
        <f t="shared" si="120"/>
        <v>0.29541047188106012</v>
      </c>
      <c r="AJ186" s="42">
        <f t="shared" si="121"/>
        <v>0.19069166127989656</v>
      </c>
      <c r="AK186" s="40">
        <f t="shared" si="106"/>
        <v>1.1088822882999352</v>
      </c>
      <c r="AL186" s="51">
        <v>777</v>
      </c>
      <c r="AM186" s="52">
        <f t="shared" si="107"/>
        <v>1.8853425339366516</v>
      </c>
      <c r="AN186" s="42">
        <f t="shared" si="122"/>
        <v>0.50226244343891402</v>
      </c>
      <c r="AO186" s="53">
        <f t="shared" si="123"/>
        <v>784</v>
      </c>
      <c r="AP186" s="52">
        <f t="shared" si="124"/>
        <v>1.9023276018099546</v>
      </c>
      <c r="AQ186" s="42">
        <f t="shared" si="125"/>
        <v>0.48610213316095668</v>
      </c>
      <c r="AR186" s="46">
        <v>46254</v>
      </c>
      <c r="AS186" s="46">
        <v>46255</v>
      </c>
      <c r="AT186" s="50">
        <f t="shared" si="126"/>
        <v>18</v>
      </c>
      <c r="AU186" s="50">
        <f t="shared" si="108"/>
        <v>87</v>
      </c>
      <c r="AV186" s="50">
        <f t="shared" si="127"/>
        <v>104</v>
      </c>
      <c r="AW186" s="54">
        <f t="shared" si="128"/>
        <v>-17</v>
      </c>
    </row>
    <row r="187" spans="1:49" x14ac:dyDescent="0.25">
      <c r="A187" s="33" t="s">
        <v>63</v>
      </c>
      <c r="B187" s="33" t="s">
        <v>102</v>
      </c>
      <c r="C187" s="33" t="s">
        <v>132</v>
      </c>
      <c r="D187" s="33" t="s">
        <v>272</v>
      </c>
      <c r="E187" s="34">
        <f>COUNTIF('Detalle por artículo'!$K$8:$K$592,D187)</f>
        <v>1</v>
      </c>
      <c r="F187" s="35">
        <f t="shared" si="90"/>
        <v>225.2136752136752</v>
      </c>
      <c r="G187" s="36">
        <f>SUMIF('Detalle por artículo'!$K$8:$K$592,$D187,'Detalle por artículo'!$E$8:$E$592)</f>
        <v>3.7440000000000002</v>
      </c>
      <c r="H187" s="35">
        <f t="shared" si="91"/>
        <v>3</v>
      </c>
      <c r="I187" s="35">
        <f t="shared" si="92"/>
        <v>5</v>
      </c>
      <c r="J187" s="35">
        <f t="shared" si="93"/>
        <v>10</v>
      </c>
      <c r="K187" s="37">
        <f t="shared" si="94"/>
        <v>0.13371428571428573</v>
      </c>
      <c r="L187" s="36">
        <f>SUMIF('Detalle por artículo'!$K$8:$K$592,$D187,'Detalle por artículo'!$O$8:$O$592)</f>
        <v>843.2</v>
      </c>
      <c r="M187" s="38">
        <f>SUMIF('Detalle por artículo'!$K$8:$K$592,$D187,'Detalle por artículo'!$I$8:$I$592)</f>
        <v>1074</v>
      </c>
      <c r="N187" s="38">
        <f>SUMIF('Detalle por artículo'!$K$8:$K$592,$D187,'Detalle por artículo'!$M$8:$M$592)</f>
        <v>39</v>
      </c>
      <c r="O187" s="39">
        <f t="shared" si="95"/>
        <v>3.4860335195530729</v>
      </c>
      <c r="P187" s="40">
        <f t="shared" si="96"/>
        <v>785.10242085661082</v>
      </c>
      <c r="Q187" s="41">
        <f t="shared" si="97"/>
        <v>0.1</v>
      </c>
      <c r="R187" s="40">
        <f t="shared" si="98"/>
        <v>4.1184000000000003</v>
      </c>
      <c r="S187" s="42">
        <f>IFERROR(SUM($G$8:G187)/$G$6,0)</f>
        <v>0.82550030378230854</v>
      </c>
      <c r="T187" s="43" t="str">
        <f t="shared" si="99"/>
        <v>B</v>
      </c>
      <c r="U187" s="44">
        <v>1074</v>
      </c>
      <c r="V187" s="45">
        <f t="shared" si="119"/>
        <v>0</v>
      </c>
      <c r="W187" s="46">
        <v>46218</v>
      </c>
      <c r="X187" s="46">
        <v>46218</v>
      </c>
      <c r="Y187" s="47">
        <v>1</v>
      </c>
      <c r="Z187" s="48">
        <f t="shared" si="100"/>
        <v>3.4860335195530728E-3</v>
      </c>
      <c r="AA187" s="49">
        <f t="shared" si="101"/>
        <v>1.2450119712689546E-4</v>
      </c>
      <c r="AB187" s="44">
        <v>764</v>
      </c>
      <c r="AC187" s="44">
        <f t="shared" si="102"/>
        <v>456</v>
      </c>
      <c r="AD187" s="44">
        <f t="shared" si="103"/>
        <v>292</v>
      </c>
      <c r="AE187" s="50">
        <f t="shared" si="104"/>
        <v>48</v>
      </c>
      <c r="AF187" s="41">
        <f t="shared" si="105"/>
        <v>0.96</v>
      </c>
      <c r="AG187" s="44">
        <v>7</v>
      </c>
      <c r="AH187" s="44">
        <v>9</v>
      </c>
      <c r="AI187" s="42">
        <f t="shared" si="120"/>
        <v>0.42458100558659218</v>
      </c>
      <c r="AJ187" s="42">
        <f t="shared" si="121"/>
        <v>0.27188081936685288</v>
      </c>
      <c r="AK187" s="40">
        <f t="shared" si="106"/>
        <v>1.5896312849162013</v>
      </c>
      <c r="AL187" s="51">
        <v>310</v>
      </c>
      <c r="AM187" s="52">
        <f t="shared" si="107"/>
        <v>1.0806703910614526</v>
      </c>
      <c r="AN187" s="42">
        <f t="shared" si="122"/>
        <v>0.28864059590316571</v>
      </c>
      <c r="AO187" s="53">
        <f t="shared" si="123"/>
        <v>310</v>
      </c>
      <c r="AP187" s="52">
        <f t="shared" si="124"/>
        <v>1.0806703910614526</v>
      </c>
      <c r="AQ187" s="42">
        <f t="shared" si="125"/>
        <v>0.69646182495344511</v>
      </c>
      <c r="AR187" s="46">
        <v>46225</v>
      </c>
      <c r="AS187" s="46">
        <v>46225</v>
      </c>
      <c r="AT187" s="50">
        <f t="shared" si="126"/>
        <v>7</v>
      </c>
      <c r="AU187" s="50">
        <f t="shared" si="108"/>
        <v>152</v>
      </c>
      <c r="AV187" s="50">
        <f t="shared" si="127"/>
        <v>103</v>
      </c>
      <c r="AW187" s="54">
        <f t="shared" si="128"/>
        <v>49</v>
      </c>
    </row>
    <row r="188" spans="1:49" x14ac:dyDescent="0.25">
      <c r="A188" s="33" t="s">
        <v>63</v>
      </c>
      <c r="B188" s="33" t="s">
        <v>102</v>
      </c>
      <c r="C188" s="33" t="s">
        <v>132</v>
      </c>
      <c r="D188" s="33" t="s">
        <v>273</v>
      </c>
      <c r="E188" s="34">
        <f>COUNTIF('Detalle por artículo'!$K$8:$K$592,D188)</f>
        <v>1</v>
      </c>
      <c r="F188" s="35">
        <f t="shared" si="90"/>
        <v>245.77991452991452</v>
      </c>
      <c r="G188" s="36">
        <f>SUMIF('Detalle por artículo'!$K$8:$K$592,$D188,'Detalle por artículo'!$E$8:$E$592)</f>
        <v>3.7440000000000002</v>
      </c>
      <c r="H188" s="35">
        <f t="shared" si="91"/>
        <v>3</v>
      </c>
      <c r="I188" s="35">
        <f t="shared" si="92"/>
        <v>5</v>
      </c>
      <c r="J188" s="35">
        <f t="shared" si="93"/>
        <v>10</v>
      </c>
      <c r="K188" s="37">
        <f t="shared" si="94"/>
        <v>0.13371428571428573</v>
      </c>
      <c r="L188" s="36">
        <f>SUMIF('Detalle por artículo'!$K$8:$K$592,$D188,'Detalle por artículo'!$O$8:$O$592)</f>
        <v>920.2</v>
      </c>
      <c r="M188" s="38">
        <f>SUMIF('Detalle por artículo'!$K$8:$K$592,$D188,'Detalle por artículo'!$I$8:$I$592)</f>
        <v>1231</v>
      </c>
      <c r="N188" s="38">
        <f>SUMIF('Detalle por artículo'!$K$8:$K$592,$D188,'Detalle por artículo'!$M$8:$M$592)</f>
        <v>39</v>
      </c>
      <c r="O188" s="39">
        <f t="shared" si="95"/>
        <v>3.0414297319252643</v>
      </c>
      <c r="P188" s="40">
        <f t="shared" si="96"/>
        <v>747.52233956133227</v>
      </c>
      <c r="Q188" s="41">
        <f t="shared" si="97"/>
        <v>0.1</v>
      </c>
      <c r="R188" s="40">
        <f t="shared" si="98"/>
        <v>4.1184000000000003</v>
      </c>
      <c r="S188" s="42">
        <f>IFERROR(SUM($G$8:G188)/$G$6,0)</f>
        <v>0.82687608819806646</v>
      </c>
      <c r="T188" s="43" t="str">
        <f t="shared" si="99"/>
        <v>B</v>
      </c>
      <c r="U188" s="44">
        <v>1231</v>
      </c>
      <c r="V188" s="45">
        <f t="shared" si="119"/>
        <v>0</v>
      </c>
      <c r="W188" s="46">
        <v>46237</v>
      </c>
      <c r="X188" s="46">
        <v>46237</v>
      </c>
      <c r="Y188" s="47">
        <v>0</v>
      </c>
      <c r="Z188" s="48">
        <f t="shared" si="100"/>
        <v>0</v>
      </c>
      <c r="AA188" s="49">
        <f t="shared" si="101"/>
        <v>0</v>
      </c>
      <c r="AB188" s="44">
        <v>763</v>
      </c>
      <c r="AC188" s="44">
        <f t="shared" si="102"/>
        <v>455</v>
      </c>
      <c r="AD188" s="44">
        <f t="shared" si="103"/>
        <v>291</v>
      </c>
      <c r="AE188" s="50">
        <f t="shared" si="104"/>
        <v>48</v>
      </c>
      <c r="AF188" s="41">
        <f t="shared" si="105"/>
        <v>0.96</v>
      </c>
      <c r="AG188" s="44">
        <v>9</v>
      </c>
      <c r="AH188" s="44">
        <v>9</v>
      </c>
      <c r="AI188" s="42">
        <f t="shared" si="120"/>
        <v>0.36961819658813971</v>
      </c>
      <c r="AJ188" s="42">
        <f t="shared" si="121"/>
        <v>0.23639317627944761</v>
      </c>
      <c r="AK188" s="40">
        <f t="shared" si="106"/>
        <v>1.3838505280259954</v>
      </c>
      <c r="AL188" s="51">
        <v>467</v>
      </c>
      <c r="AM188" s="52">
        <f t="shared" si="107"/>
        <v>1.4203476848090983</v>
      </c>
      <c r="AN188" s="42">
        <f t="shared" si="122"/>
        <v>0.3793663688058489</v>
      </c>
      <c r="AO188" s="53">
        <f t="shared" si="123"/>
        <v>468</v>
      </c>
      <c r="AP188" s="52">
        <f t="shared" si="124"/>
        <v>1.4233891145410236</v>
      </c>
      <c r="AQ188" s="42">
        <f t="shared" si="125"/>
        <v>0.60601137286758733</v>
      </c>
      <c r="AR188" s="46">
        <v>46260</v>
      </c>
      <c r="AS188" s="46">
        <v>46260</v>
      </c>
      <c r="AT188" s="50">
        <f t="shared" si="126"/>
        <v>23</v>
      </c>
      <c r="AU188" s="50">
        <f t="shared" si="108"/>
        <v>133</v>
      </c>
      <c r="AV188" s="50">
        <f t="shared" si="127"/>
        <v>104</v>
      </c>
      <c r="AW188" s="54">
        <f t="shared" si="128"/>
        <v>29</v>
      </c>
    </row>
    <row r="189" spans="1:49" x14ac:dyDescent="0.25">
      <c r="A189" s="33" t="s">
        <v>63</v>
      </c>
      <c r="B189" s="33" t="s">
        <v>171</v>
      </c>
      <c r="C189" s="33" t="s">
        <v>172</v>
      </c>
      <c r="D189" s="33" t="s">
        <v>274</v>
      </c>
      <c r="E189" s="34">
        <f>COUNTIF('Detalle por artículo'!$K$8:$K$592,D189)</f>
        <v>1</v>
      </c>
      <c r="F189" s="35">
        <f t="shared" si="90"/>
        <v>141.91337719298244</v>
      </c>
      <c r="G189" s="36">
        <f>SUMIF('Detalle por artículo'!$K$8:$K$592,$D189,'Detalle por artículo'!$E$8:$E$592)</f>
        <v>3.6480000000000001</v>
      </c>
      <c r="H189" s="35">
        <f t="shared" si="91"/>
        <v>3</v>
      </c>
      <c r="I189" s="35">
        <f t="shared" si="92"/>
        <v>5</v>
      </c>
      <c r="J189" s="35">
        <f t="shared" si="93"/>
        <v>10</v>
      </c>
      <c r="K189" s="37">
        <f t="shared" si="94"/>
        <v>0.13028571428571428</v>
      </c>
      <c r="L189" s="36">
        <f>SUMIF('Detalle por artículo'!$K$8:$K$592,$D189,'Detalle por artículo'!$O$8:$O$592)</f>
        <v>517.69999999999993</v>
      </c>
      <c r="M189" s="38">
        <f>SUMIF('Detalle por artículo'!$K$8:$K$592,$D189,'Detalle por artículo'!$I$8:$I$592)</f>
        <v>713</v>
      </c>
      <c r="N189" s="38">
        <f>SUMIF('Detalle por artículo'!$K$8:$K$592,$D189,'Detalle por artículo'!$M$8:$M$592)</f>
        <v>38</v>
      </c>
      <c r="O189" s="39">
        <f t="shared" si="95"/>
        <v>5.1164095371669012</v>
      </c>
      <c r="P189" s="40">
        <f t="shared" si="96"/>
        <v>726.08695652173901</v>
      </c>
      <c r="Q189" s="41">
        <f t="shared" si="97"/>
        <v>0.15</v>
      </c>
      <c r="R189" s="40">
        <f t="shared" si="98"/>
        <v>4.1951999999999998</v>
      </c>
      <c r="S189" s="42">
        <f>IFERROR(SUM($G$8:G189)/$G$6,0)</f>
        <v>0.82821659609034348</v>
      </c>
      <c r="T189" s="43" t="str">
        <f t="shared" si="99"/>
        <v>B</v>
      </c>
      <c r="U189" s="44">
        <v>713</v>
      </c>
      <c r="V189" s="45">
        <f t="shared" si="119"/>
        <v>0</v>
      </c>
      <c r="W189" s="46">
        <v>46244</v>
      </c>
      <c r="X189" s="46">
        <v>46244</v>
      </c>
      <c r="Y189" s="47">
        <v>0</v>
      </c>
      <c r="Z189" s="48">
        <f t="shared" si="100"/>
        <v>0</v>
      </c>
      <c r="AA189" s="49">
        <f t="shared" si="101"/>
        <v>0</v>
      </c>
      <c r="AB189" s="44">
        <v>565</v>
      </c>
      <c r="AC189" s="44">
        <f t="shared" si="102"/>
        <v>449</v>
      </c>
      <c r="AD189" s="44">
        <f t="shared" si="103"/>
        <v>93</v>
      </c>
      <c r="AE189" s="50">
        <f t="shared" si="104"/>
        <v>48</v>
      </c>
      <c r="AF189" s="41">
        <f t="shared" si="105"/>
        <v>0.96</v>
      </c>
      <c r="AG189" s="44">
        <v>0</v>
      </c>
      <c r="AH189" s="44">
        <v>23</v>
      </c>
      <c r="AI189" s="42">
        <f t="shared" si="120"/>
        <v>0.6297335203366059</v>
      </c>
      <c r="AJ189" s="42">
        <f t="shared" si="121"/>
        <v>0.13043478260869565</v>
      </c>
      <c r="AK189" s="40">
        <f t="shared" si="106"/>
        <v>2.2972678821879384</v>
      </c>
      <c r="AL189" s="51">
        <v>140</v>
      </c>
      <c r="AM189" s="52">
        <f t="shared" si="107"/>
        <v>0.71629733520336614</v>
      </c>
      <c r="AN189" s="42">
        <f t="shared" si="122"/>
        <v>0.19635343618513323</v>
      </c>
      <c r="AO189" s="53">
        <f t="shared" si="123"/>
        <v>148</v>
      </c>
      <c r="AP189" s="52">
        <f t="shared" si="124"/>
        <v>0.75722861150070142</v>
      </c>
      <c r="AQ189" s="42">
        <f t="shared" si="125"/>
        <v>0.76016830294530158</v>
      </c>
      <c r="AR189" s="46">
        <v>46254</v>
      </c>
      <c r="AS189" s="46">
        <v>46255</v>
      </c>
      <c r="AT189" s="50">
        <f t="shared" si="126"/>
        <v>11</v>
      </c>
      <c r="AU189" s="50">
        <f t="shared" si="108"/>
        <v>307</v>
      </c>
      <c r="AV189" s="50">
        <f t="shared" si="127"/>
        <v>229</v>
      </c>
      <c r="AW189" s="54">
        <f t="shared" si="128"/>
        <v>78</v>
      </c>
    </row>
    <row r="190" spans="1:49" x14ac:dyDescent="0.25">
      <c r="A190" s="33" t="s">
        <v>55</v>
      </c>
      <c r="B190" s="33" t="s">
        <v>99</v>
      </c>
      <c r="C190" s="33" t="s">
        <v>100</v>
      </c>
      <c r="D190" s="33" t="s">
        <v>275</v>
      </c>
      <c r="E190" s="34">
        <f>COUNTIF('Detalle por artículo'!$K$8:$K$592,D190)</f>
        <v>1</v>
      </c>
      <c r="F190" s="35">
        <f t="shared" si="90"/>
        <v>68.338815789473671</v>
      </c>
      <c r="G190" s="36">
        <f>SUMIF('Detalle por artículo'!$K$8:$K$592,$D190,'Detalle por artículo'!$E$8:$E$592)</f>
        <v>3.6480000000000001</v>
      </c>
      <c r="H190" s="35">
        <f t="shared" si="91"/>
        <v>3</v>
      </c>
      <c r="I190" s="35">
        <f t="shared" si="92"/>
        <v>5</v>
      </c>
      <c r="J190" s="35">
        <f t="shared" si="93"/>
        <v>10</v>
      </c>
      <c r="K190" s="37">
        <f t="shared" si="94"/>
        <v>0.13028571428571428</v>
      </c>
      <c r="L190" s="36">
        <f>SUMIF('Detalle por artículo'!$K$8:$K$592,$D190,'Detalle por artículo'!$O$8:$O$592)</f>
        <v>249.29999999999998</v>
      </c>
      <c r="M190" s="38">
        <f>SUMIF('Detalle por artículo'!$K$8:$K$592,$D190,'Detalle por artículo'!$I$8:$I$592)</f>
        <v>699</v>
      </c>
      <c r="N190" s="38">
        <f>SUMIF('Detalle por artículo'!$K$8:$K$592,$D190,'Detalle por artículo'!$M$8:$M$592)</f>
        <v>38</v>
      </c>
      <c r="O190" s="39">
        <f t="shared" si="95"/>
        <v>5.2188841201716736</v>
      </c>
      <c r="P190" s="40">
        <f t="shared" si="96"/>
        <v>356.65236051502143</v>
      </c>
      <c r="Q190" s="41">
        <f t="shared" si="97"/>
        <v>0.2</v>
      </c>
      <c r="R190" s="40">
        <f t="shared" si="98"/>
        <v>4.3776000000000002</v>
      </c>
      <c r="S190" s="42">
        <f>IFERROR(SUM($G$8:G190)/$G$6,0)</f>
        <v>0.8295571039826205</v>
      </c>
      <c r="T190" s="43" t="str">
        <f t="shared" si="99"/>
        <v>B</v>
      </c>
      <c r="U190" s="44">
        <v>699</v>
      </c>
      <c r="V190" s="45">
        <f t="shared" si="119"/>
        <v>0</v>
      </c>
      <c r="W190" s="46">
        <v>46238</v>
      </c>
      <c r="X190" s="46">
        <v>46238</v>
      </c>
      <c r="Y190" s="47">
        <v>0</v>
      </c>
      <c r="Z190" s="48">
        <f t="shared" si="100"/>
        <v>0</v>
      </c>
      <c r="AA190" s="49">
        <f t="shared" si="101"/>
        <v>0</v>
      </c>
      <c r="AB190" s="44">
        <v>288</v>
      </c>
      <c r="AC190" s="44">
        <f t="shared" si="102"/>
        <v>245</v>
      </c>
      <c r="AD190" s="44">
        <f t="shared" si="103"/>
        <v>19</v>
      </c>
      <c r="AE190" s="50">
        <f t="shared" si="104"/>
        <v>34</v>
      </c>
      <c r="AF190" s="41">
        <f t="shared" si="105"/>
        <v>0.68</v>
      </c>
      <c r="AG190" s="44">
        <v>5</v>
      </c>
      <c r="AH190" s="44">
        <v>19</v>
      </c>
      <c r="AI190" s="42">
        <f t="shared" si="120"/>
        <v>0.35050071530758226</v>
      </c>
      <c r="AJ190" s="42">
        <f t="shared" si="121"/>
        <v>2.7181688125894134E-2</v>
      </c>
      <c r="AK190" s="40">
        <f t="shared" si="106"/>
        <v>1.27862660944206</v>
      </c>
      <c r="AL190" s="51">
        <v>411</v>
      </c>
      <c r="AM190" s="52">
        <f t="shared" si="107"/>
        <v>2.1449613733905579</v>
      </c>
      <c r="AN190" s="42">
        <f t="shared" si="122"/>
        <v>0.58798283261802575</v>
      </c>
      <c r="AO190" s="53">
        <f t="shared" si="123"/>
        <v>411</v>
      </c>
      <c r="AP190" s="52">
        <f t="shared" si="124"/>
        <v>2.1449613733905579</v>
      </c>
      <c r="AQ190" s="42">
        <f t="shared" si="125"/>
        <v>0.37768240343347642</v>
      </c>
      <c r="AR190" s="46">
        <v>46254</v>
      </c>
      <c r="AS190" s="46">
        <v>46255</v>
      </c>
      <c r="AT190" s="50">
        <f t="shared" si="126"/>
        <v>17</v>
      </c>
      <c r="AU190" s="50">
        <f t="shared" si="108"/>
        <v>319</v>
      </c>
      <c r="AV190" s="50">
        <f t="shared" si="127"/>
        <v>349</v>
      </c>
      <c r="AW190" s="54">
        <f t="shared" si="128"/>
        <v>-30</v>
      </c>
    </row>
    <row r="191" spans="1:49" x14ac:dyDescent="0.25">
      <c r="A191" s="33" t="s">
        <v>63</v>
      </c>
      <c r="B191" s="33" t="s">
        <v>64</v>
      </c>
      <c r="C191" s="33" t="s">
        <v>57</v>
      </c>
      <c r="D191" s="33" t="s">
        <v>276</v>
      </c>
      <c r="E191" s="34">
        <f>COUNTIF('Detalle por artículo'!$K$8:$K$592,D191)</f>
        <v>5</v>
      </c>
      <c r="F191" s="35">
        <f t="shared" si="90"/>
        <v>86.966292134831463</v>
      </c>
      <c r="G191" s="36">
        <f>SUMIF('Detalle por artículo'!$K$8:$K$592,$D191,'Detalle por artículo'!$E$8:$E$592)</f>
        <v>3.56</v>
      </c>
      <c r="H191" s="35">
        <f t="shared" si="91"/>
        <v>3</v>
      </c>
      <c r="I191" s="35">
        <f t="shared" si="92"/>
        <v>5</v>
      </c>
      <c r="J191" s="35">
        <f t="shared" si="93"/>
        <v>10</v>
      </c>
      <c r="K191" s="37">
        <f t="shared" si="94"/>
        <v>0.12714285714285714</v>
      </c>
      <c r="L191" s="36">
        <f>SUMIF('Detalle por artículo'!$K$8:$K$592,$D191,'Detalle por artículo'!$O$8:$O$592)</f>
        <v>309.60000000000002</v>
      </c>
      <c r="M191" s="38">
        <f>SUMIF('Detalle por artículo'!$K$8:$K$592,$D191,'Detalle por artículo'!$I$8:$I$592)</f>
        <v>663</v>
      </c>
      <c r="N191" s="38">
        <f>SUMIF('Detalle por artículo'!$K$8:$K$592,$D191,'Detalle por artículo'!$M$8:$M$592)</f>
        <v>37</v>
      </c>
      <c r="O191" s="39">
        <f t="shared" si="95"/>
        <v>5.3695324283559582</v>
      </c>
      <c r="P191" s="40">
        <f t="shared" si="96"/>
        <v>466.96832579185525</v>
      </c>
      <c r="Q191" s="41">
        <f t="shared" si="97"/>
        <v>0.2</v>
      </c>
      <c r="R191" s="40">
        <f t="shared" si="98"/>
        <v>4.2720000000000002</v>
      </c>
      <c r="S191" s="42">
        <f>IFERROR(SUM($G$8:G191)/$G$6,0)</f>
        <v>0.8308652750617066</v>
      </c>
      <c r="T191" s="43" t="str">
        <f t="shared" si="99"/>
        <v>B</v>
      </c>
      <c r="U191" s="44">
        <v>6363</v>
      </c>
      <c r="V191" s="45">
        <f t="shared" si="119"/>
        <v>5700</v>
      </c>
      <c r="W191" s="46">
        <v>46213</v>
      </c>
      <c r="X191" s="46">
        <v>46248</v>
      </c>
      <c r="Y191" s="47">
        <v>1</v>
      </c>
      <c r="Z191" s="48">
        <f t="shared" si="100"/>
        <v>5.3695324283559581E-3</v>
      </c>
      <c r="AA191" s="49">
        <f t="shared" si="101"/>
        <v>1.9176901529842708E-4</v>
      </c>
      <c r="AB191" s="44">
        <v>3566</v>
      </c>
      <c r="AC191" s="44">
        <f t="shared" si="102"/>
        <v>556</v>
      </c>
      <c r="AD191" s="44">
        <f t="shared" si="103"/>
        <v>2866</v>
      </c>
      <c r="AE191" s="50">
        <f t="shared" si="104"/>
        <v>48</v>
      </c>
      <c r="AF191" s="41">
        <f t="shared" si="105"/>
        <v>0.96</v>
      </c>
      <c r="AG191" s="44">
        <v>24</v>
      </c>
      <c r="AH191" s="44">
        <v>120</v>
      </c>
      <c r="AI191" s="42">
        <f t="shared" si="120"/>
        <v>0.83861236802413275</v>
      </c>
      <c r="AJ191" s="42">
        <f t="shared" si="121"/>
        <v>4.3227752639517343</v>
      </c>
      <c r="AK191" s="40">
        <f t="shared" si="106"/>
        <v>2.9854600301659131</v>
      </c>
      <c r="AL191" s="51">
        <v>2784</v>
      </c>
      <c r="AM191" s="52">
        <f t="shared" si="107"/>
        <v>14.948778280542987</v>
      </c>
      <c r="AN191" s="42">
        <f t="shared" si="122"/>
        <v>0.43752946723243752</v>
      </c>
      <c r="AO191" s="53">
        <f t="shared" si="123"/>
        <v>-2903</v>
      </c>
      <c r="AP191" s="52">
        <f t="shared" si="124"/>
        <v>-15.587752639517346</v>
      </c>
      <c r="AQ191" s="42">
        <f t="shared" si="125"/>
        <v>5.1613876319758676</v>
      </c>
      <c r="AR191" s="46">
        <v>46219</v>
      </c>
      <c r="AS191" s="46">
        <v>46219</v>
      </c>
      <c r="AT191" s="50">
        <f t="shared" si="126"/>
        <v>6</v>
      </c>
      <c r="AU191" s="50">
        <f t="shared" si="108"/>
        <v>349</v>
      </c>
      <c r="AV191" s="50">
        <f t="shared" si="127"/>
        <v>2</v>
      </c>
      <c r="AW191" s="54">
        <f t="shared" si="128"/>
        <v>347</v>
      </c>
    </row>
    <row r="192" spans="1:49" x14ac:dyDescent="0.25">
      <c r="A192" s="33" t="s">
        <v>63</v>
      </c>
      <c r="B192" s="33" t="s">
        <v>102</v>
      </c>
      <c r="C192" s="33" t="s">
        <v>132</v>
      </c>
      <c r="D192" s="33" t="s">
        <v>277</v>
      </c>
      <c r="E192" s="34">
        <f>COUNTIF('Detalle por artículo'!$K$8:$K$592,D192)</f>
        <v>1</v>
      </c>
      <c r="F192" s="35">
        <f t="shared" si="90"/>
        <v>252.70270270270271</v>
      </c>
      <c r="G192" s="36">
        <f>SUMIF('Detalle por artículo'!$K$8:$K$592,$D192,'Detalle por artículo'!$E$8:$E$592)</f>
        <v>3.552</v>
      </c>
      <c r="H192" s="35">
        <f t="shared" si="91"/>
        <v>3</v>
      </c>
      <c r="I192" s="35">
        <f t="shared" si="92"/>
        <v>5</v>
      </c>
      <c r="J192" s="35">
        <f t="shared" si="93"/>
        <v>10</v>
      </c>
      <c r="K192" s="37">
        <f t="shared" si="94"/>
        <v>0.12685714285714286</v>
      </c>
      <c r="L192" s="36">
        <f>SUMIF('Detalle por artículo'!$K$8:$K$592,$D192,'Detalle por artículo'!$O$8:$O$592)</f>
        <v>897.6</v>
      </c>
      <c r="M192" s="38">
        <f>SUMIF('Detalle por artículo'!$K$8:$K$592,$D192,'Detalle por artículo'!$I$8:$I$592)</f>
        <v>1471</v>
      </c>
      <c r="N192" s="38">
        <f>SUMIF('Detalle por artículo'!$K$8:$K$592,$D192,'Detalle por artículo'!$M$8:$M$592)</f>
        <v>37</v>
      </c>
      <c r="O192" s="39">
        <f t="shared" si="95"/>
        <v>2.4146838885112167</v>
      </c>
      <c r="P192" s="40">
        <f t="shared" si="96"/>
        <v>610.19714479945617</v>
      </c>
      <c r="Q192" s="41">
        <f t="shared" si="97"/>
        <v>0.1</v>
      </c>
      <c r="R192" s="40">
        <f t="shared" si="98"/>
        <v>3.9072000000000005</v>
      </c>
      <c r="S192" s="42">
        <f>IFERROR(SUM($G$8:G192)/$G$6,0)</f>
        <v>0.83217050643050261</v>
      </c>
      <c r="T192" s="43" t="str">
        <f t="shared" si="99"/>
        <v>B</v>
      </c>
      <c r="U192" s="44">
        <v>1484</v>
      </c>
      <c r="V192" s="45">
        <f t="shared" si="119"/>
        <v>13</v>
      </c>
      <c r="W192" s="46">
        <v>46218</v>
      </c>
      <c r="X192" s="46">
        <v>46218</v>
      </c>
      <c r="Y192" s="47">
        <v>0</v>
      </c>
      <c r="Z192" s="48">
        <f t="shared" si="100"/>
        <v>0</v>
      </c>
      <c r="AA192" s="49">
        <f t="shared" si="101"/>
        <v>0</v>
      </c>
      <c r="AB192" s="44">
        <v>849</v>
      </c>
      <c r="AC192" s="44">
        <f t="shared" si="102"/>
        <v>667</v>
      </c>
      <c r="AD192" s="44">
        <f t="shared" si="103"/>
        <v>180</v>
      </c>
      <c r="AE192" s="50">
        <f t="shared" si="104"/>
        <v>49</v>
      </c>
      <c r="AF192" s="41">
        <f t="shared" si="105"/>
        <v>0.98</v>
      </c>
      <c r="AG192" s="44">
        <v>2</v>
      </c>
      <c r="AH192" s="44">
        <v>0</v>
      </c>
      <c r="AI192" s="42">
        <f t="shared" si="120"/>
        <v>0.45343303874915025</v>
      </c>
      <c r="AJ192" s="42">
        <f t="shared" si="121"/>
        <v>0.12236573759347383</v>
      </c>
      <c r="AK192" s="40">
        <f t="shared" si="106"/>
        <v>1.6105941536369817</v>
      </c>
      <c r="AL192" s="51">
        <v>627</v>
      </c>
      <c r="AM192" s="52">
        <f t="shared" si="107"/>
        <v>1.514006798096533</v>
      </c>
      <c r="AN192" s="42">
        <f t="shared" si="122"/>
        <v>0.4225067385444744</v>
      </c>
      <c r="AO192" s="53">
        <f t="shared" si="123"/>
        <v>622</v>
      </c>
      <c r="AP192" s="52">
        <f t="shared" si="124"/>
        <v>1.5019333786539768</v>
      </c>
      <c r="AQ192" s="42">
        <f t="shared" si="125"/>
        <v>0.57579877634262411</v>
      </c>
      <c r="AR192" s="46">
        <v>46225</v>
      </c>
      <c r="AS192" s="46">
        <v>46225</v>
      </c>
      <c r="AT192" s="50">
        <f t="shared" si="126"/>
        <v>7</v>
      </c>
      <c r="AU192" s="50">
        <f t="shared" si="108"/>
        <v>103</v>
      </c>
      <c r="AV192" s="50">
        <f t="shared" si="127"/>
        <v>88</v>
      </c>
      <c r="AW192" s="54">
        <f t="shared" si="128"/>
        <v>15</v>
      </c>
    </row>
    <row r="193" spans="1:49" x14ac:dyDescent="0.25">
      <c r="A193" s="33" t="s">
        <v>63</v>
      </c>
      <c r="B193" s="33" t="s">
        <v>102</v>
      </c>
      <c r="C193" s="33" t="s">
        <v>132</v>
      </c>
      <c r="D193" s="33" t="s">
        <v>278</v>
      </c>
      <c r="E193" s="34">
        <f>COUNTIF('Detalle por artículo'!$K$8:$K$592,D193)</f>
        <v>1</v>
      </c>
      <c r="F193" s="35">
        <f t="shared" si="90"/>
        <v>276.91441441441441</v>
      </c>
      <c r="G193" s="36">
        <f>SUMIF('Detalle por artículo'!$K$8:$K$592,$D193,'Detalle por artículo'!$E$8:$E$592)</f>
        <v>3.552</v>
      </c>
      <c r="H193" s="35">
        <f t="shared" si="91"/>
        <v>3</v>
      </c>
      <c r="I193" s="35">
        <f t="shared" si="92"/>
        <v>5</v>
      </c>
      <c r="J193" s="35">
        <f t="shared" si="93"/>
        <v>10</v>
      </c>
      <c r="K193" s="37">
        <f t="shared" si="94"/>
        <v>0.12685714285714286</v>
      </c>
      <c r="L193" s="36">
        <f>SUMIF('Detalle por artículo'!$K$8:$K$592,$D193,'Detalle por artículo'!$O$8:$O$592)</f>
        <v>983.6</v>
      </c>
      <c r="M193" s="38">
        <f>SUMIF('Detalle por artículo'!$K$8:$K$592,$D193,'Detalle por artículo'!$I$8:$I$592)</f>
        <v>1451</v>
      </c>
      <c r="N193" s="38">
        <f>SUMIF('Detalle por artículo'!$K$8:$K$592,$D193,'Detalle por artículo'!$M$8:$M$592)</f>
        <v>37</v>
      </c>
      <c r="O193" s="39">
        <f t="shared" si="95"/>
        <v>2.4479669193659546</v>
      </c>
      <c r="P193" s="40">
        <f t="shared" si="96"/>
        <v>677.8773259820814</v>
      </c>
      <c r="Q193" s="41">
        <f t="shared" si="97"/>
        <v>0.1</v>
      </c>
      <c r="R193" s="40">
        <f t="shared" si="98"/>
        <v>3.9072000000000005</v>
      </c>
      <c r="S193" s="42">
        <f>IFERROR(SUM($G$8:G193)/$G$6,0)</f>
        <v>0.83347573779929862</v>
      </c>
      <c r="T193" s="43" t="str">
        <f t="shared" si="99"/>
        <v>B</v>
      </c>
      <c r="U193" s="44">
        <v>1451</v>
      </c>
      <c r="V193" s="45">
        <f t="shared" si="119"/>
        <v>0</v>
      </c>
      <c r="W193" s="46">
        <v>46218</v>
      </c>
      <c r="X193" s="46">
        <v>46218</v>
      </c>
      <c r="Y193" s="47">
        <v>0</v>
      </c>
      <c r="Z193" s="48">
        <f t="shared" si="100"/>
        <v>0</v>
      </c>
      <c r="AA193" s="49">
        <f t="shared" si="101"/>
        <v>0</v>
      </c>
      <c r="AB193" s="44">
        <v>926</v>
      </c>
      <c r="AC193" s="44">
        <f t="shared" si="102"/>
        <v>510</v>
      </c>
      <c r="AD193" s="44">
        <f t="shared" si="103"/>
        <v>407</v>
      </c>
      <c r="AE193" s="50">
        <f t="shared" si="104"/>
        <v>49</v>
      </c>
      <c r="AF193" s="41">
        <f t="shared" si="105"/>
        <v>0.98</v>
      </c>
      <c r="AG193" s="44">
        <v>0</v>
      </c>
      <c r="AH193" s="44">
        <v>9</v>
      </c>
      <c r="AI193" s="42">
        <f t="shared" si="120"/>
        <v>0.35148173673328736</v>
      </c>
      <c r="AJ193" s="42">
        <f t="shared" si="121"/>
        <v>0.28049620951068227</v>
      </c>
      <c r="AK193" s="40">
        <f t="shared" si="106"/>
        <v>1.2484631288766368</v>
      </c>
      <c r="AL193" s="51">
        <v>525</v>
      </c>
      <c r="AM193" s="52">
        <f t="shared" si="107"/>
        <v>1.2851826326671263</v>
      </c>
      <c r="AN193" s="42">
        <f t="shared" si="122"/>
        <v>0.36181943487250173</v>
      </c>
      <c r="AO193" s="53">
        <f t="shared" si="123"/>
        <v>525</v>
      </c>
      <c r="AP193" s="52">
        <f t="shared" si="124"/>
        <v>1.2851826326671263</v>
      </c>
      <c r="AQ193" s="42">
        <f t="shared" si="125"/>
        <v>0.63197794624396963</v>
      </c>
      <c r="AR193" s="46">
        <v>46225</v>
      </c>
      <c r="AS193" s="46">
        <v>46225</v>
      </c>
      <c r="AT193" s="50">
        <f t="shared" si="126"/>
        <v>7</v>
      </c>
      <c r="AU193" s="50">
        <f t="shared" si="108"/>
        <v>106</v>
      </c>
      <c r="AV193" s="50">
        <f t="shared" si="127"/>
        <v>76</v>
      </c>
      <c r="AW193" s="54">
        <f t="shared" si="128"/>
        <v>30</v>
      </c>
    </row>
    <row r="194" spans="1:49" x14ac:dyDescent="0.25">
      <c r="A194" s="33" t="s">
        <v>63</v>
      </c>
      <c r="B194" s="33" t="s">
        <v>110</v>
      </c>
      <c r="C194" s="33" t="s">
        <v>100</v>
      </c>
      <c r="D194" s="33" t="s">
        <v>279</v>
      </c>
      <c r="E194" s="34">
        <f>COUNTIF('Detalle por artículo'!$K$8:$K$592,D194)</f>
        <v>1</v>
      </c>
      <c r="F194" s="35">
        <f t="shared" si="90"/>
        <v>85.444819819819813</v>
      </c>
      <c r="G194" s="36">
        <f>SUMIF('Detalle por artículo'!$K$8:$K$592,$D194,'Detalle por artículo'!$E$8:$E$592)</f>
        <v>3.552</v>
      </c>
      <c r="H194" s="35">
        <f t="shared" si="91"/>
        <v>3</v>
      </c>
      <c r="I194" s="35">
        <f t="shared" si="92"/>
        <v>5</v>
      </c>
      <c r="J194" s="35">
        <f t="shared" si="93"/>
        <v>10</v>
      </c>
      <c r="K194" s="37">
        <f t="shared" si="94"/>
        <v>0.12685714285714286</v>
      </c>
      <c r="L194" s="36">
        <f>SUMIF('Detalle por artículo'!$K$8:$K$592,$D194,'Detalle por artículo'!$O$8:$O$592)</f>
        <v>303.5</v>
      </c>
      <c r="M194" s="38">
        <f>SUMIF('Detalle por artículo'!$K$8:$K$592,$D194,'Detalle por artículo'!$I$8:$I$592)</f>
        <v>655</v>
      </c>
      <c r="N194" s="38">
        <f>SUMIF('Detalle por artículo'!$K$8:$K$592,$D194,'Detalle por artículo'!$M$8:$M$592)</f>
        <v>37</v>
      </c>
      <c r="O194" s="39">
        <f t="shared" si="95"/>
        <v>5.4229007633587782</v>
      </c>
      <c r="P194" s="40">
        <f t="shared" si="96"/>
        <v>463.35877862595419</v>
      </c>
      <c r="Q194" s="41">
        <f t="shared" si="97"/>
        <v>0.2</v>
      </c>
      <c r="R194" s="40">
        <f t="shared" si="98"/>
        <v>4.2623999999999995</v>
      </c>
      <c r="S194" s="42">
        <f>IFERROR(SUM($G$8:G194)/$G$6,0)</f>
        <v>0.83478096916809463</v>
      </c>
      <c r="T194" s="43" t="str">
        <f t="shared" si="99"/>
        <v>B</v>
      </c>
      <c r="U194" s="44">
        <v>655</v>
      </c>
      <c r="V194" s="45">
        <f t="shared" si="119"/>
        <v>0</v>
      </c>
      <c r="W194" s="46">
        <v>46288</v>
      </c>
      <c r="X194" s="46">
        <v>46288</v>
      </c>
      <c r="Y194" s="47">
        <v>0</v>
      </c>
      <c r="Z194" s="48">
        <f t="shared" si="100"/>
        <v>0</v>
      </c>
      <c r="AA194" s="49">
        <f t="shared" si="101"/>
        <v>0</v>
      </c>
      <c r="AB194" s="44">
        <v>28</v>
      </c>
      <c r="AC194" s="44">
        <f t="shared" si="102"/>
        <v>26</v>
      </c>
      <c r="AD194" s="44">
        <f t="shared" si="103"/>
        <v>0</v>
      </c>
      <c r="AE194" s="50">
        <f t="shared" si="104"/>
        <v>0</v>
      </c>
      <c r="AF194" s="41">
        <f t="shared" si="105"/>
        <v>0</v>
      </c>
      <c r="AG194" s="44">
        <v>2</v>
      </c>
      <c r="AH194" s="44">
        <v>0</v>
      </c>
      <c r="AI194" s="42">
        <f t="shared" si="120"/>
        <v>3.9694656488549619E-2</v>
      </c>
      <c r="AJ194" s="42">
        <f t="shared" si="121"/>
        <v>0</v>
      </c>
      <c r="AK194" s="40">
        <f t="shared" si="106"/>
        <v>0.14099541984732825</v>
      </c>
      <c r="AL194" s="51">
        <v>627</v>
      </c>
      <c r="AM194" s="52">
        <f t="shared" si="107"/>
        <v>3.4001587786259537</v>
      </c>
      <c r="AN194" s="42">
        <f t="shared" si="122"/>
        <v>0.95725190839694652</v>
      </c>
      <c r="AO194" s="53">
        <f t="shared" si="123"/>
        <v>627</v>
      </c>
      <c r="AP194" s="52">
        <f t="shared" si="124"/>
        <v>3.4001587786259537</v>
      </c>
      <c r="AQ194" s="42">
        <f t="shared" si="125"/>
        <v>3.9694656488549619E-2</v>
      </c>
      <c r="AR194" s="46">
        <v>46293</v>
      </c>
      <c r="AS194" s="46">
        <v>46294</v>
      </c>
      <c r="AT194" s="50">
        <f t="shared" si="126"/>
        <v>6</v>
      </c>
      <c r="AU194" s="50">
        <f t="shared" si="108"/>
        <v>353</v>
      </c>
      <c r="AV194" s="50">
        <f t="shared" si="127"/>
        <v>411</v>
      </c>
      <c r="AW194" s="54">
        <f t="shared" si="128"/>
        <v>-58</v>
      </c>
    </row>
    <row r="195" spans="1:49" x14ac:dyDescent="0.25">
      <c r="A195" s="33" t="s">
        <v>63</v>
      </c>
      <c r="B195" s="33" t="s">
        <v>84</v>
      </c>
      <c r="C195" s="33" t="s">
        <v>94</v>
      </c>
      <c r="D195" s="33" t="s">
        <v>280</v>
      </c>
      <c r="E195" s="34">
        <f>COUNTIF('Detalle por artículo'!$K$8:$K$592,D195)</f>
        <v>1</v>
      </c>
      <c r="F195" s="35">
        <f t="shared" si="90"/>
        <v>132.81690140845072</v>
      </c>
      <c r="G195" s="36">
        <f>SUMIF('Detalle por artículo'!$K$8:$K$592,$D195,'Detalle por artículo'!$E$8:$E$592)</f>
        <v>3.55</v>
      </c>
      <c r="H195" s="35">
        <f t="shared" si="91"/>
        <v>3</v>
      </c>
      <c r="I195" s="35">
        <f t="shared" si="92"/>
        <v>5</v>
      </c>
      <c r="J195" s="35">
        <f t="shared" si="93"/>
        <v>10</v>
      </c>
      <c r="K195" s="37">
        <f t="shared" si="94"/>
        <v>0.12678571428571428</v>
      </c>
      <c r="L195" s="36">
        <f>SUMIF('Detalle por artículo'!$K$8:$K$592,$D195,'Detalle por artículo'!$O$8:$O$592)</f>
        <v>471.5</v>
      </c>
      <c r="M195" s="38">
        <f>SUMIF('Detalle por artículo'!$K$8:$K$592,$D195,'Detalle por artículo'!$I$8:$I$592)</f>
        <v>700</v>
      </c>
      <c r="N195" s="38">
        <f>SUMIF('Detalle por artículo'!$K$8:$K$592,$D195,'Detalle por artículo'!$M$8:$M$592)</f>
        <v>37</v>
      </c>
      <c r="O195" s="39">
        <f t="shared" si="95"/>
        <v>5.0714285714285712</v>
      </c>
      <c r="P195" s="40">
        <f t="shared" si="96"/>
        <v>673.57142857142856</v>
      </c>
      <c r="Q195" s="41">
        <f t="shared" si="97"/>
        <v>0.15</v>
      </c>
      <c r="R195" s="40">
        <f t="shared" si="98"/>
        <v>4.0824999999999996</v>
      </c>
      <c r="S195" s="42">
        <f>IFERROR(SUM($G$8:G195)/$G$6,0)</f>
        <v>0.83608546560931818</v>
      </c>
      <c r="T195" s="43" t="str">
        <f t="shared" si="99"/>
        <v>B</v>
      </c>
      <c r="U195" s="44">
        <v>698</v>
      </c>
      <c r="V195" s="45">
        <f t="shared" si="119"/>
        <v>-2</v>
      </c>
      <c r="W195" s="46">
        <v>46234</v>
      </c>
      <c r="X195" s="46">
        <v>46234</v>
      </c>
      <c r="Y195" s="47">
        <v>4</v>
      </c>
      <c r="Z195" s="48">
        <f t="shared" si="100"/>
        <v>2.0285714285714285E-2</v>
      </c>
      <c r="AA195" s="49">
        <f t="shared" si="101"/>
        <v>7.2448979591836738E-4</v>
      </c>
      <c r="AB195" s="44">
        <v>522</v>
      </c>
      <c r="AC195" s="44">
        <f t="shared" si="102"/>
        <v>361</v>
      </c>
      <c r="AD195" s="44">
        <f t="shared" si="103"/>
        <v>151</v>
      </c>
      <c r="AE195" s="50">
        <f t="shared" si="104"/>
        <v>48</v>
      </c>
      <c r="AF195" s="41">
        <f t="shared" si="105"/>
        <v>0.96</v>
      </c>
      <c r="AG195" s="44">
        <v>3</v>
      </c>
      <c r="AH195" s="44">
        <v>7</v>
      </c>
      <c r="AI195" s="42">
        <f t="shared" si="120"/>
        <v>0.51571428571428568</v>
      </c>
      <c r="AJ195" s="42">
        <f t="shared" si="121"/>
        <v>0.21571428571428572</v>
      </c>
      <c r="AK195" s="40">
        <f t="shared" si="106"/>
        <v>1.8307857142857142</v>
      </c>
      <c r="AL195" s="51">
        <v>175</v>
      </c>
      <c r="AM195" s="52">
        <f t="shared" si="107"/>
        <v>0.88749999999999996</v>
      </c>
      <c r="AN195" s="42">
        <f t="shared" si="122"/>
        <v>0.25071633237822349</v>
      </c>
      <c r="AO195" s="53">
        <f t="shared" si="123"/>
        <v>178</v>
      </c>
      <c r="AP195" s="52">
        <f t="shared" si="124"/>
        <v>0.90271428571428569</v>
      </c>
      <c r="AQ195" s="42">
        <f t="shared" si="125"/>
        <v>0.73142857142857143</v>
      </c>
      <c r="AR195" s="46">
        <v>46254</v>
      </c>
      <c r="AS195" s="46">
        <v>46254</v>
      </c>
      <c r="AT195" s="50">
        <f t="shared" si="126"/>
        <v>20</v>
      </c>
      <c r="AU195" s="50">
        <f t="shared" si="108"/>
        <v>316</v>
      </c>
      <c r="AV195" s="50">
        <f t="shared" si="127"/>
        <v>259</v>
      </c>
      <c r="AW195" s="54">
        <f t="shared" si="128"/>
        <v>57</v>
      </c>
    </row>
    <row r="196" spans="1:49" x14ac:dyDescent="0.25">
      <c r="A196" s="33" t="s">
        <v>63</v>
      </c>
      <c r="B196" s="33" t="s">
        <v>102</v>
      </c>
      <c r="C196" s="33" t="s">
        <v>132</v>
      </c>
      <c r="D196" s="33" t="s">
        <v>281</v>
      </c>
      <c r="E196" s="34">
        <f>COUNTIF('Detalle por artículo'!$K$8:$K$592,D196)</f>
        <v>1</v>
      </c>
      <c r="F196" s="35">
        <f t="shared" si="90"/>
        <v>270.48611111111109</v>
      </c>
      <c r="G196" s="36">
        <f>SUMIF('Detalle por artículo'!$K$8:$K$592,$D196,'Detalle por artículo'!$E$8:$E$592)</f>
        <v>3.456</v>
      </c>
      <c r="H196" s="35">
        <f t="shared" si="91"/>
        <v>3</v>
      </c>
      <c r="I196" s="35">
        <f t="shared" si="92"/>
        <v>5</v>
      </c>
      <c r="J196" s="35">
        <f t="shared" si="93"/>
        <v>9</v>
      </c>
      <c r="K196" s="37">
        <f t="shared" si="94"/>
        <v>0.12342857142857143</v>
      </c>
      <c r="L196" s="36">
        <f>SUMIF('Detalle por artículo'!$K$8:$K$592,$D196,'Detalle por artículo'!$O$8:$O$592)</f>
        <v>934.8</v>
      </c>
      <c r="M196" s="38">
        <f>SUMIF('Detalle por artículo'!$K$8:$K$592,$D196,'Detalle por artículo'!$I$8:$I$592)</f>
        <v>1268</v>
      </c>
      <c r="N196" s="38">
        <f>SUMIF('Detalle por artículo'!$K$8:$K$592,$D196,'Detalle por artículo'!$M$8:$M$592)</f>
        <v>36</v>
      </c>
      <c r="O196" s="39">
        <f t="shared" si="95"/>
        <v>2.725552050473186</v>
      </c>
      <c r="P196" s="40">
        <f t="shared" si="96"/>
        <v>737.223974763407</v>
      </c>
      <c r="Q196" s="41">
        <f t="shared" si="97"/>
        <v>0.1</v>
      </c>
      <c r="R196" s="40">
        <f t="shared" si="98"/>
        <v>3.8016000000000001</v>
      </c>
      <c r="S196" s="42">
        <f>IFERROR(SUM($G$8:G196)/$G$6,0)</f>
        <v>0.83735542045463329</v>
      </c>
      <c r="T196" s="43" t="str">
        <f t="shared" si="99"/>
        <v>B</v>
      </c>
      <c r="U196" s="44">
        <v>1268</v>
      </c>
      <c r="V196" s="45">
        <f t="shared" si="119"/>
        <v>0</v>
      </c>
      <c r="W196" s="46">
        <v>46218</v>
      </c>
      <c r="X196" s="46">
        <v>46218</v>
      </c>
      <c r="Y196" s="47">
        <v>0</v>
      </c>
      <c r="Z196" s="48">
        <f t="shared" si="100"/>
        <v>0</v>
      </c>
      <c r="AA196" s="49">
        <f t="shared" si="101"/>
        <v>0</v>
      </c>
      <c r="AB196" s="44">
        <v>759</v>
      </c>
      <c r="AC196" s="44">
        <f t="shared" si="102"/>
        <v>503</v>
      </c>
      <c r="AD196" s="44">
        <f t="shared" si="103"/>
        <v>253</v>
      </c>
      <c r="AE196" s="50">
        <f t="shared" si="104"/>
        <v>47</v>
      </c>
      <c r="AF196" s="41">
        <f t="shared" si="105"/>
        <v>0.94</v>
      </c>
      <c r="AG196" s="44">
        <v>3</v>
      </c>
      <c r="AH196" s="44">
        <v>0</v>
      </c>
      <c r="AI196" s="42">
        <f t="shared" si="120"/>
        <v>0.39668769716088326</v>
      </c>
      <c r="AJ196" s="42">
        <f t="shared" si="121"/>
        <v>0.19952681388012619</v>
      </c>
      <c r="AK196" s="40">
        <f t="shared" si="106"/>
        <v>1.3709526813880124</v>
      </c>
      <c r="AL196" s="51">
        <v>507</v>
      </c>
      <c r="AM196" s="52">
        <f t="shared" si="107"/>
        <v>1.3818548895899052</v>
      </c>
      <c r="AN196" s="42">
        <f t="shared" si="122"/>
        <v>0.39984227129337541</v>
      </c>
      <c r="AO196" s="53">
        <f t="shared" si="123"/>
        <v>509</v>
      </c>
      <c r="AP196" s="52">
        <f t="shared" si="124"/>
        <v>1.3873059936908516</v>
      </c>
      <c r="AQ196" s="42">
        <f t="shared" si="125"/>
        <v>0.59621451104100942</v>
      </c>
      <c r="AR196" s="46">
        <v>46225</v>
      </c>
      <c r="AS196" s="46">
        <v>46225</v>
      </c>
      <c r="AT196" s="50">
        <f t="shared" si="126"/>
        <v>7</v>
      </c>
      <c r="AU196" s="50">
        <f t="shared" si="108"/>
        <v>127</v>
      </c>
      <c r="AV196" s="50">
        <f t="shared" si="127"/>
        <v>107</v>
      </c>
      <c r="AW196" s="54">
        <f t="shared" si="128"/>
        <v>20</v>
      </c>
    </row>
    <row r="197" spans="1:49" x14ac:dyDescent="0.25">
      <c r="A197" s="55" t="s">
        <v>63</v>
      </c>
      <c r="B197" s="55" t="s">
        <v>64</v>
      </c>
      <c r="C197" s="55" t="s">
        <v>87</v>
      </c>
      <c r="D197" s="55" t="s">
        <v>282</v>
      </c>
      <c r="E197" s="56">
        <f>COUNTIF('Detalle por artículo'!$K$8:$K$592,D197)</f>
        <v>1</v>
      </c>
      <c r="F197" s="57">
        <f t="shared" si="90"/>
        <v>148.66898148148147</v>
      </c>
      <c r="G197" s="58">
        <f>SUMIF('Detalle por artículo'!$K$8:$K$592,$D197,'Detalle por artículo'!$E$8:$E$592)</f>
        <v>3.456</v>
      </c>
      <c r="H197" s="57">
        <f t="shared" si="91"/>
        <v>3</v>
      </c>
      <c r="I197" s="57">
        <f t="shared" si="92"/>
        <v>5</v>
      </c>
      <c r="J197" s="57">
        <f t="shared" si="93"/>
        <v>9</v>
      </c>
      <c r="K197" s="59">
        <f t="shared" si="94"/>
        <v>0.12342857142857143</v>
      </c>
      <c r="L197" s="58">
        <f>SUMIF('Detalle por artículo'!$K$8:$K$592,$D197,'Detalle por artículo'!$O$8:$O$592)</f>
        <v>513.79999999999995</v>
      </c>
      <c r="M197" s="60">
        <f>SUMIF('Detalle por artículo'!$K$8:$K$592,$D197,'Detalle por artículo'!$I$8:$I$592)</f>
        <v>706</v>
      </c>
      <c r="N197" s="60">
        <f>SUMIF('Detalle por artículo'!$K$8:$K$592,$D197,'Detalle por artículo'!$M$8:$M$592)</f>
        <v>36</v>
      </c>
      <c r="O197" s="61">
        <f t="shared" si="95"/>
        <v>4.8951841359773374</v>
      </c>
      <c r="P197" s="62">
        <f t="shared" si="96"/>
        <v>727.76203966005664</v>
      </c>
      <c r="Q197" s="63">
        <f t="shared" si="97"/>
        <v>0.15</v>
      </c>
      <c r="R197" s="62">
        <f t="shared" si="98"/>
        <v>3.9743999999999997</v>
      </c>
      <c r="S197" s="64">
        <f>IFERROR(SUM($G$8:G197)/$G$6,0)</f>
        <v>0.83862537529994829</v>
      </c>
      <c r="T197" s="65" t="str">
        <f t="shared" si="99"/>
        <v>B</v>
      </c>
      <c r="U197" s="66">
        <v>0</v>
      </c>
      <c r="V197" s="67"/>
      <c r="W197" s="68"/>
      <c r="X197" s="68"/>
      <c r="Y197" s="69">
        <v>0</v>
      </c>
      <c r="Z197" s="70">
        <f t="shared" si="100"/>
        <v>0</v>
      </c>
      <c r="AA197" s="71">
        <f t="shared" si="101"/>
        <v>0</v>
      </c>
      <c r="AB197" s="66">
        <v>0</v>
      </c>
      <c r="AC197" s="66">
        <f t="shared" si="102"/>
        <v>0</v>
      </c>
      <c r="AD197" s="66">
        <f t="shared" si="103"/>
        <v>0</v>
      </c>
      <c r="AE197" s="72">
        <f t="shared" si="104"/>
        <v>0</v>
      </c>
      <c r="AF197" s="63">
        <f t="shared" si="105"/>
        <v>0</v>
      </c>
      <c r="AG197" s="66">
        <v>0</v>
      </c>
      <c r="AH197" s="66">
        <v>0</v>
      </c>
      <c r="AI197" s="64"/>
      <c r="AJ197" s="64"/>
      <c r="AK197" s="62">
        <f t="shared" si="106"/>
        <v>0</v>
      </c>
      <c r="AL197" s="73">
        <v>0</v>
      </c>
      <c r="AM197" s="74">
        <f t="shared" si="107"/>
        <v>0</v>
      </c>
      <c r="AN197" s="64"/>
      <c r="AO197" s="75"/>
      <c r="AP197" s="74"/>
      <c r="AQ197" s="64"/>
      <c r="AR197" s="68"/>
      <c r="AS197" s="68"/>
      <c r="AT197" s="72"/>
      <c r="AU197" s="72">
        <f t="shared" si="108"/>
        <v>311</v>
      </c>
      <c r="AV197" s="72"/>
      <c r="AW197" s="76"/>
    </row>
    <row r="198" spans="1:49" x14ac:dyDescent="0.25">
      <c r="A198" s="33" t="s">
        <v>55</v>
      </c>
      <c r="B198" s="33" t="s">
        <v>182</v>
      </c>
      <c r="C198" s="33" t="s">
        <v>283</v>
      </c>
      <c r="D198" s="33" t="s">
        <v>284</v>
      </c>
      <c r="E198" s="34">
        <f>COUNTIF('Detalle por artículo'!$K$8:$K$592,D198)</f>
        <v>1</v>
      </c>
      <c r="F198" s="35">
        <f t="shared" si="90"/>
        <v>87.77229160615741</v>
      </c>
      <c r="G198" s="36">
        <f>SUMIF('Detalle por artículo'!$K$8:$K$592,$D198,'Detalle por artículo'!$E$8:$E$592)</f>
        <v>3.4430000000000001</v>
      </c>
      <c r="H198" s="35">
        <f t="shared" si="91"/>
        <v>3</v>
      </c>
      <c r="I198" s="35">
        <f t="shared" si="92"/>
        <v>5</v>
      </c>
      <c r="J198" s="35">
        <f t="shared" si="93"/>
        <v>9</v>
      </c>
      <c r="K198" s="37">
        <f t="shared" si="94"/>
        <v>0.12296428571428572</v>
      </c>
      <c r="L198" s="36">
        <f>SUMIF('Detalle por artículo'!$K$8:$K$592,$D198,'Detalle por artículo'!$O$8:$O$592)</f>
        <v>302.2</v>
      </c>
      <c r="M198" s="38">
        <f>SUMIF('Detalle por artículo'!$K$8:$K$592,$D198,'Detalle por artículo'!$I$8:$I$592)</f>
        <v>400</v>
      </c>
      <c r="N198" s="38">
        <f>SUMIF('Detalle por artículo'!$K$8:$K$592,$D198,'Detalle por artículo'!$M$8:$M$592)</f>
        <v>34</v>
      </c>
      <c r="O198" s="39">
        <f t="shared" si="95"/>
        <v>8.6074999999999999</v>
      </c>
      <c r="P198" s="40">
        <f t="shared" si="96"/>
        <v>755.5</v>
      </c>
      <c r="Q198" s="41">
        <f t="shared" si="97"/>
        <v>0.2</v>
      </c>
      <c r="R198" s="40">
        <f t="shared" si="98"/>
        <v>4.1315999999999997</v>
      </c>
      <c r="S198" s="42">
        <f>IFERROR(SUM($G$8:G198)/$G$6,0)</f>
        <v>0.83989055311604199</v>
      </c>
      <c r="T198" s="43" t="str">
        <f t="shared" si="99"/>
        <v>B</v>
      </c>
      <c r="U198" s="44">
        <v>400</v>
      </c>
      <c r="V198" s="45">
        <f t="shared" ref="V198:V261" si="129">U198-M198</f>
        <v>0</v>
      </c>
      <c r="W198" s="46">
        <v>46262</v>
      </c>
      <c r="X198" s="46">
        <v>46262</v>
      </c>
      <c r="Y198" s="47">
        <v>0</v>
      </c>
      <c r="Z198" s="48">
        <f t="shared" si="100"/>
        <v>0</v>
      </c>
      <c r="AA198" s="49">
        <f t="shared" si="101"/>
        <v>0</v>
      </c>
      <c r="AB198" s="44">
        <v>136</v>
      </c>
      <c r="AC198" s="44">
        <f t="shared" si="102"/>
        <v>94</v>
      </c>
      <c r="AD198" s="44">
        <f t="shared" si="103"/>
        <v>40</v>
      </c>
      <c r="AE198" s="50">
        <f t="shared" si="104"/>
        <v>47</v>
      </c>
      <c r="AF198" s="41">
        <f t="shared" si="105"/>
        <v>0.94</v>
      </c>
      <c r="AG198" s="44">
        <v>0</v>
      </c>
      <c r="AH198" s="44">
        <v>2</v>
      </c>
      <c r="AI198" s="42">
        <f t="shared" ref="AI198:AI261" si="130">IFERROR(AC198/M198,0)</f>
        <v>0.23499999999999999</v>
      </c>
      <c r="AJ198" s="42">
        <f t="shared" ref="AJ198:AJ261" si="131">IFERROR(AD198/M198,0)</f>
        <v>0.1</v>
      </c>
      <c r="AK198" s="40">
        <f t="shared" si="106"/>
        <v>0.80910499999999996</v>
      </c>
      <c r="AL198" s="51">
        <v>264</v>
      </c>
      <c r="AM198" s="52">
        <f t="shared" si="107"/>
        <v>2.2723800000000001</v>
      </c>
      <c r="AN198" s="42">
        <f t="shared" ref="AN198:AN261" si="132">IFERROR(AL198/U198,0)</f>
        <v>0.66</v>
      </c>
      <c r="AO198" s="53">
        <f t="shared" ref="AO198:AO261" si="133">M198-AB198</f>
        <v>264</v>
      </c>
      <c r="AP198" s="52">
        <f t="shared" ref="AP198:AP261" si="134">AO198*O198/1000</f>
        <v>2.2723800000000001</v>
      </c>
      <c r="AQ198" s="42">
        <f t="shared" ref="AQ198:AQ261" si="135">IFERROR((AC198+AD198)/M198,0)</f>
        <v>0.33500000000000002</v>
      </c>
      <c r="AR198" s="46">
        <v>46265</v>
      </c>
      <c r="AS198" s="46">
        <v>46266</v>
      </c>
      <c r="AT198" s="50">
        <f t="shared" ref="AT198:AT261" si="136">IF(OR(W198="",AS198=""),"",AS198-W198)</f>
        <v>4</v>
      </c>
      <c r="AU198" s="50">
        <f t="shared" si="108"/>
        <v>455</v>
      </c>
      <c r="AV198" s="50">
        <f t="shared" ref="AV198:AV261" si="137">IF(AB198=0,"",RANK(AB198,$AB$8:$AB$474))</f>
        <v>387</v>
      </c>
      <c r="AW198" s="54">
        <f t="shared" ref="AW198:AW261" si="138">IF(OR(AU198="",AV198=""),"",AU198-AV198)</f>
        <v>68</v>
      </c>
    </row>
    <row r="199" spans="1:49" x14ac:dyDescent="0.25">
      <c r="A199" s="33" t="s">
        <v>55</v>
      </c>
      <c r="B199" s="33" t="s">
        <v>99</v>
      </c>
      <c r="C199" s="33" t="s">
        <v>100</v>
      </c>
      <c r="D199" s="33" t="s">
        <v>285</v>
      </c>
      <c r="E199" s="34">
        <f>COUNTIF('Detalle por artículo'!$K$8:$K$592,D199)</f>
        <v>1</v>
      </c>
      <c r="F199" s="35">
        <f t="shared" si="90"/>
        <v>106.93452380952381</v>
      </c>
      <c r="G199" s="36">
        <f>SUMIF('Detalle por artículo'!$K$8:$K$592,$D199,'Detalle por artículo'!$E$8:$E$592)</f>
        <v>3.36</v>
      </c>
      <c r="H199" s="35">
        <f t="shared" si="91"/>
        <v>3</v>
      </c>
      <c r="I199" s="35">
        <f t="shared" si="92"/>
        <v>5</v>
      </c>
      <c r="J199" s="35">
        <f t="shared" si="93"/>
        <v>9</v>
      </c>
      <c r="K199" s="37">
        <f t="shared" si="94"/>
        <v>0.12</v>
      </c>
      <c r="L199" s="36">
        <f>SUMIF('Detalle por artículo'!$K$8:$K$592,$D199,'Detalle por artículo'!$O$8:$O$592)</f>
        <v>359.3</v>
      </c>
      <c r="M199" s="38">
        <f>SUMIF('Detalle por artículo'!$K$8:$K$592,$D199,'Detalle por artículo'!$I$8:$I$592)</f>
        <v>700</v>
      </c>
      <c r="N199" s="38">
        <f>SUMIF('Detalle por artículo'!$K$8:$K$592,$D199,'Detalle por artículo'!$M$8:$M$592)</f>
        <v>35</v>
      </c>
      <c r="O199" s="39">
        <f t="shared" si="95"/>
        <v>4.8</v>
      </c>
      <c r="P199" s="40">
        <f t="shared" si="96"/>
        <v>513.28571428571433</v>
      </c>
      <c r="Q199" s="41">
        <f t="shared" si="97"/>
        <v>0.2</v>
      </c>
      <c r="R199" s="40">
        <f t="shared" si="98"/>
        <v>4.032</v>
      </c>
      <c r="S199" s="42">
        <f>IFERROR(SUM($G$8:G199)/$G$6,0)</f>
        <v>0.8411252314378761</v>
      </c>
      <c r="T199" s="43" t="str">
        <f t="shared" si="99"/>
        <v>C</v>
      </c>
      <c r="U199" s="44">
        <v>697</v>
      </c>
      <c r="V199" s="45">
        <f t="shared" si="129"/>
        <v>-3</v>
      </c>
      <c r="W199" s="46">
        <v>46239</v>
      </c>
      <c r="X199" s="46">
        <v>46239</v>
      </c>
      <c r="Y199" s="47">
        <v>23</v>
      </c>
      <c r="Z199" s="48">
        <f t="shared" si="100"/>
        <v>0.1104</v>
      </c>
      <c r="AA199" s="49">
        <f t="shared" si="101"/>
        <v>3.9428571428571429E-3</v>
      </c>
      <c r="AB199" s="44">
        <v>190</v>
      </c>
      <c r="AC199" s="44">
        <f t="shared" si="102"/>
        <v>140</v>
      </c>
      <c r="AD199" s="44">
        <f t="shared" si="103"/>
        <v>30</v>
      </c>
      <c r="AE199" s="50">
        <f t="shared" si="104"/>
        <v>16</v>
      </c>
      <c r="AF199" s="41">
        <f t="shared" si="105"/>
        <v>0.32</v>
      </c>
      <c r="AG199" s="44">
        <v>0</v>
      </c>
      <c r="AH199" s="44">
        <v>20</v>
      </c>
      <c r="AI199" s="42">
        <f t="shared" si="130"/>
        <v>0.2</v>
      </c>
      <c r="AJ199" s="42">
        <f t="shared" si="131"/>
        <v>4.2857142857142858E-2</v>
      </c>
      <c r="AK199" s="40">
        <f t="shared" si="106"/>
        <v>0.67200000000000004</v>
      </c>
      <c r="AL199" s="51">
        <v>507</v>
      </c>
      <c r="AM199" s="52">
        <f t="shared" si="107"/>
        <v>2.4335999999999998</v>
      </c>
      <c r="AN199" s="42">
        <f t="shared" si="132"/>
        <v>0.72740315638450503</v>
      </c>
      <c r="AO199" s="53">
        <f t="shared" si="133"/>
        <v>510</v>
      </c>
      <c r="AP199" s="52">
        <f t="shared" si="134"/>
        <v>2.448</v>
      </c>
      <c r="AQ199" s="42">
        <f t="shared" si="135"/>
        <v>0.24285714285714285</v>
      </c>
      <c r="AR199" s="46">
        <v>46254</v>
      </c>
      <c r="AS199" s="46">
        <v>46255</v>
      </c>
      <c r="AT199" s="50">
        <f t="shared" si="136"/>
        <v>16</v>
      </c>
      <c r="AU199" s="50">
        <f t="shared" si="108"/>
        <v>316</v>
      </c>
      <c r="AV199" s="50">
        <f t="shared" si="137"/>
        <v>380</v>
      </c>
      <c r="AW199" s="54">
        <f t="shared" si="138"/>
        <v>-64</v>
      </c>
    </row>
    <row r="200" spans="1:49" x14ac:dyDescent="0.25">
      <c r="A200" s="33" t="s">
        <v>63</v>
      </c>
      <c r="B200" s="33" t="s">
        <v>84</v>
      </c>
      <c r="C200" s="33" t="s">
        <v>286</v>
      </c>
      <c r="D200" s="33" t="s">
        <v>287</v>
      </c>
      <c r="E200" s="34">
        <f>COUNTIF('Detalle por artículo'!$K$8:$K$592,D200)</f>
        <v>1</v>
      </c>
      <c r="F200" s="35">
        <f t="shared" ref="F200:F263" si="139">IFERROR(L200/G200,0)</f>
        <v>136.61904761904762</v>
      </c>
      <c r="G200" s="36">
        <f>SUMIF('Detalle por artículo'!$K$8:$K$592,$D200,'Detalle por artículo'!$E$8:$E$592)</f>
        <v>3.36</v>
      </c>
      <c r="H200" s="35">
        <f t="shared" ref="H200:H263" si="140">ROUNDUP(G200/1.54,0)</f>
        <v>3</v>
      </c>
      <c r="I200" s="35">
        <f t="shared" ref="I200:I263" si="141">ROUNDUP(G200/0.77,0)</f>
        <v>5</v>
      </c>
      <c r="J200" s="35">
        <f t="shared" ref="J200:J263" si="142">ROUNDUP(G200/0.385,0)</f>
        <v>9</v>
      </c>
      <c r="K200" s="37">
        <f t="shared" ref="K200:K263" si="143">G200/28</f>
        <v>0.12</v>
      </c>
      <c r="L200" s="36">
        <f>SUMIF('Detalle por artículo'!$K$8:$K$592,$D200,'Detalle por artículo'!$O$8:$O$592)</f>
        <v>459.04</v>
      </c>
      <c r="M200" s="38">
        <f>SUMIF('Detalle por artículo'!$K$8:$K$592,$D200,'Detalle por artículo'!$I$8:$I$592)</f>
        <v>634</v>
      </c>
      <c r="N200" s="38">
        <f>SUMIF('Detalle por artículo'!$K$8:$K$592,$D200,'Detalle por artículo'!$M$8:$M$592)</f>
        <v>35</v>
      </c>
      <c r="O200" s="39">
        <f t="shared" ref="O200:O263" si="144">IFERROR(G200/M200*1000,0)</f>
        <v>5.2996845425867507</v>
      </c>
      <c r="P200" s="40">
        <f t="shared" ref="P200:P263" si="145">IFERROR(L200/M200*1000,0)</f>
        <v>724.03785488958999</v>
      </c>
      <c r="Q200" s="41">
        <f t="shared" ref="Q200:Q263" si="146">IF(F200=0,0,IF(F200&lt;120,0.2,IF(F200&gt;200,0.1,0.15)))</f>
        <v>0.15</v>
      </c>
      <c r="R200" s="40">
        <f t="shared" ref="R200:R263" si="147">G200*(1+Q200)</f>
        <v>3.8639999999999994</v>
      </c>
      <c r="S200" s="42">
        <f>IFERROR(SUM($G$8:G200)/$G$6,0)</f>
        <v>0.8423599097597102</v>
      </c>
      <c r="T200" s="43" t="str">
        <f t="shared" ref="T200:T263" si="148">IF(S200&lt;=0.5,"A",IF(S200&lt;=0.84,"B","C"))</f>
        <v>C</v>
      </c>
      <c r="U200" s="44">
        <v>0</v>
      </c>
      <c r="V200" s="45">
        <f t="shared" si="129"/>
        <v>-634</v>
      </c>
      <c r="W200" s="46"/>
      <c r="X200" s="46"/>
      <c r="Y200" s="47">
        <v>634</v>
      </c>
      <c r="Z200" s="48">
        <f t="shared" ref="Z200:Z263" si="149">Y200*O200/1000</f>
        <v>3.36</v>
      </c>
      <c r="AA200" s="49">
        <f t="shared" ref="AA200:AA263" si="150">Z200/28</f>
        <v>0.12</v>
      </c>
      <c r="AB200" s="44">
        <v>0</v>
      </c>
      <c r="AC200" s="44">
        <f t="shared" ref="AC200:AC263" si="151">IFERROR(INDEX(IMP_TOT,MATCH(D200,IMP_MOD,0)),0)</f>
        <v>0</v>
      </c>
      <c r="AD200" s="44">
        <f t="shared" ref="AD200:AD263" si="152">IFERROR(INDEX(REP_TOT,MATCH(D200,REP_MOD,0)),0)</f>
        <v>0</v>
      </c>
      <c r="AE200" s="50">
        <f t="shared" ref="AE200:AE263" si="153">IFERROR(INDEX(IMP_NT,MATCH(D200,IMP_MOD,0)),0)</f>
        <v>0</v>
      </c>
      <c r="AF200" s="41">
        <f t="shared" ref="AF200:AF263" si="154">IFERROR(AE200/TIENDAS,0)</f>
        <v>0</v>
      </c>
      <c r="AG200" s="44">
        <v>0</v>
      </c>
      <c r="AH200" s="44">
        <v>0</v>
      </c>
      <c r="AI200" s="42">
        <f t="shared" si="130"/>
        <v>0</v>
      </c>
      <c r="AJ200" s="42">
        <f t="shared" si="131"/>
        <v>0</v>
      </c>
      <c r="AK200" s="40">
        <f t="shared" ref="AK200:AK263" si="155">AC200*O200/1000</f>
        <v>0</v>
      </c>
      <c r="AL200" s="51">
        <v>0</v>
      </c>
      <c r="AM200" s="52">
        <f t="shared" ref="AM200:AM263" si="156">AL200*O200/1000</f>
        <v>0</v>
      </c>
      <c r="AN200" s="42">
        <f t="shared" si="132"/>
        <v>0</v>
      </c>
      <c r="AO200" s="53">
        <f t="shared" si="133"/>
        <v>634</v>
      </c>
      <c r="AP200" s="52">
        <f t="shared" si="134"/>
        <v>3.36</v>
      </c>
      <c r="AQ200" s="42">
        <f t="shared" si="135"/>
        <v>0</v>
      </c>
      <c r="AR200" s="46"/>
      <c r="AS200" s="46"/>
      <c r="AT200" s="50" t="str">
        <f t="shared" si="136"/>
        <v/>
      </c>
      <c r="AU200" s="50">
        <f t="shared" ref="AU200:AU263" si="157">IF(M200=0,"",RANK(M200,$M$8:$M$474))</f>
        <v>372</v>
      </c>
      <c r="AV200" s="50" t="str">
        <f t="shared" si="137"/>
        <v/>
      </c>
      <c r="AW200" s="54" t="str">
        <f t="shared" si="138"/>
        <v/>
      </c>
    </row>
    <row r="201" spans="1:49" x14ac:dyDescent="0.25">
      <c r="A201" s="33" t="s">
        <v>63</v>
      </c>
      <c r="B201" s="33" t="s">
        <v>288</v>
      </c>
      <c r="C201" s="33" t="s">
        <v>289</v>
      </c>
      <c r="D201" s="33" t="s">
        <v>290</v>
      </c>
      <c r="E201" s="34">
        <f>COUNTIF('Detalle por artículo'!$K$8:$K$592,D201)</f>
        <v>1</v>
      </c>
      <c r="F201" s="35">
        <f t="shared" si="139"/>
        <v>190.65563725490199</v>
      </c>
      <c r="G201" s="36">
        <f>SUMIF('Detalle por artículo'!$K$8:$K$592,$D201,'Detalle por artículo'!$E$8:$E$592)</f>
        <v>3.2639999999999998</v>
      </c>
      <c r="H201" s="35">
        <f t="shared" si="140"/>
        <v>3</v>
      </c>
      <c r="I201" s="35">
        <f t="shared" si="141"/>
        <v>5</v>
      </c>
      <c r="J201" s="35">
        <f t="shared" si="142"/>
        <v>9</v>
      </c>
      <c r="K201" s="37">
        <f t="shared" si="143"/>
        <v>0.11657142857142856</v>
      </c>
      <c r="L201" s="36">
        <f>SUMIF('Detalle por artículo'!$K$8:$K$592,$D201,'Detalle por artículo'!$O$8:$O$592)</f>
        <v>622.30000000000007</v>
      </c>
      <c r="M201" s="38">
        <f>SUMIF('Detalle por artículo'!$K$8:$K$592,$D201,'Detalle por artículo'!$I$8:$I$592)</f>
        <v>1586</v>
      </c>
      <c r="N201" s="38">
        <f>SUMIF('Detalle por artículo'!$K$8:$K$592,$D201,'Detalle por artículo'!$M$8:$M$592)</f>
        <v>34</v>
      </c>
      <c r="O201" s="39">
        <f t="shared" si="144"/>
        <v>2.0580075662042874</v>
      </c>
      <c r="P201" s="40">
        <f t="shared" si="145"/>
        <v>392.37074401008829</v>
      </c>
      <c r="Q201" s="41">
        <f t="shared" si="146"/>
        <v>0.15</v>
      </c>
      <c r="R201" s="40">
        <f t="shared" si="147"/>
        <v>3.7535999999999996</v>
      </c>
      <c r="S201" s="42">
        <f>IFERROR(SUM($G$8:G201)/$G$6,0)</f>
        <v>0.8435593115580633</v>
      </c>
      <c r="T201" s="43" t="str">
        <f t="shared" si="148"/>
        <v>C</v>
      </c>
      <c r="U201" s="44">
        <v>1586</v>
      </c>
      <c r="V201" s="45">
        <f t="shared" si="129"/>
        <v>0</v>
      </c>
      <c r="W201" s="46">
        <v>46237</v>
      </c>
      <c r="X201" s="46">
        <v>46237</v>
      </c>
      <c r="Y201" s="47">
        <v>0</v>
      </c>
      <c r="Z201" s="48">
        <f t="shared" si="149"/>
        <v>0</v>
      </c>
      <c r="AA201" s="49">
        <f t="shared" si="150"/>
        <v>0</v>
      </c>
      <c r="AB201" s="44">
        <v>1548</v>
      </c>
      <c r="AC201" s="44">
        <f t="shared" si="151"/>
        <v>1258</v>
      </c>
      <c r="AD201" s="44">
        <f t="shared" si="152"/>
        <v>278</v>
      </c>
      <c r="AE201" s="50">
        <f t="shared" si="153"/>
        <v>48</v>
      </c>
      <c r="AF201" s="41">
        <f t="shared" si="154"/>
        <v>0.96</v>
      </c>
      <c r="AG201" s="44">
        <v>1</v>
      </c>
      <c r="AH201" s="44">
        <v>11</v>
      </c>
      <c r="AI201" s="42">
        <f t="shared" si="130"/>
        <v>0.79319041614123587</v>
      </c>
      <c r="AJ201" s="42">
        <f t="shared" si="131"/>
        <v>0.17528373266078184</v>
      </c>
      <c r="AK201" s="40">
        <f t="shared" si="155"/>
        <v>2.5889735182849938</v>
      </c>
      <c r="AL201" s="51">
        <v>37</v>
      </c>
      <c r="AM201" s="52">
        <f t="shared" si="156"/>
        <v>7.6146279949558637E-2</v>
      </c>
      <c r="AN201" s="42">
        <f t="shared" si="132"/>
        <v>2.3329129886506934E-2</v>
      </c>
      <c r="AO201" s="53">
        <f t="shared" si="133"/>
        <v>38</v>
      </c>
      <c r="AP201" s="52">
        <f t="shared" si="134"/>
        <v>7.8204287515762916E-2</v>
      </c>
      <c r="AQ201" s="42">
        <f t="shared" si="135"/>
        <v>0.96847414880201765</v>
      </c>
      <c r="AR201" s="46">
        <v>46238</v>
      </c>
      <c r="AS201" s="46">
        <v>46238</v>
      </c>
      <c r="AT201" s="50">
        <f t="shared" si="136"/>
        <v>1</v>
      </c>
      <c r="AU201" s="50">
        <f t="shared" si="157"/>
        <v>84</v>
      </c>
      <c r="AV201" s="50">
        <f t="shared" si="137"/>
        <v>22</v>
      </c>
      <c r="AW201" s="54">
        <f t="shared" si="138"/>
        <v>62</v>
      </c>
    </row>
    <row r="202" spans="1:49" x14ac:dyDescent="0.25">
      <c r="A202" s="33" t="s">
        <v>63</v>
      </c>
      <c r="B202" s="33" t="s">
        <v>110</v>
      </c>
      <c r="C202" s="33" t="s">
        <v>100</v>
      </c>
      <c r="D202" s="33" t="s">
        <v>291</v>
      </c>
      <c r="E202" s="34">
        <f>COUNTIF('Detalle por artículo'!$K$8:$K$592,D202)</f>
        <v>1</v>
      </c>
      <c r="F202" s="35">
        <f t="shared" si="139"/>
        <v>134.62009803921569</v>
      </c>
      <c r="G202" s="36">
        <f>SUMIF('Detalle por artículo'!$K$8:$K$592,$D202,'Detalle por artículo'!$E$8:$E$592)</f>
        <v>3.2639999999999998</v>
      </c>
      <c r="H202" s="35">
        <f t="shared" si="140"/>
        <v>3</v>
      </c>
      <c r="I202" s="35">
        <f t="shared" si="141"/>
        <v>5</v>
      </c>
      <c r="J202" s="35">
        <f t="shared" si="142"/>
        <v>9</v>
      </c>
      <c r="K202" s="37">
        <f t="shared" si="143"/>
        <v>0.11657142857142856</v>
      </c>
      <c r="L202" s="36">
        <f>SUMIF('Detalle por artículo'!$K$8:$K$592,$D202,'Detalle por artículo'!$O$8:$O$592)</f>
        <v>439.4</v>
      </c>
      <c r="M202" s="38">
        <f>SUMIF('Detalle por artículo'!$K$8:$K$592,$D202,'Detalle por artículo'!$I$8:$I$592)</f>
        <v>690</v>
      </c>
      <c r="N202" s="38">
        <f>SUMIF('Detalle por artículo'!$K$8:$K$592,$D202,'Detalle por artículo'!$M$8:$M$592)</f>
        <v>34</v>
      </c>
      <c r="O202" s="39">
        <f t="shared" si="144"/>
        <v>4.730434782608695</v>
      </c>
      <c r="P202" s="40">
        <f t="shared" si="145"/>
        <v>636.81159420289862</v>
      </c>
      <c r="Q202" s="41">
        <f t="shared" si="146"/>
        <v>0.15</v>
      </c>
      <c r="R202" s="40">
        <f t="shared" si="147"/>
        <v>3.7535999999999996</v>
      </c>
      <c r="S202" s="42">
        <f>IFERROR(SUM($G$8:G202)/$G$6,0)</f>
        <v>0.84475871335641639</v>
      </c>
      <c r="T202" s="43" t="str">
        <f t="shared" si="148"/>
        <v>C</v>
      </c>
      <c r="U202" s="44">
        <v>690</v>
      </c>
      <c r="V202" s="45">
        <f t="shared" si="129"/>
        <v>0</v>
      </c>
      <c r="W202" s="46">
        <v>46288</v>
      </c>
      <c r="X202" s="46">
        <v>46288</v>
      </c>
      <c r="Y202" s="47">
        <v>0</v>
      </c>
      <c r="Z202" s="48">
        <f t="shared" si="149"/>
        <v>0</v>
      </c>
      <c r="AA202" s="49">
        <f t="shared" si="150"/>
        <v>0</v>
      </c>
      <c r="AB202" s="44">
        <v>26</v>
      </c>
      <c r="AC202" s="44">
        <f t="shared" si="151"/>
        <v>26</v>
      </c>
      <c r="AD202" s="44">
        <f t="shared" si="152"/>
        <v>0</v>
      </c>
      <c r="AE202" s="50">
        <f t="shared" si="153"/>
        <v>0</v>
      </c>
      <c r="AF202" s="41">
        <f t="shared" si="154"/>
        <v>0</v>
      </c>
      <c r="AG202" s="44">
        <v>0</v>
      </c>
      <c r="AH202" s="44">
        <v>0</v>
      </c>
      <c r="AI202" s="42">
        <f t="shared" si="130"/>
        <v>3.7681159420289857E-2</v>
      </c>
      <c r="AJ202" s="42">
        <f t="shared" si="131"/>
        <v>0</v>
      </c>
      <c r="AK202" s="40">
        <f t="shared" si="155"/>
        <v>0.12299130434782607</v>
      </c>
      <c r="AL202" s="51">
        <v>664</v>
      </c>
      <c r="AM202" s="52">
        <f t="shared" si="156"/>
        <v>3.1410086956521734</v>
      </c>
      <c r="AN202" s="42">
        <f t="shared" si="132"/>
        <v>0.96231884057971018</v>
      </c>
      <c r="AO202" s="53">
        <f t="shared" si="133"/>
        <v>664</v>
      </c>
      <c r="AP202" s="52">
        <f t="shared" si="134"/>
        <v>3.1410086956521734</v>
      </c>
      <c r="AQ202" s="42">
        <f t="shared" si="135"/>
        <v>3.7681159420289857E-2</v>
      </c>
      <c r="AR202" s="46">
        <v>46293</v>
      </c>
      <c r="AS202" s="46">
        <v>46294</v>
      </c>
      <c r="AT202" s="50">
        <f t="shared" si="136"/>
        <v>6</v>
      </c>
      <c r="AU202" s="50">
        <f t="shared" si="157"/>
        <v>323</v>
      </c>
      <c r="AV202" s="50">
        <f t="shared" si="137"/>
        <v>414</v>
      </c>
      <c r="AW202" s="54">
        <f t="shared" si="138"/>
        <v>-91</v>
      </c>
    </row>
    <row r="203" spans="1:49" x14ac:dyDescent="0.25">
      <c r="A203" s="33" t="s">
        <v>63</v>
      </c>
      <c r="B203" s="33" t="s">
        <v>102</v>
      </c>
      <c r="C203" s="33" t="s">
        <v>103</v>
      </c>
      <c r="D203" s="33" t="s">
        <v>292</v>
      </c>
      <c r="E203" s="34">
        <f>COUNTIF('Detalle por artículo'!$K$8:$K$592,D203)</f>
        <v>2</v>
      </c>
      <c r="F203" s="35">
        <f t="shared" si="139"/>
        <v>252.63157894736841</v>
      </c>
      <c r="G203" s="36">
        <f>SUMIF('Detalle por artículo'!$K$8:$K$592,$D203,'Detalle por artículo'!$E$8:$E$592)</f>
        <v>3.23</v>
      </c>
      <c r="H203" s="35">
        <f t="shared" si="140"/>
        <v>3</v>
      </c>
      <c r="I203" s="35">
        <f t="shared" si="141"/>
        <v>5</v>
      </c>
      <c r="J203" s="35">
        <f t="shared" si="142"/>
        <v>9</v>
      </c>
      <c r="K203" s="37">
        <f t="shared" si="143"/>
        <v>0.11535714285714285</v>
      </c>
      <c r="L203" s="36">
        <f>SUMIF('Detalle por artículo'!$K$8:$K$592,$D203,'Detalle por artículo'!$O$8:$O$592)</f>
        <v>816</v>
      </c>
      <c r="M203" s="38">
        <f>SUMIF('Detalle por artículo'!$K$8:$K$592,$D203,'Detalle por artículo'!$I$8:$I$592)</f>
        <v>1192</v>
      </c>
      <c r="N203" s="38">
        <f>SUMIF('Detalle por artículo'!$K$8:$K$592,$D203,'Detalle por artículo'!$M$8:$M$592)</f>
        <v>38</v>
      </c>
      <c r="O203" s="39">
        <f t="shared" si="144"/>
        <v>2.7097315436241614</v>
      </c>
      <c r="P203" s="40">
        <f t="shared" si="145"/>
        <v>684.56375838926181</v>
      </c>
      <c r="Q203" s="41">
        <f t="shared" si="146"/>
        <v>0.1</v>
      </c>
      <c r="R203" s="40">
        <f t="shared" si="147"/>
        <v>3.5530000000000004</v>
      </c>
      <c r="S203" s="42">
        <f>IFERROR(SUM($G$8:G203)/$G$6,0)</f>
        <v>0.84594562138603657</v>
      </c>
      <c r="T203" s="43" t="str">
        <f t="shared" si="148"/>
        <v>C</v>
      </c>
      <c r="U203" s="44">
        <v>1192</v>
      </c>
      <c r="V203" s="45">
        <f t="shared" si="129"/>
        <v>0</v>
      </c>
      <c r="W203" s="46">
        <v>46233</v>
      </c>
      <c r="X203" s="46">
        <v>46233</v>
      </c>
      <c r="Y203" s="47">
        <v>0</v>
      </c>
      <c r="Z203" s="48">
        <f t="shared" si="149"/>
        <v>0</v>
      </c>
      <c r="AA203" s="49">
        <f t="shared" si="150"/>
        <v>0</v>
      </c>
      <c r="AB203" s="44">
        <v>1117</v>
      </c>
      <c r="AC203" s="44">
        <f t="shared" si="151"/>
        <v>814</v>
      </c>
      <c r="AD203" s="44">
        <f t="shared" si="152"/>
        <v>283</v>
      </c>
      <c r="AE203" s="50">
        <f t="shared" si="153"/>
        <v>48</v>
      </c>
      <c r="AF203" s="41">
        <f t="shared" si="154"/>
        <v>0.96</v>
      </c>
      <c r="AG203" s="44">
        <v>4</v>
      </c>
      <c r="AH203" s="44">
        <v>16</v>
      </c>
      <c r="AI203" s="42">
        <f t="shared" si="130"/>
        <v>0.68288590604026844</v>
      </c>
      <c r="AJ203" s="42">
        <f t="shared" si="131"/>
        <v>0.23741610738255034</v>
      </c>
      <c r="AK203" s="40">
        <f t="shared" si="155"/>
        <v>2.2057214765100674</v>
      </c>
      <c r="AL203" s="51">
        <v>71</v>
      </c>
      <c r="AM203" s="52">
        <f t="shared" si="156"/>
        <v>0.19239093959731546</v>
      </c>
      <c r="AN203" s="42">
        <f t="shared" si="132"/>
        <v>5.9563758389261742E-2</v>
      </c>
      <c r="AO203" s="53">
        <f t="shared" si="133"/>
        <v>75</v>
      </c>
      <c r="AP203" s="52">
        <f t="shared" si="134"/>
        <v>0.20322986577181212</v>
      </c>
      <c r="AQ203" s="42">
        <f t="shared" si="135"/>
        <v>0.92030201342281881</v>
      </c>
      <c r="AR203" s="46">
        <v>46254</v>
      </c>
      <c r="AS203" s="46">
        <v>46255</v>
      </c>
      <c r="AT203" s="50">
        <f t="shared" si="136"/>
        <v>22</v>
      </c>
      <c r="AU203" s="50">
        <f t="shared" si="157"/>
        <v>140</v>
      </c>
      <c r="AV203" s="50">
        <f t="shared" si="137"/>
        <v>55</v>
      </c>
      <c r="AW203" s="54">
        <f t="shared" si="138"/>
        <v>85</v>
      </c>
    </row>
    <row r="204" spans="1:49" x14ac:dyDescent="0.25">
      <c r="A204" s="33" t="s">
        <v>63</v>
      </c>
      <c r="B204" s="33" t="s">
        <v>84</v>
      </c>
      <c r="C204" s="33" t="s">
        <v>87</v>
      </c>
      <c r="D204" s="33" t="s">
        <v>293</v>
      </c>
      <c r="E204" s="34">
        <f>COUNTIF('Detalle por artículo'!$K$8:$K$592,D204)</f>
        <v>2</v>
      </c>
      <c r="F204" s="35">
        <f t="shared" si="139"/>
        <v>184.375</v>
      </c>
      <c r="G204" s="36">
        <f>SUMIF('Detalle por artículo'!$K$8:$K$592,$D204,'Detalle por artículo'!$E$8:$E$592)</f>
        <v>3.1680000000000001</v>
      </c>
      <c r="H204" s="35">
        <f t="shared" si="140"/>
        <v>3</v>
      </c>
      <c r="I204" s="35">
        <f t="shared" si="141"/>
        <v>5</v>
      </c>
      <c r="J204" s="35">
        <f t="shared" si="142"/>
        <v>9</v>
      </c>
      <c r="K204" s="37">
        <f t="shared" si="143"/>
        <v>0.11314285714285714</v>
      </c>
      <c r="L204" s="36">
        <f>SUMIF('Detalle por artículo'!$K$8:$K$592,$D204,'Detalle por artículo'!$O$8:$O$592)</f>
        <v>584.1</v>
      </c>
      <c r="M204" s="38">
        <f>SUMIF('Detalle por artículo'!$K$8:$K$592,$D204,'Detalle por artículo'!$I$8:$I$592)</f>
        <v>1209</v>
      </c>
      <c r="N204" s="38">
        <f>SUMIF('Detalle por artículo'!$K$8:$K$592,$D204,'Detalle por artículo'!$M$8:$M$592)</f>
        <v>33</v>
      </c>
      <c r="O204" s="39">
        <f t="shared" si="144"/>
        <v>2.6203473945409432</v>
      </c>
      <c r="P204" s="40">
        <f t="shared" si="145"/>
        <v>483.12655086848639</v>
      </c>
      <c r="Q204" s="41">
        <f t="shared" si="146"/>
        <v>0.15</v>
      </c>
      <c r="R204" s="40">
        <f t="shared" si="147"/>
        <v>3.6431999999999998</v>
      </c>
      <c r="S204" s="42">
        <f>IFERROR(SUM($G$8:G204)/$G$6,0)</f>
        <v>0.84710974666090877</v>
      </c>
      <c r="T204" s="43" t="str">
        <f t="shared" si="148"/>
        <v>C</v>
      </c>
      <c r="U204" s="44">
        <v>1210</v>
      </c>
      <c r="V204" s="45">
        <f t="shared" si="129"/>
        <v>1</v>
      </c>
      <c r="W204" s="46">
        <v>46217</v>
      </c>
      <c r="X204" s="46">
        <v>46217</v>
      </c>
      <c r="Y204" s="47">
        <v>0</v>
      </c>
      <c r="Z204" s="48">
        <f t="shared" si="149"/>
        <v>0</v>
      </c>
      <c r="AA204" s="49">
        <f t="shared" si="150"/>
        <v>0</v>
      </c>
      <c r="AB204" s="44">
        <v>1208</v>
      </c>
      <c r="AC204" s="44">
        <f t="shared" si="151"/>
        <v>1065</v>
      </c>
      <c r="AD204" s="44">
        <f t="shared" si="152"/>
        <v>141</v>
      </c>
      <c r="AE204" s="50">
        <f t="shared" si="153"/>
        <v>49</v>
      </c>
      <c r="AF204" s="41">
        <f t="shared" si="154"/>
        <v>0.98</v>
      </c>
      <c r="AG204" s="44">
        <v>2</v>
      </c>
      <c r="AH204" s="44">
        <v>0</v>
      </c>
      <c r="AI204" s="42">
        <f t="shared" si="130"/>
        <v>0.88089330024813894</v>
      </c>
      <c r="AJ204" s="42">
        <f t="shared" si="131"/>
        <v>0.11662531017369727</v>
      </c>
      <c r="AK204" s="40">
        <f t="shared" si="155"/>
        <v>2.7906699751861046</v>
      </c>
      <c r="AL204" s="51">
        <v>0</v>
      </c>
      <c r="AM204" s="52">
        <f t="shared" si="156"/>
        <v>0</v>
      </c>
      <c r="AN204" s="42">
        <f t="shared" si="132"/>
        <v>0</v>
      </c>
      <c r="AO204" s="53">
        <f t="shared" si="133"/>
        <v>1</v>
      </c>
      <c r="AP204" s="52">
        <f t="shared" si="134"/>
        <v>2.6203473945409432E-3</v>
      </c>
      <c r="AQ204" s="42">
        <f t="shared" si="135"/>
        <v>0.9975186104218362</v>
      </c>
      <c r="AR204" s="46">
        <v>46225</v>
      </c>
      <c r="AS204" s="46">
        <v>46225</v>
      </c>
      <c r="AT204" s="50">
        <f t="shared" si="136"/>
        <v>8</v>
      </c>
      <c r="AU204" s="50">
        <f t="shared" si="157"/>
        <v>136</v>
      </c>
      <c r="AV204" s="50">
        <f t="shared" si="137"/>
        <v>48</v>
      </c>
      <c r="AW204" s="54">
        <f t="shared" si="138"/>
        <v>88</v>
      </c>
    </row>
    <row r="205" spans="1:49" x14ac:dyDescent="0.25">
      <c r="A205" s="33" t="s">
        <v>63</v>
      </c>
      <c r="B205" s="33" t="s">
        <v>102</v>
      </c>
      <c r="C205" s="33" t="s">
        <v>132</v>
      </c>
      <c r="D205" s="33" t="s">
        <v>294</v>
      </c>
      <c r="E205" s="34">
        <f>COUNTIF('Detalle por artículo'!$K$8:$K$592,D205)</f>
        <v>1</v>
      </c>
      <c r="F205" s="35">
        <f t="shared" si="139"/>
        <v>220.13888888888886</v>
      </c>
      <c r="G205" s="36">
        <f>SUMIF('Detalle por artículo'!$K$8:$K$592,$D205,'Detalle por artículo'!$E$8:$E$592)</f>
        <v>3.1680000000000001</v>
      </c>
      <c r="H205" s="35">
        <f t="shared" si="140"/>
        <v>3</v>
      </c>
      <c r="I205" s="35">
        <f t="shared" si="141"/>
        <v>5</v>
      </c>
      <c r="J205" s="35">
        <f t="shared" si="142"/>
        <v>9</v>
      </c>
      <c r="K205" s="37">
        <f t="shared" si="143"/>
        <v>0.11314285714285714</v>
      </c>
      <c r="L205" s="36">
        <f>SUMIF('Detalle por artículo'!$K$8:$K$592,$D205,'Detalle por artículo'!$O$8:$O$592)</f>
        <v>697.4</v>
      </c>
      <c r="M205" s="38">
        <f>SUMIF('Detalle por artículo'!$K$8:$K$592,$D205,'Detalle por artículo'!$I$8:$I$592)</f>
        <v>1047</v>
      </c>
      <c r="N205" s="38">
        <f>SUMIF('Detalle por artículo'!$K$8:$K$592,$D205,'Detalle por artículo'!$M$8:$M$592)</f>
        <v>33</v>
      </c>
      <c r="O205" s="39">
        <f t="shared" si="144"/>
        <v>3.025787965616046</v>
      </c>
      <c r="P205" s="40">
        <f t="shared" si="145"/>
        <v>666.09360076408791</v>
      </c>
      <c r="Q205" s="41">
        <f t="shared" si="146"/>
        <v>0.1</v>
      </c>
      <c r="R205" s="40">
        <f t="shared" si="147"/>
        <v>3.4848000000000003</v>
      </c>
      <c r="S205" s="42">
        <f>IFERROR(SUM($G$8:G205)/$G$6,0)</f>
        <v>0.84827387193578085</v>
      </c>
      <c r="T205" s="43" t="str">
        <f t="shared" si="148"/>
        <v>C</v>
      </c>
      <c r="U205" s="44">
        <v>1047</v>
      </c>
      <c r="V205" s="45">
        <f t="shared" si="129"/>
        <v>0</v>
      </c>
      <c r="W205" s="46">
        <v>46237</v>
      </c>
      <c r="X205" s="46">
        <v>46237</v>
      </c>
      <c r="Y205" s="47">
        <v>12</v>
      </c>
      <c r="Z205" s="48">
        <f t="shared" si="149"/>
        <v>3.6309455587392549E-2</v>
      </c>
      <c r="AA205" s="49">
        <f t="shared" si="150"/>
        <v>1.2967662709783053E-3</v>
      </c>
      <c r="AB205" s="44">
        <v>631</v>
      </c>
      <c r="AC205" s="44">
        <f t="shared" si="151"/>
        <v>393</v>
      </c>
      <c r="AD205" s="44">
        <f t="shared" si="152"/>
        <v>214</v>
      </c>
      <c r="AE205" s="50">
        <f t="shared" si="153"/>
        <v>48</v>
      </c>
      <c r="AF205" s="41">
        <f t="shared" si="154"/>
        <v>0.96</v>
      </c>
      <c r="AG205" s="44">
        <v>2</v>
      </c>
      <c r="AH205" s="44">
        <v>22</v>
      </c>
      <c r="AI205" s="42">
        <f t="shared" si="130"/>
        <v>0.37535816618911177</v>
      </c>
      <c r="AJ205" s="42">
        <f t="shared" si="131"/>
        <v>0.2043935052531041</v>
      </c>
      <c r="AK205" s="40">
        <f t="shared" si="155"/>
        <v>1.1891346704871062</v>
      </c>
      <c r="AL205" s="51">
        <v>416</v>
      </c>
      <c r="AM205" s="52">
        <f t="shared" si="156"/>
        <v>1.2587277936962751</v>
      </c>
      <c r="AN205" s="42">
        <f t="shared" si="132"/>
        <v>0.39732569245463228</v>
      </c>
      <c r="AO205" s="53">
        <f t="shared" si="133"/>
        <v>416</v>
      </c>
      <c r="AP205" s="52">
        <f t="shared" si="134"/>
        <v>1.2587277936962751</v>
      </c>
      <c r="AQ205" s="42">
        <f t="shared" si="135"/>
        <v>0.57975167144221584</v>
      </c>
      <c r="AR205" s="46">
        <v>46254</v>
      </c>
      <c r="AS205" s="46">
        <v>46255</v>
      </c>
      <c r="AT205" s="50">
        <f t="shared" si="136"/>
        <v>18</v>
      </c>
      <c r="AU205" s="50">
        <f t="shared" si="157"/>
        <v>163</v>
      </c>
      <c r="AV205" s="50">
        <f t="shared" si="137"/>
        <v>166</v>
      </c>
      <c r="AW205" s="54">
        <f t="shared" si="138"/>
        <v>-3</v>
      </c>
    </row>
    <row r="206" spans="1:49" x14ac:dyDescent="0.25">
      <c r="A206" s="33" t="s">
        <v>63</v>
      </c>
      <c r="B206" s="33" t="s">
        <v>102</v>
      </c>
      <c r="C206" s="33" t="s">
        <v>132</v>
      </c>
      <c r="D206" s="33" t="s">
        <v>295</v>
      </c>
      <c r="E206" s="34">
        <f>COUNTIF('Detalle por artículo'!$K$8:$K$592,D206)</f>
        <v>1</v>
      </c>
      <c r="F206" s="35">
        <f t="shared" si="139"/>
        <v>260.22727272727269</v>
      </c>
      <c r="G206" s="36">
        <f>SUMIF('Detalle por artículo'!$K$8:$K$592,$D206,'Detalle por artículo'!$E$8:$E$592)</f>
        <v>3.1680000000000001</v>
      </c>
      <c r="H206" s="35">
        <f t="shared" si="140"/>
        <v>3</v>
      </c>
      <c r="I206" s="35">
        <f t="shared" si="141"/>
        <v>5</v>
      </c>
      <c r="J206" s="35">
        <f t="shared" si="142"/>
        <v>9</v>
      </c>
      <c r="K206" s="37">
        <f t="shared" si="143"/>
        <v>0.11314285714285714</v>
      </c>
      <c r="L206" s="36">
        <f>SUMIF('Detalle por artículo'!$K$8:$K$592,$D206,'Detalle por artículo'!$O$8:$O$592)</f>
        <v>824.4</v>
      </c>
      <c r="M206" s="38">
        <f>SUMIF('Detalle por artículo'!$K$8:$K$592,$D206,'Detalle por artículo'!$I$8:$I$592)</f>
        <v>1055</v>
      </c>
      <c r="N206" s="38">
        <f>SUMIF('Detalle por artículo'!$K$8:$K$592,$D206,'Detalle por artículo'!$M$8:$M$592)</f>
        <v>33</v>
      </c>
      <c r="O206" s="39">
        <f t="shared" si="144"/>
        <v>3.002843601895735</v>
      </c>
      <c r="P206" s="40">
        <f t="shared" si="145"/>
        <v>781.42180094786727</v>
      </c>
      <c r="Q206" s="41">
        <f t="shared" si="146"/>
        <v>0.1</v>
      </c>
      <c r="R206" s="40">
        <f t="shared" si="147"/>
        <v>3.4848000000000003</v>
      </c>
      <c r="S206" s="42">
        <f>IFERROR(SUM($G$8:G206)/$G$6,0)</f>
        <v>0.84943799721065305</v>
      </c>
      <c r="T206" s="43" t="str">
        <f t="shared" si="148"/>
        <v>C</v>
      </c>
      <c r="U206" s="44">
        <v>1055</v>
      </c>
      <c r="V206" s="45">
        <f t="shared" si="129"/>
        <v>0</v>
      </c>
      <c r="W206" s="46">
        <v>46244</v>
      </c>
      <c r="X206" s="46">
        <v>46244</v>
      </c>
      <c r="Y206" s="47">
        <v>0</v>
      </c>
      <c r="Z206" s="48">
        <f t="shared" si="149"/>
        <v>0</v>
      </c>
      <c r="AA206" s="49">
        <f t="shared" si="150"/>
        <v>0</v>
      </c>
      <c r="AB206" s="44">
        <v>760</v>
      </c>
      <c r="AC206" s="44">
        <f t="shared" si="151"/>
        <v>392</v>
      </c>
      <c r="AD206" s="44">
        <f t="shared" si="152"/>
        <v>343</v>
      </c>
      <c r="AE206" s="50">
        <f t="shared" si="153"/>
        <v>48</v>
      </c>
      <c r="AF206" s="41">
        <f t="shared" si="154"/>
        <v>0.96</v>
      </c>
      <c r="AG206" s="44">
        <v>5</v>
      </c>
      <c r="AH206" s="44">
        <v>22</v>
      </c>
      <c r="AI206" s="42">
        <f t="shared" si="130"/>
        <v>0.37156398104265403</v>
      </c>
      <c r="AJ206" s="42">
        <f t="shared" si="131"/>
        <v>0.3251184834123223</v>
      </c>
      <c r="AK206" s="40">
        <f t="shared" si="155"/>
        <v>1.1771146919431281</v>
      </c>
      <c r="AL206" s="51">
        <v>288</v>
      </c>
      <c r="AM206" s="52">
        <f t="shared" si="156"/>
        <v>0.86481895734597158</v>
      </c>
      <c r="AN206" s="42">
        <f t="shared" si="132"/>
        <v>0.27298578199052131</v>
      </c>
      <c r="AO206" s="53">
        <f t="shared" si="133"/>
        <v>295</v>
      </c>
      <c r="AP206" s="52">
        <f t="shared" si="134"/>
        <v>0.88583886255924171</v>
      </c>
      <c r="AQ206" s="42">
        <f t="shared" si="135"/>
        <v>0.69668246445497628</v>
      </c>
      <c r="AR206" s="46">
        <v>46252</v>
      </c>
      <c r="AS206" s="46">
        <v>46252</v>
      </c>
      <c r="AT206" s="50">
        <f t="shared" si="136"/>
        <v>8</v>
      </c>
      <c r="AU206" s="50">
        <f t="shared" si="157"/>
        <v>156</v>
      </c>
      <c r="AV206" s="50">
        <f t="shared" si="137"/>
        <v>106</v>
      </c>
      <c r="AW206" s="54">
        <f t="shared" si="138"/>
        <v>50</v>
      </c>
    </row>
    <row r="207" spans="1:49" x14ac:dyDescent="0.25">
      <c r="A207" s="33" t="s">
        <v>63</v>
      </c>
      <c r="B207" s="33" t="s">
        <v>110</v>
      </c>
      <c r="C207" s="33" t="s">
        <v>100</v>
      </c>
      <c r="D207" s="33" t="s">
        <v>296</v>
      </c>
      <c r="E207" s="34">
        <f>COUNTIF('Detalle por artículo'!$K$8:$K$592,D207)</f>
        <v>1</v>
      </c>
      <c r="F207" s="35">
        <f t="shared" si="139"/>
        <v>133.33333333333331</v>
      </c>
      <c r="G207" s="36">
        <f>SUMIF('Detalle por artículo'!$K$8:$K$592,$D207,'Detalle por artículo'!$E$8:$E$592)</f>
        <v>3.1680000000000001</v>
      </c>
      <c r="H207" s="35">
        <f t="shared" si="140"/>
        <v>3</v>
      </c>
      <c r="I207" s="35">
        <f t="shared" si="141"/>
        <v>5</v>
      </c>
      <c r="J207" s="35">
        <f t="shared" si="142"/>
        <v>9</v>
      </c>
      <c r="K207" s="37">
        <f t="shared" si="143"/>
        <v>0.11314285714285714</v>
      </c>
      <c r="L207" s="36">
        <f>SUMIF('Detalle por artículo'!$K$8:$K$592,$D207,'Detalle por artículo'!$O$8:$O$592)</f>
        <v>422.4</v>
      </c>
      <c r="M207" s="38">
        <f>SUMIF('Detalle por artículo'!$K$8:$K$592,$D207,'Detalle por artículo'!$I$8:$I$592)</f>
        <v>700</v>
      </c>
      <c r="N207" s="38">
        <f>SUMIF('Detalle por artículo'!$K$8:$K$592,$D207,'Detalle por artículo'!$M$8:$M$592)</f>
        <v>33</v>
      </c>
      <c r="O207" s="39">
        <f t="shared" si="144"/>
        <v>4.5257142857142858</v>
      </c>
      <c r="P207" s="40">
        <f t="shared" si="145"/>
        <v>603.42857142857144</v>
      </c>
      <c r="Q207" s="41">
        <f t="shared" si="146"/>
        <v>0.15</v>
      </c>
      <c r="R207" s="40">
        <f t="shared" si="147"/>
        <v>3.6431999999999998</v>
      </c>
      <c r="S207" s="42">
        <f>IFERROR(SUM($G$8:G207)/$G$6,0)</f>
        <v>0.85060212248552514</v>
      </c>
      <c r="T207" s="43" t="str">
        <f t="shared" si="148"/>
        <v>C</v>
      </c>
      <c r="U207" s="44">
        <v>700</v>
      </c>
      <c r="V207" s="45">
        <f t="shared" si="129"/>
        <v>0</v>
      </c>
      <c r="W207" s="46">
        <v>46286</v>
      </c>
      <c r="X207" s="46">
        <v>46286</v>
      </c>
      <c r="Y207" s="47">
        <v>0</v>
      </c>
      <c r="Z207" s="48">
        <f t="shared" si="149"/>
        <v>0</v>
      </c>
      <c r="AA207" s="49">
        <f t="shared" si="150"/>
        <v>0</v>
      </c>
      <c r="AB207" s="44">
        <v>160</v>
      </c>
      <c r="AC207" s="44">
        <f t="shared" si="151"/>
        <v>159</v>
      </c>
      <c r="AD207" s="44">
        <f t="shared" si="152"/>
        <v>0</v>
      </c>
      <c r="AE207" s="50">
        <f t="shared" si="153"/>
        <v>19</v>
      </c>
      <c r="AF207" s="41">
        <f t="shared" si="154"/>
        <v>0.38</v>
      </c>
      <c r="AG207" s="44">
        <v>1</v>
      </c>
      <c r="AH207" s="44">
        <v>0</v>
      </c>
      <c r="AI207" s="42">
        <f t="shared" si="130"/>
        <v>0.22714285714285715</v>
      </c>
      <c r="AJ207" s="42">
        <f t="shared" si="131"/>
        <v>0</v>
      </c>
      <c r="AK207" s="40">
        <f t="shared" si="155"/>
        <v>0.71958857142857147</v>
      </c>
      <c r="AL207" s="51">
        <v>540</v>
      </c>
      <c r="AM207" s="52">
        <f t="shared" si="156"/>
        <v>2.443885714285714</v>
      </c>
      <c r="AN207" s="42">
        <f t="shared" si="132"/>
        <v>0.77142857142857146</v>
      </c>
      <c r="AO207" s="53">
        <f t="shared" si="133"/>
        <v>540</v>
      </c>
      <c r="AP207" s="52">
        <f t="shared" si="134"/>
        <v>2.443885714285714</v>
      </c>
      <c r="AQ207" s="42">
        <f t="shared" si="135"/>
        <v>0.22714285714285715</v>
      </c>
      <c r="AR207" s="46">
        <v>46293</v>
      </c>
      <c r="AS207" s="46">
        <v>46294</v>
      </c>
      <c r="AT207" s="50">
        <f t="shared" si="136"/>
        <v>8</v>
      </c>
      <c r="AU207" s="50">
        <f t="shared" si="157"/>
        <v>316</v>
      </c>
      <c r="AV207" s="50">
        <f t="shared" si="137"/>
        <v>385</v>
      </c>
      <c r="AW207" s="54">
        <f t="shared" si="138"/>
        <v>-69</v>
      </c>
    </row>
    <row r="208" spans="1:49" x14ac:dyDescent="0.25">
      <c r="A208" s="33" t="s">
        <v>55</v>
      </c>
      <c r="B208" s="33" t="s">
        <v>99</v>
      </c>
      <c r="C208" s="33" t="s">
        <v>100</v>
      </c>
      <c r="D208" s="33" t="s">
        <v>297</v>
      </c>
      <c r="E208" s="34">
        <f>COUNTIF('Detalle por artículo'!$K$8:$K$592,D208)</f>
        <v>1</v>
      </c>
      <c r="F208" s="35">
        <f t="shared" si="139"/>
        <v>124.71590909090908</v>
      </c>
      <c r="G208" s="36">
        <f>SUMIF('Detalle por artículo'!$K$8:$K$592,$D208,'Detalle por artículo'!$E$8:$E$592)</f>
        <v>3.1680000000000001</v>
      </c>
      <c r="H208" s="35">
        <f t="shared" si="140"/>
        <v>3</v>
      </c>
      <c r="I208" s="35">
        <f t="shared" si="141"/>
        <v>5</v>
      </c>
      <c r="J208" s="35">
        <f t="shared" si="142"/>
        <v>9</v>
      </c>
      <c r="K208" s="37">
        <f t="shared" si="143"/>
        <v>0.11314285714285714</v>
      </c>
      <c r="L208" s="36">
        <f>SUMIF('Detalle por artículo'!$K$8:$K$592,$D208,'Detalle por artículo'!$O$8:$O$592)</f>
        <v>395.09999999999997</v>
      </c>
      <c r="M208" s="38">
        <f>SUMIF('Detalle por artículo'!$K$8:$K$592,$D208,'Detalle por artículo'!$I$8:$I$592)</f>
        <v>902</v>
      </c>
      <c r="N208" s="38">
        <f>SUMIF('Detalle por artículo'!$K$8:$K$592,$D208,'Detalle por artículo'!$M$8:$M$592)</f>
        <v>33</v>
      </c>
      <c r="O208" s="39">
        <f t="shared" si="144"/>
        <v>3.5121951219512195</v>
      </c>
      <c r="P208" s="40">
        <f t="shared" si="145"/>
        <v>438.02660753880264</v>
      </c>
      <c r="Q208" s="41">
        <f t="shared" si="146"/>
        <v>0.15</v>
      </c>
      <c r="R208" s="40">
        <f t="shared" si="147"/>
        <v>3.6431999999999998</v>
      </c>
      <c r="S208" s="42">
        <f>IFERROR(SUM($G$8:G208)/$G$6,0)</f>
        <v>0.85176624776039733</v>
      </c>
      <c r="T208" s="43" t="str">
        <f t="shared" si="148"/>
        <v>C</v>
      </c>
      <c r="U208" s="44">
        <v>902</v>
      </c>
      <c r="V208" s="45">
        <f t="shared" si="129"/>
        <v>0</v>
      </c>
      <c r="W208" s="46">
        <v>46260</v>
      </c>
      <c r="X208" s="46">
        <v>46260</v>
      </c>
      <c r="Y208" s="47">
        <v>0</v>
      </c>
      <c r="Z208" s="48">
        <f t="shared" si="149"/>
        <v>0</v>
      </c>
      <c r="AA208" s="49">
        <f t="shared" si="150"/>
        <v>0</v>
      </c>
      <c r="AB208" s="44">
        <v>54</v>
      </c>
      <c r="AC208" s="44">
        <f t="shared" si="151"/>
        <v>34</v>
      </c>
      <c r="AD208" s="44">
        <f t="shared" si="152"/>
        <v>7</v>
      </c>
      <c r="AE208" s="50">
        <f t="shared" si="153"/>
        <v>1</v>
      </c>
      <c r="AF208" s="41">
        <f t="shared" si="154"/>
        <v>0.02</v>
      </c>
      <c r="AG208" s="44">
        <v>5</v>
      </c>
      <c r="AH208" s="44">
        <v>8</v>
      </c>
      <c r="AI208" s="42">
        <f t="shared" si="130"/>
        <v>3.7694013303769404E-2</v>
      </c>
      <c r="AJ208" s="42">
        <f t="shared" si="131"/>
        <v>7.7605321507760536E-3</v>
      </c>
      <c r="AK208" s="40">
        <f t="shared" si="155"/>
        <v>0.11941463414634147</v>
      </c>
      <c r="AL208" s="51">
        <v>848</v>
      </c>
      <c r="AM208" s="52">
        <f t="shared" si="156"/>
        <v>2.9783414634146341</v>
      </c>
      <c r="AN208" s="42">
        <f t="shared" si="132"/>
        <v>0.94013303769401335</v>
      </c>
      <c r="AO208" s="53">
        <f t="shared" si="133"/>
        <v>848</v>
      </c>
      <c r="AP208" s="52">
        <f t="shared" si="134"/>
        <v>2.9783414634146341</v>
      </c>
      <c r="AQ208" s="42">
        <f t="shared" si="135"/>
        <v>4.5454545454545456E-2</v>
      </c>
      <c r="AR208" s="46">
        <v>46268</v>
      </c>
      <c r="AS208" s="46">
        <v>46268</v>
      </c>
      <c r="AT208" s="50">
        <f t="shared" si="136"/>
        <v>8</v>
      </c>
      <c r="AU208" s="50">
        <f t="shared" si="157"/>
        <v>198</v>
      </c>
      <c r="AV208" s="50">
        <f t="shared" si="137"/>
        <v>395</v>
      </c>
      <c r="AW208" s="54">
        <f t="shared" si="138"/>
        <v>-197</v>
      </c>
    </row>
    <row r="209" spans="1:49" x14ac:dyDescent="0.25">
      <c r="A209" s="33" t="s">
        <v>55</v>
      </c>
      <c r="B209" s="33" t="s">
        <v>255</v>
      </c>
      <c r="C209" s="33" t="s">
        <v>132</v>
      </c>
      <c r="D209" s="33" t="s">
        <v>298</v>
      </c>
      <c r="E209" s="34">
        <f>COUNTIF('Detalle por artículo'!$K$8:$K$592,D209)</f>
        <v>1</v>
      </c>
      <c r="F209" s="35">
        <f t="shared" si="139"/>
        <v>236.50279471544712</v>
      </c>
      <c r="G209" s="36">
        <f>SUMIF('Detalle por artículo'!$K$8:$K$592,$D209,'Detalle por artículo'!$E$8:$E$592)</f>
        <v>3.1488</v>
      </c>
      <c r="H209" s="35">
        <f t="shared" si="140"/>
        <v>3</v>
      </c>
      <c r="I209" s="35">
        <f t="shared" si="141"/>
        <v>5</v>
      </c>
      <c r="J209" s="35">
        <f t="shared" si="142"/>
        <v>9</v>
      </c>
      <c r="K209" s="37">
        <f t="shared" si="143"/>
        <v>0.11245714285714285</v>
      </c>
      <c r="L209" s="36">
        <f>SUMIF('Detalle por artículo'!$K$8:$K$592,$D209,'Detalle por artículo'!$O$8:$O$592)</f>
        <v>744.69999999999993</v>
      </c>
      <c r="M209" s="38">
        <f>SUMIF('Detalle por artículo'!$K$8:$K$592,$D209,'Detalle por artículo'!$I$8:$I$592)</f>
        <v>1205</v>
      </c>
      <c r="N209" s="38">
        <f>SUMIF('Detalle por artículo'!$K$8:$K$592,$D209,'Detalle por artículo'!$M$8:$M$592)</f>
        <v>41</v>
      </c>
      <c r="O209" s="39">
        <f t="shared" si="144"/>
        <v>2.6131120331950211</v>
      </c>
      <c r="P209" s="40">
        <f t="shared" si="145"/>
        <v>618.00829875518673</v>
      </c>
      <c r="Q209" s="41">
        <f t="shared" si="146"/>
        <v>0.1</v>
      </c>
      <c r="R209" s="40">
        <f t="shared" si="147"/>
        <v>3.4636800000000005</v>
      </c>
      <c r="S209" s="42">
        <f>IFERROR(SUM($G$8:G209)/$G$6,0)</f>
        <v>0.85292331773057317</v>
      </c>
      <c r="T209" s="43" t="str">
        <f t="shared" si="148"/>
        <v>C</v>
      </c>
      <c r="U209" s="44">
        <v>1205</v>
      </c>
      <c r="V209" s="45">
        <f t="shared" si="129"/>
        <v>0</v>
      </c>
      <c r="W209" s="46">
        <v>46188</v>
      </c>
      <c r="X209" s="46">
        <v>46188</v>
      </c>
      <c r="Y209" s="47">
        <v>0</v>
      </c>
      <c r="Z209" s="48">
        <f t="shared" si="149"/>
        <v>0</v>
      </c>
      <c r="AA209" s="49">
        <f t="shared" si="150"/>
        <v>0</v>
      </c>
      <c r="AB209" s="44">
        <v>635</v>
      </c>
      <c r="AC209" s="44">
        <f t="shared" si="151"/>
        <v>414</v>
      </c>
      <c r="AD209" s="44">
        <f t="shared" si="152"/>
        <v>208</v>
      </c>
      <c r="AE209" s="50">
        <f t="shared" si="153"/>
        <v>47</v>
      </c>
      <c r="AF209" s="41">
        <f t="shared" si="154"/>
        <v>0.94</v>
      </c>
      <c r="AG209" s="44">
        <v>5</v>
      </c>
      <c r="AH209" s="44">
        <v>8</v>
      </c>
      <c r="AI209" s="42">
        <f t="shared" si="130"/>
        <v>0.34356846473029046</v>
      </c>
      <c r="AJ209" s="42">
        <f t="shared" si="131"/>
        <v>0.17261410788381742</v>
      </c>
      <c r="AK209" s="40">
        <f t="shared" si="155"/>
        <v>1.0818283817427388</v>
      </c>
      <c r="AL209" s="51">
        <v>570</v>
      </c>
      <c r="AM209" s="52">
        <f t="shared" si="156"/>
        <v>1.489473858921162</v>
      </c>
      <c r="AN209" s="42">
        <f t="shared" si="132"/>
        <v>0.47302904564315351</v>
      </c>
      <c r="AO209" s="53">
        <f t="shared" si="133"/>
        <v>570</v>
      </c>
      <c r="AP209" s="52">
        <f t="shared" si="134"/>
        <v>1.489473858921162</v>
      </c>
      <c r="AQ209" s="42">
        <f t="shared" si="135"/>
        <v>0.51618257261410794</v>
      </c>
      <c r="AR209" s="46">
        <v>46219</v>
      </c>
      <c r="AS209" s="46">
        <v>46219</v>
      </c>
      <c r="AT209" s="50">
        <f t="shared" si="136"/>
        <v>31</v>
      </c>
      <c r="AU209" s="50">
        <f t="shared" si="157"/>
        <v>138</v>
      </c>
      <c r="AV209" s="50">
        <f t="shared" si="137"/>
        <v>164</v>
      </c>
      <c r="AW209" s="54">
        <f t="shared" si="138"/>
        <v>-26</v>
      </c>
    </row>
    <row r="210" spans="1:49" x14ac:dyDescent="0.25">
      <c r="A210" s="33" t="s">
        <v>55</v>
      </c>
      <c r="B210" s="33" t="s">
        <v>255</v>
      </c>
      <c r="C210" s="33" t="s">
        <v>132</v>
      </c>
      <c r="D210" s="33" t="s">
        <v>299</v>
      </c>
      <c r="E210" s="34">
        <f>COUNTIF('Detalle por artículo'!$K$8:$K$592,D210)</f>
        <v>2</v>
      </c>
      <c r="F210" s="35">
        <f t="shared" si="139"/>
        <v>196.42166344294003</v>
      </c>
      <c r="G210" s="36">
        <f>SUMIF('Detalle por artículo'!$K$8:$K$592,$D210,'Detalle por artículo'!$E$8:$E$592)</f>
        <v>3.1019999999999999</v>
      </c>
      <c r="H210" s="35">
        <f t="shared" si="140"/>
        <v>3</v>
      </c>
      <c r="I210" s="35">
        <f t="shared" si="141"/>
        <v>5</v>
      </c>
      <c r="J210" s="35">
        <f t="shared" si="142"/>
        <v>9</v>
      </c>
      <c r="K210" s="37">
        <f t="shared" si="143"/>
        <v>0.11078571428571428</v>
      </c>
      <c r="L210" s="36">
        <f>SUMIF('Detalle por artículo'!$K$8:$K$592,$D210,'Detalle por artículo'!$O$8:$O$592)</f>
        <v>609.29999999999995</v>
      </c>
      <c r="M210" s="38">
        <f>SUMIF('Detalle por artículo'!$K$8:$K$592,$D210,'Detalle por artículo'!$I$8:$I$592)</f>
        <v>1161</v>
      </c>
      <c r="N210" s="38">
        <f>SUMIF('Detalle por artículo'!$K$8:$K$592,$D210,'Detalle por artículo'!$M$8:$M$592)</f>
        <v>40</v>
      </c>
      <c r="O210" s="39">
        <f t="shared" si="144"/>
        <v>2.6718346253229974</v>
      </c>
      <c r="P210" s="40">
        <f t="shared" si="145"/>
        <v>524.80620155038764</v>
      </c>
      <c r="Q210" s="41">
        <f t="shared" si="146"/>
        <v>0.15</v>
      </c>
      <c r="R210" s="40">
        <f t="shared" si="147"/>
        <v>3.5672999999999995</v>
      </c>
      <c r="S210" s="42">
        <f>IFERROR(SUM($G$8:G210)/$G$6,0)</f>
        <v>0.85406319039555201</v>
      </c>
      <c r="T210" s="43" t="str">
        <f t="shared" si="148"/>
        <v>C</v>
      </c>
      <c r="U210" s="44">
        <v>1161</v>
      </c>
      <c r="V210" s="45">
        <f t="shared" si="129"/>
        <v>0</v>
      </c>
      <c r="W210" s="46">
        <v>46281</v>
      </c>
      <c r="X210" s="46">
        <v>46281</v>
      </c>
      <c r="Y210" s="47">
        <v>0</v>
      </c>
      <c r="Z210" s="48">
        <f t="shared" si="149"/>
        <v>0</v>
      </c>
      <c r="AA210" s="49">
        <f t="shared" si="150"/>
        <v>0</v>
      </c>
      <c r="AB210" s="44">
        <v>794</v>
      </c>
      <c r="AC210" s="44">
        <f t="shared" si="151"/>
        <v>668</v>
      </c>
      <c r="AD210" s="44">
        <f t="shared" si="152"/>
        <v>120</v>
      </c>
      <c r="AE210" s="50">
        <f t="shared" si="153"/>
        <v>39</v>
      </c>
      <c r="AF210" s="41">
        <f t="shared" si="154"/>
        <v>0.78</v>
      </c>
      <c r="AG210" s="44">
        <v>6</v>
      </c>
      <c r="AH210" s="44">
        <v>0</v>
      </c>
      <c r="AI210" s="42">
        <f t="shared" si="130"/>
        <v>0.5753660637381568</v>
      </c>
      <c r="AJ210" s="42">
        <f t="shared" si="131"/>
        <v>0.10335917312661498</v>
      </c>
      <c r="AK210" s="40">
        <f t="shared" si="155"/>
        <v>1.7847855297157624</v>
      </c>
      <c r="AL210" s="51">
        <v>367</v>
      </c>
      <c r="AM210" s="52">
        <f t="shared" si="156"/>
        <v>0.98056330749354004</v>
      </c>
      <c r="AN210" s="42">
        <f t="shared" si="132"/>
        <v>0.3161068044788975</v>
      </c>
      <c r="AO210" s="53">
        <f t="shared" si="133"/>
        <v>367</v>
      </c>
      <c r="AP210" s="52">
        <f t="shared" si="134"/>
        <v>0.98056330749354004</v>
      </c>
      <c r="AQ210" s="42">
        <f t="shared" si="135"/>
        <v>0.67872523686477171</v>
      </c>
      <c r="AR210" s="46">
        <v>46285</v>
      </c>
      <c r="AS210" s="46">
        <v>46287</v>
      </c>
      <c r="AT210" s="50">
        <f t="shared" si="136"/>
        <v>6</v>
      </c>
      <c r="AU210" s="50">
        <f t="shared" si="157"/>
        <v>143</v>
      </c>
      <c r="AV210" s="50">
        <f t="shared" si="137"/>
        <v>96</v>
      </c>
      <c r="AW210" s="54">
        <f t="shared" si="138"/>
        <v>47</v>
      </c>
    </row>
    <row r="211" spans="1:49" x14ac:dyDescent="0.25">
      <c r="A211" s="33" t="s">
        <v>55</v>
      </c>
      <c r="B211" s="33" t="s">
        <v>99</v>
      </c>
      <c r="C211" s="33" t="s">
        <v>100</v>
      </c>
      <c r="D211" s="33" t="s">
        <v>300</v>
      </c>
      <c r="E211" s="34">
        <f>COUNTIF('Detalle por artículo'!$K$8:$K$592,D211)</f>
        <v>1</v>
      </c>
      <c r="F211" s="35">
        <f t="shared" si="139"/>
        <v>77.897135416666657</v>
      </c>
      <c r="G211" s="36">
        <f>SUMIF('Detalle por artículo'!$K$8:$K$592,$D211,'Detalle por artículo'!$E$8:$E$592)</f>
        <v>3.0720000000000001</v>
      </c>
      <c r="H211" s="35">
        <f t="shared" si="140"/>
        <v>2</v>
      </c>
      <c r="I211" s="35">
        <f t="shared" si="141"/>
        <v>4</v>
      </c>
      <c r="J211" s="35">
        <f t="shared" si="142"/>
        <v>8</v>
      </c>
      <c r="K211" s="37">
        <f t="shared" si="143"/>
        <v>0.10971428571428572</v>
      </c>
      <c r="L211" s="36">
        <f>SUMIF('Detalle por artículo'!$K$8:$K$592,$D211,'Detalle por artículo'!$O$8:$O$592)</f>
        <v>239.29999999999998</v>
      </c>
      <c r="M211" s="38">
        <f>SUMIF('Detalle por artículo'!$K$8:$K$592,$D211,'Detalle por artículo'!$I$8:$I$592)</f>
        <v>593</v>
      </c>
      <c r="N211" s="38">
        <f>SUMIF('Detalle por artículo'!$K$8:$K$592,$D211,'Detalle por artículo'!$M$8:$M$592)</f>
        <v>32</v>
      </c>
      <c r="O211" s="39">
        <f t="shared" si="144"/>
        <v>5.1804384485666111</v>
      </c>
      <c r="P211" s="40">
        <f t="shared" si="145"/>
        <v>403.54131534569979</v>
      </c>
      <c r="Q211" s="41">
        <f t="shared" si="146"/>
        <v>0.2</v>
      </c>
      <c r="R211" s="40">
        <f t="shared" si="147"/>
        <v>3.6863999999999999</v>
      </c>
      <c r="S211" s="42">
        <f>IFERROR(SUM($G$8:G211)/$G$6,0)</f>
        <v>0.85519203914694319</v>
      </c>
      <c r="T211" s="43" t="str">
        <f t="shared" si="148"/>
        <v>C</v>
      </c>
      <c r="U211" s="44">
        <v>593</v>
      </c>
      <c r="V211" s="45">
        <f t="shared" si="129"/>
        <v>0</v>
      </c>
      <c r="W211" s="46">
        <v>46238</v>
      </c>
      <c r="X211" s="46">
        <v>46238</v>
      </c>
      <c r="Y211" s="47">
        <v>0</v>
      </c>
      <c r="Z211" s="48">
        <f t="shared" si="149"/>
        <v>0</v>
      </c>
      <c r="AA211" s="49">
        <f t="shared" si="150"/>
        <v>0</v>
      </c>
      <c r="AB211" s="44">
        <v>271</v>
      </c>
      <c r="AC211" s="44">
        <f t="shared" si="151"/>
        <v>244</v>
      </c>
      <c r="AD211" s="44">
        <f t="shared" si="152"/>
        <v>7</v>
      </c>
      <c r="AE211" s="50">
        <f t="shared" si="153"/>
        <v>33</v>
      </c>
      <c r="AF211" s="41">
        <f t="shared" si="154"/>
        <v>0.66</v>
      </c>
      <c r="AG211" s="44">
        <v>2</v>
      </c>
      <c r="AH211" s="44">
        <v>19</v>
      </c>
      <c r="AI211" s="42">
        <f t="shared" si="130"/>
        <v>0.41146711635750421</v>
      </c>
      <c r="AJ211" s="42">
        <f t="shared" si="131"/>
        <v>1.1804384485666104E-2</v>
      </c>
      <c r="AK211" s="40">
        <f t="shared" si="155"/>
        <v>1.2640269814502532</v>
      </c>
      <c r="AL211" s="51">
        <v>322</v>
      </c>
      <c r="AM211" s="52">
        <f t="shared" si="156"/>
        <v>1.6681011804384489</v>
      </c>
      <c r="AN211" s="42">
        <f t="shared" si="132"/>
        <v>0.54300168634064083</v>
      </c>
      <c r="AO211" s="53">
        <f t="shared" si="133"/>
        <v>322</v>
      </c>
      <c r="AP211" s="52">
        <f t="shared" si="134"/>
        <v>1.6681011804384489</v>
      </c>
      <c r="AQ211" s="42">
        <f t="shared" si="135"/>
        <v>0.42327150084317033</v>
      </c>
      <c r="AR211" s="46">
        <v>46254</v>
      </c>
      <c r="AS211" s="46">
        <v>46255</v>
      </c>
      <c r="AT211" s="50">
        <f t="shared" si="136"/>
        <v>17</v>
      </c>
      <c r="AU211" s="50">
        <f t="shared" si="157"/>
        <v>403</v>
      </c>
      <c r="AV211" s="50">
        <f t="shared" si="137"/>
        <v>357</v>
      </c>
      <c r="AW211" s="54">
        <f t="shared" si="138"/>
        <v>46</v>
      </c>
    </row>
    <row r="212" spans="1:49" x14ac:dyDescent="0.25">
      <c r="A212" s="33" t="s">
        <v>63</v>
      </c>
      <c r="B212" s="33" t="s">
        <v>84</v>
      </c>
      <c r="C212" s="33" t="s">
        <v>85</v>
      </c>
      <c r="D212" s="33" t="s">
        <v>301</v>
      </c>
      <c r="E212" s="34">
        <f>COUNTIF('Detalle por artículo'!$K$8:$K$592,D212)</f>
        <v>1</v>
      </c>
      <c r="F212" s="35">
        <f t="shared" si="139"/>
        <v>181.70572916666669</v>
      </c>
      <c r="G212" s="36">
        <f>SUMIF('Detalle por artículo'!$K$8:$K$592,$D212,'Detalle por artículo'!$E$8:$E$592)</f>
        <v>3.0720000000000001</v>
      </c>
      <c r="H212" s="35">
        <f t="shared" si="140"/>
        <v>2</v>
      </c>
      <c r="I212" s="35">
        <f t="shared" si="141"/>
        <v>4</v>
      </c>
      <c r="J212" s="35">
        <f t="shared" si="142"/>
        <v>8</v>
      </c>
      <c r="K212" s="37">
        <f t="shared" si="143"/>
        <v>0.10971428571428572</v>
      </c>
      <c r="L212" s="36">
        <f>SUMIF('Detalle por artículo'!$K$8:$K$592,$D212,'Detalle por artículo'!$O$8:$O$592)</f>
        <v>558.20000000000005</v>
      </c>
      <c r="M212" s="38">
        <f>SUMIF('Detalle por artículo'!$K$8:$K$592,$D212,'Detalle por artículo'!$I$8:$I$592)</f>
        <v>858</v>
      </c>
      <c r="N212" s="38">
        <f>SUMIF('Detalle por artículo'!$K$8:$K$592,$D212,'Detalle por artículo'!$M$8:$M$592)</f>
        <v>32</v>
      </c>
      <c r="O212" s="39">
        <f t="shared" si="144"/>
        <v>3.5804195804195804</v>
      </c>
      <c r="P212" s="40">
        <f t="shared" si="145"/>
        <v>650.58275058275058</v>
      </c>
      <c r="Q212" s="41">
        <f t="shared" si="146"/>
        <v>0.15</v>
      </c>
      <c r="R212" s="40">
        <f t="shared" si="147"/>
        <v>3.5327999999999999</v>
      </c>
      <c r="S212" s="42">
        <f>IFERROR(SUM($G$8:G212)/$G$6,0)</f>
        <v>0.85632088789833438</v>
      </c>
      <c r="T212" s="43" t="str">
        <f t="shared" si="148"/>
        <v>C</v>
      </c>
      <c r="U212" s="44">
        <v>858</v>
      </c>
      <c r="V212" s="45">
        <f t="shared" si="129"/>
        <v>0</v>
      </c>
      <c r="W212" s="46">
        <v>46266</v>
      </c>
      <c r="X212" s="46">
        <v>46266</v>
      </c>
      <c r="Y212" s="47">
        <v>0</v>
      </c>
      <c r="Z212" s="48">
        <f t="shared" si="149"/>
        <v>0</v>
      </c>
      <c r="AA212" s="49">
        <f t="shared" si="150"/>
        <v>0</v>
      </c>
      <c r="AB212" s="44">
        <v>251</v>
      </c>
      <c r="AC212" s="44">
        <f t="shared" si="151"/>
        <v>182</v>
      </c>
      <c r="AD212" s="44">
        <f t="shared" si="152"/>
        <v>62</v>
      </c>
      <c r="AE212" s="50">
        <f t="shared" si="153"/>
        <v>23</v>
      </c>
      <c r="AF212" s="41">
        <f t="shared" si="154"/>
        <v>0.46</v>
      </c>
      <c r="AG212" s="44">
        <v>0</v>
      </c>
      <c r="AH212" s="44">
        <v>7</v>
      </c>
      <c r="AI212" s="42">
        <f t="shared" si="130"/>
        <v>0.21212121212121213</v>
      </c>
      <c r="AJ212" s="42">
        <f t="shared" si="131"/>
        <v>7.2261072261072257E-2</v>
      </c>
      <c r="AK212" s="40">
        <f t="shared" si="155"/>
        <v>0.65163636363636368</v>
      </c>
      <c r="AL212" s="51">
        <v>607</v>
      </c>
      <c r="AM212" s="52">
        <f t="shared" si="156"/>
        <v>2.1733146853146854</v>
      </c>
      <c r="AN212" s="42">
        <f t="shared" si="132"/>
        <v>0.70745920745920743</v>
      </c>
      <c r="AO212" s="53">
        <f t="shared" si="133"/>
        <v>607</v>
      </c>
      <c r="AP212" s="52">
        <f t="shared" si="134"/>
        <v>2.1733146853146854</v>
      </c>
      <c r="AQ212" s="42">
        <f t="shared" si="135"/>
        <v>0.28438228438228436</v>
      </c>
      <c r="AR212" s="46">
        <v>46268</v>
      </c>
      <c r="AS212" s="46">
        <v>46268</v>
      </c>
      <c r="AT212" s="50">
        <f t="shared" si="136"/>
        <v>2</v>
      </c>
      <c r="AU212" s="50">
        <f t="shared" si="157"/>
        <v>210</v>
      </c>
      <c r="AV212" s="50">
        <f t="shared" si="137"/>
        <v>369</v>
      </c>
      <c r="AW212" s="54">
        <f t="shared" si="138"/>
        <v>-159</v>
      </c>
    </row>
    <row r="213" spans="1:49" x14ac:dyDescent="0.25">
      <c r="A213" s="33" t="s">
        <v>55</v>
      </c>
      <c r="B213" s="33" t="s">
        <v>302</v>
      </c>
      <c r="C213" s="33" t="s">
        <v>303</v>
      </c>
      <c r="D213" s="33" t="s">
        <v>304</v>
      </c>
      <c r="E213" s="34">
        <f>COUNTIF('Detalle por artículo'!$K$8:$K$592,D213)</f>
        <v>2</v>
      </c>
      <c r="F213" s="35">
        <f t="shared" si="139"/>
        <v>115.88541666666666</v>
      </c>
      <c r="G213" s="36">
        <f>SUMIF('Detalle por artículo'!$K$8:$K$592,$D213,'Detalle por artículo'!$E$8:$E$592)</f>
        <v>3.0720000000000001</v>
      </c>
      <c r="H213" s="35">
        <f t="shared" si="140"/>
        <v>2</v>
      </c>
      <c r="I213" s="35">
        <f t="shared" si="141"/>
        <v>4</v>
      </c>
      <c r="J213" s="35">
        <f t="shared" si="142"/>
        <v>8</v>
      </c>
      <c r="K213" s="37">
        <f t="shared" si="143"/>
        <v>0.10971428571428572</v>
      </c>
      <c r="L213" s="36">
        <f>SUMIF('Detalle por artículo'!$K$8:$K$592,$D213,'Detalle por artículo'!$O$8:$O$592)</f>
        <v>356</v>
      </c>
      <c r="M213" s="38">
        <f>SUMIF('Detalle por artículo'!$K$8:$K$592,$D213,'Detalle por artículo'!$I$8:$I$592)</f>
        <v>1050</v>
      </c>
      <c r="N213" s="38">
        <f>SUMIF('Detalle por artículo'!$K$8:$K$592,$D213,'Detalle por artículo'!$M$8:$M$592)</f>
        <v>32</v>
      </c>
      <c r="O213" s="39">
        <f t="shared" si="144"/>
        <v>2.9257142857142857</v>
      </c>
      <c r="P213" s="40">
        <f t="shared" si="145"/>
        <v>339.04761904761904</v>
      </c>
      <c r="Q213" s="41">
        <f t="shared" si="146"/>
        <v>0.2</v>
      </c>
      <c r="R213" s="40">
        <f t="shared" si="147"/>
        <v>3.6863999999999999</v>
      </c>
      <c r="S213" s="42">
        <f>IFERROR(SUM($G$8:G213)/$G$6,0)</f>
        <v>0.85744973664972557</v>
      </c>
      <c r="T213" s="43" t="str">
        <f t="shared" si="148"/>
        <v>C</v>
      </c>
      <c r="U213" s="44">
        <v>526</v>
      </c>
      <c r="V213" s="45">
        <f t="shared" si="129"/>
        <v>-524</v>
      </c>
      <c r="W213" s="46">
        <v>46262</v>
      </c>
      <c r="X213" s="46">
        <v>46262</v>
      </c>
      <c r="Y213" s="47">
        <v>528</v>
      </c>
      <c r="Z213" s="48">
        <f t="shared" si="149"/>
        <v>1.5447771428571431</v>
      </c>
      <c r="AA213" s="49">
        <f t="shared" si="150"/>
        <v>5.5170612244897964E-2</v>
      </c>
      <c r="AB213" s="44">
        <v>62</v>
      </c>
      <c r="AC213" s="44">
        <f t="shared" si="151"/>
        <v>278</v>
      </c>
      <c r="AD213" s="44">
        <f t="shared" si="152"/>
        <v>16</v>
      </c>
      <c r="AE213" s="50">
        <f t="shared" si="153"/>
        <v>34</v>
      </c>
      <c r="AF213" s="41">
        <f t="shared" si="154"/>
        <v>0.68</v>
      </c>
      <c r="AG213" s="44">
        <v>2</v>
      </c>
      <c r="AH213" s="44">
        <v>8</v>
      </c>
      <c r="AI213" s="42">
        <f t="shared" si="130"/>
        <v>0.26476190476190475</v>
      </c>
      <c r="AJ213" s="42">
        <f t="shared" si="131"/>
        <v>1.5238095238095238E-2</v>
      </c>
      <c r="AK213" s="40">
        <f t="shared" si="155"/>
        <v>0.81334857142857142</v>
      </c>
      <c r="AL213" s="51">
        <v>464</v>
      </c>
      <c r="AM213" s="52">
        <f t="shared" si="156"/>
        <v>1.3575314285714284</v>
      </c>
      <c r="AN213" s="42">
        <f t="shared" si="132"/>
        <v>0.88212927756653992</v>
      </c>
      <c r="AO213" s="53">
        <f t="shared" si="133"/>
        <v>988</v>
      </c>
      <c r="AP213" s="52">
        <f t="shared" si="134"/>
        <v>2.8906057142857144</v>
      </c>
      <c r="AQ213" s="42">
        <f t="shared" si="135"/>
        <v>0.28000000000000003</v>
      </c>
      <c r="AR213" s="46">
        <v>46268</v>
      </c>
      <c r="AS213" s="46">
        <v>46268</v>
      </c>
      <c r="AT213" s="50">
        <f t="shared" si="136"/>
        <v>6</v>
      </c>
      <c r="AU213" s="50">
        <f t="shared" si="157"/>
        <v>158</v>
      </c>
      <c r="AV213" s="50">
        <f t="shared" si="137"/>
        <v>394</v>
      </c>
      <c r="AW213" s="54">
        <f t="shared" si="138"/>
        <v>-236</v>
      </c>
    </row>
    <row r="214" spans="1:49" x14ac:dyDescent="0.25">
      <c r="A214" s="33" t="s">
        <v>63</v>
      </c>
      <c r="B214" s="33" t="s">
        <v>84</v>
      </c>
      <c r="C214" s="33" t="s">
        <v>87</v>
      </c>
      <c r="D214" s="33" t="s">
        <v>305</v>
      </c>
      <c r="E214" s="34">
        <f>COUNTIF('Detalle por artículo'!$K$8:$K$592,D214)</f>
        <v>1</v>
      </c>
      <c r="F214" s="35">
        <f t="shared" si="139"/>
        <v>159.80456026058633</v>
      </c>
      <c r="G214" s="36">
        <f>SUMIF('Detalle por artículo'!$K$8:$K$592,$D214,'Detalle por artículo'!$E$8:$E$592)</f>
        <v>3.07</v>
      </c>
      <c r="H214" s="35">
        <f t="shared" si="140"/>
        <v>2</v>
      </c>
      <c r="I214" s="35">
        <f t="shared" si="141"/>
        <v>4</v>
      </c>
      <c r="J214" s="35">
        <f t="shared" si="142"/>
        <v>8</v>
      </c>
      <c r="K214" s="37">
        <f t="shared" si="143"/>
        <v>0.10964285714285714</v>
      </c>
      <c r="L214" s="36">
        <f>SUMIF('Detalle por artículo'!$K$8:$K$592,$D214,'Detalle por artículo'!$O$8:$O$592)</f>
        <v>490.6</v>
      </c>
      <c r="M214" s="38">
        <f>SUMIF('Detalle por artículo'!$K$8:$K$592,$D214,'Detalle por artículo'!$I$8:$I$592)</f>
        <v>877</v>
      </c>
      <c r="N214" s="38">
        <f>SUMIF('Detalle por artículo'!$K$8:$K$592,$D214,'Detalle por artículo'!$M$8:$M$592)</f>
        <v>32</v>
      </c>
      <c r="O214" s="39">
        <f t="shared" si="144"/>
        <v>3.5005701254275938</v>
      </c>
      <c r="P214" s="40">
        <f t="shared" si="145"/>
        <v>559.4070695553022</v>
      </c>
      <c r="Q214" s="41">
        <f t="shared" si="146"/>
        <v>0.15</v>
      </c>
      <c r="R214" s="40">
        <f t="shared" si="147"/>
        <v>3.5304999999999995</v>
      </c>
      <c r="S214" s="42">
        <f>IFERROR(SUM($G$8:G214)/$G$6,0)</f>
        <v>0.85857785047354418</v>
      </c>
      <c r="T214" s="43" t="str">
        <f t="shared" si="148"/>
        <v>C</v>
      </c>
      <c r="U214" s="44">
        <v>877</v>
      </c>
      <c r="V214" s="45">
        <f t="shared" si="129"/>
        <v>0</v>
      </c>
      <c r="W214" s="46">
        <v>46234</v>
      </c>
      <c r="X214" s="46">
        <v>46234</v>
      </c>
      <c r="Y214" s="47">
        <v>0</v>
      </c>
      <c r="Z214" s="48">
        <f t="shared" si="149"/>
        <v>0</v>
      </c>
      <c r="AA214" s="49">
        <f t="shared" si="150"/>
        <v>0</v>
      </c>
      <c r="AB214" s="44">
        <v>462</v>
      </c>
      <c r="AC214" s="44">
        <f t="shared" si="151"/>
        <v>357</v>
      </c>
      <c r="AD214" s="44">
        <f t="shared" si="152"/>
        <v>98</v>
      </c>
      <c r="AE214" s="50">
        <f t="shared" si="153"/>
        <v>49</v>
      </c>
      <c r="AF214" s="41">
        <f t="shared" si="154"/>
        <v>0.98</v>
      </c>
      <c r="AG214" s="44">
        <v>1</v>
      </c>
      <c r="AH214" s="44">
        <v>6</v>
      </c>
      <c r="AI214" s="42">
        <f t="shared" si="130"/>
        <v>0.40706955530216649</v>
      </c>
      <c r="AJ214" s="42">
        <f t="shared" si="131"/>
        <v>0.11174458380843785</v>
      </c>
      <c r="AK214" s="40">
        <f t="shared" si="155"/>
        <v>1.2497035347776508</v>
      </c>
      <c r="AL214" s="51">
        <v>413</v>
      </c>
      <c r="AM214" s="52">
        <f t="shared" si="156"/>
        <v>1.4457354618015963</v>
      </c>
      <c r="AN214" s="42">
        <f t="shared" si="132"/>
        <v>0.47092360319270238</v>
      </c>
      <c r="AO214" s="53">
        <f t="shared" si="133"/>
        <v>415</v>
      </c>
      <c r="AP214" s="52">
        <f t="shared" si="134"/>
        <v>1.4527366020524515</v>
      </c>
      <c r="AQ214" s="42">
        <f t="shared" si="135"/>
        <v>0.51881413911060437</v>
      </c>
      <c r="AR214" s="46">
        <v>46254</v>
      </c>
      <c r="AS214" s="46">
        <v>46255</v>
      </c>
      <c r="AT214" s="50">
        <f t="shared" si="136"/>
        <v>21</v>
      </c>
      <c r="AU214" s="50">
        <f t="shared" si="157"/>
        <v>203</v>
      </c>
      <c r="AV214" s="50">
        <f t="shared" si="137"/>
        <v>298</v>
      </c>
      <c r="AW214" s="54">
        <f t="shared" si="138"/>
        <v>-95</v>
      </c>
    </row>
    <row r="215" spans="1:49" x14ac:dyDescent="0.25">
      <c r="A215" s="33" t="s">
        <v>55</v>
      </c>
      <c r="B215" s="33" t="s">
        <v>99</v>
      </c>
      <c r="C215" s="33" t="s">
        <v>100</v>
      </c>
      <c r="D215" s="33" t="s">
        <v>306</v>
      </c>
      <c r="E215" s="34">
        <f>COUNTIF('Detalle por artículo'!$K$8:$K$592,D215)</f>
        <v>1</v>
      </c>
      <c r="F215" s="35">
        <f t="shared" si="139"/>
        <v>123.17470664928291</v>
      </c>
      <c r="G215" s="36">
        <f>SUMIF('Detalle por artículo'!$K$8:$K$592,$D215,'Detalle por artículo'!$E$8:$E$592)</f>
        <v>3.0680000000000001</v>
      </c>
      <c r="H215" s="35">
        <f t="shared" si="140"/>
        <v>2</v>
      </c>
      <c r="I215" s="35">
        <f t="shared" si="141"/>
        <v>4</v>
      </c>
      <c r="J215" s="35">
        <f t="shared" si="142"/>
        <v>8</v>
      </c>
      <c r="K215" s="37">
        <f t="shared" si="143"/>
        <v>0.10957142857142857</v>
      </c>
      <c r="L215" s="36">
        <f>SUMIF('Detalle por artículo'!$K$8:$K$592,$D215,'Detalle por artículo'!$O$8:$O$592)</f>
        <v>377.9</v>
      </c>
      <c r="M215" s="38">
        <f>SUMIF('Detalle por artículo'!$K$8:$K$592,$D215,'Detalle por artículo'!$I$8:$I$592)</f>
        <v>654</v>
      </c>
      <c r="N215" s="38">
        <f>SUMIF('Detalle por artículo'!$K$8:$K$592,$D215,'Detalle por artículo'!$M$8:$M$592)</f>
        <v>28</v>
      </c>
      <c r="O215" s="39">
        <f t="shared" si="144"/>
        <v>4.6911314984709476</v>
      </c>
      <c r="P215" s="40">
        <f t="shared" si="145"/>
        <v>577.82874617737002</v>
      </c>
      <c r="Q215" s="41">
        <f t="shared" si="146"/>
        <v>0.15</v>
      </c>
      <c r="R215" s="40">
        <f t="shared" si="147"/>
        <v>3.5282</v>
      </c>
      <c r="S215" s="42">
        <f>IFERROR(SUM($G$8:G215)/$G$6,0)</f>
        <v>0.85970522936979032</v>
      </c>
      <c r="T215" s="43" t="str">
        <f t="shared" si="148"/>
        <v>C</v>
      </c>
      <c r="U215" s="44">
        <v>654</v>
      </c>
      <c r="V215" s="45">
        <f t="shared" si="129"/>
        <v>0</v>
      </c>
      <c r="W215" s="46">
        <v>46260</v>
      </c>
      <c r="X215" s="46">
        <v>46260</v>
      </c>
      <c r="Y215" s="47">
        <v>0</v>
      </c>
      <c r="Z215" s="48">
        <f t="shared" si="149"/>
        <v>0</v>
      </c>
      <c r="AA215" s="49">
        <f t="shared" si="150"/>
        <v>0</v>
      </c>
      <c r="AB215" s="44">
        <v>148</v>
      </c>
      <c r="AC215" s="44">
        <f t="shared" si="151"/>
        <v>126</v>
      </c>
      <c r="AD215" s="44">
        <f t="shared" si="152"/>
        <v>17</v>
      </c>
      <c r="AE215" s="50">
        <f t="shared" si="153"/>
        <v>16</v>
      </c>
      <c r="AF215" s="41">
        <f t="shared" si="154"/>
        <v>0.32</v>
      </c>
      <c r="AG215" s="44">
        <v>0</v>
      </c>
      <c r="AH215" s="44">
        <v>7</v>
      </c>
      <c r="AI215" s="42">
        <f t="shared" si="130"/>
        <v>0.19266055045871561</v>
      </c>
      <c r="AJ215" s="42">
        <f t="shared" si="131"/>
        <v>2.5993883792048929E-2</v>
      </c>
      <c r="AK215" s="40">
        <f t="shared" si="155"/>
        <v>0.59108256880733934</v>
      </c>
      <c r="AL215" s="51">
        <v>506</v>
      </c>
      <c r="AM215" s="52">
        <f t="shared" si="156"/>
        <v>2.3737125382262994</v>
      </c>
      <c r="AN215" s="42">
        <f t="shared" si="132"/>
        <v>0.7737003058103975</v>
      </c>
      <c r="AO215" s="53">
        <f t="shared" si="133"/>
        <v>506</v>
      </c>
      <c r="AP215" s="52">
        <f t="shared" si="134"/>
        <v>2.3737125382262994</v>
      </c>
      <c r="AQ215" s="42">
        <f t="shared" si="135"/>
        <v>0.21865443425076453</v>
      </c>
      <c r="AR215" s="46">
        <v>46268</v>
      </c>
      <c r="AS215" s="46">
        <v>46269</v>
      </c>
      <c r="AT215" s="50">
        <f t="shared" si="136"/>
        <v>9</v>
      </c>
      <c r="AU215" s="50">
        <f t="shared" si="157"/>
        <v>354</v>
      </c>
      <c r="AV215" s="50">
        <f t="shared" si="137"/>
        <v>386</v>
      </c>
      <c r="AW215" s="54">
        <f t="shared" si="138"/>
        <v>-32</v>
      </c>
    </row>
    <row r="216" spans="1:49" x14ac:dyDescent="0.25">
      <c r="A216" s="33" t="s">
        <v>55</v>
      </c>
      <c r="B216" s="33" t="s">
        <v>255</v>
      </c>
      <c r="C216" s="33" t="s">
        <v>132</v>
      </c>
      <c r="D216" s="33" t="s">
        <v>307</v>
      </c>
      <c r="E216" s="34">
        <f>COUNTIF('Detalle por artículo'!$K$8:$K$592,D216)</f>
        <v>1</v>
      </c>
      <c r="F216" s="35">
        <f t="shared" si="139"/>
        <v>179.42551770207078</v>
      </c>
      <c r="G216" s="36">
        <f>SUMIF('Detalle por artículo'!$K$8:$K$592,$D216,'Detalle por artículo'!$E$8:$E$592)</f>
        <v>2.9940000000000002</v>
      </c>
      <c r="H216" s="35">
        <f t="shared" si="140"/>
        <v>2</v>
      </c>
      <c r="I216" s="35">
        <f t="shared" si="141"/>
        <v>4</v>
      </c>
      <c r="J216" s="35">
        <f t="shared" si="142"/>
        <v>8</v>
      </c>
      <c r="K216" s="37">
        <f t="shared" si="143"/>
        <v>0.10692857142857144</v>
      </c>
      <c r="L216" s="36">
        <f>SUMIF('Detalle por artículo'!$K$8:$K$592,$D216,'Detalle por artículo'!$O$8:$O$592)</f>
        <v>537.19999999999993</v>
      </c>
      <c r="M216" s="38">
        <f>SUMIF('Detalle por artículo'!$K$8:$K$592,$D216,'Detalle por artículo'!$I$8:$I$592)</f>
        <v>1118</v>
      </c>
      <c r="N216" s="38">
        <f>SUMIF('Detalle por artículo'!$K$8:$K$592,$D216,'Detalle por artículo'!$M$8:$M$592)</f>
        <v>36</v>
      </c>
      <c r="O216" s="39">
        <f t="shared" si="144"/>
        <v>2.6779964221824688</v>
      </c>
      <c r="P216" s="40">
        <f t="shared" si="145"/>
        <v>480.50089445438277</v>
      </c>
      <c r="Q216" s="41">
        <f t="shared" si="146"/>
        <v>0.15</v>
      </c>
      <c r="R216" s="40">
        <f t="shared" si="147"/>
        <v>3.4430999999999998</v>
      </c>
      <c r="S216" s="42">
        <f>IFERROR(SUM($G$8:G216)/$G$6,0)</f>
        <v>0.86080541594585325</v>
      </c>
      <c r="T216" s="43" t="str">
        <f t="shared" si="148"/>
        <v>C</v>
      </c>
      <c r="U216" s="44">
        <v>0</v>
      </c>
      <c r="V216" s="45">
        <f t="shared" si="129"/>
        <v>-1118</v>
      </c>
      <c r="W216" s="46"/>
      <c r="X216" s="46"/>
      <c r="Y216" s="47">
        <v>1118</v>
      </c>
      <c r="Z216" s="48">
        <f t="shared" si="149"/>
        <v>2.9940000000000002</v>
      </c>
      <c r="AA216" s="49">
        <f t="shared" si="150"/>
        <v>0.10692857142857144</v>
      </c>
      <c r="AB216" s="44">
        <v>0</v>
      </c>
      <c r="AC216" s="44">
        <f t="shared" si="151"/>
        <v>0</v>
      </c>
      <c r="AD216" s="44">
        <f t="shared" si="152"/>
        <v>0</v>
      </c>
      <c r="AE216" s="50">
        <f t="shared" si="153"/>
        <v>0</v>
      </c>
      <c r="AF216" s="41">
        <f t="shared" si="154"/>
        <v>0</v>
      </c>
      <c r="AG216" s="44">
        <v>0</v>
      </c>
      <c r="AH216" s="44">
        <v>0</v>
      </c>
      <c r="AI216" s="42">
        <f t="shared" si="130"/>
        <v>0</v>
      </c>
      <c r="AJ216" s="42">
        <f t="shared" si="131"/>
        <v>0</v>
      </c>
      <c r="AK216" s="40">
        <f t="shared" si="155"/>
        <v>0</v>
      </c>
      <c r="AL216" s="51">
        <v>0</v>
      </c>
      <c r="AM216" s="52">
        <f t="shared" si="156"/>
        <v>0</v>
      </c>
      <c r="AN216" s="42">
        <f t="shared" si="132"/>
        <v>0</v>
      </c>
      <c r="AO216" s="53">
        <f t="shared" si="133"/>
        <v>1118</v>
      </c>
      <c r="AP216" s="52">
        <f t="shared" si="134"/>
        <v>2.9940000000000002</v>
      </c>
      <c r="AQ216" s="42">
        <f t="shared" si="135"/>
        <v>0</v>
      </c>
      <c r="AR216" s="46"/>
      <c r="AS216" s="46"/>
      <c r="AT216" s="50" t="str">
        <f t="shared" si="136"/>
        <v/>
      </c>
      <c r="AU216" s="50">
        <f t="shared" si="157"/>
        <v>146</v>
      </c>
      <c r="AV216" s="50" t="str">
        <f t="shared" si="137"/>
        <v/>
      </c>
      <c r="AW216" s="54" t="str">
        <f t="shared" si="138"/>
        <v/>
      </c>
    </row>
    <row r="217" spans="1:49" x14ac:dyDescent="0.25">
      <c r="A217" s="33" t="s">
        <v>63</v>
      </c>
      <c r="B217" s="33" t="s">
        <v>110</v>
      </c>
      <c r="C217" s="33" t="s">
        <v>100</v>
      </c>
      <c r="D217" s="33" t="s">
        <v>308</v>
      </c>
      <c r="E217" s="34">
        <f>COUNTIF('Detalle por artículo'!$K$8:$K$592,D217)</f>
        <v>1</v>
      </c>
      <c r="F217" s="35">
        <f t="shared" si="139"/>
        <v>129.16666666666669</v>
      </c>
      <c r="G217" s="36">
        <f>SUMIF('Detalle por artículo'!$K$8:$K$592,$D217,'Detalle por artículo'!$E$8:$E$592)</f>
        <v>2.976</v>
      </c>
      <c r="H217" s="35">
        <f t="shared" si="140"/>
        <v>2</v>
      </c>
      <c r="I217" s="35">
        <f t="shared" si="141"/>
        <v>4</v>
      </c>
      <c r="J217" s="35">
        <f t="shared" si="142"/>
        <v>8</v>
      </c>
      <c r="K217" s="37">
        <f t="shared" si="143"/>
        <v>0.10628571428571429</v>
      </c>
      <c r="L217" s="36">
        <f>SUMIF('Detalle por artículo'!$K$8:$K$592,$D217,'Detalle por artículo'!$O$8:$O$592)</f>
        <v>384.40000000000003</v>
      </c>
      <c r="M217" s="38">
        <f>SUMIF('Detalle por artículo'!$K$8:$K$592,$D217,'Detalle por artículo'!$I$8:$I$592)</f>
        <v>609</v>
      </c>
      <c r="N217" s="38">
        <f>SUMIF('Detalle por artículo'!$K$8:$K$592,$D217,'Detalle por artículo'!$M$8:$M$592)</f>
        <v>31</v>
      </c>
      <c r="O217" s="39">
        <f t="shared" si="144"/>
        <v>4.8866995073891619</v>
      </c>
      <c r="P217" s="40">
        <f t="shared" si="145"/>
        <v>631.19868637110017</v>
      </c>
      <c r="Q217" s="41">
        <f t="shared" si="146"/>
        <v>0.15</v>
      </c>
      <c r="R217" s="40">
        <f t="shared" si="147"/>
        <v>3.4223999999999997</v>
      </c>
      <c r="S217" s="42">
        <f>IFERROR(SUM($G$8:G217)/$G$6,0)</f>
        <v>0.86189898817376343</v>
      </c>
      <c r="T217" s="43" t="str">
        <f t="shared" si="148"/>
        <v>C</v>
      </c>
      <c r="U217" s="44">
        <v>609</v>
      </c>
      <c r="V217" s="45">
        <f t="shared" si="129"/>
        <v>0</v>
      </c>
      <c r="W217" s="46">
        <v>46217</v>
      </c>
      <c r="X217" s="46">
        <v>46217</v>
      </c>
      <c r="Y217" s="47">
        <v>0</v>
      </c>
      <c r="Z217" s="48">
        <f t="shared" si="149"/>
        <v>0</v>
      </c>
      <c r="AA217" s="49">
        <f t="shared" si="150"/>
        <v>0</v>
      </c>
      <c r="AB217" s="44">
        <v>37</v>
      </c>
      <c r="AC217" s="44">
        <f t="shared" si="151"/>
        <v>11</v>
      </c>
      <c r="AD217" s="44">
        <f t="shared" si="152"/>
        <v>6</v>
      </c>
      <c r="AE217" s="50">
        <f t="shared" si="153"/>
        <v>0</v>
      </c>
      <c r="AF217" s="41">
        <f t="shared" si="154"/>
        <v>0</v>
      </c>
      <c r="AG217" s="44">
        <v>1</v>
      </c>
      <c r="AH217" s="44">
        <v>19</v>
      </c>
      <c r="AI217" s="42">
        <f t="shared" si="130"/>
        <v>1.8062397372742199E-2</v>
      </c>
      <c r="AJ217" s="42">
        <f t="shared" si="131"/>
        <v>9.852216748768473E-3</v>
      </c>
      <c r="AK217" s="40">
        <f t="shared" si="155"/>
        <v>5.3753694581280785E-2</v>
      </c>
      <c r="AL217" s="51">
        <v>572</v>
      </c>
      <c r="AM217" s="52">
        <f t="shared" si="156"/>
        <v>2.7951921182266006</v>
      </c>
      <c r="AN217" s="42">
        <f t="shared" si="132"/>
        <v>0.93924466338259438</v>
      </c>
      <c r="AO217" s="53">
        <f t="shared" si="133"/>
        <v>572</v>
      </c>
      <c r="AP217" s="52">
        <f t="shared" si="134"/>
        <v>2.7951921182266006</v>
      </c>
      <c r="AQ217" s="42">
        <f t="shared" si="135"/>
        <v>2.7914614121510674E-2</v>
      </c>
      <c r="AR217" s="46">
        <v>46233</v>
      </c>
      <c r="AS217" s="46">
        <v>46234</v>
      </c>
      <c r="AT217" s="50">
        <f t="shared" si="136"/>
        <v>17</v>
      </c>
      <c r="AU217" s="50">
        <f t="shared" si="157"/>
        <v>396</v>
      </c>
      <c r="AV217" s="50">
        <f t="shared" si="137"/>
        <v>406</v>
      </c>
      <c r="AW217" s="54">
        <f t="shared" si="138"/>
        <v>-10</v>
      </c>
    </row>
    <row r="218" spans="1:49" x14ac:dyDescent="0.25">
      <c r="A218" s="33" t="s">
        <v>63</v>
      </c>
      <c r="B218" s="33" t="s">
        <v>84</v>
      </c>
      <c r="C218" s="33" t="s">
        <v>94</v>
      </c>
      <c r="D218" s="33" t="s">
        <v>309</v>
      </c>
      <c r="E218" s="34">
        <f>COUNTIF('Detalle por artículo'!$K$8:$K$592,D218)</f>
        <v>1</v>
      </c>
      <c r="F218" s="35">
        <f t="shared" si="139"/>
        <v>175.53763440860214</v>
      </c>
      <c r="G218" s="36">
        <f>SUMIF('Detalle por artículo'!$K$8:$K$592,$D218,'Detalle por artículo'!$E$8:$E$592)</f>
        <v>2.976</v>
      </c>
      <c r="H218" s="35">
        <f t="shared" si="140"/>
        <v>2</v>
      </c>
      <c r="I218" s="35">
        <f t="shared" si="141"/>
        <v>4</v>
      </c>
      <c r="J218" s="35">
        <f t="shared" si="142"/>
        <v>8</v>
      </c>
      <c r="K218" s="37">
        <f t="shared" si="143"/>
        <v>0.10628571428571429</v>
      </c>
      <c r="L218" s="36">
        <f>SUMIF('Detalle por artículo'!$K$8:$K$592,$D218,'Detalle por artículo'!$O$8:$O$592)</f>
        <v>522.4</v>
      </c>
      <c r="M218" s="38">
        <f>SUMIF('Detalle por artículo'!$K$8:$K$592,$D218,'Detalle por artículo'!$I$8:$I$592)</f>
        <v>702</v>
      </c>
      <c r="N218" s="38">
        <f>SUMIF('Detalle por artículo'!$K$8:$K$592,$D218,'Detalle por artículo'!$M$8:$M$592)</f>
        <v>31</v>
      </c>
      <c r="O218" s="39">
        <f t="shared" si="144"/>
        <v>4.2393162393162394</v>
      </c>
      <c r="P218" s="40">
        <f t="shared" si="145"/>
        <v>744.15954415954411</v>
      </c>
      <c r="Q218" s="41">
        <f t="shared" si="146"/>
        <v>0.15</v>
      </c>
      <c r="R218" s="40">
        <f t="shared" si="147"/>
        <v>3.4223999999999997</v>
      </c>
      <c r="S218" s="42">
        <f>IFERROR(SUM($G$8:G218)/$G$6,0)</f>
        <v>0.8629925604016736</v>
      </c>
      <c r="T218" s="43" t="str">
        <f t="shared" si="148"/>
        <v>C</v>
      </c>
      <c r="U218" s="44">
        <v>702</v>
      </c>
      <c r="V218" s="45">
        <f t="shared" si="129"/>
        <v>0</v>
      </c>
      <c r="W218" s="46">
        <v>46233</v>
      </c>
      <c r="X218" s="46">
        <v>46233</v>
      </c>
      <c r="Y218" s="47">
        <v>0</v>
      </c>
      <c r="Z218" s="48">
        <f t="shared" si="149"/>
        <v>0</v>
      </c>
      <c r="AA218" s="49">
        <f t="shared" si="150"/>
        <v>0</v>
      </c>
      <c r="AB218" s="44">
        <v>472</v>
      </c>
      <c r="AC218" s="44">
        <f t="shared" si="151"/>
        <v>357</v>
      </c>
      <c r="AD218" s="44">
        <f t="shared" si="152"/>
        <v>107</v>
      </c>
      <c r="AE218" s="50">
        <f t="shared" si="153"/>
        <v>48</v>
      </c>
      <c r="AF218" s="41">
        <f t="shared" si="154"/>
        <v>0.96</v>
      </c>
      <c r="AG218" s="44">
        <v>3</v>
      </c>
      <c r="AH218" s="44">
        <v>7</v>
      </c>
      <c r="AI218" s="42">
        <f t="shared" si="130"/>
        <v>0.50854700854700852</v>
      </c>
      <c r="AJ218" s="42">
        <f t="shared" si="131"/>
        <v>0.15242165242165243</v>
      </c>
      <c r="AK218" s="40">
        <f t="shared" si="155"/>
        <v>1.5134358974358975</v>
      </c>
      <c r="AL218" s="51">
        <v>229</v>
      </c>
      <c r="AM218" s="52">
        <f t="shared" si="156"/>
        <v>0.97080341880341881</v>
      </c>
      <c r="AN218" s="42">
        <f t="shared" si="132"/>
        <v>0.3262108262108262</v>
      </c>
      <c r="AO218" s="53">
        <f t="shared" si="133"/>
        <v>230</v>
      </c>
      <c r="AP218" s="52">
        <f t="shared" si="134"/>
        <v>0.97504273504273509</v>
      </c>
      <c r="AQ218" s="42">
        <f t="shared" si="135"/>
        <v>0.66096866096866091</v>
      </c>
      <c r="AR218" s="46">
        <v>46254</v>
      </c>
      <c r="AS218" s="46">
        <v>46255</v>
      </c>
      <c r="AT218" s="50">
        <f t="shared" si="136"/>
        <v>22</v>
      </c>
      <c r="AU218" s="50">
        <f t="shared" si="157"/>
        <v>313</v>
      </c>
      <c r="AV218" s="50">
        <f t="shared" si="137"/>
        <v>290</v>
      </c>
      <c r="AW218" s="54">
        <f t="shared" si="138"/>
        <v>23</v>
      </c>
    </row>
    <row r="219" spans="1:49" x14ac:dyDescent="0.25">
      <c r="A219" s="33" t="s">
        <v>63</v>
      </c>
      <c r="B219" s="33" t="s">
        <v>288</v>
      </c>
      <c r="C219" s="33" t="s">
        <v>289</v>
      </c>
      <c r="D219" s="33" t="s">
        <v>310</v>
      </c>
      <c r="E219" s="34">
        <f>COUNTIF('Detalle por artículo'!$K$8:$K$592,D219)</f>
        <v>1</v>
      </c>
      <c r="F219" s="35">
        <f t="shared" si="139"/>
        <v>201.27688172043011</v>
      </c>
      <c r="G219" s="36">
        <f>SUMIF('Detalle por artículo'!$K$8:$K$592,$D219,'Detalle por artículo'!$E$8:$E$592)</f>
        <v>2.976</v>
      </c>
      <c r="H219" s="35">
        <f t="shared" si="140"/>
        <v>2</v>
      </c>
      <c r="I219" s="35">
        <f t="shared" si="141"/>
        <v>4</v>
      </c>
      <c r="J219" s="35">
        <f t="shared" si="142"/>
        <v>8</v>
      </c>
      <c r="K219" s="37">
        <f t="shared" si="143"/>
        <v>0.10628571428571429</v>
      </c>
      <c r="L219" s="36">
        <f>SUMIF('Detalle por artículo'!$K$8:$K$592,$D219,'Detalle por artículo'!$O$8:$O$592)</f>
        <v>599</v>
      </c>
      <c r="M219" s="38">
        <f>SUMIF('Detalle por artículo'!$K$8:$K$592,$D219,'Detalle por artículo'!$I$8:$I$592)</f>
        <v>1433</v>
      </c>
      <c r="N219" s="38">
        <f>SUMIF('Detalle por artículo'!$K$8:$K$592,$D219,'Detalle por artículo'!$M$8:$M$592)</f>
        <v>31</v>
      </c>
      <c r="O219" s="39">
        <f t="shared" si="144"/>
        <v>2.0767620376831823</v>
      </c>
      <c r="P219" s="40">
        <f t="shared" si="145"/>
        <v>418.00418702023728</v>
      </c>
      <c r="Q219" s="41">
        <f t="shared" si="146"/>
        <v>0.1</v>
      </c>
      <c r="R219" s="40">
        <f t="shared" si="147"/>
        <v>3.2736000000000001</v>
      </c>
      <c r="S219" s="42">
        <f>IFERROR(SUM($G$8:G219)/$G$6,0)</f>
        <v>0.86408613262958378</v>
      </c>
      <c r="T219" s="43" t="str">
        <f t="shared" si="148"/>
        <v>C</v>
      </c>
      <c r="U219" s="44">
        <v>1433</v>
      </c>
      <c r="V219" s="45">
        <f t="shared" si="129"/>
        <v>0</v>
      </c>
      <c r="W219" s="46">
        <v>46237</v>
      </c>
      <c r="X219" s="46">
        <v>46237</v>
      </c>
      <c r="Y219" s="47">
        <v>0</v>
      </c>
      <c r="Z219" s="48">
        <f t="shared" si="149"/>
        <v>0</v>
      </c>
      <c r="AA219" s="49">
        <f t="shared" si="150"/>
        <v>0</v>
      </c>
      <c r="AB219" s="44">
        <v>1380</v>
      </c>
      <c r="AC219" s="44">
        <f t="shared" si="151"/>
        <v>698</v>
      </c>
      <c r="AD219" s="44">
        <f t="shared" si="152"/>
        <v>673</v>
      </c>
      <c r="AE219" s="50">
        <f t="shared" si="153"/>
        <v>48</v>
      </c>
      <c r="AF219" s="41">
        <f t="shared" si="154"/>
        <v>0.96</v>
      </c>
      <c r="AG219" s="44">
        <v>2</v>
      </c>
      <c r="AH219" s="44">
        <v>7</v>
      </c>
      <c r="AI219" s="42">
        <f t="shared" si="130"/>
        <v>0.48709002093510118</v>
      </c>
      <c r="AJ219" s="42">
        <f t="shared" si="131"/>
        <v>0.46964410327983253</v>
      </c>
      <c r="AK219" s="40">
        <f t="shared" si="155"/>
        <v>1.4495799023028613</v>
      </c>
      <c r="AL219" s="51">
        <v>50</v>
      </c>
      <c r="AM219" s="52">
        <f t="shared" si="156"/>
        <v>0.10383810188415911</v>
      </c>
      <c r="AN219" s="42">
        <f t="shared" si="132"/>
        <v>3.4891835310537335E-2</v>
      </c>
      <c r="AO219" s="53">
        <f t="shared" si="133"/>
        <v>53</v>
      </c>
      <c r="AP219" s="52">
        <f t="shared" si="134"/>
        <v>0.11006838799720867</v>
      </c>
      <c r="AQ219" s="42">
        <f t="shared" si="135"/>
        <v>0.95673412421493376</v>
      </c>
      <c r="AR219" s="46">
        <v>46238</v>
      </c>
      <c r="AS219" s="46">
        <v>46238</v>
      </c>
      <c r="AT219" s="50">
        <f t="shared" si="136"/>
        <v>1</v>
      </c>
      <c r="AU219" s="50">
        <f t="shared" si="157"/>
        <v>112</v>
      </c>
      <c r="AV219" s="50">
        <f t="shared" si="137"/>
        <v>28</v>
      </c>
      <c r="AW219" s="54">
        <f t="shared" si="138"/>
        <v>84</v>
      </c>
    </row>
    <row r="220" spans="1:49" x14ac:dyDescent="0.25">
      <c r="A220" s="33" t="s">
        <v>63</v>
      </c>
      <c r="B220" s="33" t="s">
        <v>288</v>
      </c>
      <c r="C220" s="33" t="s">
        <v>289</v>
      </c>
      <c r="D220" s="33" t="s">
        <v>311</v>
      </c>
      <c r="E220" s="34">
        <f>COUNTIF('Detalle por artículo'!$K$8:$K$592,D220)</f>
        <v>1</v>
      </c>
      <c r="F220" s="35">
        <f t="shared" si="139"/>
        <v>206.43097643097641</v>
      </c>
      <c r="G220" s="36">
        <f>SUMIF('Detalle por artículo'!$K$8:$K$592,$D220,'Detalle por artículo'!$E$8:$E$592)</f>
        <v>2.97</v>
      </c>
      <c r="H220" s="35">
        <f t="shared" si="140"/>
        <v>2</v>
      </c>
      <c r="I220" s="35">
        <f t="shared" si="141"/>
        <v>4</v>
      </c>
      <c r="J220" s="35">
        <f t="shared" si="142"/>
        <v>8</v>
      </c>
      <c r="K220" s="37">
        <f t="shared" si="143"/>
        <v>0.10607142857142858</v>
      </c>
      <c r="L220" s="36">
        <f>SUMIF('Detalle por artículo'!$K$8:$K$592,$D220,'Detalle por artículo'!$O$8:$O$592)</f>
        <v>613.1</v>
      </c>
      <c r="M220" s="38">
        <f>SUMIF('Detalle por artículo'!$K$8:$K$592,$D220,'Detalle por artículo'!$I$8:$I$592)</f>
        <v>1595</v>
      </c>
      <c r="N220" s="38">
        <f>SUMIF('Detalle por artículo'!$K$8:$K$592,$D220,'Detalle por artículo'!$M$8:$M$592)</f>
        <v>29</v>
      </c>
      <c r="O220" s="39">
        <f t="shared" si="144"/>
        <v>1.8620689655172415</v>
      </c>
      <c r="P220" s="40">
        <f t="shared" si="145"/>
        <v>384.38871473354237</v>
      </c>
      <c r="Q220" s="41">
        <f t="shared" si="146"/>
        <v>0.1</v>
      </c>
      <c r="R220" s="40">
        <f t="shared" si="147"/>
        <v>3.2670000000000003</v>
      </c>
      <c r="S220" s="42">
        <f>IFERROR(SUM($G$8:G220)/$G$6,0)</f>
        <v>0.86517750007477634</v>
      </c>
      <c r="T220" s="43" t="str">
        <f t="shared" si="148"/>
        <v>C</v>
      </c>
      <c r="U220" s="44">
        <v>1595</v>
      </c>
      <c r="V220" s="45">
        <f t="shared" si="129"/>
        <v>0</v>
      </c>
      <c r="W220" s="46">
        <v>46240</v>
      </c>
      <c r="X220" s="46">
        <v>46240</v>
      </c>
      <c r="Y220" s="47">
        <v>0</v>
      </c>
      <c r="Z220" s="48">
        <f t="shared" si="149"/>
        <v>0</v>
      </c>
      <c r="AA220" s="49">
        <f t="shared" si="150"/>
        <v>0</v>
      </c>
      <c r="AB220" s="44">
        <v>1333</v>
      </c>
      <c r="AC220" s="44">
        <f t="shared" si="151"/>
        <v>890</v>
      </c>
      <c r="AD220" s="44">
        <f t="shared" si="152"/>
        <v>391</v>
      </c>
      <c r="AE220" s="50">
        <f t="shared" si="153"/>
        <v>48</v>
      </c>
      <c r="AF220" s="41">
        <f t="shared" si="154"/>
        <v>0.96</v>
      </c>
      <c r="AG220" s="44">
        <v>4</v>
      </c>
      <c r="AH220" s="44">
        <v>48</v>
      </c>
      <c r="AI220" s="42">
        <f t="shared" si="130"/>
        <v>0.55799373040752354</v>
      </c>
      <c r="AJ220" s="42">
        <f t="shared" si="131"/>
        <v>0.24514106583072101</v>
      </c>
      <c r="AK220" s="40">
        <f t="shared" si="155"/>
        <v>1.6572413793103449</v>
      </c>
      <c r="AL220" s="51">
        <v>262</v>
      </c>
      <c r="AM220" s="52">
        <f t="shared" si="156"/>
        <v>0.48786206896551726</v>
      </c>
      <c r="AN220" s="42">
        <f t="shared" si="132"/>
        <v>0.16426332288401255</v>
      </c>
      <c r="AO220" s="53">
        <f t="shared" si="133"/>
        <v>262</v>
      </c>
      <c r="AP220" s="52">
        <f t="shared" si="134"/>
        <v>0.48786206896551726</v>
      </c>
      <c r="AQ220" s="42">
        <f t="shared" si="135"/>
        <v>0.80313479623824446</v>
      </c>
      <c r="AR220" s="46">
        <v>46244</v>
      </c>
      <c r="AS220" s="46">
        <v>46245</v>
      </c>
      <c r="AT220" s="50">
        <f t="shared" si="136"/>
        <v>5</v>
      </c>
      <c r="AU220" s="50">
        <f t="shared" si="157"/>
        <v>82</v>
      </c>
      <c r="AV220" s="50">
        <f t="shared" si="137"/>
        <v>36</v>
      </c>
      <c r="AW220" s="54">
        <f t="shared" si="138"/>
        <v>46</v>
      </c>
    </row>
    <row r="221" spans="1:49" x14ac:dyDescent="0.25">
      <c r="A221" s="33" t="s">
        <v>55</v>
      </c>
      <c r="B221" s="33" t="s">
        <v>255</v>
      </c>
      <c r="C221" s="33" t="s">
        <v>132</v>
      </c>
      <c r="D221" s="33" t="s">
        <v>312</v>
      </c>
      <c r="E221" s="34">
        <f>COUNTIF('Detalle por artículo'!$K$8:$K$592,D221)</f>
        <v>2</v>
      </c>
      <c r="F221" s="35">
        <f t="shared" si="139"/>
        <v>203.49507974211062</v>
      </c>
      <c r="G221" s="36">
        <f>SUMIF('Detalle por artículo'!$K$8:$K$592,$D221,'Detalle por artículo'!$E$8:$E$592)</f>
        <v>2.9470000000000001</v>
      </c>
      <c r="H221" s="35">
        <f t="shared" si="140"/>
        <v>2</v>
      </c>
      <c r="I221" s="35">
        <f t="shared" si="141"/>
        <v>4</v>
      </c>
      <c r="J221" s="35">
        <f t="shared" si="142"/>
        <v>8</v>
      </c>
      <c r="K221" s="37">
        <f t="shared" si="143"/>
        <v>0.10525</v>
      </c>
      <c r="L221" s="36">
        <f>SUMIF('Detalle por artículo'!$K$8:$K$592,$D221,'Detalle por artículo'!$O$8:$O$592)</f>
        <v>599.70000000000005</v>
      </c>
      <c r="M221" s="38">
        <f>SUMIF('Detalle por artículo'!$K$8:$K$592,$D221,'Detalle por artículo'!$I$8:$I$592)</f>
        <v>1248</v>
      </c>
      <c r="N221" s="38">
        <f>SUMIF('Detalle por artículo'!$K$8:$K$592,$D221,'Detalle por artículo'!$M$8:$M$592)</f>
        <v>38</v>
      </c>
      <c r="O221" s="39">
        <f t="shared" si="144"/>
        <v>2.3613782051282053</v>
      </c>
      <c r="P221" s="40">
        <f t="shared" si="145"/>
        <v>480.52884615384619</v>
      </c>
      <c r="Q221" s="41">
        <f t="shared" si="146"/>
        <v>0.1</v>
      </c>
      <c r="R221" s="40">
        <f t="shared" si="147"/>
        <v>3.2417000000000002</v>
      </c>
      <c r="S221" s="42">
        <f>IFERROR(SUM($G$8:G221)/$G$6,0)</f>
        <v>0.86626041585288494</v>
      </c>
      <c r="T221" s="43" t="str">
        <f t="shared" si="148"/>
        <v>C</v>
      </c>
      <c r="U221" s="44">
        <v>1246</v>
      </c>
      <c r="V221" s="45">
        <f t="shared" si="129"/>
        <v>-2</v>
      </c>
      <c r="W221" s="46">
        <v>46281</v>
      </c>
      <c r="X221" s="46">
        <v>46281</v>
      </c>
      <c r="Y221" s="47">
        <v>21</v>
      </c>
      <c r="Z221" s="48">
        <f t="shared" si="149"/>
        <v>4.9588942307692313E-2</v>
      </c>
      <c r="AA221" s="49">
        <f t="shared" si="150"/>
        <v>1.7710336538461541E-3</v>
      </c>
      <c r="AB221" s="44">
        <v>854</v>
      </c>
      <c r="AC221" s="44">
        <f t="shared" si="151"/>
        <v>696</v>
      </c>
      <c r="AD221" s="44">
        <f t="shared" si="152"/>
        <v>151</v>
      </c>
      <c r="AE221" s="50">
        <f t="shared" si="153"/>
        <v>40</v>
      </c>
      <c r="AF221" s="41">
        <f t="shared" si="154"/>
        <v>0.8</v>
      </c>
      <c r="AG221" s="44">
        <v>7</v>
      </c>
      <c r="AH221" s="44">
        <v>0</v>
      </c>
      <c r="AI221" s="42">
        <f t="shared" si="130"/>
        <v>0.55769230769230771</v>
      </c>
      <c r="AJ221" s="42">
        <f t="shared" si="131"/>
        <v>0.12099358974358974</v>
      </c>
      <c r="AK221" s="40">
        <f t="shared" si="155"/>
        <v>1.643519230769231</v>
      </c>
      <c r="AL221" s="51">
        <v>390</v>
      </c>
      <c r="AM221" s="52">
        <f t="shared" si="156"/>
        <v>0.92093750000000008</v>
      </c>
      <c r="AN221" s="42">
        <f t="shared" si="132"/>
        <v>0.3130016051364366</v>
      </c>
      <c r="AO221" s="53">
        <f t="shared" si="133"/>
        <v>394</v>
      </c>
      <c r="AP221" s="52">
        <f t="shared" si="134"/>
        <v>0.93038301282051294</v>
      </c>
      <c r="AQ221" s="42">
        <f t="shared" si="135"/>
        <v>0.67868589743589747</v>
      </c>
      <c r="AR221" s="46">
        <v>46285</v>
      </c>
      <c r="AS221" s="46">
        <v>46287</v>
      </c>
      <c r="AT221" s="50">
        <f t="shared" si="136"/>
        <v>6</v>
      </c>
      <c r="AU221" s="50">
        <f t="shared" si="157"/>
        <v>131</v>
      </c>
      <c r="AV221" s="50">
        <f t="shared" si="137"/>
        <v>87</v>
      </c>
      <c r="AW221" s="54">
        <f t="shared" si="138"/>
        <v>44</v>
      </c>
    </row>
    <row r="222" spans="1:49" x14ac:dyDescent="0.25">
      <c r="A222" s="33" t="s">
        <v>55</v>
      </c>
      <c r="B222" s="33" t="s">
        <v>56</v>
      </c>
      <c r="C222" s="33" t="s">
        <v>66</v>
      </c>
      <c r="D222" s="33" t="s">
        <v>313</v>
      </c>
      <c r="E222" s="34">
        <f>COUNTIF('Detalle por artículo'!$K$8:$K$592,D222)</f>
        <v>1</v>
      </c>
      <c r="F222" s="35">
        <f t="shared" si="139"/>
        <v>172.8082191780822</v>
      </c>
      <c r="G222" s="36">
        <f>SUMIF('Detalle por artículo'!$K$8:$K$592,$D222,'Detalle por artículo'!$E$8:$E$592)</f>
        <v>2.92</v>
      </c>
      <c r="H222" s="35">
        <f t="shared" si="140"/>
        <v>2</v>
      </c>
      <c r="I222" s="35">
        <f t="shared" si="141"/>
        <v>4</v>
      </c>
      <c r="J222" s="35">
        <f t="shared" si="142"/>
        <v>8</v>
      </c>
      <c r="K222" s="37">
        <f t="shared" si="143"/>
        <v>0.10428571428571429</v>
      </c>
      <c r="L222" s="36">
        <f>SUMIF('Detalle por artículo'!$K$8:$K$592,$D222,'Detalle por artículo'!$O$8:$O$592)</f>
        <v>504.59999999999997</v>
      </c>
      <c r="M222" s="38">
        <f>SUMIF('Detalle por artículo'!$K$8:$K$592,$D222,'Detalle por artículo'!$I$8:$I$592)</f>
        <v>624</v>
      </c>
      <c r="N222" s="38">
        <f>SUMIF('Detalle por artículo'!$K$8:$K$592,$D222,'Detalle por artículo'!$M$8:$M$592)</f>
        <v>39</v>
      </c>
      <c r="O222" s="39">
        <f t="shared" si="144"/>
        <v>4.6794871794871788</v>
      </c>
      <c r="P222" s="40">
        <f t="shared" si="145"/>
        <v>808.65384615384608</v>
      </c>
      <c r="Q222" s="41">
        <f t="shared" si="146"/>
        <v>0.15</v>
      </c>
      <c r="R222" s="40">
        <f t="shared" si="147"/>
        <v>3.3579999999999997</v>
      </c>
      <c r="S222" s="42">
        <f>IFERROR(SUM($G$8:G222)/$G$6,0)</f>
        <v>0.86733341010876452</v>
      </c>
      <c r="T222" s="43" t="str">
        <f t="shared" si="148"/>
        <v>C</v>
      </c>
      <c r="U222" s="44">
        <v>625</v>
      </c>
      <c r="V222" s="45">
        <f t="shared" si="129"/>
        <v>1</v>
      </c>
      <c r="W222" s="46">
        <v>46216</v>
      </c>
      <c r="X222" s="46">
        <v>46248</v>
      </c>
      <c r="Y222" s="47">
        <v>0</v>
      </c>
      <c r="Z222" s="48">
        <f t="shared" si="149"/>
        <v>0</v>
      </c>
      <c r="AA222" s="49">
        <f t="shared" si="150"/>
        <v>0</v>
      </c>
      <c r="AB222" s="44">
        <v>618</v>
      </c>
      <c r="AC222" s="44">
        <f t="shared" si="151"/>
        <v>578</v>
      </c>
      <c r="AD222" s="44">
        <f t="shared" si="152"/>
        <v>40</v>
      </c>
      <c r="AE222" s="50">
        <f t="shared" si="153"/>
        <v>47</v>
      </c>
      <c r="AF222" s="41">
        <f t="shared" si="154"/>
        <v>0.94</v>
      </c>
      <c r="AG222" s="44">
        <v>0</v>
      </c>
      <c r="AH222" s="44">
        <v>0</v>
      </c>
      <c r="AI222" s="42">
        <f t="shared" si="130"/>
        <v>0.92628205128205132</v>
      </c>
      <c r="AJ222" s="42">
        <f t="shared" si="131"/>
        <v>6.4102564102564097E-2</v>
      </c>
      <c r="AK222" s="40">
        <f t="shared" si="155"/>
        <v>2.7047435897435892</v>
      </c>
      <c r="AL222" s="51">
        <v>1</v>
      </c>
      <c r="AM222" s="52">
        <f t="shared" si="156"/>
        <v>4.679487179487179E-3</v>
      </c>
      <c r="AN222" s="42">
        <f t="shared" si="132"/>
        <v>1.6000000000000001E-3</v>
      </c>
      <c r="AO222" s="53">
        <f t="shared" si="133"/>
        <v>6</v>
      </c>
      <c r="AP222" s="52">
        <f t="shared" si="134"/>
        <v>2.8076923076923072E-2</v>
      </c>
      <c r="AQ222" s="42">
        <f t="shared" si="135"/>
        <v>0.99038461538461542</v>
      </c>
      <c r="AR222" s="46">
        <v>46219</v>
      </c>
      <c r="AS222" s="46">
        <v>46220</v>
      </c>
      <c r="AT222" s="50">
        <f t="shared" si="136"/>
        <v>4</v>
      </c>
      <c r="AU222" s="50">
        <f t="shared" si="157"/>
        <v>380</v>
      </c>
      <c r="AV222" s="50">
        <f t="shared" si="137"/>
        <v>176</v>
      </c>
      <c r="AW222" s="54">
        <f t="shared" si="138"/>
        <v>204</v>
      </c>
    </row>
    <row r="223" spans="1:49" x14ac:dyDescent="0.25">
      <c r="A223" s="33" t="s">
        <v>55</v>
      </c>
      <c r="B223" s="33" t="s">
        <v>314</v>
      </c>
      <c r="C223" s="33" t="s">
        <v>315</v>
      </c>
      <c r="D223" s="33" t="s">
        <v>316</v>
      </c>
      <c r="E223" s="34">
        <f>COUNTIF('Detalle por artículo'!$K$8:$K$592,D223)</f>
        <v>2</v>
      </c>
      <c r="F223" s="35">
        <f t="shared" si="139"/>
        <v>147.86206896551724</v>
      </c>
      <c r="G223" s="36">
        <f>SUMIF('Detalle por artículo'!$K$8:$K$592,$D223,'Detalle por artículo'!$E$8:$E$592)</f>
        <v>2.9</v>
      </c>
      <c r="H223" s="35">
        <f t="shared" si="140"/>
        <v>2</v>
      </c>
      <c r="I223" s="35">
        <f t="shared" si="141"/>
        <v>4</v>
      </c>
      <c r="J223" s="35">
        <f t="shared" si="142"/>
        <v>8</v>
      </c>
      <c r="K223" s="37">
        <f t="shared" si="143"/>
        <v>0.10357142857142856</v>
      </c>
      <c r="L223" s="36">
        <f>SUMIF('Detalle por artículo'!$K$8:$K$592,$D223,'Detalle por artículo'!$O$8:$O$592)</f>
        <v>428.79999999999995</v>
      </c>
      <c r="M223" s="38">
        <f>SUMIF('Detalle por artículo'!$K$8:$K$592,$D223,'Detalle por artículo'!$I$8:$I$592)</f>
        <v>1503</v>
      </c>
      <c r="N223" s="38">
        <f>SUMIF('Detalle por artículo'!$K$8:$K$592,$D223,'Detalle por artículo'!$M$8:$M$592)</f>
        <v>29</v>
      </c>
      <c r="O223" s="39">
        <f t="shared" si="144"/>
        <v>1.9294743845642051</v>
      </c>
      <c r="P223" s="40">
        <f t="shared" si="145"/>
        <v>285.29607451763138</v>
      </c>
      <c r="Q223" s="41">
        <f t="shared" si="146"/>
        <v>0.15</v>
      </c>
      <c r="R223" s="40">
        <f t="shared" si="147"/>
        <v>3.3349999999999995</v>
      </c>
      <c r="S223" s="42">
        <f>IFERROR(SUM($G$8:G223)/$G$6,0)</f>
        <v>0.8683990550889189</v>
      </c>
      <c r="T223" s="43" t="str">
        <f t="shared" si="148"/>
        <v>C</v>
      </c>
      <c r="U223" s="44">
        <v>1503</v>
      </c>
      <c r="V223" s="45">
        <f t="shared" si="129"/>
        <v>0</v>
      </c>
      <c r="W223" s="46">
        <v>46252</v>
      </c>
      <c r="X223" s="46">
        <v>46252</v>
      </c>
      <c r="Y223" s="47">
        <v>0</v>
      </c>
      <c r="Z223" s="48">
        <f t="shared" si="149"/>
        <v>0</v>
      </c>
      <c r="AA223" s="49">
        <f t="shared" si="150"/>
        <v>0</v>
      </c>
      <c r="AB223" s="44">
        <v>1212</v>
      </c>
      <c r="AC223" s="44">
        <f t="shared" si="151"/>
        <v>784</v>
      </c>
      <c r="AD223" s="44">
        <f t="shared" si="152"/>
        <v>384</v>
      </c>
      <c r="AE223" s="50">
        <f t="shared" si="153"/>
        <v>49</v>
      </c>
      <c r="AF223" s="41">
        <f t="shared" si="154"/>
        <v>0.98</v>
      </c>
      <c r="AG223" s="44">
        <v>14</v>
      </c>
      <c r="AH223" s="44">
        <v>30</v>
      </c>
      <c r="AI223" s="42">
        <f t="shared" si="130"/>
        <v>0.52162341982701266</v>
      </c>
      <c r="AJ223" s="42">
        <f t="shared" si="131"/>
        <v>0.2554890219560878</v>
      </c>
      <c r="AK223" s="40">
        <f t="shared" si="155"/>
        <v>1.5127079174983367</v>
      </c>
      <c r="AL223" s="51">
        <v>289</v>
      </c>
      <c r="AM223" s="52">
        <f t="shared" si="156"/>
        <v>0.5576180971390553</v>
      </c>
      <c r="AN223" s="42">
        <f t="shared" si="132"/>
        <v>0.19228210246174318</v>
      </c>
      <c r="AO223" s="53">
        <f t="shared" si="133"/>
        <v>291</v>
      </c>
      <c r="AP223" s="52">
        <f t="shared" si="134"/>
        <v>0.56147704590818359</v>
      </c>
      <c r="AQ223" s="42">
        <f t="shared" si="135"/>
        <v>0.77711244178310046</v>
      </c>
      <c r="AR223" s="46">
        <v>46254</v>
      </c>
      <c r="AS223" s="46">
        <v>46255</v>
      </c>
      <c r="AT223" s="50">
        <f t="shared" si="136"/>
        <v>3</v>
      </c>
      <c r="AU223" s="50">
        <f t="shared" si="157"/>
        <v>94</v>
      </c>
      <c r="AV223" s="50">
        <f t="shared" si="137"/>
        <v>47</v>
      </c>
      <c r="AW223" s="54">
        <f t="shared" si="138"/>
        <v>47</v>
      </c>
    </row>
    <row r="224" spans="1:49" x14ac:dyDescent="0.25">
      <c r="A224" s="33" t="s">
        <v>63</v>
      </c>
      <c r="B224" s="33" t="s">
        <v>288</v>
      </c>
      <c r="C224" s="33" t="s">
        <v>289</v>
      </c>
      <c r="D224" s="33" t="s">
        <v>317</v>
      </c>
      <c r="E224" s="34">
        <f>COUNTIF('Detalle por artículo'!$K$8:$K$592,D224)</f>
        <v>2</v>
      </c>
      <c r="F224" s="35">
        <f t="shared" si="139"/>
        <v>177.08333333333334</v>
      </c>
      <c r="G224" s="36">
        <f>SUMIF('Detalle por artículo'!$K$8:$K$592,$D224,'Detalle por artículo'!$E$8:$E$592)</f>
        <v>2.88</v>
      </c>
      <c r="H224" s="35">
        <f t="shared" si="140"/>
        <v>2</v>
      </c>
      <c r="I224" s="35">
        <f t="shared" si="141"/>
        <v>4</v>
      </c>
      <c r="J224" s="35">
        <f t="shared" si="142"/>
        <v>8</v>
      </c>
      <c r="K224" s="37">
        <f t="shared" si="143"/>
        <v>0.10285714285714286</v>
      </c>
      <c r="L224" s="36">
        <f>SUMIF('Detalle por artículo'!$K$8:$K$592,$D224,'Detalle por artículo'!$O$8:$O$592)</f>
        <v>510</v>
      </c>
      <c r="M224" s="38">
        <f>SUMIF('Detalle por artículo'!$K$8:$K$592,$D224,'Detalle por artículo'!$I$8:$I$592)</f>
        <v>1445</v>
      </c>
      <c r="N224" s="38">
        <f>SUMIF('Detalle por artículo'!$K$8:$K$592,$D224,'Detalle por artículo'!$M$8:$M$592)</f>
        <v>30</v>
      </c>
      <c r="O224" s="39">
        <f t="shared" si="144"/>
        <v>1.9930795847750864</v>
      </c>
      <c r="P224" s="40">
        <f t="shared" si="145"/>
        <v>352.94117647058823</v>
      </c>
      <c r="Q224" s="41">
        <f t="shared" si="146"/>
        <v>0.15</v>
      </c>
      <c r="R224" s="40">
        <f t="shared" si="147"/>
        <v>3.3119999999999998</v>
      </c>
      <c r="S224" s="42">
        <f>IFERROR(SUM($G$8:G224)/$G$6,0)</f>
        <v>0.86945735079334818</v>
      </c>
      <c r="T224" s="43" t="str">
        <f t="shared" si="148"/>
        <v>C</v>
      </c>
      <c r="U224" s="44">
        <v>1445</v>
      </c>
      <c r="V224" s="45">
        <f t="shared" si="129"/>
        <v>0</v>
      </c>
      <c r="W224" s="46">
        <v>46217</v>
      </c>
      <c r="X224" s="46">
        <v>46217</v>
      </c>
      <c r="Y224" s="47">
        <v>0</v>
      </c>
      <c r="Z224" s="48">
        <f t="shared" si="149"/>
        <v>0</v>
      </c>
      <c r="AA224" s="49">
        <f t="shared" si="150"/>
        <v>0</v>
      </c>
      <c r="AB224" s="44">
        <v>1232</v>
      </c>
      <c r="AC224" s="44">
        <f t="shared" si="151"/>
        <v>711</v>
      </c>
      <c r="AD224" s="44">
        <f t="shared" si="152"/>
        <v>486</v>
      </c>
      <c r="AE224" s="50">
        <f t="shared" si="153"/>
        <v>48</v>
      </c>
      <c r="AF224" s="41">
        <f t="shared" si="154"/>
        <v>0.96</v>
      </c>
      <c r="AG224" s="44">
        <v>3</v>
      </c>
      <c r="AH224" s="44">
        <v>32</v>
      </c>
      <c r="AI224" s="42">
        <f t="shared" si="130"/>
        <v>0.49204152249134947</v>
      </c>
      <c r="AJ224" s="42">
        <f t="shared" si="131"/>
        <v>0.33633217993079584</v>
      </c>
      <c r="AK224" s="40">
        <f t="shared" si="155"/>
        <v>1.4170795847750866</v>
      </c>
      <c r="AL224" s="51">
        <v>212</v>
      </c>
      <c r="AM224" s="52">
        <f t="shared" si="156"/>
        <v>0.42253287197231831</v>
      </c>
      <c r="AN224" s="42">
        <f t="shared" si="132"/>
        <v>0.14671280276816609</v>
      </c>
      <c r="AO224" s="53">
        <f t="shared" si="133"/>
        <v>213</v>
      </c>
      <c r="AP224" s="52">
        <f t="shared" si="134"/>
        <v>0.42452595155709338</v>
      </c>
      <c r="AQ224" s="42">
        <f t="shared" si="135"/>
        <v>0.82837370242214536</v>
      </c>
      <c r="AR224" s="46">
        <v>46233</v>
      </c>
      <c r="AS224" s="46">
        <v>46234</v>
      </c>
      <c r="AT224" s="50">
        <f t="shared" si="136"/>
        <v>17</v>
      </c>
      <c r="AU224" s="50">
        <f t="shared" si="157"/>
        <v>109</v>
      </c>
      <c r="AV224" s="50">
        <f t="shared" si="137"/>
        <v>45</v>
      </c>
      <c r="AW224" s="54">
        <f t="shared" si="138"/>
        <v>64</v>
      </c>
    </row>
    <row r="225" spans="1:49" x14ac:dyDescent="0.25">
      <c r="A225" s="33" t="s">
        <v>55</v>
      </c>
      <c r="B225" s="33" t="s">
        <v>99</v>
      </c>
      <c r="C225" s="33" t="s">
        <v>100</v>
      </c>
      <c r="D225" s="33" t="s">
        <v>318</v>
      </c>
      <c r="E225" s="34">
        <f>COUNTIF('Detalle por artículo'!$K$8:$K$592,D225)</f>
        <v>1</v>
      </c>
      <c r="F225" s="35">
        <f t="shared" si="139"/>
        <v>88.333333333333329</v>
      </c>
      <c r="G225" s="36">
        <f>SUMIF('Detalle por artículo'!$K$8:$K$592,$D225,'Detalle por artículo'!$E$8:$E$592)</f>
        <v>2.88</v>
      </c>
      <c r="H225" s="35">
        <f t="shared" si="140"/>
        <v>2</v>
      </c>
      <c r="I225" s="35">
        <f t="shared" si="141"/>
        <v>4</v>
      </c>
      <c r="J225" s="35">
        <f t="shared" si="142"/>
        <v>8</v>
      </c>
      <c r="K225" s="37">
        <f t="shared" si="143"/>
        <v>0.10285714285714286</v>
      </c>
      <c r="L225" s="36">
        <f>SUMIF('Detalle por artículo'!$K$8:$K$592,$D225,'Detalle por artículo'!$O$8:$O$592)</f>
        <v>254.39999999999998</v>
      </c>
      <c r="M225" s="38">
        <f>SUMIF('Detalle por artículo'!$K$8:$K$592,$D225,'Detalle por artículo'!$I$8:$I$592)</f>
        <v>801</v>
      </c>
      <c r="N225" s="38">
        <f>SUMIF('Detalle por artículo'!$K$8:$K$592,$D225,'Detalle por artículo'!$M$8:$M$592)</f>
        <v>30</v>
      </c>
      <c r="O225" s="39">
        <f t="shared" si="144"/>
        <v>3.595505617977528</v>
      </c>
      <c r="P225" s="40">
        <f t="shared" si="145"/>
        <v>317.60299625468161</v>
      </c>
      <c r="Q225" s="41">
        <f t="shared" si="146"/>
        <v>0.2</v>
      </c>
      <c r="R225" s="40">
        <f t="shared" si="147"/>
        <v>3.456</v>
      </c>
      <c r="S225" s="42">
        <f>IFERROR(SUM($G$8:G225)/$G$6,0)</f>
        <v>0.87051564649777735</v>
      </c>
      <c r="T225" s="43" t="str">
        <f t="shared" si="148"/>
        <v>C</v>
      </c>
      <c r="U225" s="44">
        <v>801</v>
      </c>
      <c r="V225" s="45">
        <f t="shared" si="129"/>
        <v>0</v>
      </c>
      <c r="W225" s="46">
        <v>46260</v>
      </c>
      <c r="X225" s="46">
        <v>46260</v>
      </c>
      <c r="Y225" s="47">
        <v>0</v>
      </c>
      <c r="Z225" s="48">
        <f t="shared" si="149"/>
        <v>0</v>
      </c>
      <c r="AA225" s="49">
        <f t="shared" si="150"/>
        <v>0</v>
      </c>
      <c r="AB225" s="44">
        <v>49</v>
      </c>
      <c r="AC225" s="44">
        <f t="shared" si="151"/>
        <v>29</v>
      </c>
      <c r="AD225" s="44">
        <f t="shared" si="152"/>
        <v>13</v>
      </c>
      <c r="AE225" s="50">
        <f t="shared" si="153"/>
        <v>1</v>
      </c>
      <c r="AF225" s="41">
        <f t="shared" si="154"/>
        <v>0.02</v>
      </c>
      <c r="AG225" s="44">
        <v>0</v>
      </c>
      <c r="AH225" s="44">
        <v>7</v>
      </c>
      <c r="AI225" s="42">
        <f t="shared" si="130"/>
        <v>3.6204744069912607E-2</v>
      </c>
      <c r="AJ225" s="42">
        <f t="shared" si="131"/>
        <v>1.6229712858926344E-2</v>
      </c>
      <c r="AK225" s="40">
        <f t="shared" si="155"/>
        <v>0.10426966292134832</v>
      </c>
      <c r="AL225" s="51">
        <v>752</v>
      </c>
      <c r="AM225" s="52">
        <f t="shared" si="156"/>
        <v>2.703820224719101</v>
      </c>
      <c r="AN225" s="42">
        <f t="shared" si="132"/>
        <v>0.93882646691635452</v>
      </c>
      <c r="AO225" s="53">
        <f t="shared" si="133"/>
        <v>752</v>
      </c>
      <c r="AP225" s="52">
        <f t="shared" si="134"/>
        <v>2.703820224719101</v>
      </c>
      <c r="AQ225" s="42">
        <f t="shared" si="135"/>
        <v>5.2434456928838954E-2</v>
      </c>
      <c r="AR225" s="46">
        <v>46268</v>
      </c>
      <c r="AS225" s="46">
        <v>46268</v>
      </c>
      <c r="AT225" s="50">
        <f t="shared" si="136"/>
        <v>8</v>
      </c>
      <c r="AU225" s="50">
        <f t="shared" si="157"/>
        <v>238</v>
      </c>
      <c r="AV225" s="50">
        <f t="shared" si="137"/>
        <v>397</v>
      </c>
      <c r="AW225" s="54">
        <f t="shared" si="138"/>
        <v>-159</v>
      </c>
    </row>
    <row r="226" spans="1:49" x14ac:dyDescent="0.25">
      <c r="A226" s="33" t="s">
        <v>63</v>
      </c>
      <c r="B226" s="33" t="s">
        <v>102</v>
      </c>
      <c r="C226" s="33" t="s">
        <v>132</v>
      </c>
      <c r="D226" s="33" t="s">
        <v>319</v>
      </c>
      <c r="E226" s="34">
        <f>COUNTIF('Detalle por artículo'!$K$8:$K$592,D226)</f>
        <v>1</v>
      </c>
      <c r="F226" s="35">
        <f t="shared" si="139"/>
        <v>228.52011494252878</v>
      </c>
      <c r="G226" s="36">
        <f>SUMIF('Detalle por artículo'!$K$8:$K$592,$D226,'Detalle por artículo'!$E$8:$E$592)</f>
        <v>2.7839999999999998</v>
      </c>
      <c r="H226" s="35">
        <f t="shared" si="140"/>
        <v>2</v>
      </c>
      <c r="I226" s="35">
        <f t="shared" si="141"/>
        <v>4</v>
      </c>
      <c r="J226" s="35">
        <f t="shared" si="142"/>
        <v>8</v>
      </c>
      <c r="K226" s="37">
        <f t="shared" si="143"/>
        <v>9.9428571428571422E-2</v>
      </c>
      <c r="L226" s="36">
        <f>SUMIF('Detalle por artículo'!$K$8:$K$592,$D226,'Detalle por artículo'!$O$8:$O$592)</f>
        <v>636.20000000000005</v>
      </c>
      <c r="M226" s="38">
        <f>SUMIF('Detalle por artículo'!$K$8:$K$592,$D226,'Detalle por artículo'!$I$8:$I$592)</f>
        <v>923</v>
      </c>
      <c r="N226" s="38">
        <f>SUMIF('Detalle por artículo'!$K$8:$K$592,$D226,'Detalle por artículo'!$M$8:$M$592)</f>
        <v>29</v>
      </c>
      <c r="O226" s="39">
        <f t="shared" si="144"/>
        <v>3.0162513542795231</v>
      </c>
      <c r="P226" s="40">
        <f t="shared" si="145"/>
        <v>689.2741061755147</v>
      </c>
      <c r="Q226" s="41">
        <f t="shared" si="146"/>
        <v>0.1</v>
      </c>
      <c r="R226" s="40">
        <f t="shared" si="147"/>
        <v>3.0624000000000002</v>
      </c>
      <c r="S226" s="42">
        <f>IFERROR(SUM($G$8:G226)/$G$6,0)</f>
        <v>0.87153866567872562</v>
      </c>
      <c r="T226" s="43" t="str">
        <f t="shared" si="148"/>
        <v>C</v>
      </c>
      <c r="U226" s="44">
        <v>918</v>
      </c>
      <c r="V226" s="45">
        <f t="shared" si="129"/>
        <v>-5</v>
      </c>
      <c r="W226" s="46">
        <v>46244</v>
      </c>
      <c r="X226" s="46">
        <v>46244</v>
      </c>
      <c r="Y226" s="47">
        <v>9</v>
      </c>
      <c r="Z226" s="48">
        <f t="shared" si="149"/>
        <v>2.7146262188515707E-2</v>
      </c>
      <c r="AA226" s="49">
        <f t="shared" si="150"/>
        <v>9.6950936387556099E-4</v>
      </c>
      <c r="AB226" s="44">
        <v>597</v>
      </c>
      <c r="AC226" s="44">
        <f t="shared" si="151"/>
        <v>471</v>
      </c>
      <c r="AD226" s="44">
        <f t="shared" si="152"/>
        <v>117</v>
      </c>
      <c r="AE226" s="50">
        <f t="shared" si="153"/>
        <v>49</v>
      </c>
      <c r="AF226" s="41">
        <f t="shared" si="154"/>
        <v>0.98</v>
      </c>
      <c r="AG226" s="44">
        <v>0</v>
      </c>
      <c r="AH226" s="44">
        <v>9</v>
      </c>
      <c r="AI226" s="42">
        <f t="shared" si="130"/>
        <v>0.51029252437703143</v>
      </c>
      <c r="AJ226" s="42">
        <f t="shared" si="131"/>
        <v>0.12676056338028169</v>
      </c>
      <c r="AK226" s="40">
        <f t="shared" si="155"/>
        <v>1.4206543878656552</v>
      </c>
      <c r="AL226" s="51">
        <v>322</v>
      </c>
      <c r="AM226" s="52">
        <f t="shared" si="156"/>
        <v>0.97123293607800643</v>
      </c>
      <c r="AN226" s="42">
        <f t="shared" si="132"/>
        <v>0.35076252723311546</v>
      </c>
      <c r="AO226" s="53">
        <f t="shared" si="133"/>
        <v>326</v>
      </c>
      <c r="AP226" s="52">
        <f t="shared" si="134"/>
        <v>0.98329794149512451</v>
      </c>
      <c r="AQ226" s="42">
        <f t="shared" si="135"/>
        <v>0.63705308775731306</v>
      </c>
      <c r="AR226" s="46">
        <v>46254</v>
      </c>
      <c r="AS226" s="46">
        <v>46254</v>
      </c>
      <c r="AT226" s="50">
        <f t="shared" si="136"/>
        <v>10</v>
      </c>
      <c r="AU226" s="50">
        <f t="shared" si="157"/>
        <v>190</v>
      </c>
      <c r="AV226" s="50">
        <f t="shared" si="137"/>
        <v>194</v>
      </c>
      <c r="AW226" s="54">
        <f t="shared" si="138"/>
        <v>-4</v>
      </c>
    </row>
    <row r="227" spans="1:49" x14ac:dyDescent="0.25">
      <c r="A227" s="33" t="s">
        <v>55</v>
      </c>
      <c r="B227" s="33" t="s">
        <v>99</v>
      </c>
      <c r="C227" s="33" t="s">
        <v>100</v>
      </c>
      <c r="D227" s="33" t="s">
        <v>320</v>
      </c>
      <c r="E227" s="34">
        <f>COUNTIF('Detalle por artículo'!$K$8:$K$592,D227)</f>
        <v>1</v>
      </c>
      <c r="F227" s="35">
        <f t="shared" si="139"/>
        <v>123.95833333333333</v>
      </c>
      <c r="G227" s="36">
        <f>SUMIF('Detalle por artículo'!$K$8:$K$592,$D227,'Detalle por artículo'!$E$8:$E$592)</f>
        <v>2.7839999999999998</v>
      </c>
      <c r="H227" s="35">
        <f t="shared" si="140"/>
        <v>2</v>
      </c>
      <c r="I227" s="35">
        <f t="shared" si="141"/>
        <v>4</v>
      </c>
      <c r="J227" s="35">
        <f t="shared" si="142"/>
        <v>8</v>
      </c>
      <c r="K227" s="37">
        <f t="shared" si="143"/>
        <v>9.9428571428571422E-2</v>
      </c>
      <c r="L227" s="36">
        <f>SUMIF('Detalle por artículo'!$K$8:$K$592,$D227,'Detalle por artículo'!$O$8:$O$592)</f>
        <v>345.09999999999997</v>
      </c>
      <c r="M227" s="38">
        <f>SUMIF('Detalle por artículo'!$K$8:$K$592,$D227,'Detalle por artículo'!$I$8:$I$592)</f>
        <v>954</v>
      </c>
      <c r="N227" s="38">
        <f>SUMIF('Detalle por artículo'!$K$8:$K$592,$D227,'Detalle por artículo'!$M$8:$M$592)</f>
        <v>29</v>
      </c>
      <c r="O227" s="39">
        <f t="shared" si="144"/>
        <v>2.9182389937106916</v>
      </c>
      <c r="P227" s="40">
        <f t="shared" si="145"/>
        <v>361.7400419287211</v>
      </c>
      <c r="Q227" s="41">
        <f t="shared" si="146"/>
        <v>0.15</v>
      </c>
      <c r="R227" s="40">
        <f t="shared" si="147"/>
        <v>3.2015999999999996</v>
      </c>
      <c r="S227" s="42">
        <f>IFERROR(SUM($G$8:G227)/$G$6,0)</f>
        <v>0.87256168485967389</v>
      </c>
      <c r="T227" s="43" t="str">
        <f t="shared" si="148"/>
        <v>C</v>
      </c>
      <c r="U227" s="44">
        <v>954</v>
      </c>
      <c r="V227" s="45">
        <f t="shared" si="129"/>
        <v>0</v>
      </c>
      <c r="W227" s="46">
        <v>46260</v>
      </c>
      <c r="X227" s="46">
        <v>46260</v>
      </c>
      <c r="Y227" s="47">
        <v>0</v>
      </c>
      <c r="Z227" s="48">
        <f t="shared" si="149"/>
        <v>0</v>
      </c>
      <c r="AA227" s="49">
        <f t="shared" si="150"/>
        <v>0</v>
      </c>
      <c r="AB227" s="44">
        <v>458</v>
      </c>
      <c r="AC227" s="44">
        <f t="shared" si="151"/>
        <v>410</v>
      </c>
      <c r="AD227" s="44">
        <f t="shared" si="152"/>
        <v>38</v>
      </c>
      <c r="AE227" s="50">
        <f t="shared" si="153"/>
        <v>48</v>
      </c>
      <c r="AF227" s="41">
        <f t="shared" si="154"/>
        <v>0.96</v>
      </c>
      <c r="AG227" s="44">
        <v>3</v>
      </c>
      <c r="AH227" s="44">
        <v>8</v>
      </c>
      <c r="AI227" s="42">
        <f t="shared" si="130"/>
        <v>0.42976939203354297</v>
      </c>
      <c r="AJ227" s="42">
        <f t="shared" si="131"/>
        <v>3.9832285115303984E-2</v>
      </c>
      <c r="AK227" s="40">
        <f t="shared" si="155"/>
        <v>1.1964779874213836</v>
      </c>
      <c r="AL227" s="51">
        <v>496</v>
      </c>
      <c r="AM227" s="52">
        <f t="shared" si="156"/>
        <v>1.4474465408805031</v>
      </c>
      <c r="AN227" s="42">
        <f t="shared" si="132"/>
        <v>0.51991614255765195</v>
      </c>
      <c r="AO227" s="53">
        <f t="shared" si="133"/>
        <v>496</v>
      </c>
      <c r="AP227" s="52">
        <f t="shared" si="134"/>
        <v>1.4474465408805031</v>
      </c>
      <c r="AQ227" s="42">
        <f t="shared" si="135"/>
        <v>0.46960167714884699</v>
      </c>
      <c r="AR227" s="46">
        <v>46268</v>
      </c>
      <c r="AS227" s="46">
        <v>46268</v>
      </c>
      <c r="AT227" s="50">
        <f t="shared" si="136"/>
        <v>8</v>
      </c>
      <c r="AU227" s="50">
        <f t="shared" si="157"/>
        <v>182</v>
      </c>
      <c r="AV227" s="50">
        <f t="shared" si="137"/>
        <v>299</v>
      </c>
      <c r="AW227" s="54">
        <f t="shared" si="138"/>
        <v>-117</v>
      </c>
    </row>
    <row r="228" spans="1:49" x14ac:dyDescent="0.25">
      <c r="A228" s="33" t="s">
        <v>138</v>
      </c>
      <c r="B228" s="33" t="s">
        <v>139</v>
      </c>
      <c r="C228" s="33" t="s">
        <v>57</v>
      </c>
      <c r="D228" s="33" t="s">
        <v>321</v>
      </c>
      <c r="E228" s="34">
        <f>COUNTIF('Detalle por artículo'!$K$8:$K$592,D228)</f>
        <v>2</v>
      </c>
      <c r="F228" s="35">
        <f t="shared" si="139"/>
        <v>122.80890804597701</v>
      </c>
      <c r="G228" s="36">
        <f>SUMIF('Detalle por artículo'!$K$8:$K$592,$D228,'Detalle por artículo'!$E$8:$E$592)</f>
        <v>2.7839999999999998</v>
      </c>
      <c r="H228" s="35">
        <f t="shared" si="140"/>
        <v>2</v>
      </c>
      <c r="I228" s="35">
        <f t="shared" si="141"/>
        <v>4</v>
      </c>
      <c r="J228" s="35">
        <f t="shared" si="142"/>
        <v>8</v>
      </c>
      <c r="K228" s="37">
        <f t="shared" si="143"/>
        <v>9.9428571428571422E-2</v>
      </c>
      <c r="L228" s="36">
        <f>SUMIF('Detalle por artículo'!$K$8:$K$592,$D228,'Detalle por artículo'!$O$8:$O$592)</f>
        <v>341.9</v>
      </c>
      <c r="M228" s="38">
        <f>SUMIF('Detalle por artículo'!$K$8:$K$592,$D228,'Detalle por artículo'!$I$8:$I$592)</f>
        <v>499</v>
      </c>
      <c r="N228" s="38">
        <f>SUMIF('Detalle por artículo'!$K$8:$K$592,$D228,'Detalle por artículo'!$M$8:$M$592)</f>
        <v>29</v>
      </c>
      <c r="O228" s="39">
        <f t="shared" si="144"/>
        <v>5.5791583166332668</v>
      </c>
      <c r="P228" s="40">
        <f t="shared" si="145"/>
        <v>685.17034068136275</v>
      </c>
      <c r="Q228" s="41">
        <f t="shared" si="146"/>
        <v>0.15</v>
      </c>
      <c r="R228" s="40">
        <f t="shared" si="147"/>
        <v>3.2015999999999996</v>
      </c>
      <c r="S228" s="42">
        <f>IFERROR(SUM($G$8:G228)/$G$6,0)</f>
        <v>0.87358470404062205</v>
      </c>
      <c r="T228" s="43" t="str">
        <f t="shared" si="148"/>
        <v>C</v>
      </c>
      <c r="U228" s="44">
        <v>499</v>
      </c>
      <c r="V228" s="45">
        <f t="shared" si="129"/>
        <v>0</v>
      </c>
      <c r="W228" s="46">
        <v>46316</v>
      </c>
      <c r="X228" s="46">
        <v>46316</v>
      </c>
      <c r="Y228" s="47">
        <v>0</v>
      </c>
      <c r="Z228" s="48">
        <f t="shared" si="149"/>
        <v>0</v>
      </c>
      <c r="AA228" s="49">
        <f t="shared" si="150"/>
        <v>0</v>
      </c>
      <c r="AB228" s="44">
        <v>0</v>
      </c>
      <c r="AC228" s="44">
        <f t="shared" si="151"/>
        <v>51</v>
      </c>
      <c r="AD228" s="44">
        <f t="shared" si="152"/>
        <v>0</v>
      </c>
      <c r="AE228" s="50">
        <f t="shared" si="153"/>
        <v>12</v>
      </c>
      <c r="AF228" s="41">
        <f t="shared" si="154"/>
        <v>0.24</v>
      </c>
      <c r="AG228" s="44">
        <v>0</v>
      </c>
      <c r="AH228" s="44">
        <v>0</v>
      </c>
      <c r="AI228" s="42">
        <f t="shared" si="130"/>
        <v>0.10220440881763528</v>
      </c>
      <c r="AJ228" s="42">
        <f t="shared" si="131"/>
        <v>0</v>
      </c>
      <c r="AK228" s="40">
        <f t="shared" si="155"/>
        <v>0.2845370741482966</v>
      </c>
      <c r="AL228" s="51">
        <v>499</v>
      </c>
      <c r="AM228" s="52">
        <f t="shared" si="156"/>
        <v>2.7839999999999998</v>
      </c>
      <c r="AN228" s="42">
        <f t="shared" si="132"/>
        <v>1</v>
      </c>
      <c r="AO228" s="53">
        <f t="shared" si="133"/>
        <v>499</v>
      </c>
      <c r="AP228" s="52">
        <f t="shared" si="134"/>
        <v>2.7839999999999998</v>
      </c>
      <c r="AQ228" s="42">
        <f t="shared" si="135"/>
        <v>0.10220440881763528</v>
      </c>
      <c r="AR228" s="46"/>
      <c r="AS228" s="46"/>
      <c r="AT228" s="50" t="str">
        <f t="shared" si="136"/>
        <v/>
      </c>
      <c r="AU228" s="50">
        <f t="shared" si="157"/>
        <v>429</v>
      </c>
      <c r="AV228" s="50" t="str">
        <f t="shared" si="137"/>
        <v/>
      </c>
      <c r="AW228" s="54" t="str">
        <f t="shared" si="138"/>
        <v/>
      </c>
    </row>
    <row r="229" spans="1:49" x14ac:dyDescent="0.25">
      <c r="A229" s="33" t="s">
        <v>63</v>
      </c>
      <c r="B229" s="33" t="s">
        <v>110</v>
      </c>
      <c r="C229" s="33" t="s">
        <v>111</v>
      </c>
      <c r="D229" s="33" t="s">
        <v>322</v>
      </c>
      <c r="E229" s="34">
        <f>COUNTIF('Detalle por artículo'!$K$8:$K$592,D229)</f>
        <v>1</v>
      </c>
      <c r="F229" s="35">
        <f t="shared" si="139"/>
        <v>136.9202898550725</v>
      </c>
      <c r="G229" s="36">
        <f>SUMIF('Detalle por artículo'!$K$8:$K$592,$D229,'Detalle por artículo'!$E$8:$E$592)</f>
        <v>2.76</v>
      </c>
      <c r="H229" s="35">
        <f t="shared" si="140"/>
        <v>2</v>
      </c>
      <c r="I229" s="35">
        <f t="shared" si="141"/>
        <v>4</v>
      </c>
      <c r="J229" s="35">
        <f t="shared" si="142"/>
        <v>8</v>
      </c>
      <c r="K229" s="37">
        <f t="shared" si="143"/>
        <v>9.857142857142856E-2</v>
      </c>
      <c r="L229" s="36">
        <f>SUMIF('Detalle por artículo'!$K$8:$K$592,$D229,'Detalle por artículo'!$O$8:$O$592)</f>
        <v>377.90000000000003</v>
      </c>
      <c r="M229" s="38">
        <f>SUMIF('Detalle por artículo'!$K$8:$K$592,$D229,'Detalle por artículo'!$I$8:$I$592)</f>
        <v>730</v>
      </c>
      <c r="N229" s="38">
        <f>SUMIF('Detalle por artículo'!$K$8:$K$592,$D229,'Detalle por artículo'!$M$8:$M$592)</f>
        <v>27</v>
      </c>
      <c r="O229" s="39">
        <f t="shared" si="144"/>
        <v>3.7808219178082187</v>
      </c>
      <c r="P229" s="40">
        <f t="shared" si="145"/>
        <v>517.67123287671234</v>
      </c>
      <c r="Q229" s="41">
        <f t="shared" si="146"/>
        <v>0.15</v>
      </c>
      <c r="R229" s="40">
        <f t="shared" si="147"/>
        <v>3.1739999999999995</v>
      </c>
      <c r="S229" s="42">
        <f>IFERROR(SUM($G$8:G229)/$G$6,0)</f>
        <v>0.87459890409070018</v>
      </c>
      <c r="T229" s="43" t="str">
        <f t="shared" si="148"/>
        <v>C</v>
      </c>
      <c r="U229" s="44">
        <v>0</v>
      </c>
      <c r="V229" s="45">
        <f t="shared" si="129"/>
        <v>-730</v>
      </c>
      <c r="W229" s="46"/>
      <c r="X229" s="46"/>
      <c r="Y229" s="47">
        <v>730</v>
      </c>
      <c r="Z229" s="48">
        <f t="shared" si="149"/>
        <v>2.7599999999999993</v>
      </c>
      <c r="AA229" s="49">
        <f t="shared" si="150"/>
        <v>9.8571428571428546E-2</v>
      </c>
      <c r="AB229" s="44">
        <v>0</v>
      </c>
      <c r="AC229" s="44">
        <f t="shared" si="151"/>
        <v>0</v>
      </c>
      <c r="AD229" s="44">
        <f t="shared" si="152"/>
        <v>0</v>
      </c>
      <c r="AE229" s="50">
        <f t="shared" si="153"/>
        <v>0</v>
      </c>
      <c r="AF229" s="41">
        <f t="shared" si="154"/>
        <v>0</v>
      </c>
      <c r="AG229" s="44">
        <v>0</v>
      </c>
      <c r="AH229" s="44">
        <v>0</v>
      </c>
      <c r="AI229" s="42">
        <f t="shared" si="130"/>
        <v>0</v>
      </c>
      <c r="AJ229" s="42">
        <f t="shared" si="131"/>
        <v>0</v>
      </c>
      <c r="AK229" s="40">
        <f t="shared" si="155"/>
        <v>0</v>
      </c>
      <c r="AL229" s="51">
        <v>0</v>
      </c>
      <c r="AM229" s="52">
        <f t="shared" si="156"/>
        <v>0</v>
      </c>
      <c r="AN229" s="42">
        <f t="shared" si="132"/>
        <v>0</v>
      </c>
      <c r="AO229" s="53">
        <f t="shared" si="133"/>
        <v>730</v>
      </c>
      <c r="AP229" s="52">
        <f t="shared" si="134"/>
        <v>2.7599999999999993</v>
      </c>
      <c r="AQ229" s="42">
        <f t="shared" si="135"/>
        <v>0</v>
      </c>
      <c r="AR229" s="46"/>
      <c r="AS229" s="46"/>
      <c r="AT229" s="50" t="str">
        <f t="shared" si="136"/>
        <v/>
      </c>
      <c r="AU229" s="50">
        <f t="shared" si="157"/>
        <v>296</v>
      </c>
      <c r="AV229" s="50" t="str">
        <f t="shared" si="137"/>
        <v/>
      </c>
      <c r="AW229" s="54" t="str">
        <f t="shared" si="138"/>
        <v/>
      </c>
    </row>
    <row r="230" spans="1:49" x14ac:dyDescent="0.25">
      <c r="A230" s="33" t="s">
        <v>55</v>
      </c>
      <c r="B230" s="33" t="s">
        <v>302</v>
      </c>
      <c r="C230" s="33" t="s">
        <v>303</v>
      </c>
      <c r="D230" s="33" t="s">
        <v>323</v>
      </c>
      <c r="E230" s="34">
        <f>COUNTIF('Detalle por artículo'!$K$8:$K$592,D230)</f>
        <v>2</v>
      </c>
      <c r="F230" s="35">
        <f t="shared" si="139"/>
        <v>162.10214655810512</v>
      </c>
      <c r="G230" s="36">
        <f>SUMIF('Detalle por artículo'!$K$8:$K$592,$D230,'Detalle por artículo'!$E$8:$E$592)</f>
        <v>2.702</v>
      </c>
      <c r="H230" s="35">
        <f t="shared" si="140"/>
        <v>2</v>
      </c>
      <c r="I230" s="35">
        <f t="shared" si="141"/>
        <v>4</v>
      </c>
      <c r="J230" s="35">
        <f t="shared" si="142"/>
        <v>8</v>
      </c>
      <c r="K230" s="37">
        <f t="shared" si="143"/>
        <v>9.6500000000000002E-2</v>
      </c>
      <c r="L230" s="36">
        <f>SUMIF('Detalle por artículo'!$K$8:$K$592,$D230,'Detalle por artículo'!$O$8:$O$592)</f>
        <v>438</v>
      </c>
      <c r="M230" s="38">
        <f>SUMIF('Detalle por artículo'!$K$8:$K$592,$D230,'Detalle por artículo'!$I$8:$I$592)</f>
        <v>1228</v>
      </c>
      <c r="N230" s="38">
        <f>SUMIF('Detalle por artículo'!$K$8:$K$592,$D230,'Detalle por artículo'!$M$8:$M$592)</f>
        <v>28</v>
      </c>
      <c r="O230" s="39">
        <f t="shared" si="144"/>
        <v>2.2003257328990227</v>
      </c>
      <c r="P230" s="40">
        <f t="shared" si="145"/>
        <v>356.67752442996743</v>
      </c>
      <c r="Q230" s="41">
        <f t="shared" si="146"/>
        <v>0.15</v>
      </c>
      <c r="R230" s="40">
        <f t="shared" si="147"/>
        <v>3.1072999999999995</v>
      </c>
      <c r="S230" s="42">
        <f>IFERROR(SUM($G$8:G230)/$G$6,0)</f>
        <v>0.87559179124117514</v>
      </c>
      <c r="T230" s="43" t="str">
        <f t="shared" si="148"/>
        <v>C</v>
      </c>
      <c r="U230" s="44">
        <v>614</v>
      </c>
      <c r="V230" s="45">
        <f t="shared" si="129"/>
        <v>-614</v>
      </c>
      <c r="W230" s="46">
        <v>46252</v>
      </c>
      <c r="X230" s="46">
        <v>46262</v>
      </c>
      <c r="Y230" s="47">
        <v>614</v>
      </c>
      <c r="Z230" s="48">
        <f t="shared" si="149"/>
        <v>1.351</v>
      </c>
      <c r="AA230" s="49">
        <f t="shared" si="150"/>
        <v>4.8250000000000001E-2</v>
      </c>
      <c r="AB230" s="44">
        <v>260</v>
      </c>
      <c r="AC230" s="44">
        <f t="shared" si="151"/>
        <v>335</v>
      </c>
      <c r="AD230" s="44">
        <f t="shared" si="152"/>
        <v>21</v>
      </c>
      <c r="AE230" s="50">
        <f t="shared" si="153"/>
        <v>41</v>
      </c>
      <c r="AF230" s="41">
        <f t="shared" si="154"/>
        <v>0.82</v>
      </c>
      <c r="AG230" s="44">
        <v>2</v>
      </c>
      <c r="AH230" s="44">
        <v>8</v>
      </c>
      <c r="AI230" s="42">
        <f t="shared" si="130"/>
        <v>0.2728013029315961</v>
      </c>
      <c r="AJ230" s="42">
        <f t="shared" si="131"/>
        <v>1.7100977198697069E-2</v>
      </c>
      <c r="AK230" s="40">
        <f t="shared" si="155"/>
        <v>0.73710912052117261</v>
      </c>
      <c r="AL230" s="51">
        <v>354</v>
      </c>
      <c r="AM230" s="52">
        <f t="shared" si="156"/>
        <v>0.77891530944625398</v>
      </c>
      <c r="AN230" s="42">
        <f t="shared" si="132"/>
        <v>0.57654723127035834</v>
      </c>
      <c r="AO230" s="53">
        <f t="shared" si="133"/>
        <v>968</v>
      </c>
      <c r="AP230" s="52">
        <f t="shared" si="134"/>
        <v>2.129915309446254</v>
      </c>
      <c r="AQ230" s="42">
        <f t="shared" si="135"/>
        <v>0.28990228013029318</v>
      </c>
      <c r="AR230" s="46">
        <v>46268</v>
      </c>
      <c r="AS230" s="46">
        <v>46268</v>
      </c>
      <c r="AT230" s="50">
        <f t="shared" si="136"/>
        <v>16</v>
      </c>
      <c r="AU230" s="50">
        <f t="shared" si="157"/>
        <v>135</v>
      </c>
      <c r="AV230" s="50">
        <f t="shared" si="137"/>
        <v>365</v>
      </c>
      <c r="AW230" s="54">
        <f t="shared" si="138"/>
        <v>-230</v>
      </c>
    </row>
    <row r="231" spans="1:49" x14ac:dyDescent="0.25">
      <c r="A231" s="33" t="s">
        <v>63</v>
      </c>
      <c r="B231" s="33" t="s">
        <v>110</v>
      </c>
      <c r="C231" s="33" t="s">
        <v>100</v>
      </c>
      <c r="D231" s="33" t="s">
        <v>324</v>
      </c>
      <c r="E231" s="34">
        <f>COUNTIF('Detalle por artículo'!$K$8:$K$592,D231)</f>
        <v>1</v>
      </c>
      <c r="F231" s="35">
        <f t="shared" si="139"/>
        <v>112.41635687732341</v>
      </c>
      <c r="G231" s="36">
        <f>SUMIF('Detalle por artículo'!$K$8:$K$592,$D231,'Detalle por artículo'!$E$8:$E$592)</f>
        <v>2.69</v>
      </c>
      <c r="H231" s="35">
        <f t="shared" si="140"/>
        <v>2</v>
      </c>
      <c r="I231" s="35">
        <f t="shared" si="141"/>
        <v>4</v>
      </c>
      <c r="J231" s="35">
        <f t="shared" si="142"/>
        <v>7</v>
      </c>
      <c r="K231" s="37">
        <f t="shared" si="143"/>
        <v>9.6071428571428572E-2</v>
      </c>
      <c r="L231" s="36">
        <f>SUMIF('Detalle por artículo'!$K$8:$K$592,$D231,'Detalle por artículo'!$O$8:$O$592)</f>
        <v>302.39999999999998</v>
      </c>
      <c r="M231" s="38">
        <f>SUMIF('Detalle por artículo'!$K$8:$K$592,$D231,'Detalle por artículo'!$I$8:$I$592)</f>
        <v>608</v>
      </c>
      <c r="N231" s="38">
        <f>SUMIF('Detalle por artículo'!$K$8:$K$592,$D231,'Detalle por artículo'!$M$8:$M$592)</f>
        <v>28</v>
      </c>
      <c r="O231" s="39">
        <f t="shared" si="144"/>
        <v>4.4243421052631575</v>
      </c>
      <c r="P231" s="40">
        <f t="shared" si="145"/>
        <v>497.3684210526315</v>
      </c>
      <c r="Q231" s="41">
        <f t="shared" si="146"/>
        <v>0.2</v>
      </c>
      <c r="R231" s="40">
        <f t="shared" si="147"/>
        <v>3.2279999999999998</v>
      </c>
      <c r="S231" s="42">
        <f>IFERROR(SUM($G$8:G231)/$G$6,0)</f>
        <v>0.87658026882621487</v>
      </c>
      <c r="T231" s="43" t="str">
        <f t="shared" si="148"/>
        <v>C</v>
      </c>
      <c r="U231" s="44">
        <v>610</v>
      </c>
      <c r="V231" s="45">
        <f t="shared" si="129"/>
        <v>2</v>
      </c>
      <c r="W231" s="46">
        <v>46322</v>
      </c>
      <c r="X231" s="46">
        <v>46322</v>
      </c>
      <c r="Y231" s="47">
        <v>120</v>
      </c>
      <c r="Z231" s="48">
        <f t="shared" si="149"/>
        <v>0.53092105263157896</v>
      </c>
      <c r="AA231" s="49">
        <f t="shared" si="150"/>
        <v>1.8961466165413533E-2</v>
      </c>
      <c r="AB231" s="44">
        <v>0</v>
      </c>
      <c r="AC231" s="44">
        <f t="shared" si="151"/>
        <v>0</v>
      </c>
      <c r="AD231" s="44">
        <f t="shared" si="152"/>
        <v>0</v>
      </c>
      <c r="AE231" s="50">
        <f t="shared" si="153"/>
        <v>0</v>
      </c>
      <c r="AF231" s="41">
        <f t="shared" si="154"/>
        <v>0</v>
      </c>
      <c r="AG231" s="44">
        <v>0</v>
      </c>
      <c r="AH231" s="44">
        <v>0</v>
      </c>
      <c r="AI231" s="42">
        <f t="shared" si="130"/>
        <v>0</v>
      </c>
      <c r="AJ231" s="42">
        <f t="shared" si="131"/>
        <v>0</v>
      </c>
      <c r="AK231" s="40">
        <f t="shared" si="155"/>
        <v>0</v>
      </c>
      <c r="AL231" s="51">
        <v>610</v>
      </c>
      <c r="AM231" s="52">
        <f t="shared" si="156"/>
        <v>2.6988486842105264</v>
      </c>
      <c r="AN231" s="42">
        <f t="shared" si="132"/>
        <v>1</v>
      </c>
      <c r="AO231" s="53">
        <f t="shared" si="133"/>
        <v>608</v>
      </c>
      <c r="AP231" s="52">
        <f t="shared" si="134"/>
        <v>2.69</v>
      </c>
      <c r="AQ231" s="42">
        <f t="shared" si="135"/>
        <v>0</v>
      </c>
      <c r="AR231" s="46"/>
      <c r="AS231" s="46"/>
      <c r="AT231" s="50" t="str">
        <f t="shared" si="136"/>
        <v/>
      </c>
      <c r="AU231" s="50">
        <f t="shared" si="157"/>
        <v>397</v>
      </c>
      <c r="AV231" s="50" t="str">
        <f t="shared" si="137"/>
        <v/>
      </c>
      <c r="AW231" s="54" t="str">
        <f t="shared" si="138"/>
        <v/>
      </c>
    </row>
    <row r="232" spans="1:49" x14ac:dyDescent="0.25">
      <c r="A232" s="33" t="s">
        <v>63</v>
      </c>
      <c r="B232" s="33" t="s">
        <v>84</v>
      </c>
      <c r="C232" s="33" t="s">
        <v>94</v>
      </c>
      <c r="D232" s="33" t="s">
        <v>325</v>
      </c>
      <c r="E232" s="34">
        <f>COUNTIF('Detalle por artículo'!$K$8:$K$592,D232)</f>
        <v>1</v>
      </c>
      <c r="F232" s="35">
        <f t="shared" si="139"/>
        <v>173.66071428571425</v>
      </c>
      <c r="G232" s="36">
        <f>SUMIF('Detalle por artículo'!$K$8:$K$592,$D232,'Detalle por artículo'!$E$8:$E$592)</f>
        <v>2.6880000000000002</v>
      </c>
      <c r="H232" s="35">
        <f t="shared" si="140"/>
        <v>2</v>
      </c>
      <c r="I232" s="35">
        <f t="shared" si="141"/>
        <v>4</v>
      </c>
      <c r="J232" s="35">
        <f t="shared" si="142"/>
        <v>7</v>
      </c>
      <c r="K232" s="37">
        <f t="shared" si="143"/>
        <v>9.6000000000000002E-2</v>
      </c>
      <c r="L232" s="36">
        <f>SUMIF('Detalle por artículo'!$K$8:$K$592,$D232,'Detalle por artículo'!$O$8:$O$592)</f>
        <v>466.79999999999995</v>
      </c>
      <c r="M232" s="38">
        <f>SUMIF('Detalle por artículo'!$K$8:$K$592,$D232,'Detalle por artículo'!$I$8:$I$592)</f>
        <v>677</v>
      </c>
      <c r="N232" s="38">
        <f>SUMIF('Detalle por artículo'!$K$8:$K$592,$D232,'Detalle por artículo'!$M$8:$M$592)</f>
        <v>28</v>
      </c>
      <c r="O232" s="39">
        <f t="shared" si="144"/>
        <v>3.970457902511078</v>
      </c>
      <c r="P232" s="40">
        <f t="shared" si="145"/>
        <v>689.51255539143278</v>
      </c>
      <c r="Q232" s="41">
        <f t="shared" si="146"/>
        <v>0.15</v>
      </c>
      <c r="R232" s="40">
        <f t="shared" si="147"/>
        <v>3.0912000000000002</v>
      </c>
      <c r="S232" s="42">
        <f>IFERROR(SUM($G$8:G232)/$G$6,0)</f>
        <v>0.87756801148368213</v>
      </c>
      <c r="T232" s="43" t="str">
        <f t="shared" si="148"/>
        <v>C</v>
      </c>
      <c r="U232" s="44">
        <v>677</v>
      </c>
      <c r="V232" s="45">
        <f t="shared" si="129"/>
        <v>0</v>
      </c>
      <c r="W232" s="46">
        <v>46233</v>
      </c>
      <c r="X232" s="46">
        <v>46233</v>
      </c>
      <c r="Y232" s="47">
        <v>0</v>
      </c>
      <c r="Z232" s="48">
        <f t="shared" si="149"/>
        <v>0</v>
      </c>
      <c r="AA232" s="49">
        <f t="shared" si="150"/>
        <v>0</v>
      </c>
      <c r="AB232" s="44">
        <v>579</v>
      </c>
      <c r="AC232" s="44">
        <f t="shared" si="151"/>
        <v>358</v>
      </c>
      <c r="AD232" s="44">
        <f t="shared" si="152"/>
        <v>215</v>
      </c>
      <c r="AE232" s="50">
        <f t="shared" si="153"/>
        <v>48</v>
      </c>
      <c r="AF232" s="41">
        <f t="shared" si="154"/>
        <v>0.96</v>
      </c>
      <c r="AG232" s="44">
        <v>1</v>
      </c>
      <c r="AH232" s="44">
        <v>5</v>
      </c>
      <c r="AI232" s="42">
        <f t="shared" si="130"/>
        <v>0.52880354505169869</v>
      </c>
      <c r="AJ232" s="42">
        <f t="shared" si="131"/>
        <v>0.31757754800590843</v>
      </c>
      <c r="AK232" s="40">
        <f t="shared" si="155"/>
        <v>1.4214239290989661</v>
      </c>
      <c r="AL232" s="51">
        <v>94</v>
      </c>
      <c r="AM232" s="52">
        <f t="shared" si="156"/>
        <v>0.3732230428360413</v>
      </c>
      <c r="AN232" s="42">
        <f t="shared" si="132"/>
        <v>0.13884785819793205</v>
      </c>
      <c r="AO232" s="53">
        <f t="shared" si="133"/>
        <v>98</v>
      </c>
      <c r="AP232" s="52">
        <f t="shared" si="134"/>
        <v>0.38910487444608566</v>
      </c>
      <c r="AQ232" s="42">
        <f t="shared" si="135"/>
        <v>0.84638109305760711</v>
      </c>
      <c r="AR232" s="46">
        <v>46244</v>
      </c>
      <c r="AS232" s="46">
        <v>46245</v>
      </c>
      <c r="AT232" s="50">
        <f t="shared" si="136"/>
        <v>12</v>
      </c>
      <c r="AU232" s="50">
        <f t="shared" si="157"/>
        <v>340</v>
      </c>
      <c r="AV232" s="50">
        <f t="shared" si="137"/>
        <v>217</v>
      </c>
      <c r="AW232" s="54">
        <f t="shared" si="138"/>
        <v>123</v>
      </c>
    </row>
    <row r="233" spans="1:49" x14ac:dyDescent="0.25">
      <c r="A233" s="33" t="s">
        <v>63</v>
      </c>
      <c r="B233" s="33" t="s">
        <v>84</v>
      </c>
      <c r="C233" s="33" t="s">
        <v>87</v>
      </c>
      <c r="D233" s="33" t="s">
        <v>326</v>
      </c>
      <c r="E233" s="34">
        <f>COUNTIF('Detalle por artículo'!$K$8:$K$592,D233)</f>
        <v>1</v>
      </c>
      <c r="F233" s="35">
        <f t="shared" si="139"/>
        <v>179.20386904761901</v>
      </c>
      <c r="G233" s="36">
        <f>SUMIF('Detalle por artículo'!$K$8:$K$592,$D233,'Detalle por artículo'!$E$8:$E$592)</f>
        <v>2.6880000000000002</v>
      </c>
      <c r="H233" s="35">
        <f t="shared" si="140"/>
        <v>2</v>
      </c>
      <c r="I233" s="35">
        <f t="shared" si="141"/>
        <v>4</v>
      </c>
      <c r="J233" s="35">
        <f t="shared" si="142"/>
        <v>7</v>
      </c>
      <c r="K233" s="37">
        <f t="shared" si="143"/>
        <v>9.6000000000000002E-2</v>
      </c>
      <c r="L233" s="36">
        <f>SUMIF('Detalle por artículo'!$K$8:$K$592,$D233,'Detalle por artículo'!$O$8:$O$592)</f>
        <v>481.69999999999993</v>
      </c>
      <c r="M233" s="38">
        <f>SUMIF('Detalle por artículo'!$K$8:$K$592,$D233,'Detalle por artículo'!$I$8:$I$592)</f>
        <v>783</v>
      </c>
      <c r="N233" s="38">
        <f>SUMIF('Detalle por artículo'!$K$8:$K$592,$D233,'Detalle por artículo'!$M$8:$M$592)</f>
        <v>28</v>
      </c>
      <c r="O233" s="39">
        <f t="shared" si="144"/>
        <v>3.4329501915708813</v>
      </c>
      <c r="P233" s="40">
        <f t="shared" si="145"/>
        <v>615.19795657726684</v>
      </c>
      <c r="Q233" s="41">
        <f t="shared" si="146"/>
        <v>0.15</v>
      </c>
      <c r="R233" s="40">
        <f t="shared" si="147"/>
        <v>3.0912000000000002</v>
      </c>
      <c r="S233" s="42">
        <f>IFERROR(SUM($G$8:G233)/$G$6,0)</f>
        <v>0.87855575414114939</v>
      </c>
      <c r="T233" s="43" t="str">
        <f t="shared" si="148"/>
        <v>C</v>
      </c>
      <c r="U233" s="44">
        <v>783</v>
      </c>
      <c r="V233" s="45">
        <f t="shared" si="129"/>
        <v>0</v>
      </c>
      <c r="W233" s="46">
        <v>46266</v>
      </c>
      <c r="X233" s="46">
        <v>46266</v>
      </c>
      <c r="Y233" s="47">
        <v>0</v>
      </c>
      <c r="Z233" s="48">
        <f t="shared" si="149"/>
        <v>0</v>
      </c>
      <c r="AA233" s="49">
        <f t="shared" si="150"/>
        <v>0</v>
      </c>
      <c r="AB233" s="44">
        <v>105</v>
      </c>
      <c r="AC233" s="44">
        <f t="shared" si="151"/>
        <v>90</v>
      </c>
      <c r="AD233" s="44">
        <f t="shared" si="152"/>
        <v>6</v>
      </c>
      <c r="AE233" s="50">
        <f t="shared" si="153"/>
        <v>10</v>
      </c>
      <c r="AF233" s="41">
        <f t="shared" si="154"/>
        <v>0.2</v>
      </c>
      <c r="AG233" s="44">
        <v>2</v>
      </c>
      <c r="AH233" s="44">
        <v>7</v>
      </c>
      <c r="AI233" s="42">
        <f t="shared" si="130"/>
        <v>0.11494252873563218</v>
      </c>
      <c r="AJ233" s="42">
        <f t="shared" si="131"/>
        <v>7.6628352490421452E-3</v>
      </c>
      <c r="AK233" s="40">
        <f t="shared" si="155"/>
        <v>0.30896551724137933</v>
      </c>
      <c r="AL233" s="51">
        <v>678</v>
      </c>
      <c r="AM233" s="52">
        <f t="shared" si="156"/>
        <v>2.3275402298850576</v>
      </c>
      <c r="AN233" s="42">
        <f t="shared" si="132"/>
        <v>0.86590038314176243</v>
      </c>
      <c r="AO233" s="53">
        <f t="shared" si="133"/>
        <v>678</v>
      </c>
      <c r="AP233" s="52">
        <f t="shared" si="134"/>
        <v>2.3275402298850576</v>
      </c>
      <c r="AQ233" s="42">
        <f t="shared" si="135"/>
        <v>0.12260536398467432</v>
      </c>
      <c r="AR233" s="46">
        <v>46268</v>
      </c>
      <c r="AS233" s="46">
        <v>46268</v>
      </c>
      <c r="AT233" s="50">
        <f t="shared" si="136"/>
        <v>2</v>
      </c>
      <c r="AU233" s="50">
        <f t="shared" si="157"/>
        <v>252</v>
      </c>
      <c r="AV233" s="50">
        <f t="shared" si="137"/>
        <v>388</v>
      </c>
      <c r="AW233" s="54">
        <f t="shared" si="138"/>
        <v>-136</v>
      </c>
    </row>
    <row r="234" spans="1:49" x14ac:dyDescent="0.25">
      <c r="A234" s="33" t="s">
        <v>63</v>
      </c>
      <c r="B234" s="33" t="s">
        <v>102</v>
      </c>
      <c r="C234" s="33" t="s">
        <v>132</v>
      </c>
      <c r="D234" s="33" t="s">
        <v>327</v>
      </c>
      <c r="E234" s="34">
        <f>COUNTIF('Detalle por artículo'!$K$8:$K$592,D234)</f>
        <v>1</v>
      </c>
      <c r="F234" s="35">
        <f t="shared" si="139"/>
        <v>207.03125</v>
      </c>
      <c r="G234" s="36">
        <f>SUMIF('Detalle por artículo'!$K$8:$K$592,$D234,'Detalle por artículo'!$E$8:$E$592)</f>
        <v>2.6880000000000002</v>
      </c>
      <c r="H234" s="35">
        <f t="shared" si="140"/>
        <v>2</v>
      </c>
      <c r="I234" s="35">
        <f t="shared" si="141"/>
        <v>4</v>
      </c>
      <c r="J234" s="35">
        <f t="shared" si="142"/>
        <v>7</v>
      </c>
      <c r="K234" s="37">
        <f t="shared" si="143"/>
        <v>9.6000000000000002E-2</v>
      </c>
      <c r="L234" s="36">
        <f>SUMIF('Detalle por artículo'!$K$8:$K$592,$D234,'Detalle por artículo'!$O$8:$O$592)</f>
        <v>556.5</v>
      </c>
      <c r="M234" s="38">
        <f>SUMIF('Detalle por artículo'!$K$8:$K$592,$D234,'Detalle por artículo'!$I$8:$I$592)</f>
        <v>824</v>
      </c>
      <c r="N234" s="38">
        <f>SUMIF('Detalle por artículo'!$K$8:$K$592,$D234,'Detalle por artículo'!$M$8:$M$592)</f>
        <v>28</v>
      </c>
      <c r="O234" s="39">
        <f t="shared" si="144"/>
        <v>3.2621359223300974</v>
      </c>
      <c r="P234" s="40">
        <f t="shared" si="145"/>
        <v>675.36407766990294</v>
      </c>
      <c r="Q234" s="41">
        <f t="shared" si="146"/>
        <v>0.1</v>
      </c>
      <c r="R234" s="40">
        <f t="shared" si="147"/>
        <v>2.9568000000000003</v>
      </c>
      <c r="S234" s="42">
        <f>IFERROR(SUM($G$8:G234)/$G$6,0)</f>
        <v>0.87954349679861665</v>
      </c>
      <c r="T234" s="43" t="str">
        <f t="shared" si="148"/>
        <v>C</v>
      </c>
      <c r="U234" s="44">
        <v>824</v>
      </c>
      <c r="V234" s="45">
        <f t="shared" si="129"/>
        <v>0</v>
      </c>
      <c r="W234" s="46">
        <v>46293</v>
      </c>
      <c r="X234" s="46">
        <v>46293</v>
      </c>
      <c r="Y234" s="47">
        <v>0</v>
      </c>
      <c r="Z234" s="48">
        <f t="shared" si="149"/>
        <v>0</v>
      </c>
      <c r="AA234" s="49">
        <f t="shared" si="150"/>
        <v>0</v>
      </c>
      <c r="AB234" s="44">
        <v>0</v>
      </c>
      <c r="AC234" s="44">
        <f t="shared" si="151"/>
        <v>0</v>
      </c>
      <c r="AD234" s="44">
        <f t="shared" si="152"/>
        <v>0</v>
      </c>
      <c r="AE234" s="50">
        <f t="shared" si="153"/>
        <v>0</v>
      </c>
      <c r="AF234" s="41">
        <f t="shared" si="154"/>
        <v>0</v>
      </c>
      <c r="AG234" s="44">
        <v>0</v>
      </c>
      <c r="AH234" s="44">
        <v>0</v>
      </c>
      <c r="AI234" s="42">
        <f t="shared" si="130"/>
        <v>0</v>
      </c>
      <c r="AJ234" s="42">
        <f t="shared" si="131"/>
        <v>0</v>
      </c>
      <c r="AK234" s="40">
        <f t="shared" si="155"/>
        <v>0</v>
      </c>
      <c r="AL234" s="51">
        <v>824</v>
      </c>
      <c r="AM234" s="52">
        <f t="shared" si="156"/>
        <v>2.6880000000000006</v>
      </c>
      <c r="AN234" s="42">
        <f t="shared" si="132"/>
        <v>1</v>
      </c>
      <c r="AO234" s="53">
        <f t="shared" si="133"/>
        <v>824</v>
      </c>
      <c r="AP234" s="52">
        <f t="shared" si="134"/>
        <v>2.6880000000000006</v>
      </c>
      <c r="AQ234" s="42">
        <f t="shared" si="135"/>
        <v>0</v>
      </c>
      <c r="AR234" s="46"/>
      <c r="AS234" s="46"/>
      <c r="AT234" s="50" t="str">
        <f t="shared" si="136"/>
        <v/>
      </c>
      <c r="AU234" s="50">
        <f t="shared" si="157"/>
        <v>224</v>
      </c>
      <c r="AV234" s="50" t="str">
        <f t="shared" si="137"/>
        <v/>
      </c>
      <c r="AW234" s="54" t="str">
        <f t="shared" si="138"/>
        <v/>
      </c>
    </row>
    <row r="235" spans="1:49" x14ac:dyDescent="0.25">
      <c r="A235" s="33" t="s">
        <v>63</v>
      </c>
      <c r="B235" s="33" t="s">
        <v>64</v>
      </c>
      <c r="C235" s="33" t="s">
        <v>66</v>
      </c>
      <c r="D235" s="33" t="s">
        <v>328</v>
      </c>
      <c r="E235" s="34">
        <f>COUNTIF('Detalle por artículo'!$K$8:$K$592,D235)</f>
        <v>1</v>
      </c>
      <c r="F235" s="35">
        <f t="shared" si="139"/>
        <v>238.39285714285708</v>
      </c>
      <c r="G235" s="36">
        <f>SUMIF('Detalle por artículo'!$K$8:$K$592,$D235,'Detalle por artículo'!$E$8:$E$592)</f>
        <v>2.6880000000000002</v>
      </c>
      <c r="H235" s="35">
        <f t="shared" si="140"/>
        <v>2</v>
      </c>
      <c r="I235" s="35">
        <f t="shared" si="141"/>
        <v>4</v>
      </c>
      <c r="J235" s="35">
        <f t="shared" si="142"/>
        <v>7</v>
      </c>
      <c r="K235" s="37">
        <f t="shared" si="143"/>
        <v>9.6000000000000002E-2</v>
      </c>
      <c r="L235" s="36">
        <f>SUMIF('Detalle por artículo'!$K$8:$K$592,$D235,'Detalle por artículo'!$O$8:$O$592)</f>
        <v>640.79999999999984</v>
      </c>
      <c r="M235" s="38">
        <f>SUMIF('Detalle por artículo'!$K$8:$K$592,$D235,'Detalle por artículo'!$I$8:$I$592)</f>
        <v>633</v>
      </c>
      <c r="N235" s="38">
        <f>SUMIF('Detalle por artículo'!$K$8:$K$592,$D235,'Detalle por artículo'!$M$8:$M$592)</f>
        <v>28</v>
      </c>
      <c r="O235" s="39">
        <f t="shared" si="144"/>
        <v>4.2464454976303321</v>
      </c>
      <c r="P235" s="40">
        <f t="shared" si="145"/>
        <v>1012.3222748815164</v>
      </c>
      <c r="Q235" s="41">
        <f t="shared" si="146"/>
        <v>0.1</v>
      </c>
      <c r="R235" s="40">
        <f t="shared" si="147"/>
        <v>2.9568000000000003</v>
      </c>
      <c r="S235" s="42">
        <f>IFERROR(SUM($G$8:G235)/$G$6,0)</f>
        <v>0.88053123945608391</v>
      </c>
      <c r="T235" s="43" t="str">
        <f t="shared" si="148"/>
        <v>C</v>
      </c>
      <c r="U235" s="44">
        <v>0</v>
      </c>
      <c r="V235" s="45">
        <f t="shared" si="129"/>
        <v>-633</v>
      </c>
      <c r="W235" s="46"/>
      <c r="X235" s="46"/>
      <c r="Y235" s="47">
        <v>633</v>
      </c>
      <c r="Z235" s="48">
        <f t="shared" si="149"/>
        <v>2.6880000000000002</v>
      </c>
      <c r="AA235" s="49">
        <f t="shared" si="150"/>
        <v>9.6000000000000002E-2</v>
      </c>
      <c r="AB235" s="44">
        <v>0</v>
      </c>
      <c r="AC235" s="44">
        <f t="shared" si="151"/>
        <v>0</v>
      </c>
      <c r="AD235" s="44">
        <f t="shared" si="152"/>
        <v>0</v>
      </c>
      <c r="AE235" s="50">
        <f t="shared" si="153"/>
        <v>0</v>
      </c>
      <c r="AF235" s="41">
        <f t="shared" si="154"/>
        <v>0</v>
      </c>
      <c r="AG235" s="44">
        <v>0</v>
      </c>
      <c r="AH235" s="44">
        <v>0</v>
      </c>
      <c r="AI235" s="42">
        <f t="shared" si="130"/>
        <v>0</v>
      </c>
      <c r="AJ235" s="42">
        <f t="shared" si="131"/>
        <v>0</v>
      </c>
      <c r="AK235" s="40">
        <f t="shared" si="155"/>
        <v>0</v>
      </c>
      <c r="AL235" s="51">
        <v>0</v>
      </c>
      <c r="AM235" s="52">
        <f t="shared" si="156"/>
        <v>0</v>
      </c>
      <c r="AN235" s="42">
        <f t="shared" si="132"/>
        <v>0</v>
      </c>
      <c r="AO235" s="53">
        <f t="shared" si="133"/>
        <v>633</v>
      </c>
      <c r="AP235" s="52">
        <f t="shared" si="134"/>
        <v>2.6880000000000002</v>
      </c>
      <c r="AQ235" s="42">
        <f t="shared" si="135"/>
        <v>0</v>
      </c>
      <c r="AR235" s="46"/>
      <c r="AS235" s="46"/>
      <c r="AT235" s="50" t="str">
        <f t="shared" si="136"/>
        <v/>
      </c>
      <c r="AU235" s="50">
        <f t="shared" si="157"/>
        <v>374</v>
      </c>
      <c r="AV235" s="50" t="str">
        <f t="shared" si="137"/>
        <v/>
      </c>
      <c r="AW235" s="54" t="str">
        <f t="shared" si="138"/>
        <v/>
      </c>
    </row>
    <row r="236" spans="1:49" x14ac:dyDescent="0.25">
      <c r="A236" s="33" t="s">
        <v>55</v>
      </c>
      <c r="B236" s="33" t="s">
        <v>329</v>
      </c>
      <c r="C236" s="33" t="s">
        <v>330</v>
      </c>
      <c r="D236" s="33" t="s">
        <v>331</v>
      </c>
      <c r="E236" s="34">
        <f>COUNTIF('Detalle por artículo'!$K$8:$K$592,D236)</f>
        <v>2</v>
      </c>
      <c r="F236" s="35">
        <f t="shared" si="139"/>
        <v>159.44940476190473</v>
      </c>
      <c r="G236" s="36">
        <f>SUMIF('Detalle por artículo'!$K$8:$K$592,$D236,'Detalle por artículo'!$E$8:$E$592)</f>
        <v>2.6880000000000002</v>
      </c>
      <c r="H236" s="35">
        <f t="shared" si="140"/>
        <v>2</v>
      </c>
      <c r="I236" s="35">
        <f t="shared" si="141"/>
        <v>4</v>
      </c>
      <c r="J236" s="35">
        <f t="shared" si="142"/>
        <v>7</v>
      </c>
      <c r="K236" s="37">
        <f t="shared" si="143"/>
        <v>9.6000000000000002E-2</v>
      </c>
      <c r="L236" s="36">
        <f>SUMIF('Detalle por artículo'!$K$8:$K$592,$D236,'Detalle por artículo'!$O$8:$O$592)</f>
        <v>428.59999999999997</v>
      </c>
      <c r="M236" s="38">
        <f>SUMIF('Detalle por artículo'!$K$8:$K$592,$D236,'Detalle por artículo'!$I$8:$I$592)</f>
        <v>1705</v>
      </c>
      <c r="N236" s="38">
        <f>SUMIF('Detalle por artículo'!$K$8:$K$592,$D236,'Detalle por artículo'!$M$8:$M$592)</f>
        <v>28</v>
      </c>
      <c r="O236" s="39">
        <f t="shared" si="144"/>
        <v>1.5765395894428154</v>
      </c>
      <c r="P236" s="40">
        <f t="shared" si="145"/>
        <v>251.37829912023457</v>
      </c>
      <c r="Q236" s="41">
        <f t="shared" si="146"/>
        <v>0.15</v>
      </c>
      <c r="R236" s="40">
        <f t="shared" si="147"/>
        <v>3.0912000000000002</v>
      </c>
      <c r="S236" s="42">
        <f>IFERROR(SUM($G$8:G236)/$G$6,0)</f>
        <v>0.88151898211355117</v>
      </c>
      <c r="T236" s="43" t="str">
        <f t="shared" si="148"/>
        <v>C</v>
      </c>
      <c r="U236" s="44">
        <v>1706</v>
      </c>
      <c r="V236" s="45">
        <f t="shared" si="129"/>
        <v>1</v>
      </c>
      <c r="W236" s="46">
        <v>46219</v>
      </c>
      <c r="X236" s="46">
        <v>46219</v>
      </c>
      <c r="Y236" s="47">
        <v>0</v>
      </c>
      <c r="Z236" s="48">
        <f t="shared" si="149"/>
        <v>0</v>
      </c>
      <c r="AA236" s="49">
        <f t="shared" si="150"/>
        <v>0</v>
      </c>
      <c r="AB236" s="44">
        <v>1230</v>
      </c>
      <c r="AC236" s="44">
        <f t="shared" si="151"/>
        <v>506</v>
      </c>
      <c r="AD236" s="44">
        <f t="shared" si="152"/>
        <v>710</v>
      </c>
      <c r="AE236" s="50">
        <f t="shared" si="153"/>
        <v>49</v>
      </c>
      <c r="AF236" s="41">
        <f t="shared" si="154"/>
        <v>0.98</v>
      </c>
      <c r="AG236" s="44">
        <v>0</v>
      </c>
      <c r="AH236" s="44">
        <v>14</v>
      </c>
      <c r="AI236" s="42">
        <f t="shared" si="130"/>
        <v>0.29677419354838708</v>
      </c>
      <c r="AJ236" s="42">
        <f t="shared" si="131"/>
        <v>0.41642228739002934</v>
      </c>
      <c r="AK236" s="40">
        <f t="shared" si="155"/>
        <v>0.79772903225806457</v>
      </c>
      <c r="AL236" s="51">
        <v>475</v>
      </c>
      <c r="AM236" s="52">
        <f t="shared" si="156"/>
        <v>0.74885630498533728</v>
      </c>
      <c r="AN236" s="42">
        <f t="shared" si="132"/>
        <v>0.27842907385697541</v>
      </c>
      <c r="AO236" s="53">
        <f t="shared" si="133"/>
        <v>475</v>
      </c>
      <c r="AP236" s="52">
        <f t="shared" si="134"/>
        <v>0.74885630498533728</v>
      </c>
      <c r="AQ236" s="42">
        <f t="shared" si="135"/>
        <v>0.71319648093841648</v>
      </c>
      <c r="AR236" s="46">
        <v>46225</v>
      </c>
      <c r="AS236" s="46">
        <v>46225</v>
      </c>
      <c r="AT236" s="50">
        <f t="shared" si="136"/>
        <v>6</v>
      </c>
      <c r="AU236" s="50">
        <f t="shared" si="157"/>
        <v>66</v>
      </c>
      <c r="AV236" s="50">
        <f t="shared" si="137"/>
        <v>46</v>
      </c>
      <c r="AW236" s="54">
        <f t="shared" si="138"/>
        <v>20</v>
      </c>
    </row>
    <row r="237" spans="1:49" x14ac:dyDescent="0.25">
      <c r="A237" s="33" t="s">
        <v>63</v>
      </c>
      <c r="B237" s="33" t="s">
        <v>263</v>
      </c>
      <c r="C237" s="33" t="s">
        <v>264</v>
      </c>
      <c r="D237" s="33" t="s">
        <v>332</v>
      </c>
      <c r="E237" s="34">
        <f>COUNTIF('Detalle por artículo'!$K$8:$K$592,D237)</f>
        <v>2</v>
      </c>
      <c r="F237" s="35">
        <f t="shared" si="139"/>
        <v>178.31101190476193</v>
      </c>
      <c r="G237" s="36">
        <f>SUMIF('Detalle por artículo'!$K$8:$K$592,$D237,'Detalle por artículo'!$E$8:$E$592)</f>
        <v>2.6879999999999997</v>
      </c>
      <c r="H237" s="35">
        <f t="shared" si="140"/>
        <v>2</v>
      </c>
      <c r="I237" s="35">
        <f t="shared" si="141"/>
        <v>4</v>
      </c>
      <c r="J237" s="35">
        <f t="shared" si="142"/>
        <v>7</v>
      </c>
      <c r="K237" s="37">
        <f t="shared" si="143"/>
        <v>9.5999999999999988E-2</v>
      </c>
      <c r="L237" s="36">
        <f>SUMIF('Detalle por artículo'!$K$8:$K$592,$D237,'Detalle por artículo'!$O$8:$O$592)</f>
        <v>479.3</v>
      </c>
      <c r="M237" s="38">
        <f>SUMIF('Detalle por artículo'!$K$8:$K$592,$D237,'Detalle por artículo'!$I$8:$I$592)</f>
        <v>1462</v>
      </c>
      <c r="N237" s="38">
        <f>SUMIF('Detalle por artículo'!$K$8:$K$592,$D237,'Detalle por artículo'!$M$8:$M$592)</f>
        <v>28</v>
      </c>
      <c r="O237" s="39">
        <f t="shared" si="144"/>
        <v>1.8385772913816687</v>
      </c>
      <c r="P237" s="40">
        <f t="shared" si="145"/>
        <v>327.83857729138168</v>
      </c>
      <c r="Q237" s="41">
        <f t="shared" si="146"/>
        <v>0.15</v>
      </c>
      <c r="R237" s="40">
        <f t="shared" si="147"/>
        <v>3.0911999999999993</v>
      </c>
      <c r="S237" s="42">
        <f>IFERROR(SUM($G$8:G237)/$G$6,0)</f>
        <v>0.88250672477101844</v>
      </c>
      <c r="T237" s="43" t="str">
        <f t="shared" si="148"/>
        <v>C</v>
      </c>
      <c r="U237" s="44">
        <v>1467</v>
      </c>
      <c r="V237" s="45">
        <f t="shared" si="129"/>
        <v>5</v>
      </c>
      <c r="W237" s="46">
        <v>46252</v>
      </c>
      <c r="X237" s="46">
        <v>46252</v>
      </c>
      <c r="Y237" s="47">
        <v>1516</v>
      </c>
      <c r="Z237" s="48">
        <f t="shared" si="149"/>
        <v>2.7872831737346098</v>
      </c>
      <c r="AA237" s="49">
        <f t="shared" si="150"/>
        <v>9.9545827633378922E-2</v>
      </c>
      <c r="AB237" s="44">
        <v>1375</v>
      </c>
      <c r="AC237" s="44">
        <f t="shared" si="151"/>
        <v>942</v>
      </c>
      <c r="AD237" s="44">
        <f t="shared" si="152"/>
        <v>410</v>
      </c>
      <c r="AE237" s="50">
        <f t="shared" si="153"/>
        <v>48</v>
      </c>
      <c r="AF237" s="41">
        <f t="shared" si="154"/>
        <v>0.96</v>
      </c>
      <c r="AG237" s="44">
        <v>8</v>
      </c>
      <c r="AH237" s="44">
        <v>15</v>
      </c>
      <c r="AI237" s="42">
        <f t="shared" si="130"/>
        <v>0.64432284541723661</v>
      </c>
      <c r="AJ237" s="42">
        <f t="shared" si="131"/>
        <v>0.280437756497948</v>
      </c>
      <c r="AK237" s="40">
        <f t="shared" si="155"/>
        <v>1.7319398084815318</v>
      </c>
      <c r="AL237" s="51">
        <v>84</v>
      </c>
      <c r="AM237" s="52">
        <f t="shared" si="156"/>
        <v>0.15444049247606018</v>
      </c>
      <c r="AN237" s="42">
        <f t="shared" si="132"/>
        <v>5.7259713701431493E-2</v>
      </c>
      <c r="AO237" s="53">
        <f t="shared" si="133"/>
        <v>87</v>
      </c>
      <c r="AP237" s="52">
        <f t="shared" si="134"/>
        <v>0.15995622435020518</v>
      </c>
      <c r="AQ237" s="42">
        <f t="shared" si="135"/>
        <v>0.92476060191518472</v>
      </c>
      <c r="AR237" s="46">
        <v>46260</v>
      </c>
      <c r="AS237" s="46">
        <v>46260</v>
      </c>
      <c r="AT237" s="50">
        <f t="shared" si="136"/>
        <v>8</v>
      </c>
      <c r="AU237" s="50">
        <f t="shared" si="157"/>
        <v>104</v>
      </c>
      <c r="AV237" s="50">
        <f t="shared" si="137"/>
        <v>29</v>
      </c>
      <c r="AW237" s="54">
        <f t="shared" si="138"/>
        <v>75</v>
      </c>
    </row>
    <row r="238" spans="1:49" x14ac:dyDescent="0.25">
      <c r="A238" s="33" t="s">
        <v>63</v>
      </c>
      <c r="B238" s="33" t="s">
        <v>102</v>
      </c>
      <c r="C238" s="33" t="s">
        <v>132</v>
      </c>
      <c r="D238" s="33" t="s">
        <v>333</v>
      </c>
      <c r="E238" s="34">
        <f>COUNTIF('Detalle por artículo'!$K$8:$K$592,D238)</f>
        <v>2</v>
      </c>
      <c r="F238" s="35">
        <f t="shared" si="139"/>
        <v>236.84311102618</v>
      </c>
      <c r="G238" s="36">
        <f>SUMIF('Detalle por artículo'!$K$8:$K$592,$D238,'Detalle por artículo'!$E$8:$E$592)</f>
        <v>2.6165000000000003</v>
      </c>
      <c r="H238" s="35">
        <f t="shared" si="140"/>
        <v>2</v>
      </c>
      <c r="I238" s="35">
        <f t="shared" si="141"/>
        <v>4</v>
      </c>
      <c r="J238" s="35">
        <f t="shared" si="142"/>
        <v>7</v>
      </c>
      <c r="K238" s="37">
        <f t="shared" si="143"/>
        <v>9.3446428571428583E-2</v>
      </c>
      <c r="L238" s="36">
        <f>SUMIF('Detalle por artículo'!$K$8:$K$592,$D238,'Detalle por artículo'!$O$8:$O$592)</f>
        <v>619.70000000000005</v>
      </c>
      <c r="M238" s="38">
        <f>SUMIF('Detalle por artículo'!$K$8:$K$592,$D238,'Detalle por artículo'!$I$8:$I$592)</f>
        <v>1002</v>
      </c>
      <c r="N238" s="38">
        <f>SUMIF('Detalle por artículo'!$K$8:$K$592,$D238,'Detalle por artículo'!$M$8:$M$592)</f>
        <v>27</v>
      </c>
      <c r="O238" s="39">
        <f t="shared" si="144"/>
        <v>2.6112774451097804</v>
      </c>
      <c r="P238" s="40">
        <f t="shared" si="145"/>
        <v>618.46307385229545</v>
      </c>
      <c r="Q238" s="41">
        <f t="shared" si="146"/>
        <v>0.1</v>
      </c>
      <c r="R238" s="40">
        <f t="shared" si="147"/>
        <v>2.8781500000000007</v>
      </c>
      <c r="S238" s="42">
        <f>IFERROR(SUM($G$8:G238)/$G$6,0)</f>
        <v>0.88346819376776808</v>
      </c>
      <c r="T238" s="43" t="str">
        <f t="shared" si="148"/>
        <v>C</v>
      </c>
      <c r="U238" s="44">
        <v>1002</v>
      </c>
      <c r="V238" s="45">
        <f t="shared" si="129"/>
        <v>0</v>
      </c>
      <c r="W238" s="46">
        <v>46244</v>
      </c>
      <c r="X238" s="46">
        <v>46293</v>
      </c>
      <c r="Y238" s="47">
        <v>0</v>
      </c>
      <c r="Z238" s="48">
        <f t="shared" si="149"/>
        <v>0</v>
      </c>
      <c r="AA238" s="49">
        <f t="shared" si="150"/>
        <v>0</v>
      </c>
      <c r="AB238" s="44">
        <v>644</v>
      </c>
      <c r="AC238" s="44">
        <f t="shared" si="151"/>
        <v>454</v>
      </c>
      <c r="AD238" s="44">
        <f t="shared" si="152"/>
        <v>182</v>
      </c>
      <c r="AE238" s="50">
        <f t="shared" si="153"/>
        <v>45</v>
      </c>
      <c r="AF238" s="41">
        <f t="shared" si="154"/>
        <v>0.9</v>
      </c>
      <c r="AG238" s="44">
        <v>0</v>
      </c>
      <c r="AH238" s="44">
        <v>8</v>
      </c>
      <c r="AI238" s="42">
        <f t="shared" si="130"/>
        <v>0.45309381237524948</v>
      </c>
      <c r="AJ238" s="42">
        <f t="shared" si="131"/>
        <v>0.18163672654690619</v>
      </c>
      <c r="AK238" s="40">
        <f t="shared" si="155"/>
        <v>1.1855199600798403</v>
      </c>
      <c r="AL238" s="51">
        <v>350</v>
      </c>
      <c r="AM238" s="52">
        <f t="shared" si="156"/>
        <v>0.9139471057884232</v>
      </c>
      <c r="AN238" s="42">
        <f t="shared" si="132"/>
        <v>0.34930139720558884</v>
      </c>
      <c r="AO238" s="53">
        <f t="shared" si="133"/>
        <v>358</v>
      </c>
      <c r="AP238" s="52">
        <f t="shared" si="134"/>
        <v>0.93483732534930142</v>
      </c>
      <c r="AQ238" s="42">
        <f t="shared" si="135"/>
        <v>0.6347305389221557</v>
      </c>
      <c r="AR238" s="46">
        <v>46257</v>
      </c>
      <c r="AS238" s="46">
        <v>46258</v>
      </c>
      <c r="AT238" s="50">
        <f t="shared" si="136"/>
        <v>14</v>
      </c>
      <c r="AU238" s="50">
        <f t="shared" si="157"/>
        <v>171</v>
      </c>
      <c r="AV238" s="50">
        <f t="shared" si="137"/>
        <v>158</v>
      </c>
      <c r="AW238" s="54">
        <f t="shared" si="138"/>
        <v>13</v>
      </c>
    </row>
    <row r="239" spans="1:49" x14ac:dyDescent="0.25">
      <c r="A239" s="33" t="s">
        <v>63</v>
      </c>
      <c r="B239" s="33" t="s">
        <v>64</v>
      </c>
      <c r="C239" s="33" t="s">
        <v>66</v>
      </c>
      <c r="D239" s="33" t="s">
        <v>334</v>
      </c>
      <c r="E239" s="34">
        <f>COUNTIF('Detalle por artículo'!$K$8:$K$592,D239)</f>
        <v>1</v>
      </c>
      <c r="F239" s="35">
        <f t="shared" si="139"/>
        <v>240.47067901234561</v>
      </c>
      <c r="G239" s="36">
        <f>SUMIF('Detalle por artículo'!$K$8:$K$592,$D239,'Detalle por artículo'!$E$8:$E$592)</f>
        <v>2.592000000000001</v>
      </c>
      <c r="H239" s="35">
        <f t="shared" si="140"/>
        <v>2</v>
      </c>
      <c r="I239" s="35">
        <f t="shared" si="141"/>
        <v>4</v>
      </c>
      <c r="J239" s="35">
        <f t="shared" si="142"/>
        <v>7</v>
      </c>
      <c r="K239" s="37">
        <f t="shared" si="143"/>
        <v>9.257142857142861E-2</v>
      </c>
      <c r="L239" s="36">
        <f>SUMIF('Detalle por artículo'!$K$8:$K$592,$D239,'Detalle por artículo'!$O$8:$O$592)</f>
        <v>623.30000000000007</v>
      </c>
      <c r="M239" s="38">
        <f>SUMIF('Detalle por artículo'!$K$8:$K$592,$D239,'Detalle por artículo'!$I$8:$I$592)</f>
        <v>617</v>
      </c>
      <c r="N239" s="38">
        <f>SUMIF('Detalle por artículo'!$K$8:$K$592,$D239,'Detalle por artículo'!$M$8:$M$592)</f>
        <v>27</v>
      </c>
      <c r="O239" s="39">
        <f t="shared" si="144"/>
        <v>4.2009724473257721</v>
      </c>
      <c r="P239" s="40">
        <f t="shared" si="145"/>
        <v>1010.2106969205835</v>
      </c>
      <c r="Q239" s="41">
        <f t="shared" si="146"/>
        <v>0.1</v>
      </c>
      <c r="R239" s="40">
        <f t="shared" si="147"/>
        <v>2.8512000000000013</v>
      </c>
      <c r="S239" s="42">
        <f>IFERROR(SUM($G$8:G239)/$G$6,0)</f>
        <v>0.88442065990175445</v>
      </c>
      <c r="T239" s="43" t="str">
        <f t="shared" si="148"/>
        <v>C</v>
      </c>
      <c r="U239" s="44">
        <v>0</v>
      </c>
      <c r="V239" s="45">
        <f t="shared" si="129"/>
        <v>-617</v>
      </c>
      <c r="W239" s="46"/>
      <c r="X239" s="46"/>
      <c r="Y239" s="47">
        <v>617</v>
      </c>
      <c r="Z239" s="48">
        <f t="shared" si="149"/>
        <v>2.5920000000000014</v>
      </c>
      <c r="AA239" s="49">
        <f t="shared" si="150"/>
        <v>9.2571428571428624E-2</v>
      </c>
      <c r="AB239" s="44">
        <v>0</v>
      </c>
      <c r="AC239" s="44">
        <f t="shared" si="151"/>
        <v>0</v>
      </c>
      <c r="AD239" s="44">
        <f t="shared" si="152"/>
        <v>0</v>
      </c>
      <c r="AE239" s="50">
        <f t="shared" si="153"/>
        <v>0</v>
      </c>
      <c r="AF239" s="41">
        <f t="shared" si="154"/>
        <v>0</v>
      </c>
      <c r="AG239" s="44">
        <v>0</v>
      </c>
      <c r="AH239" s="44">
        <v>0</v>
      </c>
      <c r="AI239" s="42">
        <f t="shared" si="130"/>
        <v>0</v>
      </c>
      <c r="AJ239" s="42">
        <f t="shared" si="131"/>
        <v>0</v>
      </c>
      <c r="AK239" s="40">
        <f t="shared" si="155"/>
        <v>0</v>
      </c>
      <c r="AL239" s="51">
        <v>0</v>
      </c>
      <c r="AM239" s="52">
        <f t="shared" si="156"/>
        <v>0</v>
      </c>
      <c r="AN239" s="42">
        <f t="shared" si="132"/>
        <v>0</v>
      </c>
      <c r="AO239" s="53">
        <f t="shared" si="133"/>
        <v>617</v>
      </c>
      <c r="AP239" s="52">
        <f t="shared" si="134"/>
        <v>2.5920000000000014</v>
      </c>
      <c r="AQ239" s="42">
        <f t="shared" si="135"/>
        <v>0</v>
      </c>
      <c r="AR239" s="46"/>
      <c r="AS239" s="46"/>
      <c r="AT239" s="50" t="str">
        <f t="shared" si="136"/>
        <v/>
      </c>
      <c r="AU239" s="50">
        <f t="shared" si="157"/>
        <v>387</v>
      </c>
      <c r="AV239" s="50" t="str">
        <f t="shared" si="137"/>
        <v/>
      </c>
      <c r="AW239" s="54" t="str">
        <f t="shared" si="138"/>
        <v/>
      </c>
    </row>
    <row r="240" spans="1:49" x14ac:dyDescent="0.25">
      <c r="A240" s="33" t="s">
        <v>55</v>
      </c>
      <c r="B240" s="33" t="s">
        <v>314</v>
      </c>
      <c r="C240" s="33" t="s">
        <v>315</v>
      </c>
      <c r="D240" s="33" t="s">
        <v>335</v>
      </c>
      <c r="E240" s="34">
        <f>COUNTIF('Detalle por artículo'!$K$8:$K$592,D240)</f>
        <v>1</v>
      </c>
      <c r="F240" s="35">
        <f t="shared" si="139"/>
        <v>168.28703703703704</v>
      </c>
      <c r="G240" s="36">
        <f>SUMIF('Detalle por artículo'!$K$8:$K$592,$D240,'Detalle por artículo'!$E$8:$E$592)</f>
        <v>2.5920000000000001</v>
      </c>
      <c r="H240" s="35">
        <f t="shared" si="140"/>
        <v>2</v>
      </c>
      <c r="I240" s="35">
        <f t="shared" si="141"/>
        <v>4</v>
      </c>
      <c r="J240" s="35">
        <f t="shared" si="142"/>
        <v>7</v>
      </c>
      <c r="K240" s="37">
        <f t="shared" si="143"/>
        <v>9.2571428571428568E-2</v>
      </c>
      <c r="L240" s="36">
        <f>SUMIF('Detalle por artículo'!$K$8:$K$592,$D240,'Detalle por artículo'!$O$8:$O$592)</f>
        <v>436.20000000000005</v>
      </c>
      <c r="M240" s="38">
        <f>SUMIF('Detalle por artículo'!$K$8:$K$592,$D240,'Detalle por artículo'!$I$8:$I$592)</f>
        <v>1433</v>
      </c>
      <c r="N240" s="38">
        <f>SUMIF('Detalle por artículo'!$K$8:$K$592,$D240,'Detalle por artículo'!$M$8:$M$592)</f>
        <v>27</v>
      </c>
      <c r="O240" s="39">
        <f t="shared" si="144"/>
        <v>1.8087927424982555</v>
      </c>
      <c r="P240" s="40">
        <f t="shared" si="145"/>
        <v>304.3963712491277</v>
      </c>
      <c r="Q240" s="41">
        <f t="shared" si="146"/>
        <v>0.15</v>
      </c>
      <c r="R240" s="40">
        <f t="shared" si="147"/>
        <v>2.9807999999999999</v>
      </c>
      <c r="S240" s="42">
        <f>IFERROR(SUM($G$8:G240)/$G$6,0)</f>
        <v>0.8853731260357407</v>
      </c>
      <c r="T240" s="43" t="str">
        <f t="shared" si="148"/>
        <v>C</v>
      </c>
      <c r="U240" s="44">
        <v>1433</v>
      </c>
      <c r="V240" s="45">
        <f t="shared" si="129"/>
        <v>0</v>
      </c>
      <c r="W240" s="46">
        <v>46218</v>
      </c>
      <c r="X240" s="46">
        <v>46218</v>
      </c>
      <c r="Y240" s="47">
        <v>0</v>
      </c>
      <c r="Z240" s="48">
        <f t="shared" si="149"/>
        <v>0</v>
      </c>
      <c r="AA240" s="49">
        <f t="shared" si="150"/>
        <v>0</v>
      </c>
      <c r="AB240" s="44">
        <v>757</v>
      </c>
      <c r="AC240" s="44">
        <f t="shared" si="151"/>
        <v>402</v>
      </c>
      <c r="AD240" s="44">
        <f t="shared" si="152"/>
        <v>332</v>
      </c>
      <c r="AE240" s="50">
        <f t="shared" si="153"/>
        <v>48</v>
      </c>
      <c r="AF240" s="41">
        <f t="shared" si="154"/>
        <v>0.96</v>
      </c>
      <c r="AG240" s="44">
        <v>3</v>
      </c>
      <c r="AH240" s="44">
        <v>22</v>
      </c>
      <c r="AI240" s="42">
        <f t="shared" si="130"/>
        <v>0.28053035589672015</v>
      </c>
      <c r="AJ240" s="42">
        <f t="shared" si="131"/>
        <v>0.23168178646196791</v>
      </c>
      <c r="AK240" s="40">
        <f t="shared" si="155"/>
        <v>0.7271346824842988</v>
      </c>
      <c r="AL240" s="51">
        <v>676</v>
      </c>
      <c r="AM240" s="52">
        <f t="shared" si="156"/>
        <v>1.2227438939288207</v>
      </c>
      <c r="AN240" s="42">
        <f t="shared" si="132"/>
        <v>0.47173761339846476</v>
      </c>
      <c r="AO240" s="53">
        <f t="shared" si="133"/>
        <v>676</v>
      </c>
      <c r="AP240" s="52">
        <f t="shared" si="134"/>
        <v>1.2227438939288207</v>
      </c>
      <c r="AQ240" s="42">
        <f t="shared" si="135"/>
        <v>0.51221214235868806</v>
      </c>
      <c r="AR240" s="46">
        <v>46233</v>
      </c>
      <c r="AS240" s="46">
        <v>46234</v>
      </c>
      <c r="AT240" s="50">
        <f t="shared" si="136"/>
        <v>16</v>
      </c>
      <c r="AU240" s="50">
        <f t="shared" si="157"/>
        <v>112</v>
      </c>
      <c r="AV240" s="50">
        <f t="shared" si="137"/>
        <v>109</v>
      </c>
      <c r="AW240" s="54">
        <f t="shared" si="138"/>
        <v>3</v>
      </c>
    </row>
    <row r="241" spans="1:49" x14ac:dyDescent="0.25">
      <c r="A241" s="33" t="s">
        <v>63</v>
      </c>
      <c r="B241" s="33" t="s">
        <v>102</v>
      </c>
      <c r="C241" s="33" t="s">
        <v>132</v>
      </c>
      <c r="D241" s="33" t="s">
        <v>336</v>
      </c>
      <c r="E241" s="34">
        <f>COUNTIF('Detalle por artículo'!$K$8:$K$592,D241)</f>
        <v>1</v>
      </c>
      <c r="F241" s="35">
        <f t="shared" si="139"/>
        <v>250.2314814814815</v>
      </c>
      <c r="G241" s="36">
        <f>SUMIF('Detalle por artículo'!$K$8:$K$592,$D241,'Detalle por artículo'!$E$8:$E$592)</f>
        <v>2.5920000000000001</v>
      </c>
      <c r="H241" s="35">
        <f t="shared" si="140"/>
        <v>2</v>
      </c>
      <c r="I241" s="35">
        <f t="shared" si="141"/>
        <v>4</v>
      </c>
      <c r="J241" s="35">
        <f t="shared" si="142"/>
        <v>7</v>
      </c>
      <c r="K241" s="37">
        <f t="shared" si="143"/>
        <v>9.2571428571428568E-2</v>
      </c>
      <c r="L241" s="36">
        <f>SUMIF('Detalle por artículo'!$K$8:$K$592,$D241,'Detalle por artículo'!$O$8:$O$592)</f>
        <v>648.6</v>
      </c>
      <c r="M241" s="38">
        <f>SUMIF('Detalle por artículo'!$K$8:$K$592,$D241,'Detalle por artículo'!$I$8:$I$592)</f>
        <v>1054</v>
      </c>
      <c r="N241" s="38">
        <f>SUMIF('Detalle por artículo'!$K$8:$K$592,$D241,'Detalle por artículo'!$M$8:$M$592)</f>
        <v>27</v>
      </c>
      <c r="O241" s="39">
        <f t="shared" si="144"/>
        <v>2.4592030360531312</v>
      </c>
      <c r="P241" s="40">
        <f t="shared" si="145"/>
        <v>615.37001897533207</v>
      </c>
      <c r="Q241" s="41">
        <f t="shared" si="146"/>
        <v>0.1</v>
      </c>
      <c r="R241" s="40">
        <f t="shared" si="147"/>
        <v>2.8512000000000004</v>
      </c>
      <c r="S241" s="42">
        <f>IFERROR(SUM($G$8:G241)/$G$6,0)</f>
        <v>0.88632559216972695</v>
      </c>
      <c r="T241" s="43" t="str">
        <f t="shared" si="148"/>
        <v>C</v>
      </c>
      <c r="U241" s="44">
        <v>1054</v>
      </c>
      <c r="V241" s="45">
        <f t="shared" si="129"/>
        <v>0</v>
      </c>
      <c r="W241" s="46">
        <v>46237</v>
      </c>
      <c r="X241" s="46">
        <v>46237</v>
      </c>
      <c r="Y241" s="47">
        <v>0</v>
      </c>
      <c r="Z241" s="48">
        <f t="shared" si="149"/>
        <v>0</v>
      </c>
      <c r="AA241" s="49">
        <f t="shared" si="150"/>
        <v>0</v>
      </c>
      <c r="AB241" s="44">
        <v>603</v>
      </c>
      <c r="AC241" s="44">
        <f t="shared" si="151"/>
        <v>466</v>
      </c>
      <c r="AD241" s="44">
        <f t="shared" si="152"/>
        <v>127</v>
      </c>
      <c r="AE241" s="50">
        <f t="shared" si="153"/>
        <v>48</v>
      </c>
      <c r="AF241" s="41">
        <f t="shared" si="154"/>
        <v>0.96</v>
      </c>
      <c r="AG241" s="44">
        <v>1</v>
      </c>
      <c r="AH241" s="44">
        <v>9</v>
      </c>
      <c r="AI241" s="42">
        <f t="shared" si="130"/>
        <v>0.44212523719165087</v>
      </c>
      <c r="AJ241" s="42">
        <f t="shared" si="131"/>
        <v>0.1204933586337761</v>
      </c>
      <c r="AK241" s="40">
        <f t="shared" si="155"/>
        <v>1.145988614800759</v>
      </c>
      <c r="AL241" s="51">
        <v>443</v>
      </c>
      <c r="AM241" s="52">
        <f t="shared" si="156"/>
        <v>1.089426944971537</v>
      </c>
      <c r="AN241" s="42">
        <f t="shared" si="132"/>
        <v>0.42030360531309297</v>
      </c>
      <c r="AO241" s="53">
        <f t="shared" si="133"/>
        <v>451</v>
      </c>
      <c r="AP241" s="52">
        <f t="shared" si="134"/>
        <v>1.1091005692599623</v>
      </c>
      <c r="AQ241" s="42">
        <f t="shared" si="135"/>
        <v>0.56261859582542695</v>
      </c>
      <c r="AR241" s="46">
        <v>46262</v>
      </c>
      <c r="AS241" s="46">
        <v>46262</v>
      </c>
      <c r="AT241" s="50">
        <f t="shared" si="136"/>
        <v>25</v>
      </c>
      <c r="AU241" s="50">
        <f t="shared" si="157"/>
        <v>157</v>
      </c>
      <c r="AV241" s="50">
        <f t="shared" si="137"/>
        <v>187</v>
      </c>
      <c r="AW241" s="54">
        <f t="shared" si="138"/>
        <v>-30</v>
      </c>
    </row>
    <row r="242" spans="1:49" x14ac:dyDescent="0.25">
      <c r="A242" s="33" t="s">
        <v>55</v>
      </c>
      <c r="B242" s="33" t="s">
        <v>99</v>
      </c>
      <c r="C242" s="33" t="s">
        <v>100</v>
      </c>
      <c r="D242" s="33" t="s">
        <v>337</v>
      </c>
      <c r="E242" s="34">
        <f>COUNTIF('Detalle por artículo'!$K$8:$K$592,D242)</f>
        <v>1</v>
      </c>
      <c r="F242" s="35">
        <f t="shared" si="139"/>
        <v>81.404320987654316</v>
      </c>
      <c r="G242" s="36">
        <f>SUMIF('Detalle por artículo'!$K$8:$K$592,$D242,'Detalle por artículo'!$E$8:$E$592)</f>
        <v>2.5920000000000001</v>
      </c>
      <c r="H242" s="35">
        <f t="shared" si="140"/>
        <v>2</v>
      </c>
      <c r="I242" s="35">
        <f t="shared" si="141"/>
        <v>4</v>
      </c>
      <c r="J242" s="35">
        <f t="shared" si="142"/>
        <v>7</v>
      </c>
      <c r="K242" s="37">
        <f t="shared" si="143"/>
        <v>9.2571428571428568E-2</v>
      </c>
      <c r="L242" s="36">
        <f>SUMIF('Detalle por artículo'!$K$8:$K$592,$D242,'Detalle por artículo'!$O$8:$O$592)</f>
        <v>211</v>
      </c>
      <c r="M242" s="38">
        <f>SUMIF('Detalle por artículo'!$K$8:$K$592,$D242,'Detalle por artículo'!$I$8:$I$592)</f>
        <v>553</v>
      </c>
      <c r="N242" s="38">
        <f>SUMIF('Detalle por artículo'!$K$8:$K$592,$D242,'Detalle por artículo'!$M$8:$M$592)</f>
        <v>27</v>
      </c>
      <c r="O242" s="39">
        <f t="shared" si="144"/>
        <v>4.687160940325497</v>
      </c>
      <c r="P242" s="40">
        <f t="shared" si="145"/>
        <v>381.55515370705245</v>
      </c>
      <c r="Q242" s="41">
        <f t="shared" si="146"/>
        <v>0.2</v>
      </c>
      <c r="R242" s="40">
        <f t="shared" si="147"/>
        <v>3.1103999999999998</v>
      </c>
      <c r="S242" s="42">
        <f>IFERROR(SUM($G$8:G242)/$G$6,0)</f>
        <v>0.88727805830371331</v>
      </c>
      <c r="T242" s="43" t="str">
        <f t="shared" si="148"/>
        <v>C</v>
      </c>
      <c r="U242" s="44">
        <v>553</v>
      </c>
      <c r="V242" s="45">
        <f t="shared" si="129"/>
        <v>0</v>
      </c>
      <c r="W242" s="46">
        <v>46238</v>
      </c>
      <c r="X242" s="46">
        <v>46238</v>
      </c>
      <c r="Y242" s="47">
        <v>0</v>
      </c>
      <c r="Z242" s="48">
        <f t="shared" si="149"/>
        <v>0</v>
      </c>
      <c r="AA242" s="49">
        <f t="shared" si="150"/>
        <v>0</v>
      </c>
      <c r="AB242" s="44">
        <v>399</v>
      </c>
      <c r="AC242" s="44">
        <f t="shared" si="151"/>
        <v>341</v>
      </c>
      <c r="AD242" s="44">
        <f t="shared" si="152"/>
        <v>35</v>
      </c>
      <c r="AE242" s="50">
        <f t="shared" si="153"/>
        <v>47</v>
      </c>
      <c r="AF242" s="41">
        <f t="shared" si="154"/>
        <v>0.94</v>
      </c>
      <c r="AG242" s="44">
        <v>4</v>
      </c>
      <c r="AH242" s="44">
        <v>19</v>
      </c>
      <c r="AI242" s="42">
        <f t="shared" si="130"/>
        <v>0.6166365280289331</v>
      </c>
      <c r="AJ242" s="42">
        <f t="shared" si="131"/>
        <v>6.3291139240506333E-2</v>
      </c>
      <c r="AK242" s="40">
        <f t="shared" si="155"/>
        <v>1.5983218806509945</v>
      </c>
      <c r="AL242" s="51">
        <v>152</v>
      </c>
      <c r="AM242" s="52">
        <f t="shared" si="156"/>
        <v>0.71244846292947561</v>
      </c>
      <c r="AN242" s="42">
        <f t="shared" si="132"/>
        <v>0.27486437613019893</v>
      </c>
      <c r="AO242" s="53">
        <f t="shared" si="133"/>
        <v>154</v>
      </c>
      <c r="AP242" s="52">
        <f t="shared" si="134"/>
        <v>0.72182278481012652</v>
      </c>
      <c r="AQ242" s="42">
        <f t="shared" si="135"/>
        <v>0.67992766726943943</v>
      </c>
      <c r="AR242" s="46">
        <v>46254</v>
      </c>
      <c r="AS242" s="46">
        <v>46255</v>
      </c>
      <c r="AT242" s="50">
        <f t="shared" si="136"/>
        <v>17</v>
      </c>
      <c r="AU242" s="50">
        <f t="shared" si="157"/>
        <v>413</v>
      </c>
      <c r="AV242" s="50">
        <f t="shared" si="137"/>
        <v>324</v>
      </c>
      <c r="AW242" s="54">
        <f t="shared" si="138"/>
        <v>89</v>
      </c>
    </row>
    <row r="243" spans="1:49" x14ac:dyDescent="0.25">
      <c r="A243" s="33" t="s">
        <v>63</v>
      </c>
      <c r="B243" s="33" t="s">
        <v>110</v>
      </c>
      <c r="C243" s="33" t="s">
        <v>100</v>
      </c>
      <c r="D243" s="33" t="s">
        <v>338</v>
      </c>
      <c r="E243" s="34">
        <f>COUNTIF('Detalle por artículo'!$K$8:$K$592,D243)</f>
        <v>1</v>
      </c>
      <c r="F243" s="35">
        <f t="shared" si="139"/>
        <v>156.71296296296296</v>
      </c>
      <c r="G243" s="36">
        <f>SUMIF('Detalle por artículo'!$K$8:$K$592,$D243,'Detalle por artículo'!$E$8:$E$592)</f>
        <v>2.5920000000000001</v>
      </c>
      <c r="H243" s="35">
        <f t="shared" si="140"/>
        <v>2</v>
      </c>
      <c r="I243" s="35">
        <f t="shared" si="141"/>
        <v>4</v>
      </c>
      <c r="J243" s="35">
        <f t="shared" si="142"/>
        <v>7</v>
      </c>
      <c r="K243" s="37">
        <f t="shared" si="143"/>
        <v>9.2571428571428568E-2</v>
      </c>
      <c r="L243" s="36">
        <f>SUMIF('Detalle por artículo'!$K$8:$K$592,$D243,'Detalle por artículo'!$O$8:$O$592)</f>
        <v>406.20000000000005</v>
      </c>
      <c r="M243" s="38">
        <f>SUMIF('Detalle por artículo'!$K$8:$K$592,$D243,'Detalle por artículo'!$I$8:$I$592)</f>
        <v>687</v>
      </c>
      <c r="N243" s="38">
        <f>SUMIF('Detalle por artículo'!$K$8:$K$592,$D243,'Detalle por artículo'!$M$8:$M$592)</f>
        <v>27</v>
      </c>
      <c r="O243" s="39">
        <f t="shared" si="144"/>
        <v>3.7729257641921401</v>
      </c>
      <c r="P243" s="40">
        <f t="shared" si="145"/>
        <v>591.26637554585159</v>
      </c>
      <c r="Q243" s="41">
        <f t="shared" si="146"/>
        <v>0.15</v>
      </c>
      <c r="R243" s="40">
        <f t="shared" si="147"/>
        <v>2.9807999999999999</v>
      </c>
      <c r="S243" s="42">
        <f>IFERROR(SUM($G$8:G243)/$G$6,0)</f>
        <v>0.88823052443769956</v>
      </c>
      <c r="T243" s="43" t="str">
        <f t="shared" si="148"/>
        <v>C</v>
      </c>
      <c r="U243" s="44">
        <v>687</v>
      </c>
      <c r="V243" s="45">
        <f t="shared" si="129"/>
        <v>0</v>
      </c>
      <c r="W243" s="46">
        <v>46275</v>
      </c>
      <c r="X243" s="46">
        <v>46275</v>
      </c>
      <c r="Y243" s="47">
        <v>0</v>
      </c>
      <c r="Z243" s="48">
        <f t="shared" si="149"/>
        <v>0</v>
      </c>
      <c r="AA243" s="49">
        <f t="shared" si="150"/>
        <v>0</v>
      </c>
      <c r="AB243" s="44">
        <v>245</v>
      </c>
      <c r="AC243" s="44">
        <f t="shared" si="151"/>
        <v>215</v>
      </c>
      <c r="AD243" s="44">
        <f t="shared" si="152"/>
        <v>23</v>
      </c>
      <c r="AE243" s="50">
        <f t="shared" si="153"/>
        <v>27</v>
      </c>
      <c r="AF243" s="41">
        <f t="shared" si="154"/>
        <v>0.54</v>
      </c>
      <c r="AG243" s="44">
        <v>0</v>
      </c>
      <c r="AH243" s="44">
        <v>7</v>
      </c>
      <c r="AI243" s="42">
        <f t="shared" si="130"/>
        <v>0.31295487627365359</v>
      </c>
      <c r="AJ243" s="42">
        <f t="shared" si="131"/>
        <v>3.3478893740902474E-2</v>
      </c>
      <c r="AK243" s="40">
        <f t="shared" si="155"/>
        <v>0.81117903930131008</v>
      </c>
      <c r="AL243" s="51">
        <v>442</v>
      </c>
      <c r="AM243" s="52">
        <f t="shared" si="156"/>
        <v>1.667633187772926</v>
      </c>
      <c r="AN243" s="42">
        <f t="shared" si="132"/>
        <v>0.64337700145560406</v>
      </c>
      <c r="AO243" s="53">
        <f t="shared" si="133"/>
        <v>442</v>
      </c>
      <c r="AP243" s="52">
        <f t="shared" si="134"/>
        <v>1.667633187772926</v>
      </c>
      <c r="AQ243" s="42">
        <f t="shared" si="135"/>
        <v>0.34643377001455605</v>
      </c>
      <c r="AR243" s="46">
        <v>46281</v>
      </c>
      <c r="AS243" s="46">
        <v>46283</v>
      </c>
      <c r="AT243" s="50">
        <f t="shared" si="136"/>
        <v>8</v>
      </c>
      <c r="AU243" s="50">
        <f t="shared" si="157"/>
        <v>327</v>
      </c>
      <c r="AV243" s="50">
        <f t="shared" si="137"/>
        <v>372</v>
      </c>
      <c r="AW243" s="54">
        <f t="shared" si="138"/>
        <v>-45</v>
      </c>
    </row>
    <row r="244" spans="1:49" x14ac:dyDescent="0.25">
      <c r="A244" s="33" t="s">
        <v>138</v>
      </c>
      <c r="B244" s="33" t="s">
        <v>139</v>
      </c>
      <c r="C244" s="33" t="s">
        <v>122</v>
      </c>
      <c r="D244" s="33" t="s">
        <v>339</v>
      </c>
      <c r="E244" s="34">
        <f>COUNTIF('Detalle por artículo'!$K$8:$K$592,D244)</f>
        <v>1</v>
      </c>
      <c r="F244" s="35">
        <f t="shared" si="139"/>
        <v>118.75</v>
      </c>
      <c r="G244" s="36">
        <f>SUMIF('Detalle por artículo'!$K$8:$K$592,$D244,'Detalle por artículo'!$E$8:$E$592)</f>
        <v>2.5920000000000001</v>
      </c>
      <c r="H244" s="35">
        <f t="shared" si="140"/>
        <v>2</v>
      </c>
      <c r="I244" s="35">
        <f t="shared" si="141"/>
        <v>4</v>
      </c>
      <c r="J244" s="35">
        <f t="shared" si="142"/>
        <v>7</v>
      </c>
      <c r="K244" s="37">
        <f t="shared" si="143"/>
        <v>9.2571428571428568E-2</v>
      </c>
      <c r="L244" s="36">
        <f>SUMIF('Detalle por artículo'!$K$8:$K$592,$D244,'Detalle por artículo'!$O$8:$O$592)</f>
        <v>307.8</v>
      </c>
      <c r="M244" s="38">
        <f>SUMIF('Detalle por artículo'!$K$8:$K$592,$D244,'Detalle por artículo'!$I$8:$I$592)</f>
        <v>498</v>
      </c>
      <c r="N244" s="38">
        <f>SUMIF('Detalle por artículo'!$K$8:$K$592,$D244,'Detalle por artículo'!$M$8:$M$592)</f>
        <v>27</v>
      </c>
      <c r="O244" s="39">
        <f t="shared" si="144"/>
        <v>5.2048192771084336</v>
      </c>
      <c r="P244" s="40">
        <f t="shared" si="145"/>
        <v>618.07228915662654</v>
      </c>
      <c r="Q244" s="41">
        <f t="shared" si="146"/>
        <v>0.2</v>
      </c>
      <c r="R244" s="40">
        <f t="shared" si="147"/>
        <v>3.1103999999999998</v>
      </c>
      <c r="S244" s="42">
        <f>IFERROR(SUM($G$8:G244)/$G$6,0)</f>
        <v>0.88918299057168593</v>
      </c>
      <c r="T244" s="43" t="str">
        <f t="shared" si="148"/>
        <v>C</v>
      </c>
      <c r="U244" s="44">
        <v>504</v>
      </c>
      <c r="V244" s="45">
        <f t="shared" si="129"/>
        <v>6</v>
      </c>
      <c r="W244" s="46">
        <v>46281</v>
      </c>
      <c r="X244" s="46">
        <v>46300</v>
      </c>
      <c r="Y244" s="47">
        <v>0</v>
      </c>
      <c r="Z244" s="48">
        <f t="shared" si="149"/>
        <v>0</v>
      </c>
      <c r="AA244" s="49">
        <f t="shared" si="150"/>
        <v>0</v>
      </c>
      <c r="AB244" s="44">
        <v>224</v>
      </c>
      <c r="AC244" s="44">
        <f t="shared" si="151"/>
        <v>210</v>
      </c>
      <c r="AD244" s="44">
        <f t="shared" si="152"/>
        <v>8</v>
      </c>
      <c r="AE244" s="50">
        <f t="shared" si="153"/>
        <v>33</v>
      </c>
      <c r="AF244" s="41">
        <f t="shared" si="154"/>
        <v>0.66</v>
      </c>
      <c r="AG244" s="44">
        <v>0</v>
      </c>
      <c r="AH244" s="44">
        <v>6</v>
      </c>
      <c r="AI244" s="42">
        <f t="shared" si="130"/>
        <v>0.42168674698795183</v>
      </c>
      <c r="AJ244" s="42">
        <f t="shared" si="131"/>
        <v>1.6064257028112448E-2</v>
      </c>
      <c r="AK244" s="40">
        <f t="shared" si="155"/>
        <v>1.093012048192771</v>
      </c>
      <c r="AL244" s="51">
        <v>280</v>
      </c>
      <c r="AM244" s="52">
        <f t="shared" si="156"/>
        <v>1.4573493975903613</v>
      </c>
      <c r="AN244" s="42">
        <f t="shared" si="132"/>
        <v>0.55555555555555558</v>
      </c>
      <c r="AO244" s="53">
        <f t="shared" si="133"/>
        <v>274</v>
      </c>
      <c r="AP244" s="52">
        <f t="shared" si="134"/>
        <v>1.4261204819277109</v>
      </c>
      <c r="AQ244" s="42">
        <f t="shared" si="135"/>
        <v>0.43775100401606426</v>
      </c>
      <c r="AR244" s="46">
        <v>46281</v>
      </c>
      <c r="AS244" s="46">
        <v>46283</v>
      </c>
      <c r="AT244" s="50">
        <f t="shared" si="136"/>
        <v>2</v>
      </c>
      <c r="AU244" s="50">
        <f t="shared" si="157"/>
        <v>430</v>
      </c>
      <c r="AV244" s="50">
        <f t="shared" si="137"/>
        <v>377</v>
      </c>
      <c r="AW244" s="54">
        <f t="shared" si="138"/>
        <v>53</v>
      </c>
    </row>
    <row r="245" spans="1:49" x14ac:dyDescent="0.25">
      <c r="A245" s="33" t="s">
        <v>63</v>
      </c>
      <c r="B245" s="33" t="s">
        <v>84</v>
      </c>
      <c r="C245" s="33" t="s">
        <v>94</v>
      </c>
      <c r="D245" s="33" t="s">
        <v>340</v>
      </c>
      <c r="E245" s="34">
        <f>COUNTIF('Detalle por artículo'!$K$8:$K$592,D245)</f>
        <v>1</v>
      </c>
      <c r="F245" s="35">
        <f t="shared" si="139"/>
        <v>157.52314814814815</v>
      </c>
      <c r="G245" s="36">
        <f>SUMIF('Detalle por artículo'!$K$8:$K$592,$D245,'Detalle por artículo'!$E$8:$E$592)</f>
        <v>2.5920000000000001</v>
      </c>
      <c r="H245" s="35">
        <f t="shared" si="140"/>
        <v>2</v>
      </c>
      <c r="I245" s="35">
        <f t="shared" si="141"/>
        <v>4</v>
      </c>
      <c r="J245" s="35">
        <f t="shared" si="142"/>
        <v>7</v>
      </c>
      <c r="K245" s="37">
        <f t="shared" si="143"/>
        <v>9.2571428571428568E-2</v>
      </c>
      <c r="L245" s="36">
        <f>SUMIF('Detalle por artículo'!$K$8:$K$592,$D245,'Detalle por artículo'!$O$8:$O$592)</f>
        <v>408.3</v>
      </c>
      <c r="M245" s="38">
        <f>SUMIF('Detalle por artículo'!$K$8:$K$592,$D245,'Detalle por artículo'!$I$8:$I$592)</f>
        <v>857</v>
      </c>
      <c r="N245" s="38">
        <f>SUMIF('Detalle por artículo'!$K$8:$K$592,$D245,'Detalle por artículo'!$M$8:$M$592)</f>
        <v>27</v>
      </c>
      <c r="O245" s="39">
        <f t="shared" si="144"/>
        <v>3.0245040840140023</v>
      </c>
      <c r="P245" s="40">
        <f t="shared" si="145"/>
        <v>476.42940490081679</v>
      </c>
      <c r="Q245" s="41">
        <f t="shared" si="146"/>
        <v>0.15</v>
      </c>
      <c r="R245" s="40">
        <f t="shared" si="147"/>
        <v>2.9807999999999999</v>
      </c>
      <c r="S245" s="42">
        <f>IFERROR(SUM($G$8:G245)/$G$6,0)</f>
        <v>0.89013545670567218</v>
      </c>
      <c r="T245" s="43" t="str">
        <f t="shared" si="148"/>
        <v>C</v>
      </c>
      <c r="U245" s="44">
        <v>857</v>
      </c>
      <c r="V245" s="45">
        <f t="shared" si="129"/>
        <v>0</v>
      </c>
      <c r="W245" s="46">
        <v>46266</v>
      </c>
      <c r="X245" s="46">
        <v>46266</v>
      </c>
      <c r="Y245" s="47">
        <v>0</v>
      </c>
      <c r="Z245" s="48">
        <f t="shared" si="149"/>
        <v>0</v>
      </c>
      <c r="AA245" s="49">
        <f t="shared" si="150"/>
        <v>0</v>
      </c>
      <c r="AB245" s="44">
        <v>692</v>
      </c>
      <c r="AC245" s="44">
        <f t="shared" si="151"/>
        <v>363</v>
      </c>
      <c r="AD245" s="44">
        <f t="shared" si="152"/>
        <v>315</v>
      </c>
      <c r="AE245" s="50">
        <f t="shared" si="153"/>
        <v>49</v>
      </c>
      <c r="AF245" s="41">
        <f t="shared" si="154"/>
        <v>0.98</v>
      </c>
      <c r="AG245" s="44">
        <v>7</v>
      </c>
      <c r="AH245" s="44">
        <v>7</v>
      </c>
      <c r="AI245" s="42">
        <f t="shared" si="130"/>
        <v>0.42357059509918321</v>
      </c>
      <c r="AJ245" s="42">
        <f t="shared" si="131"/>
        <v>0.36756126021003499</v>
      </c>
      <c r="AK245" s="40">
        <f t="shared" si="155"/>
        <v>1.0978949824970827</v>
      </c>
      <c r="AL245" s="51">
        <v>165</v>
      </c>
      <c r="AM245" s="52">
        <f t="shared" si="156"/>
        <v>0.49904317386231034</v>
      </c>
      <c r="AN245" s="42">
        <f t="shared" si="132"/>
        <v>0.19253208868144692</v>
      </c>
      <c r="AO245" s="53">
        <f t="shared" si="133"/>
        <v>165</v>
      </c>
      <c r="AP245" s="52">
        <f t="shared" si="134"/>
        <v>0.49904317386231034</v>
      </c>
      <c r="AQ245" s="42">
        <f t="shared" si="135"/>
        <v>0.79113185530921826</v>
      </c>
      <c r="AR245" s="46">
        <v>46268</v>
      </c>
      <c r="AS245" s="46">
        <v>46268</v>
      </c>
      <c r="AT245" s="50">
        <f t="shared" si="136"/>
        <v>2</v>
      </c>
      <c r="AU245" s="50">
        <f t="shared" si="157"/>
        <v>211</v>
      </c>
      <c r="AV245" s="50">
        <f t="shared" si="137"/>
        <v>123</v>
      </c>
      <c r="AW245" s="54">
        <f t="shared" si="138"/>
        <v>88</v>
      </c>
    </row>
    <row r="246" spans="1:49" x14ac:dyDescent="0.25">
      <c r="A246" s="33" t="s">
        <v>63</v>
      </c>
      <c r="B246" s="33" t="s">
        <v>84</v>
      </c>
      <c r="C246" s="33" t="s">
        <v>85</v>
      </c>
      <c r="D246" s="33" t="s">
        <v>341</v>
      </c>
      <c r="E246" s="34">
        <f>COUNTIF('Detalle por artículo'!$K$8:$K$592,D246)</f>
        <v>1</v>
      </c>
      <c r="F246" s="35">
        <f t="shared" si="139"/>
        <v>169.21296296296296</v>
      </c>
      <c r="G246" s="36">
        <f>SUMIF('Detalle por artículo'!$K$8:$K$592,$D246,'Detalle por artículo'!$E$8:$E$592)</f>
        <v>2.5920000000000001</v>
      </c>
      <c r="H246" s="35">
        <f t="shared" si="140"/>
        <v>2</v>
      </c>
      <c r="I246" s="35">
        <f t="shared" si="141"/>
        <v>4</v>
      </c>
      <c r="J246" s="35">
        <f t="shared" si="142"/>
        <v>7</v>
      </c>
      <c r="K246" s="37">
        <f t="shared" si="143"/>
        <v>9.2571428571428568E-2</v>
      </c>
      <c r="L246" s="36">
        <f>SUMIF('Detalle por artículo'!$K$8:$K$592,$D246,'Detalle por artículo'!$O$8:$O$592)</f>
        <v>438.6</v>
      </c>
      <c r="M246" s="38">
        <f>SUMIF('Detalle por artículo'!$K$8:$K$592,$D246,'Detalle por artículo'!$I$8:$I$592)</f>
        <v>733</v>
      </c>
      <c r="N246" s="38">
        <f>SUMIF('Detalle por artículo'!$K$8:$K$592,$D246,'Detalle por artículo'!$M$8:$M$592)</f>
        <v>27</v>
      </c>
      <c r="O246" s="39">
        <f t="shared" si="144"/>
        <v>3.5361527967257844</v>
      </c>
      <c r="P246" s="40">
        <f t="shared" si="145"/>
        <v>598.36289222373807</v>
      </c>
      <c r="Q246" s="41">
        <f t="shared" si="146"/>
        <v>0.15</v>
      </c>
      <c r="R246" s="40">
        <f t="shared" si="147"/>
        <v>2.9807999999999999</v>
      </c>
      <c r="S246" s="42">
        <f>IFERROR(SUM($G$8:G246)/$G$6,0)</f>
        <v>0.89108792283965843</v>
      </c>
      <c r="T246" s="43" t="str">
        <f t="shared" si="148"/>
        <v>C</v>
      </c>
      <c r="U246" s="44">
        <v>733</v>
      </c>
      <c r="V246" s="45">
        <f t="shared" si="129"/>
        <v>0</v>
      </c>
      <c r="W246" s="46">
        <v>46266</v>
      </c>
      <c r="X246" s="46">
        <v>46266</v>
      </c>
      <c r="Y246" s="47">
        <v>0</v>
      </c>
      <c r="Z246" s="48">
        <f t="shared" si="149"/>
        <v>0</v>
      </c>
      <c r="AA246" s="49">
        <f t="shared" si="150"/>
        <v>0</v>
      </c>
      <c r="AB246" s="44">
        <v>397</v>
      </c>
      <c r="AC246" s="44">
        <f t="shared" si="151"/>
        <v>227</v>
      </c>
      <c r="AD246" s="44">
        <f t="shared" si="152"/>
        <v>159</v>
      </c>
      <c r="AE246" s="50">
        <f t="shared" si="153"/>
        <v>30</v>
      </c>
      <c r="AF246" s="41">
        <f t="shared" si="154"/>
        <v>0.6</v>
      </c>
      <c r="AG246" s="44">
        <v>5</v>
      </c>
      <c r="AH246" s="44">
        <v>7</v>
      </c>
      <c r="AI246" s="42">
        <f t="shared" si="130"/>
        <v>0.30968622100954979</v>
      </c>
      <c r="AJ246" s="42">
        <f t="shared" si="131"/>
        <v>0.21691678035470668</v>
      </c>
      <c r="AK246" s="40">
        <f t="shared" si="155"/>
        <v>0.80270668485675312</v>
      </c>
      <c r="AL246" s="51">
        <v>336</v>
      </c>
      <c r="AM246" s="52">
        <f t="shared" si="156"/>
        <v>1.1881473396998636</v>
      </c>
      <c r="AN246" s="42">
        <f t="shared" si="132"/>
        <v>0.45839017735334242</v>
      </c>
      <c r="AO246" s="53">
        <f t="shared" si="133"/>
        <v>336</v>
      </c>
      <c r="AP246" s="52">
        <f t="shared" si="134"/>
        <v>1.1881473396998636</v>
      </c>
      <c r="AQ246" s="42">
        <f t="shared" si="135"/>
        <v>0.52660300136425653</v>
      </c>
      <c r="AR246" s="46">
        <v>46268</v>
      </c>
      <c r="AS246" s="46">
        <v>46268</v>
      </c>
      <c r="AT246" s="50">
        <f t="shared" si="136"/>
        <v>2</v>
      </c>
      <c r="AU246" s="50">
        <f t="shared" si="157"/>
        <v>293</v>
      </c>
      <c r="AV246" s="50">
        <f t="shared" si="137"/>
        <v>325</v>
      </c>
      <c r="AW246" s="54">
        <f t="shared" si="138"/>
        <v>-32</v>
      </c>
    </row>
    <row r="247" spans="1:49" x14ac:dyDescent="0.25">
      <c r="A247" s="33" t="s">
        <v>55</v>
      </c>
      <c r="B247" s="33" t="s">
        <v>99</v>
      </c>
      <c r="C247" s="33" t="s">
        <v>100</v>
      </c>
      <c r="D247" s="33" t="s">
        <v>342</v>
      </c>
      <c r="E247" s="34">
        <f>COUNTIF('Detalle por artículo'!$K$8:$K$592,D247)</f>
        <v>1</v>
      </c>
      <c r="F247" s="35">
        <f t="shared" si="139"/>
        <v>73.032407407407405</v>
      </c>
      <c r="G247" s="36">
        <f>SUMIF('Detalle por artículo'!$K$8:$K$592,$D247,'Detalle por artículo'!$E$8:$E$592)</f>
        <v>2.5920000000000001</v>
      </c>
      <c r="H247" s="35">
        <f t="shared" si="140"/>
        <v>2</v>
      </c>
      <c r="I247" s="35">
        <f t="shared" si="141"/>
        <v>4</v>
      </c>
      <c r="J247" s="35">
        <f t="shared" si="142"/>
        <v>7</v>
      </c>
      <c r="K247" s="37">
        <f t="shared" si="143"/>
        <v>9.2571428571428568E-2</v>
      </c>
      <c r="L247" s="36">
        <f>SUMIF('Detalle por artículo'!$K$8:$K$592,$D247,'Detalle por artículo'!$O$8:$O$592)</f>
        <v>189.29999999999998</v>
      </c>
      <c r="M247" s="38">
        <f>SUMIF('Detalle por artículo'!$K$8:$K$592,$D247,'Detalle por artículo'!$I$8:$I$592)</f>
        <v>759</v>
      </c>
      <c r="N247" s="38">
        <f>SUMIF('Detalle por artículo'!$K$8:$K$592,$D247,'Detalle por artículo'!$M$8:$M$592)</f>
        <v>27</v>
      </c>
      <c r="O247" s="39">
        <f t="shared" si="144"/>
        <v>3.4150197628458501</v>
      </c>
      <c r="P247" s="40">
        <f t="shared" si="145"/>
        <v>249.40711462450591</v>
      </c>
      <c r="Q247" s="41">
        <f t="shared" si="146"/>
        <v>0.2</v>
      </c>
      <c r="R247" s="40">
        <f t="shared" si="147"/>
        <v>3.1103999999999998</v>
      </c>
      <c r="S247" s="42">
        <f>IFERROR(SUM($G$8:G247)/$G$6,0)</f>
        <v>0.89204038897364479</v>
      </c>
      <c r="T247" s="43" t="str">
        <f t="shared" si="148"/>
        <v>C</v>
      </c>
      <c r="U247" s="44">
        <v>759</v>
      </c>
      <c r="V247" s="45">
        <f t="shared" si="129"/>
        <v>0</v>
      </c>
      <c r="W247" s="46">
        <v>46260</v>
      </c>
      <c r="X247" s="46">
        <v>46260</v>
      </c>
      <c r="Y247" s="47">
        <v>0</v>
      </c>
      <c r="Z247" s="48">
        <f t="shared" si="149"/>
        <v>0</v>
      </c>
      <c r="AA247" s="49">
        <f t="shared" si="150"/>
        <v>0</v>
      </c>
      <c r="AB247" s="44">
        <v>475</v>
      </c>
      <c r="AC247" s="44">
        <f t="shared" si="151"/>
        <v>408</v>
      </c>
      <c r="AD247" s="44">
        <f t="shared" si="152"/>
        <v>58</v>
      </c>
      <c r="AE247" s="50">
        <f t="shared" si="153"/>
        <v>47</v>
      </c>
      <c r="AF247" s="41">
        <f t="shared" si="154"/>
        <v>0.94</v>
      </c>
      <c r="AG247" s="44">
        <v>1</v>
      </c>
      <c r="AH247" s="44">
        <v>8</v>
      </c>
      <c r="AI247" s="42">
        <f t="shared" si="130"/>
        <v>0.53754940711462451</v>
      </c>
      <c r="AJ247" s="42">
        <f t="shared" si="131"/>
        <v>7.6416337285902497E-2</v>
      </c>
      <c r="AK247" s="40">
        <f t="shared" si="155"/>
        <v>1.3933280632411067</v>
      </c>
      <c r="AL247" s="51">
        <v>284</v>
      </c>
      <c r="AM247" s="52">
        <f t="shared" si="156"/>
        <v>0.96986561264822135</v>
      </c>
      <c r="AN247" s="42">
        <f t="shared" si="132"/>
        <v>0.37417654808959155</v>
      </c>
      <c r="AO247" s="53">
        <f t="shared" si="133"/>
        <v>284</v>
      </c>
      <c r="AP247" s="52">
        <f t="shared" si="134"/>
        <v>0.96986561264822135</v>
      </c>
      <c r="AQ247" s="42">
        <f t="shared" si="135"/>
        <v>0.61396574440052698</v>
      </c>
      <c r="AR247" s="46">
        <v>46268</v>
      </c>
      <c r="AS247" s="46">
        <v>46268</v>
      </c>
      <c r="AT247" s="50">
        <f t="shared" si="136"/>
        <v>8</v>
      </c>
      <c r="AU247" s="50">
        <f t="shared" si="157"/>
        <v>270</v>
      </c>
      <c r="AV247" s="50">
        <f t="shared" si="137"/>
        <v>289</v>
      </c>
      <c r="AW247" s="54">
        <f t="shared" si="138"/>
        <v>-19</v>
      </c>
    </row>
    <row r="248" spans="1:49" x14ac:dyDescent="0.25">
      <c r="A248" s="33" t="s">
        <v>55</v>
      </c>
      <c r="B248" s="33" t="s">
        <v>99</v>
      </c>
      <c r="C248" s="33" t="s">
        <v>100</v>
      </c>
      <c r="D248" s="33" t="s">
        <v>343</v>
      </c>
      <c r="E248" s="34">
        <f>COUNTIF('Detalle por artículo'!$K$8:$K$592,D248)</f>
        <v>1</v>
      </c>
      <c r="F248" s="35">
        <f t="shared" si="139"/>
        <v>86.805555555555543</v>
      </c>
      <c r="G248" s="36">
        <f>SUMIF('Detalle por artículo'!$K$8:$K$592,$D248,'Detalle por artículo'!$E$8:$E$592)</f>
        <v>2.5920000000000001</v>
      </c>
      <c r="H248" s="35">
        <f t="shared" si="140"/>
        <v>2</v>
      </c>
      <c r="I248" s="35">
        <f t="shared" si="141"/>
        <v>4</v>
      </c>
      <c r="J248" s="35">
        <f t="shared" si="142"/>
        <v>7</v>
      </c>
      <c r="K248" s="37">
        <f t="shared" si="143"/>
        <v>9.2571428571428568E-2</v>
      </c>
      <c r="L248" s="36">
        <f>SUMIF('Detalle por artículo'!$K$8:$K$592,$D248,'Detalle por artículo'!$O$8:$O$592)</f>
        <v>224.99999999999997</v>
      </c>
      <c r="M248" s="38">
        <f>SUMIF('Detalle por artículo'!$K$8:$K$592,$D248,'Detalle por artículo'!$I$8:$I$592)</f>
        <v>667</v>
      </c>
      <c r="N248" s="38">
        <f>SUMIF('Detalle por artículo'!$K$8:$K$592,$D248,'Detalle por artículo'!$M$8:$M$592)</f>
        <v>27</v>
      </c>
      <c r="O248" s="39">
        <f t="shared" si="144"/>
        <v>3.8860569715142428</v>
      </c>
      <c r="P248" s="40">
        <f t="shared" si="145"/>
        <v>337.33133433283353</v>
      </c>
      <c r="Q248" s="41">
        <f t="shared" si="146"/>
        <v>0.2</v>
      </c>
      <c r="R248" s="40">
        <f t="shared" si="147"/>
        <v>3.1103999999999998</v>
      </c>
      <c r="S248" s="42">
        <f>IFERROR(SUM($G$8:G248)/$G$6,0)</f>
        <v>0.89299285510763105</v>
      </c>
      <c r="T248" s="43" t="str">
        <f t="shared" si="148"/>
        <v>C</v>
      </c>
      <c r="U248" s="44">
        <v>667</v>
      </c>
      <c r="V248" s="45">
        <f t="shared" si="129"/>
        <v>0</v>
      </c>
      <c r="W248" s="46">
        <v>46260</v>
      </c>
      <c r="X248" s="46">
        <v>46260</v>
      </c>
      <c r="Y248" s="47">
        <v>0</v>
      </c>
      <c r="Z248" s="48">
        <f t="shared" si="149"/>
        <v>0</v>
      </c>
      <c r="AA248" s="49">
        <f t="shared" si="150"/>
        <v>0</v>
      </c>
      <c r="AB248" s="44">
        <v>49</v>
      </c>
      <c r="AC248" s="44">
        <f t="shared" si="151"/>
        <v>33</v>
      </c>
      <c r="AD248" s="44">
        <f t="shared" si="152"/>
        <v>4</v>
      </c>
      <c r="AE248" s="50">
        <f t="shared" si="153"/>
        <v>1</v>
      </c>
      <c r="AF248" s="41">
        <f t="shared" si="154"/>
        <v>0.02</v>
      </c>
      <c r="AG248" s="44">
        <v>4</v>
      </c>
      <c r="AH248" s="44">
        <v>8</v>
      </c>
      <c r="AI248" s="42">
        <f t="shared" si="130"/>
        <v>4.9475262368815595E-2</v>
      </c>
      <c r="AJ248" s="42">
        <f t="shared" si="131"/>
        <v>5.9970014992503746E-3</v>
      </c>
      <c r="AK248" s="40">
        <f t="shared" si="155"/>
        <v>0.12823988005997</v>
      </c>
      <c r="AL248" s="51">
        <v>618</v>
      </c>
      <c r="AM248" s="52">
        <f t="shared" si="156"/>
        <v>2.401583208395802</v>
      </c>
      <c r="AN248" s="42">
        <f t="shared" si="132"/>
        <v>0.92653673163418293</v>
      </c>
      <c r="AO248" s="53">
        <f t="shared" si="133"/>
        <v>618</v>
      </c>
      <c r="AP248" s="52">
        <f t="shared" si="134"/>
        <v>2.401583208395802</v>
      </c>
      <c r="AQ248" s="42">
        <f t="shared" si="135"/>
        <v>5.5472263868065967E-2</v>
      </c>
      <c r="AR248" s="46">
        <v>46268</v>
      </c>
      <c r="AS248" s="46">
        <v>46268</v>
      </c>
      <c r="AT248" s="50">
        <f t="shared" si="136"/>
        <v>8</v>
      </c>
      <c r="AU248" s="50">
        <f t="shared" si="157"/>
        <v>346</v>
      </c>
      <c r="AV248" s="50">
        <f t="shared" si="137"/>
        <v>397</v>
      </c>
      <c r="AW248" s="54">
        <f t="shared" si="138"/>
        <v>-51</v>
      </c>
    </row>
    <row r="249" spans="1:49" x14ac:dyDescent="0.25">
      <c r="A249" s="33" t="s">
        <v>55</v>
      </c>
      <c r="B249" s="33" t="s">
        <v>255</v>
      </c>
      <c r="C249" s="33" t="s">
        <v>132</v>
      </c>
      <c r="D249" s="33" t="s">
        <v>344</v>
      </c>
      <c r="E249" s="34">
        <f>COUNTIF('Detalle por artículo'!$K$8:$K$592,D249)</f>
        <v>1</v>
      </c>
      <c r="F249" s="35">
        <f t="shared" si="139"/>
        <v>275.79150579150581</v>
      </c>
      <c r="G249" s="36">
        <f>SUMIF('Detalle por artículo'!$K$8:$K$592,$D249,'Detalle por artículo'!$E$8:$E$592)</f>
        <v>2.59</v>
      </c>
      <c r="H249" s="35">
        <f t="shared" si="140"/>
        <v>2</v>
      </c>
      <c r="I249" s="35">
        <f t="shared" si="141"/>
        <v>4</v>
      </c>
      <c r="J249" s="35">
        <f t="shared" si="142"/>
        <v>7</v>
      </c>
      <c r="K249" s="37">
        <f t="shared" si="143"/>
        <v>9.2499999999999999E-2</v>
      </c>
      <c r="L249" s="36">
        <f>SUMIF('Detalle por artículo'!$K$8:$K$592,$D249,'Detalle por artículo'!$O$8:$O$592)</f>
        <v>714.3</v>
      </c>
      <c r="M249" s="38">
        <f>SUMIF('Detalle por artículo'!$K$8:$K$592,$D249,'Detalle por artículo'!$I$8:$I$592)</f>
        <v>1438</v>
      </c>
      <c r="N249" s="38">
        <f>SUMIF('Detalle por artículo'!$K$8:$K$592,$D249,'Detalle por artículo'!$M$8:$M$592)</f>
        <v>36</v>
      </c>
      <c r="O249" s="39">
        <f t="shared" si="144"/>
        <v>1.8011126564673154</v>
      </c>
      <c r="P249" s="40">
        <f t="shared" si="145"/>
        <v>496.73157162726005</v>
      </c>
      <c r="Q249" s="41">
        <f t="shared" si="146"/>
        <v>0.1</v>
      </c>
      <c r="R249" s="40">
        <f t="shared" si="147"/>
        <v>2.8490000000000002</v>
      </c>
      <c r="S249" s="42">
        <f>IFERROR(SUM($G$8:G249)/$G$6,0)</f>
        <v>0.89394458631404483</v>
      </c>
      <c r="T249" s="43" t="str">
        <f t="shared" si="148"/>
        <v>C</v>
      </c>
      <c r="U249" s="44">
        <v>1438</v>
      </c>
      <c r="V249" s="45">
        <f t="shared" si="129"/>
        <v>0</v>
      </c>
      <c r="W249" s="46">
        <v>46218</v>
      </c>
      <c r="X249" s="46">
        <v>46218</v>
      </c>
      <c r="Y249" s="47">
        <v>0</v>
      </c>
      <c r="Z249" s="48">
        <f t="shared" si="149"/>
        <v>0</v>
      </c>
      <c r="AA249" s="49">
        <f t="shared" si="150"/>
        <v>0</v>
      </c>
      <c r="AB249" s="44">
        <v>646</v>
      </c>
      <c r="AC249" s="44">
        <f t="shared" si="151"/>
        <v>375</v>
      </c>
      <c r="AD249" s="44">
        <f t="shared" si="152"/>
        <v>258</v>
      </c>
      <c r="AE249" s="50">
        <f t="shared" si="153"/>
        <v>44</v>
      </c>
      <c r="AF249" s="41">
        <f t="shared" si="154"/>
        <v>0.88</v>
      </c>
      <c r="AG249" s="44">
        <v>5</v>
      </c>
      <c r="AH249" s="44">
        <v>8</v>
      </c>
      <c r="AI249" s="42">
        <f t="shared" si="130"/>
        <v>0.26077885952712099</v>
      </c>
      <c r="AJ249" s="42">
        <f t="shared" si="131"/>
        <v>0.17941585535465926</v>
      </c>
      <c r="AK249" s="40">
        <f t="shared" si="155"/>
        <v>0.67541724617524324</v>
      </c>
      <c r="AL249" s="51">
        <v>792</v>
      </c>
      <c r="AM249" s="52">
        <f t="shared" si="156"/>
        <v>1.4264812239221139</v>
      </c>
      <c r="AN249" s="42">
        <f t="shared" si="132"/>
        <v>0.55076495132127956</v>
      </c>
      <c r="AO249" s="53">
        <f t="shared" si="133"/>
        <v>792</v>
      </c>
      <c r="AP249" s="52">
        <f t="shared" si="134"/>
        <v>1.4264812239221139</v>
      </c>
      <c r="AQ249" s="42">
        <f t="shared" si="135"/>
        <v>0.44019471488178025</v>
      </c>
      <c r="AR249" s="46">
        <v>46225</v>
      </c>
      <c r="AS249" s="46">
        <v>46225</v>
      </c>
      <c r="AT249" s="50">
        <f t="shared" si="136"/>
        <v>7</v>
      </c>
      <c r="AU249" s="50">
        <f t="shared" si="157"/>
        <v>110</v>
      </c>
      <c r="AV249" s="50">
        <f t="shared" si="137"/>
        <v>156</v>
      </c>
      <c r="AW249" s="54">
        <f t="shared" si="138"/>
        <v>-46</v>
      </c>
    </row>
    <row r="250" spans="1:49" x14ac:dyDescent="0.25">
      <c r="A250" s="33" t="s">
        <v>63</v>
      </c>
      <c r="B250" s="33" t="s">
        <v>84</v>
      </c>
      <c r="C250" s="33" t="s">
        <v>87</v>
      </c>
      <c r="D250" s="33" t="s">
        <v>345</v>
      </c>
      <c r="E250" s="34">
        <f>COUNTIF('Detalle por artículo'!$K$8:$K$592,D250)</f>
        <v>1</v>
      </c>
      <c r="F250" s="35">
        <f t="shared" si="139"/>
        <v>187.05426356589149</v>
      </c>
      <c r="G250" s="36">
        <f>SUMIF('Detalle por artículo'!$K$8:$K$592,$D250,'Detalle por artículo'!$E$8:$E$592)</f>
        <v>2.58</v>
      </c>
      <c r="H250" s="35">
        <f t="shared" si="140"/>
        <v>2</v>
      </c>
      <c r="I250" s="35">
        <f t="shared" si="141"/>
        <v>4</v>
      </c>
      <c r="J250" s="35">
        <f t="shared" si="142"/>
        <v>7</v>
      </c>
      <c r="K250" s="37">
        <f t="shared" si="143"/>
        <v>9.2142857142857151E-2</v>
      </c>
      <c r="L250" s="36">
        <f>SUMIF('Detalle por artículo'!$K$8:$K$592,$D250,'Detalle por artículo'!$O$8:$O$592)</f>
        <v>482.6</v>
      </c>
      <c r="M250" s="38">
        <f>SUMIF('Detalle por artículo'!$K$8:$K$592,$D250,'Detalle por artículo'!$I$8:$I$592)</f>
        <v>911</v>
      </c>
      <c r="N250" s="38">
        <f>SUMIF('Detalle por artículo'!$K$8:$K$592,$D250,'Detalle por artículo'!$M$8:$M$592)</f>
        <v>25</v>
      </c>
      <c r="O250" s="39">
        <f t="shared" si="144"/>
        <v>2.8320526893523601</v>
      </c>
      <c r="P250" s="40">
        <f t="shared" si="145"/>
        <v>529.74753018660817</v>
      </c>
      <c r="Q250" s="41">
        <f t="shared" si="146"/>
        <v>0.15</v>
      </c>
      <c r="R250" s="40">
        <f t="shared" si="147"/>
        <v>2.9669999999999996</v>
      </c>
      <c r="S250" s="42">
        <f>IFERROR(SUM($G$8:G250)/$G$6,0)</f>
        <v>0.89489264288259596</v>
      </c>
      <c r="T250" s="43" t="str">
        <f t="shared" si="148"/>
        <v>C</v>
      </c>
      <c r="U250" s="44">
        <v>0</v>
      </c>
      <c r="V250" s="45">
        <f t="shared" si="129"/>
        <v>-911</v>
      </c>
      <c r="W250" s="46"/>
      <c r="X250" s="46"/>
      <c r="Y250" s="47">
        <v>911</v>
      </c>
      <c r="Z250" s="48">
        <f t="shared" si="149"/>
        <v>2.58</v>
      </c>
      <c r="AA250" s="49">
        <f t="shared" si="150"/>
        <v>9.2142857142857151E-2</v>
      </c>
      <c r="AB250" s="44">
        <v>0</v>
      </c>
      <c r="AC250" s="44">
        <f t="shared" si="151"/>
        <v>0</v>
      </c>
      <c r="AD250" s="44">
        <f t="shared" si="152"/>
        <v>0</v>
      </c>
      <c r="AE250" s="50">
        <f t="shared" si="153"/>
        <v>0</v>
      </c>
      <c r="AF250" s="41">
        <f t="shared" si="154"/>
        <v>0</v>
      </c>
      <c r="AG250" s="44">
        <v>0</v>
      </c>
      <c r="AH250" s="44">
        <v>0</v>
      </c>
      <c r="AI250" s="42">
        <f t="shared" si="130"/>
        <v>0</v>
      </c>
      <c r="AJ250" s="42">
        <f t="shared" si="131"/>
        <v>0</v>
      </c>
      <c r="AK250" s="40">
        <f t="shared" si="155"/>
        <v>0</v>
      </c>
      <c r="AL250" s="51">
        <v>0</v>
      </c>
      <c r="AM250" s="52">
        <f t="shared" si="156"/>
        <v>0</v>
      </c>
      <c r="AN250" s="42">
        <f t="shared" si="132"/>
        <v>0</v>
      </c>
      <c r="AO250" s="53">
        <f t="shared" si="133"/>
        <v>911</v>
      </c>
      <c r="AP250" s="52">
        <f t="shared" si="134"/>
        <v>2.58</v>
      </c>
      <c r="AQ250" s="42">
        <f t="shared" si="135"/>
        <v>0</v>
      </c>
      <c r="AR250" s="46"/>
      <c r="AS250" s="46"/>
      <c r="AT250" s="50" t="str">
        <f t="shared" si="136"/>
        <v/>
      </c>
      <c r="AU250" s="50">
        <f t="shared" si="157"/>
        <v>196</v>
      </c>
      <c r="AV250" s="50" t="str">
        <f t="shared" si="137"/>
        <v/>
      </c>
      <c r="AW250" s="54" t="str">
        <f t="shared" si="138"/>
        <v/>
      </c>
    </row>
    <row r="251" spans="1:49" x14ac:dyDescent="0.25">
      <c r="A251" s="33" t="s">
        <v>55</v>
      </c>
      <c r="B251" s="33" t="s">
        <v>255</v>
      </c>
      <c r="C251" s="33" t="s">
        <v>132</v>
      </c>
      <c r="D251" s="33" t="s">
        <v>346</v>
      </c>
      <c r="E251" s="34">
        <f>COUNTIF('Detalle por artículo'!$K$8:$K$592,D251)</f>
        <v>1</v>
      </c>
      <c r="F251" s="35">
        <f t="shared" si="139"/>
        <v>244.27872474747474</v>
      </c>
      <c r="G251" s="36">
        <f>SUMIF('Detalle por artículo'!$K$8:$K$592,$D251,'Detalle por artículo'!$E$8:$E$592)</f>
        <v>2.5344000000000002</v>
      </c>
      <c r="H251" s="35">
        <f t="shared" si="140"/>
        <v>2</v>
      </c>
      <c r="I251" s="35">
        <f t="shared" si="141"/>
        <v>4</v>
      </c>
      <c r="J251" s="35">
        <f t="shared" si="142"/>
        <v>7</v>
      </c>
      <c r="K251" s="37">
        <f t="shared" si="143"/>
        <v>9.0514285714285728E-2</v>
      </c>
      <c r="L251" s="36">
        <f>SUMIF('Detalle por artículo'!$K$8:$K$592,$D251,'Detalle por artículo'!$O$8:$O$592)</f>
        <v>619.1</v>
      </c>
      <c r="M251" s="38">
        <f>SUMIF('Detalle por artículo'!$K$8:$K$592,$D251,'Detalle por artículo'!$I$8:$I$592)</f>
        <v>976</v>
      </c>
      <c r="N251" s="38">
        <f>SUMIF('Detalle por artículo'!$K$8:$K$592,$D251,'Detalle por artículo'!$M$8:$M$592)</f>
        <v>33</v>
      </c>
      <c r="O251" s="39">
        <f t="shared" si="144"/>
        <v>2.59672131147541</v>
      </c>
      <c r="P251" s="40">
        <f t="shared" si="145"/>
        <v>634.32377049180332</v>
      </c>
      <c r="Q251" s="41">
        <f t="shared" si="146"/>
        <v>0.1</v>
      </c>
      <c r="R251" s="40">
        <f t="shared" si="147"/>
        <v>2.7878400000000005</v>
      </c>
      <c r="S251" s="42">
        <f>IFERROR(SUM($G$8:G251)/$G$6,0)</f>
        <v>0.89582394310249358</v>
      </c>
      <c r="T251" s="43" t="str">
        <f t="shared" si="148"/>
        <v>C</v>
      </c>
      <c r="U251" s="44">
        <v>976</v>
      </c>
      <c r="V251" s="45">
        <f t="shared" si="129"/>
        <v>0</v>
      </c>
      <c r="W251" s="46">
        <v>46188</v>
      </c>
      <c r="X251" s="46">
        <v>46188</v>
      </c>
      <c r="Y251" s="47">
        <v>0</v>
      </c>
      <c r="Z251" s="48">
        <f t="shared" si="149"/>
        <v>0</v>
      </c>
      <c r="AA251" s="49">
        <f t="shared" si="150"/>
        <v>0</v>
      </c>
      <c r="AB251" s="44">
        <v>943</v>
      </c>
      <c r="AC251" s="44">
        <f t="shared" si="151"/>
        <v>431</v>
      </c>
      <c r="AD251" s="44">
        <f t="shared" si="152"/>
        <v>506</v>
      </c>
      <c r="AE251" s="50">
        <f t="shared" si="153"/>
        <v>45</v>
      </c>
      <c r="AF251" s="41">
        <f t="shared" si="154"/>
        <v>0.9</v>
      </c>
      <c r="AG251" s="44">
        <v>6</v>
      </c>
      <c r="AH251" s="44">
        <v>0</v>
      </c>
      <c r="AI251" s="42">
        <f t="shared" si="130"/>
        <v>0.44159836065573771</v>
      </c>
      <c r="AJ251" s="42">
        <f t="shared" si="131"/>
        <v>0.51844262295081966</v>
      </c>
      <c r="AK251" s="40">
        <f t="shared" si="155"/>
        <v>1.1191868852459017</v>
      </c>
      <c r="AL251" s="51">
        <v>33</v>
      </c>
      <c r="AM251" s="52">
        <f t="shared" si="156"/>
        <v>8.5691803278688528E-2</v>
      </c>
      <c r="AN251" s="42">
        <f t="shared" si="132"/>
        <v>3.3811475409836068E-2</v>
      </c>
      <c r="AO251" s="53">
        <f t="shared" si="133"/>
        <v>33</v>
      </c>
      <c r="AP251" s="52">
        <f t="shared" si="134"/>
        <v>8.5691803278688528E-2</v>
      </c>
      <c r="AQ251" s="42">
        <f t="shared" si="135"/>
        <v>0.96004098360655743</v>
      </c>
      <c r="AR251" s="46">
        <v>46219</v>
      </c>
      <c r="AS251" s="46">
        <v>46220</v>
      </c>
      <c r="AT251" s="50">
        <f t="shared" si="136"/>
        <v>32</v>
      </c>
      <c r="AU251" s="50">
        <f t="shared" si="157"/>
        <v>178</v>
      </c>
      <c r="AV251" s="50">
        <f t="shared" si="137"/>
        <v>73</v>
      </c>
      <c r="AW251" s="54">
        <f t="shared" si="138"/>
        <v>105</v>
      </c>
    </row>
    <row r="252" spans="1:49" x14ac:dyDescent="0.25">
      <c r="A252" s="33" t="s">
        <v>55</v>
      </c>
      <c r="B252" s="33" t="s">
        <v>255</v>
      </c>
      <c r="C252" s="33" t="s">
        <v>347</v>
      </c>
      <c r="D252" s="33" t="s">
        <v>348</v>
      </c>
      <c r="E252" s="34">
        <f>COUNTIF('Detalle por artículo'!$K$8:$K$592,D252)</f>
        <v>1</v>
      </c>
      <c r="F252" s="35">
        <f t="shared" si="139"/>
        <v>222.91666666666666</v>
      </c>
      <c r="G252" s="36">
        <f>SUMIF('Detalle por artículo'!$K$8:$K$592,$D252,'Detalle por artículo'!$E$8:$E$592)</f>
        <v>2.496</v>
      </c>
      <c r="H252" s="35">
        <f t="shared" si="140"/>
        <v>2</v>
      </c>
      <c r="I252" s="35">
        <f t="shared" si="141"/>
        <v>4</v>
      </c>
      <c r="J252" s="35">
        <f t="shared" si="142"/>
        <v>7</v>
      </c>
      <c r="K252" s="37">
        <f t="shared" si="143"/>
        <v>8.9142857142857149E-2</v>
      </c>
      <c r="L252" s="36">
        <f>SUMIF('Detalle por artículo'!$K$8:$K$592,$D252,'Detalle por artículo'!$O$8:$O$592)</f>
        <v>556.4</v>
      </c>
      <c r="M252" s="38">
        <f>SUMIF('Detalle por artículo'!$K$8:$K$592,$D252,'Detalle por artículo'!$I$8:$I$592)</f>
        <v>1015</v>
      </c>
      <c r="N252" s="38">
        <f>SUMIF('Detalle por artículo'!$K$8:$K$592,$D252,'Detalle por artículo'!$M$8:$M$592)</f>
        <v>26</v>
      </c>
      <c r="O252" s="39">
        <f t="shared" si="144"/>
        <v>2.4591133004926111</v>
      </c>
      <c r="P252" s="40">
        <f t="shared" si="145"/>
        <v>548.17733990147781</v>
      </c>
      <c r="Q252" s="41">
        <f t="shared" si="146"/>
        <v>0.1</v>
      </c>
      <c r="R252" s="40">
        <f t="shared" si="147"/>
        <v>2.7456</v>
      </c>
      <c r="S252" s="42">
        <f>IFERROR(SUM($G$8:G252)/$G$6,0)</f>
        <v>0.89674113271299893</v>
      </c>
      <c r="T252" s="43" t="str">
        <f t="shared" si="148"/>
        <v>C</v>
      </c>
      <c r="U252" s="44">
        <v>1015</v>
      </c>
      <c r="V252" s="45">
        <f t="shared" si="129"/>
        <v>0</v>
      </c>
      <c r="W252" s="46">
        <v>46246</v>
      </c>
      <c r="X252" s="46">
        <v>46246</v>
      </c>
      <c r="Y252" s="47">
        <v>0</v>
      </c>
      <c r="Z252" s="48">
        <f t="shared" si="149"/>
        <v>0</v>
      </c>
      <c r="AA252" s="49">
        <f t="shared" si="150"/>
        <v>0</v>
      </c>
      <c r="AB252" s="44">
        <v>861</v>
      </c>
      <c r="AC252" s="44">
        <f t="shared" si="151"/>
        <v>409</v>
      </c>
      <c r="AD252" s="44">
        <f t="shared" si="152"/>
        <v>436</v>
      </c>
      <c r="AE252" s="50">
        <f t="shared" si="153"/>
        <v>48</v>
      </c>
      <c r="AF252" s="41">
        <f t="shared" si="154"/>
        <v>0.96</v>
      </c>
      <c r="AG252" s="44">
        <v>10</v>
      </c>
      <c r="AH252" s="44">
        <v>8</v>
      </c>
      <c r="AI252" s="42">
        <f t="shared" si="130"/>
        <v>0.40295566502463054</v>
      </c>
      <c r="AJ252" s="42">
        <f t="shared" si="131"/>
        <v>0.4295566502463054</v>
      </c>
      <c r="AK252" s="40">
        <f t="shared" si="155"/>
        <v>1.005777339901478</v>
      </c>
      <c r="AL252" s="51">
        <v>153</v>
      </c>
      <c r="AM252" s="52">
        <f t="shared" si="156"/>
        <v>0.37624433497536952</v>
      </c>
      <c r="AN252" s="42">
        <f t="shared" si="132"/>
        <v>0.15073891625615762</v>
      </c>
      <c r="AO252" s="53">
        <f t="shared" si="133"/>
        <v>154</v>
      </c>
      <c r="AP252" s="52">
        <f t="shared" si="134"/>
        <v>0.37870344827586211</v>
      </c>
      <c r="AQ252" s="42">
        <f t="shared" si="135"/>
        <v>0.83251231527093594</v>
      </c>
      <c r="AR252" s="46">
        <v>46252</v>
      </c>
      <c r="AS252" s="46">
        <v>46252</v>
      </c>
      <c r="AT252" s="50">
        <f t="shared" si="136"/>
        <v>6</v>
      </c>
      <c r="AU252" s="50">
        <f t="shared" si="157"/>
        <v>170</v>
      </c>
      <c r="AV252" s="50">
        <f t="shared" si="137"/>
        <v>84</v>
      </c>
      <c r="AW252" s="54">
        <f t="shared" si="138"/>
        <v>86</v>
      </c>
    </row>
    <row r="253" spans="1:49" x14ac:dyDescent="0.25">
      <c r="A253" s="33" t="s">
        <v>55</v>
      </c>
      <c r="B253" s="33" t="s">
        <v>99</v>
      </c>
      <c r="C253" s="33" t="s">
        <v>100</v>
      </c>
      <c r="D253" s="33" t="s">
        <v>349</v>
      </c>
      <c r="E253" s="34">
        <f>COUNTIF('Detalle por artículo'!$K$8:$K$592,D253)</f>
        <v>1</v>
      </c>
      <c r="F253" s="35">
        <f t="shared" si="139"/>
        <v>109.05448717948717</v>
      </c>
      <c r="G253" s="36">
        <f>SUMIF('Detalle por artículo'!$K$8:$K$592,$D253,'Detalle por artículo'!$E$8:$E$592)</f>
        <v>2.496</v>
      </c>
      <c r="H253" s="35">
        <f t="shared" si="140"/>
        <v>2</v>
      </c>
      <c r="I253" s="35">
        <f t="shared" si="141"/>
        <v>4</v>
      </c>
      <c r="J253" s="35">
        <f t="shared" si="142"/>
        <v>7</v>
      </c>
      <c r="K253" s="37">
        <f t="shared" si="143"/>
        <v>8.9142857142857149E-2</v>
      </c>
      <c r="L253" s="36">
        <f>SUMIF('Detalle por artículo'!$K$8:$K$592,$D253,'Detalle por artículo'!$O$8:$O$592)</f>
        <v>272.2</v>
      </c>
      <c r="M253" s="38">
        <f>SUMIF('Detalle por artículo'!$K$8:$K$592,$D253,'Detalle por artículo'!$I$8:$I$592)</f>
        <v>747</v>
      </c>
      <c r="N253" s="38">
        <f>SUMIF('Detalle por artículo'!$K$8:$K$592,$D253,'Detalle por artículo'!$M$8:$M$592)</f>
        <v>26</v>
      </c>
      <c r="O253" s="39">
        <f t="shared" si="144"/>
        <v>3.3413654618473894</v>
      </c>
      <c r="P253" s="40">
        <f t="shared" si="145"/>
        <v>364.39089692101737</v>
      </c>
      <c r="Q253" s="41">
        <f t="shared" si="146"/>
        <v>0.2</v>
      </c>
      <c r="R253" s="40">
        <f t="shared" si="147"/>
        <v>2.9952000000000001</v>
      </c>
      <c r="S253" s="42">
        <f>IFERROR(SUM($G$8:G253)/$G$6,0)</f>
        <v>0.89765832232350429</v>
      </c>
      <c r="T253" s="43" t="str">
        <f t="shared" si="148"/>
        <v>C</v>
      </c>
      <c r="U253" s="44">
        <v>747</v>
      </c>
      <c r="V253" s="45">
        <f t="shared" si="129"/>
        <v>0</v>
      </c>
      <c r="W253" s="46">
        <v>46260</v>
      </c>
      <c r="X253" s="46">
        <v>46260</v>
      </c>
      <c r="Y253" s="47">
        <v>0</v>
      </c>
      <c r="Z253" s="48">
        <f t="shared" si="149"/>
        <v>0</v>
      </c>
      <c r="AA253" s="49">
        <f t="shared" si="150"/>
        <v>0</v>
      </c>
      <c r="AB253" s="44">
        <v>387</v>
      </c>
      <c r="AC253" s="44">
        <f t="shared" si="151"/>
        <v>358</v>
      </c>
      <c r="AD253" s="44">
        <f t="shared" si="152"/>
        <v>21</v>
      </c>
      <c r="AE253" s="50">
        <f t="shared" si="153"/>
        <v>48</v>
      </c>
      <c r="AF253" s="41">
        <f t="shared" si="154"/>
        <v>0.96</v>
      </c>
      <c r="AG253" s="44">
        <v>1</v>
      </c>
      <c r="AH253" s="44">
        <v>7</v>
      </c>
      <c r="AI253" s="42">
        <f t="shared" si="130"/>
        <v>0.47925033467202144</v>
      </c>
      <c r="AJ253" s="42">
        <f t="shared" si="131"/>
        <v>2.8112449799196786E-2</v>
      </c>
      <c r="AK253" s="40">
        <f t="shared" si="155"/>
        <v>1.1962088353413654</v>
      </c>
      <c r="AL253" s="51">
        <v>360</v>
      </c>
      <c r="AM253" s="52">
        <f t="shared" si="156"/>
        <v>1.2028915662650601</v>
      </c>
      <c r="AN253" s="42">
        <f t="shared" si="132"/>
        <v>0.48192771084337349</v>
      </c>
      <c r="AO253" s="53">
        <f t="shared" si="133"/>
        <v>360</v>
      </c>
      <c r="AP253" s="52">
        <f t="shared" si="134"/>
        <v>1.2028915662650601</v>
      </c>
      <c r="AQ253" s="42">
        <f t="shared" si="135"/>
        <v>0.50736278447121819</v>
      </c>
      <c r="AR253" s="46">
        <v>46268</v>
      </c>
      <c r="AS253" s="46">
        <v>46268</v>
      </c>
      <c r="AT253" s="50">
        <f t="shared" si="136"/>
        <v>8</v>
      </c>
      <c r="AU253" s="50">
        <f t="shared" si="157"/>
        <v>285</v>
      </c>
      <c r="AV253" s="50">
        <f t="shared" si="137"/>
        <v>329</v>
      </c>
      <c r="AW253" s="54">
        <f t="shared" si="138"/>
        <v>-44</v>
      </c>
    </row>
    <row r="254" spans="1:49" x14ac:dyDescent="0.25">
      <c r="A254" s="33" t="s">
        <v>63</v>
      </c>
      <c r="B254" s="33" t="s">
        <v>84</v>
      </c>
      <c r="C254" s="33" t="s">
        <v>94</v>
      </c>
      <c r="D254" s="33" t="s">
        <v>350</v>
      </c>
      <c r="E254" s="34">
        <f>COUNTIF('Detalle por artículo'!$K$8:$K$592,D254)</f>
        <v>1</v>
      </c>
      <c r="F254" s="35">
        <f t="shared" si="139"/>
        <v>178.94056847545221</v>
      </c>
      <c r="G254" s="36">
        <f>SUMIF('Detalle por artículo'!$K$8:$K$592,$D254,'Detalle por artículo'!$E$8:$E$592)</f>
        <v>2.4767999999999999</v>
      </c>
      <c r="H254" s="35">
        <f t="shared" si="140"/>
        <v>2</v>
      </c>
      <c r="I254" s="35">
        <f t="shared" si="141"/>
        <v>4</v>
      </c>
      <c r="J254" s="35">
        <f t="shared" si="142"/>
        <v>7</v>
      </c>
      <c r="K254" s="37">
        <f t="shared" si="143"/>
        <v>8.8457142857142859E-2</v>
      </c>
      <c r="L254" s="36">
        <f>SUMIF('Detalle por artículo'!$K$8:$K$592,$D254,'Detalle por artículo'!$O$8:$O$592)</f>
        <v>443.2</v>
      </c>
      <c r="M254" s="38">
        <f>SUMIF('Detalle por artículo'!$K$8:$K$592,$D254,'Detalle por artículo'!$I$8:$I$592)</f>
        <v>600</v>
      </c>
      <c r="N254" s="38">
        <f>SUMIF('Detalle por artículo'!$K$8:$K$592,$D254,'Detalle por artículo'!$M$8:$M$592)</f>
        <v>24</v>
      </c>
      <c r="O254" s="39">
        <f t="shared" si="144"/>
        <v>4.1280000000000001</v>
      </c>
      <c r="P254" s="40">
        <f t="shared" si="145"/>
        <v>738.66666666666674</v>
      </c>
      <c r="Q254" s="41">
        <f t="shared" si="146"/>
        <v>0.15</v>
      </c>
      <c r="R254" s="40">
        <f t="shared" si="147"/>
        <v>2.8483199999999997</v>
      </c>
      <c r="S254" s="42">
        <f>IFERROR(SUM($G$8:G254)/$G$6,0)</f>
        <v>0.89856845662931328</v>
      </c>
      <c r="T254" s="43" t="str">
        <f t="shared" si="148"/>
        <v>C</v>
      </c>
      <c r="U254" s="44">
        <v>0</v>
      </c>
      <c r="V254" s="45">
        <f t="shared" si="129"/>
        <v>-600</v>
      </c>
      <c r="W254" s="46"/>
      <c r="X254" s="46"/>
      <c r="Y254" s="47">
        <v>600</v>
      </c>
      <c r="Z254" s="48">
        <f t="shared" si="149"/>
        <v>2.4768000000000003</v>
      </c>
      <c r="AA254" s="49">
        <f t="shared" si="150"/>
        <v>8.8457142857142873E-2</v>
      </c>
      <c r="AB254" s="44">
        <v>0</v>
      </c>
      <c r="AC254" s="44">
        <f t="shared" si="151"/>
        <v>0</v>
      </c>
      <c r="AD254" s="44">
        <f t="shared" si="152"/>
        <v>0</v>
      </c>
      <c r="AE254" s="50">
        <f t="shared" si="153"/>
        <v>0</v>
      </c>
      <c r="AF254" s="41">
        <f t="shared" si="154"/>
        <v>0</v>
      </c>
      <c r="AG254" s="44">
        <v>0</v>
      </c>
      <c r="AH254" s="44">
        <v>0</v>
      </c>
      <c r="AI254" s="42">
        <f t="shared" si="130"/>
        <v>0</v>
      </c>
      <c r="AJ254" s="42">
        <f t="shared" si="131"/>
        <v>0</v>
      </c>
      <c r="AK254" s="40">
        <f t="shared" si="155"/>
        <v>0</v>
      </c>
      <c r="AL254" s="51">
        <v>0</v>
      </c>
      <c r="AM254" s="52">
        <f t="shared" si="156"/>
        <v>0</v>
      </c>
      <c r="AN254" s="42">
        <f t="shared" si="132"/>
        <v>0</v>
      </c>
      <c r="AO254" s="53">
        <f t="shared" si="133"/>
        <v>600</v>
      </c>
      <c r="AP254" s="52">
        <f t="shared" si="134"/>
        <v>2.4768000000000003</v>
      </c>
      <c r="AQ254" s="42">
        <f t="shared" si="135"/>
        <v>0</v>
      </c>
      <c r="AR254" s="46"/>
      <c r="AS254" s="46"/>
      <c r="AT254" s="50" t="str">
        <f t="shared" si="136"/>
        <v/>
      </c>
      <c r="AU254" s="50">
        <f t="shared" si="157"/>
        <v>400</v>
      </c>
      <c r="AV254" s="50" t="str">
        <f t="shared" si="137"/>
        <v/>
      </c>
      <c r="AW254" s="54" t="str">
        <f t="shared" si="138"/>
        <v/>
      </c>
    </row>
    <row r="255" spans="1:49" x14ac:dyDescent="0.25">
      <c r="A255" s="33" t="s">
        <v>55</v>
      </c>
      <c r="B255" s="33" t="s">
        <v>255</v>
      </c>
      <c r="C255" s="33" t="s">
        <v>347</v>
      </c>
      <c r="D255" s="33" t="s">
        <v>351</v>
      </c>
      <c r="E255" s="34">
        <f>COUNTIF('Detalle por artículo'!$K$8:$K$592,D255)</f>
        <v>1</v>
      </c>
      <c r="F255" s="35">
        <f t="shared" si="139"/>
        <v>192.28571428571425</v>
      </c>
      <c r="G255" s="36">
        <f>SUMIF('Detalle por artículo'!$K$8:$K$592,$D255,'Detalle por artículo'!$E$8:$E$592)</f>
        <v>2.4500000000000002</v>
      </c>
      <c r="H255" s="35">
        <f t="shared" si="140"/>
        <v>2</v>
      </c>
      <c r="I255" s="35">
        <f t="shared" si="141"/>
        <v>4</v>
      </c>
      <c r="J255" s="35">
        <f t="shared" si="142"/>
        <v>7</v>
      </c>
      <c r="K255" s="37">
        <f t="shared" si="143"/>
        <v>8.7500000000000008E-2</v>
      </c>
      <c r="L255" s="36">
        <f>SUMIF('Detalle por artículo'!$K$8:$K$592,$D255,'Detalle por artículo'!$O$8:$O$592)</f>
        <v>471.09999999999997</v>
      </c>
      <c r="M255" s="38">
        <f>SUMIF('Detalle por artículo'!$K$8:$K$592,$D255,'Detalle por artículo'!$I$8:$I$592)</f>
        <v>1351</v>
      </c>
      <c r="N255" s="38">
        <f>SUMIF('Detalle por artículo'!$K$8:$K$592,$D255,'Detalle por artículo'!$M$8:$M$592)</f>
        <v>34</v>
      </c>
      <c r="O255" s="39">
        <f t="shared" si="144"/>
        <v>1.8134715025906736</v>
      </c>
      <c r="P255" s="40">
        <f t="shared" si="145"/>
        <v>348.70466321243521</v>
      </c>
      <c r="Q255" s="41">
        <f t="shared" si="146"/>
        <v>0.15</v>
      </c>
      <c r="R255" s="40">
        <f t="shared" si="147"/>
        <v>2.8174999999999999</v>
      </c>
      <c r="S255" s="42">
        <f>IFERROR(SUM($G$8:G255)/$G$6,0)</f>
        <v>0.8994687429056506</v>
      </c>
      <c r="T255" s="43" t="str">
        <f t="shared" si="148"/>
        <v>C</v>
      </c>
      <c r="U255" s="44">
        <v>1351</v>
      </c>
      <c r="V255" s="45">
        <f t="shared" si="129"/>
        <v>0</v>
      </c>
      <c r="W255" s="46">
        <v>46218</v>
      </c>
      <c r="X255" s="46">
        <v>46218</v>
      </c>
      <c r="Y255" s="47">
        <v>0</v>
      </c>
      <c r="Z255" s="48">
        <f t="shared" si="149"/>
        <v>0</v>
      </c>
      <c r="AA255" s="49">
        <f t="shared" si="150"/>
        <v>0</v>
      </c>
      <c r="AB255" s="44">
        <v>515</v>
      </c>
      <c r="AC255" s="44">
        <f t="shared" si="151"/>
        <v>371</v>
      </c>
      <c r="AD255" s="44">
        <f t="shared" si="152"/>
        <v>132</v>
      </c>
      <c r="AE255" s="50">
        <f t="shared" si="153"/>
        <v>43</v>
      </c>
      <c r="AF255" s="41">
        <f t="shared" si="154"/>
        <v>0.86</v>
      </c>
      <c r="AG255" s="44">
        <v>4</v>
      </c>
      <c r="AH255" s="44">
        <v>8</v>
      </c>
      <c r="AI255" s="42">
        <f t="shared" si="130"/>
        <v>0.27461139896373055</v>
      </c>
      <c r="AJ255" s="42">
        <f t="shared" si="131"/>
        <v>9.7705403404885274E-2</v>
      </c>
      <c r="AK255" s="40">
        <f t="shared" si="155"/>
        <v>0.67279792746113987</v>
      </c>
      <c r="AL255" s="51">
        <v>835</v>
      </c>
      <c r="AM255" s="52">
        <f t="shared" si="156"/>
        <v>1.5142487046632125</v>
      </c>
      <c r="AN255" s="42">
        <f t="shared" si="132"/>
        <v>0.61806069578090306</v>
      </c>
      <c r="AO255" s="53">
        <f t="shared" si="133"/>
        <v>836</v>
      </c>
      <c r="AP255" s="52">
        <f t="shared" si="134"/>
        <v>1.5160621761658031</v>
      </c>
      <c r="AQ255" s="42">
        <f t="shared" si="135"/>
        <v>0.37231680236861586</v>
      </c>
      <c r="AR255" s="46">
        <v>46225</v>
      </c>
      <c r="AS255" s="46">
        <v>46225</v>
      </c>
      <c r="AT255" s="50">
        <f t="shared" si="136"/>
        <v>7</v>
      </c>
      <c r="AU255" s="50">
        <f t="shared" si="157"/>
        <v>122</v>
      </c>
      <c r="AV255" s="50">
        <f t="shared" si="137"/>
        <v>263</v>
      </c>
      <c r="AW255" s="54">
        <f t="shared" si="138"/>
        <v>-141</v>
      </c>
    </row>
    <row r="256" spans="1:49" x14ac:dyDescent="0.25">
      <c r="A256" s="33" t="s">
        <v>63</v>
      </c>
      <c r="B256" s="33" t="s">
        <v>110</v>
      </c>
      <c r="C256" s="33" t="s">
        <v>100</v>
      </c>
      <c r="D256" s="33" t="s">
        <v>352</v>
      </c>
      <c r="E256" s="34">
        <f>COUNTIF('Detalle por artículo'!$K$8:$K$592,D256)</f>
        <v>1</v>
      </c>
      <c r="F256" s="35">
        <f t="shared" si="139"/>
        <v>112.5</v>
      </c>
      <c r="G256" s="36">
        <f>SUMIF('Detalle por artículo'!$K$8:$K$592,$D256,'Detalle por artículo'!$E$8:$E$592)</f>
        <v>2.4</v>
      </c>
      <c r="H256" s="35">
        <f t="shared" si="140"/>
        <v>2</v>
      </c>
      <c r="I256" s="35">
        <f t="shared" si="141"/>
        <v>4</v>
      </c>
      <c r="J256" s="35">
        <f t="shared" si="142"/>
        <v>7</v>
      </c>
      <c r="K256" s="37">
        <f t="shared" si="143"/>
        <v>8.5714285714285715E-2</v>
      </c>
      <c r="L256" s="36">
        <f>SUMIF('Detalle por artículo'!$K$8:$K$592,$D256,'Detalle por artículo'!$O$8:$O$592)</f>
        <v>270</v>
      </c>
      <c r="M256" s="38">
        <f>SUMIF('Detalle por artículo'!$K$8:$K$592,$D256,'Detalle por artículo'!$I$8:$I$592)</f>
        <v>788</v>
      </c>
      <c r="N256" s="38">
        <f>SUMIF('Detalle por artículo'!$K$8:$K$592,$D256,'Detalle por artículo'!$M$8:$M$592)</f>
        <v>25</v>
      </c>
      <c r="O256" s="39">
        <f t="shared" si="144"/>
        <v>3.0456852791878171</v>
      </c>
      <c r="P256" s="40">
        <f t="shared" si="145"/>
        <v>342.63959390862942</v>
      </c>
      <c r="Q256" s="41">
        <f t="shared" si="146"/>
        <v>0.2</v>
      </c>
      <c r="R256" s="40">
        <f t="shared" si="147"/>
        <v>2.88</v>
      </c>
      <c r="S256" s="42">
        <f>IFERROR(SUM($G$8:G256)/$G$6,0)</f>
        <v>0.90035065599267494</v>
      </c>
      <c r="T256" s="43" t="str">
        <f t="shared" si="148"/>
        <v>C</v>
      </c>
      <c r="U256" s="44">
        <v>788</v>
      </c>
      <c r="V256" s="45">
        <f t="shared" si="129"/>
        <v>0</v>
      </c>
      <c r="W256" s="46">
        <v>46217</v>
      </c>
      <c r="X256" s="46">
        <v>46217</v>
      </c>
      <c r="Y256" s="47">
        <v>0</v>
      </c>
      <c r="Z256" s="48">
        <f t="shared" si="149"/>
        <v>0</v>
      </c>
      <c r="AA256" s="49">
        <f t="shared" si="150"/>
        <v>0</v>
      </c>
      <c r="AB256" s="44">
        <v>31</v>
      </c>
      <c r="AC256" s="44">
        <f t="shared" si="151"/>
        <v>10</v>
      </c>
      <c r="AD256" s="44">
        <f t="shared" si="152"/>
        <v>1</v>
      </c>
      <c r="AE256" s="50">
        <f t="shared" si="153"/>
        <v>0</v>
      </c>
      <c r="AF256" s="41">
        <f t="shared" si="154"/>
        <v>0</v>
      </c>
      <c r="AG256" s="44">
        <v>1</v>
      </c>
      <c r="AH256" s="44">
        <v>19</v>
      </c>
      <c r="AI256" s="42">
        <f t="shared" si="130"/>
        <v>1.2690355329949238E-2</v>
      </c>
      <c r="AJ256" s="42">
        <f t="shared" si="131"/>
        <v>1.2690355329949238E-3</v>
      </c>
      <c r="AK256" s="40">
        <f t="shared" si="155"/>
        <v>3.045685279187817E-2</v>
      </c>
      <c r="AL256" s="51">
        <v>757</v>
      </c>
      <c r="AM256" s="52">
        <f t="shared" si="156"/>
        <v>2.3055837563451775</v>
      </c>
      <c r="AN256" s="42">
        <f t="shared" si="132"/>
        <v>0.96065989847715738</v>
      </c>
      <c r="AO256" s="53">
        <f t="shared" si="133"/>
        <v>757</v>
      </c>
      <c r="AP256" s="52">
        <f t="shared" si="134"/>
        <v>2.3055837563451775</v>
      </c>
      <c r="AQ256" s="42">
        <f t="shared" si="135"/>
        <v>1.3959390862944163E-2</v>
      </c>
      <c r="AR256" s="46">
        <v>46233</v>
      </c>
      <c r="AS256" s="46">
        <v>46234</v>
      </c>
      <c r="AT256" s="50">
        <f t="shared" si="136"/>
        <v>17</v>
      </c>
      <c r="AU256" s="50">
        <f t="shared" si="157"/>
        <v>250</v>
      </c>
      <c r="AV256" s="50">
        <f t="shared" si="137"/>
        <v>410</v>
      </c>
      <c r="AW256" s="54">
        <f t="shared" si="138"/>
        <v>-160</v>
      </c>
    </row>
    <row r="257" spans="1:49" x14ac:dyDescent="0.25">
      <c r="A257" s="33" t="s">
        <v>63</v>
      </c>
      <c r="B257" s="33" t="s">
        <v>102</v>
      </c>
      <c r="C257" s="33" t="s">
        <v>132</v>
      </c>
      <c r="D257" s="33" t="s">
        <v>353</v>
      </c>
      <c r="E257" s="34">
        <f>COUNTIF('Detalle por artículo'!$K$8:$K$592,D257)</f>
        <v>1</v>
      </c>
      <c r="F257" s="35">
        <f t="shared" si="139"/>
        <v>220.41666666666669</v>
      </c>
      <c r="G257" s="36">
        <f>SUMIF('Detalle por artículo'!$K$8:$K$592,$D257,'Detalle por artículo'!$E$8:$E$592)</f>
        <v>2.4</v>
      </c>
      <c r="H257" s="35">
        <f t="shared" si="140"/>
        <v>2</v>
      </c>
      <c r="I257" s="35">
        <f t="shared" si="141"/>
        <v>4</v>
      </c>
      <c r="J257" s="35">
        <f t="shared" si="142"/>
        <v>7</v>
      </c>
      <c r="K257" s="37">
        <f t="shared" si="143"/>
        <v>8.5714285714285715E-2</v>
      </c>
      <c r="L257" s="36">
        <f>SUMIF('Detalle por artículo'!$K$8:$K$592,$D257,'Detalle por artículo'!$O$8:$O$592)</f>
        <v>529</v>
      </c>
      <c r="M257" s="38">
        <f>SUMIF('Detalle por artículo'!$K$8:$K$592,$D257,'Detalle por artículo'!$I$8:$I$592)</f>
        <v>985</v>
      </c>
      <c r="N257" s="38">
        <f>SUMIF('Detalle por artículo'!$K$8:$K$592,$D257,'Detalle por artículo'!$M$8:$M$592)</f>
        <v>25</v>
      </c>
      <c r="O257" s="39">
        <f t="shared" si="144"/>
        <v>2.436548223350254</v>
      </c>
      <c r="P257" s="40">
        <f t="shared" si="145"/>
        <v>537.05583756345175</v>
      </c>
      <c r="Q257" s="41">
        <f t="shared" si="146"/>
        <v>0.1</v>
      </c>
      <c r="R257" s="40">
        <f t="shared" si="147"/>
        <v>2.64</v>
      </c>
      <c r="S257" s="42">
        <f>IFERROR(SUM($G$8:G257)/$G$6,0)</f>
        <v>0.90123256907969929</v>
      </c>
      <c r="T257" s="43" t="str">
        <f t="shared" si="148"/>
        <v>C</v>
      </c>
      <c r="U257" s="44">
        <v>985</v>
      </c>
      <c r="V257" s="45">
        <f t="shared" si="129"/>
        <v>0</v>
      </c>
      <c r="W257" s="46">
        <v>46244</v>
      </c>
      <c r="X257" s="46">
        <v>46244</v>
      </c>
      <c r="Y257" s="47">
        <v>0</v>
      </c>
      <c r="Z257" s="48">
        <f t="shared" si="149"/>
        <v>0</v>
      </c>
      <c r="AA257" s="49">
        <f t="shared" si="150"/>
        <v>0</v>
      </c>
      <c r="AB257" s="44">
        <v>643</v>
      </c>
      <c r="AC257" s="44">
        <f t="shared" si="151"/>
        <v>425</v>
      </c>
      <c r="AD257" s="44">
        <f t="shared" si="152"/>
        <v>207</v>
      </c>
      <c r="AE257" s="50">
        <f t="shared" si="153"/>
        <v>47</v>
      </c>
      <c r="AF257" s="41">
        <f t="shared" si="154"/>
        <v>0.94</v>
      </c>
      <c r="AG257" s="44">
        <v>3</v>
      </c>
      <c r="AH257" s="44">
        <v>8</v>
      </c>
      <c r="AI257" s="42">
        <f t="shared" si="130"/>
        <v>0.43147208121827413</v>
      </c>
      <c r="AJ257" s="42">
        <f t="shared" si="131"/>
        <v>0.2101522842639594</v>
      </c>
      <c r="AK257" s="40">
        <f t="shared" si="155"/>
        <v>1.0355329949238581</v>
      </c>
      <c r="AL257" s="51">
        <v>342</v>
      </c>
      <c r="AM257" s="52">
        <f t="shared" si="156"/>
        <v>0.83329949238578682</v>
      </c>
      <c r="AN257" s="42">
        <f t="shared" si="132"/>
        <v>0.34720812182741118</v>
      </c>
      <c r="AO257" s="53">
        <f t="shared" si="133"/>
        <v>342</v>
      </c>
      <c r="AP257" s="52">
        <f t="shared" si="134"/>
        <v>0.83329949238578682</v>
      </c>
      <c r="AQ257" s="42">
        <f t="shared" si="135"/>
        <v>0.64162436548223345</v>
      </c>
      <c r="AR257" s="46">
        <v>46254</v>
      </c>
      <c r="AS257" s="46">
        <v>46255</v>
      </c>
      <c r="AT257" s="50">
        <f t="shared" si="136"/>
        <v>11</v>
      </c>
      <c r="AU257" s="50">
        <f t="shared" si="157"/>
        <v>175</v>
      </c>
      <c r="AV257" s="50">
        <f t="shared" si="137"/>
        <v>159</v>
      </c>
      <c r="AW257" s="54">
        <f t="shared" si="138"/>
        <v>16</v>
      </c>
    </row>
    <row r="258" spans="1:49" x14ac:dyDescent="0.25">
      <c r="A258" s="33" t="s">
        <v>63</v>
      </c>
      <c r="B258" s="33" t="s">
        <v>110</v>
      </c>
      <c r="C258" s="33" t="s">
        <v>100</v>
      </c>
      <c r="D258" s="33" t="s">
        <v>354</v>
      </c>
      <c r="E258" s="34">
        <f>COUNTIF('Detalle por artículo'!$K$8:$K$592,D258)</f>
        <v>1</v>
      </c>
      <c r="F258" s="35">
        <f t="shared" si="139"/>
        <v>157.70833333333334</v>
      </c>
      <c r="G258" s="36">
        <f>SUMIF('Detalle por artículo'!$K$8:$K$592,$D258,'Detalle por artículo'!$E$8:$E$592)</f>
        <v>2.4</v>
      </c>
      <c r="H258" s="35">
        <f t="shared" si="140"/>
        <v>2</v>
      </c>
      <c r="I258" s="35">
        <f t="shared" si="141"/>
        <v>4</v>
      </c>
      <c r="J258" s="35">
        <f t="shared" si="142"/>
        <v>7</v>
      </c>
      <c r="K258" s="37">
        <f t="shared" si="143"/>
        <v>8.5714285714285715E-2</v>
      </c>
      <c r="L258" s="36">
        <f>SUMIF('Detalle por artículo'!$K$8:$K$592,$D258,'Detalle por artículo'!$O$8:$O$592)</f>
        <v>378.5</v>
      </c>
      <c r="M258" s="38">
        <f>SUMIF('Detalle por artículo'!$K$8:$K$592,$D258,'Detalle por artículo'!$I$8:$I$592)</f>
        <v>732</v>
      </c>
      <c r="N258" s="38">
        <f>SUMIF('Detalle por artículo'!$K$8:$K$592,$D258,'Detalle por artículo'!$M$8:$M$592)</f>
        <v>25</v>
      </c>
      <c r="O258" s="39">
        <f t="shared" si="144"/>
        <v>3.278688524590164</v>
      </c>
      <c r="P258" s="40">
        <f t="shared" si="145"/>
        <v>517.07650273224044</v>
      </c>
      <c r="Q258" s="41">
        <f t="shared" si="146"/>
        <v>0.15</v>
      </c>
      <c r="R258" s="40">
        <f t="shared" si="147"/>
        <v>2.76</v>
      </c>
      <c r="S258" s="42">
        <f>IFERROR(SUM($G$8:G258)/$G$6,0)</f>
        <v>0.90211448216672363</v>
      </c>
      <c r="T258" s="43" t="str">
        <f t="shared" si="148"/>
        <v>C</v>
      </c>
      <c r="U258" s="44">
        <v>732</v>
      </c>
      <c r="V258" s="45">
        <f t="shared" si="129"/>
        <v>0</v>
      </c>
      <c r="W258" s="46">
        <v>46318</v>
      </c>
      <c r="X258" s="46">
        <v>46318</v>
      </c>
      <c r="Y258" s="47">
        <v>0</v>
      </c>
      <c r="Z258" s="48">
        <f t="shared" si="149"/>
        <v>0</v>
      </c>
      <c r="AA258" s="49">
        <f t="shared" si="150"/>
        <v>0</v>
      </c>
      <c r="AB258" s="44">
        <v>0</v>
      </c>
      <c r="AC258" s="44">
        <f t="shared" si="151"/>
        <v>0</v>
      </c>
      <c r="AD258" s="44">
        <f t="shared" si="152"/>
        <v>0</v>
      </c>
      <c r="AE258" s="50">
        <f t="shared" si="153"/>
        <v>0</v>
      </c>
      <c r="AF258" s="41">
        <f t="shared" si="154"/>
        <v>0</v>
      </c>
      <c r="AG258" s="44">
        <v>0</v>
      </c>
      <c r="AH258" s="44">
        <v>0</v>
      </c>
      <c r="AI258" s="42">
        <f t="shared" si="130"/>
        <v>0</v>
      </c>
      <c r="AJ258" s="42">
        <f t="shared" si="131"/>
        <v>0</v>
      </c>
      <c r="AK258" s="40">
        <f t="shared" si="155"/>
        <v>0</v>
      </c>
      <c r="AL258" s="51">
        <v>732</v>
      </c>
      <c r="AM258" s="52">
        <f t="shared" si="156"/>
        <v>2.4</v>
      </c>
      <c r="AN258" s="42">
        <f t="shared" si="132"/>
        <v>1</v>
      </c>
      <c r="AO258" s="53">
        <f t="shared" si="133"/>
        <v>732</v>
      </c>
      <c r="AP258" s="52">
        <f t="shared" si="134"/>
        <v>2.4</v>
      </c>
      <c r="AQ258" s="42">
        <f t="shared" si="135"/>
        <v>0</v>
      </c>
      <c r="AR258" s="46"/>
      <c r="AS258" s="46"/>
      <c r="AT258" s="50" t="str">
        <f t="shared" si="136"/>
        <v/>
      </c>
      <c r="AU258" s="50">
        <f t="shared" si="157"/>
        <v>294</v>
      </c>
      <c r="AV258" s="50" t="str">
        <f t="shared" si="137"/>
        <v/>
      </c>
      <c r="AW258" s="54" t="str">
        <f t="shared" si="138"/>
        <v/>
      </c>
    </row>
    <row r="259" spans="1:49" x14ac:dyDescent="0.25">
      <c r="A259" s="33" t="s">
        <v>55</v>
      </c>
      <c r="B259" s="33" t="s">
        <v>99</v>
      </c>
      <c r="C259" s="33" t="s">
        <v>100</v>
      </c>
      <c r="D259" s="33" t="s">
        <v>355</v>
      </c>
      <c r="E259" s="34">
        <f>COUNTIF('Detalle por artículo'!$K$8:$K$592,D259)</f>
        <v>1</v>
      </c>
      <c r="F259" s="35">
        <f t="shared" si="139"/>
        <v>96.333333333333329</v>
      </c>
      <c r="G259" s="36">
        <f>SUMIF('Detalle por artículo'!$K$8:$K$592,$D259,'Detalle por artículo'!$E$8:$E$592)</f>
        <v>2.4</v>
      </c>
      <c r="H259" s="35">
        <f t="shared" si="140"/>
        <v>2</v>
      </c>
      <c r="I259" s="35">
        <f t="shared" si="141"/>
        <v>4</v>
      </c>
      <c r="J259" s="35">
        <f t="shared" si="142"/>
        <v>7</v>
      </c>
      <c r="K259" s="37">
        <f t="shared" si="143"/>
        <v>8.5714285714285715E-2</v>
      </c>
      <c r="L259" s="36">
        <f>SUMIF('Detalle por artículo'!$K$8:$K$592,$D259,'Detalle por artículo'!$O$8:$O$592)</f>
        <v>231.2</v>
      </c>
      <c r="M259" s="38">
        <f>SUMIF('Detalle por artículo'!$K$8:$K$592,$D259,'Detalle por artículo'!$I$8:$I$592)</f>
        <v>901</v>
      </c>
      <c r="N259" s="38">
        <f>SUMIF('Detalle por artículo'!$K$8:$K$592,$D259,'Detalle por artículo'!$M$8:$M$592)</f>
        <v>25</v>
      </c>
      <c r="O259" s="39">
        <f t="shared" si="144"/>
        <v>2.6637069922308543</v>
      </c>
      <c r="P259" s="40">
        <f t="shared" si="145"/>
        <v>256.60377358490564</v>
      </c>
      <c r="Q259" s="41">
        <f t="shared" si="146"/>
        <v>0.2</v>
      </c>
      <c r="R259" s="40">
        <f t="shared" si="147"/>
        <v>2.88</v>
      </c>
      <c r="S259" s="42">
        <f>IFERROR(SUM($G$8:G259)/$G$6,0)</f>
        <v>0.90299639525374797</v>
      </c>
      <c r="T259" s="43" t="str">
        <f t="shared" si="148"/>
        <v>C</v>
      </c>
      <c r="U259" s="44">
        <v>901</v>
      </c>
      <c r="V259" s="45">
        <f t="shared" si="129"/>
        <v>0</v>
      </c>
      <c r="W259" s="46">
        <v>46260</v>
      </c>
      <c r="X259" s="46">
        <v>46260</v>
      </c>
      <c r="Y259" s="47">
        <v>0</v>
      </c>
      <c r="Z259" s="48">
        <f t="shared" si="149"/>
        <v>0</v>
      </c>
      <c r="AA259" s="49">
        <f t="shared" si="150"/>
        <v>0</v>
      </c>
      <c r="AB259" s="44">
        <v>478</v>
      </c>
      <c r="AC259" s="44">
        <f t="shared" si="151"/>
        <v>409</v>
      </c>
      <c r="AD259" s="44">
        <f t="shared" si="152"/>
        <v>58</v>
      </c>
      <c r="AE259" s="50">
        <f t="shared" si="153"/>
        <v>48</v>
      </c>
      <c r="AF259" s="41">
        <f t="shared" si="154"/>
        <v>0.96</v>
      </c>
      <c r="AG259" s="44">
        <v>4</v>
      </c>
      <c r="AH259" s="44">
        <v>8</v>
      </c>
      <c r="AI259" s="42">
        <f t="shared" si="130"/>
        <v>0.45394006659267483</v>
      </c>
      <c r="AJ259" s="42">
        <f t="shared" si="131"/>
        <v>6.4372918978912314E-2</v>
      </c>
      <c r="AK259" s="40">
        <f t="shared" si="155"/>
        <v>1.0894561598224193</v>
      </c>
      <c r="AL259" s="51">
        <v>423</v>
      </c>
      <c r="AM259" s="52">
        <f t="shared" si="156"/>
        <v>1.1267480577136515</v>
      </c>
      <c r="AN259" s="42">
        <f t="shared" si="132"/>
        <v>0.4694783573806881</v>
      </c>
      <c r="AO259" s="53">
        <f t="shared" si="133"/>
        <v>423</v>
      </c>
      <c r="AP259" s="52">
        <f t="shared" si="134"/>
        <v>1.1267480577136515</v>
      </c>
      <c r="AQ259" s="42">
        <f t="shared" si="135"/>
        <v>0.51831298557158711</v>
      </c>
      <c r="AR259" s="46">
        <v>46268</v>
      </c>
      <c r="AS259" s="46">
        <v>46268</v>
      </c>
      <c r="AT259" s="50">
        <f t="shared" si="136"/>
        <v>8</v>
      </c>
      <c r="AU259" s="50">
        <f t="shared" si="157"/>
        <v>199</v>
      </c>
      <c r="AV259" s="50">
        <f t="shared" si="137"/>
        <v>287</v>
      </c>
      <c r="AW259" s="54">
        <f t="shared" si="138"/>
        <v>-88</v>
      </c>
    </row>
    <row r="260" spans="1:49" x14ac:dyDescent="0.25">
      <c r="A260" s="33" t="s">
        <v>55</v>
      </c>
      <c r="B260" s="33" t="s">
        <v>99</v>
      </c>
      <c r="C260" s="33" t="s">
        <v>100</v>
      </c>
      <c r="D260" s="33" t="s">
        <v>356</v>
      </c>
      <c r="E260" s="34">
        <f>COUNTIF('Detalle por artículo'!$K$8:$K$592,D260)</f>
        <v>1</v>
      </c>
      <c r="F260" s="35">
        <f t="shared" si="139"/>
        <v>105.95833333333334</v>
      </c>
      <c r="G260" s="36">
        <f>SUMIF('Detalle por artículo'!$K$8:$K$592,$D260,'Detalle por artículo'!$E$8:$E$592)</f>
        <v>2.4</v>
      </c>
      <c r="H260" s="35">
        <f t="shared" si="140"/>
        <v>2</v>
      </c>
      <c r="I260" s="35">
        <f t="shared" si="141"/>
        <v>4</v>
      </c>
      <c r="J260" s="35">
        <f t="shared" si="142"/>
        <v>7</v>
      </c>
      <c r="K260" s="37">
        <f t="shared" si="143"/>
        <v>8.5714285714285715E-2</v>
      </c>
      <c r="L260" s="36">
        <f>SUMIF('Detalle por artículo'!$K$8:$K$592,$D260,'Detalle por artículo'!$O$8:$O$592)</f>
        <v>254.3</v>
      </c>
      <c r="M260" s="38">
        <f>SUMIF('Detalle por artículo'!$K$8:$K$592,$D260,'Detalle por artículo'!$I$8:$I$592)</f>
        <v>645</v>
      </c>
      <c r="N260" s="38">
        <f>SUMIF('Detalle por artículo'!$K$8:$K$592,$D260,'Detalle por artículo'!$M$8:$M$592)</f>
        <v>25</v>
      </c>
      <c r="O260" s="39">
        <f t="shared" si="144"/>
        <v>3.7209302325581395</v>
      </c>
      <c r="P260" s="40">
        <f t="shared" si="145"/>
        <v>394.26356589147287</v>
      </c>
      <c r="Q260" s="41">
        <f t="shared" si="146"/>
        <v>0.2</v>
      </c>
      <c r="R260" s="40">
        <f t="shared" si="147"/>
        <v>2.88</v>
      </c>
      <c r="S260" s="42">
        <f>IFERROR(SUM($G$8:G260)/$G$6,0)</f>
        <v>0.90387830834077232</v>
      </c>
      <c r="T260" s="43" t="str">
        <f t="shared" si="148"/>
        <v>C</v>
      </c>
      <c r="U260" s="44">
        <v>645</v>
      </c>
      <c r="V260" s="45">
        <f t="shared" si="129"/>
        <v>0</v>
      </c>
      <c r="W260" s="46">
        <v>46260</v>
      </c>
      <c r="X260" s="46">
        <v>46260</v>
      </c>
      <c r="Y260" s="47">
        <v>0</v>
      </c>
      <c r="Z260" s="48">
        <f t="shared" si="149"/>
        <v>0</v>
      </c>
      <c r="AA260" s="49">
        <f t="shared" si="150"/>
        <v>0</v>
      </c>
      <c r="AB260" s="44">
        <v>51</v>
      </c>
      <c r="AC260" s="44">
        <f t="shared" si="151"/>
        <v>33</v>
      </c>
      <c r="AD260" s="44">
        <f t="shared" si="152"/>
        <v>5</v>
      </c>
      <c r="AE260" s="50">
        <f t="shared" si="153"/>
        <v>1</v>
      </c>
      <c r="AF260" s="41">
        <f t="shared" si="154"/>
        <v>0.02</v>
      </c>
      <c r="AG260" s="44">
        <v>5</v>
      </c>
      <c r="AH260" s="44">
        <v>8</v>
      </c>
      <c r="AI260" s="42">
        <f t="shared" si="130"/>
        <v>5.1162790697674418E-2</v>
      </c>
      <c r="AJ260" s="42">
        <f t="shared" si="131"/>
        <v>7.7519379844961239E-3</v>
      </c>
      <c r="AK260" s="40">
        <f t="shared" si="155"/>
        <v>0.12279069767441861</v>
      </c>
      <c r="AL260" s="51">
        <v>594</v>
      </c>
      <c r="AM260" s="52">
        <f t="shared" si="156"/>
        <v>2.210232558139535</v>
      </c>
      <c r="AN260" s="42">
        <f t="shared" si="132"/>
        <v>0.92093023255813955</v>
      </c>
      <c r="AO260" s="53">
        <f t="shared" si="133"/>
        <v>594</v>
      </c>
      <c r="AP260" s="52">
        <f t="shared" si="134"/>
        <v>2.210232558139535</v>
      </c>
      <c r="AQ260" s="42">
        <f t="shared" si="135"/>
        <v>5.8914728682170542E-2</v>
      </c>
      <c r="AR260" s="46">
        <v>46268</v>
      </c>
      <c r="AS260" s="46">
        <v>46268</v>
      </c>
      <c r="AT260" s="50">
        <f t="shared" si="136"/>
        <v>8</v>
      </c>
      <c r="AU260" s="50">
        <f t="shared" si="157"/>
        <v>364</v>
      </c>
      <c r="AV260" s="50">
        <f t="shared" si="137"/>
        <v>396</v>
      </c>
      <c r="AW260" s="54">
        <f t="shared" si="138"/>
        <v>-32</v>
      </c>
    </row>
    <row r="261" spans="1:49" x14ac:dyDescent="0.25">
      <c r="A261" s="33" t="s">
        <v>55</v>
      </c>
      <c r="B261" s="33" t="s">
        <v>99</v>
      </c>
      <c r="C261" s="33" t="s">
        <v>111</v>
      </c>
      <c r="D261" s="33" t="s">
        <v>357</v>
      </c>
      <c r="E261" s="34">
        <f>COUNTIF('Detalle por artículo'!$K$8:$K$592,D261)</f>
        <v>1</v>
      </c>
      <c r="F261" s="35">
        <f t="shared" si="139"/>
        <v>131.45833333333334</v>
      </c>
      <c r="G261" s="36">
        <f>SUMIF('Detalle por artículo'!$K$8:$K$592,$D261,'Detalle por artículo'!$E$8:$E$592)</f>
        <v>2.4</v>
      </c>
      <c r="H261" s="35">
        <f t="shared" si="140"/>
        <v>2</v>
      </c>
      <c r="I261" s="35">
        <f t="shared" si="141"/>
        <v>4</v>
      </c>
      <c r="J261" s="35">
        <f t="shared" si="142"/>
        <v>7</v>
      </c>
      <c r="K261" s="37">
        <f t="shared" si="143"/>
        <v>8.5714285714285715E-2</v>
      </c>
      <c r="L261" s="36">
        <f>SUMIF('Detalle por artículo'!$K$8:$K$592,$D261,'Detalle por artículo'!$O$8:$O$592)</f>
        <v>315.5</v>
      </c>
      <c r="M261" s="38">
        <f>SUMIF('Detalle por artículo'!$K$8:$K$592,$D261,'Detalle por artículo'!$I$8:$I$592)</f>
        <v>651</v>
      </c>
      <c r="N261" s="38">
        <f>SUMIF('Detalle por artículo'!$K$8:$K$592,$D261,'Detalle por artículo'!$M$8:$M$592)</f>
        <v>25</v>
      </c>
      <c r="O261" s="39">
        <f t="shared" si="144"/>
        <v>3.6866359447004609</v>
      </c>
      <c r="P261" s="40">
        <f t="shared" si="145"/>
        <v>484.63901689708138</v>
      </c>
      <c r="Q261" s="41">
        <f t="shared" si="146"/>
        <v>0.15</v>
      </c>
      <c r="R261" s="40">
        <f t="shared" si="147"/>
        <v>2.76</v>
      </c>
      <c r="S261" s="42">
        <f>IFERROR(SUM($G$8:G261)/$G$6,0)</f>
        <v>0.90476022142779666</v>
      </c>
      <c r="T261" s="43" t="str">
        <f t="shared" si="148"/>
        <v>C</v>
      </c>
      <c r="U261" s="44">
        <v>651</v>
      </c>
      <c r="V261" s="45">
        <f t="shared" si="129"/>
        <v>0</v>
      </c>
      <c r="W261" s="46">
        <v>46260</v>
      </c>
      <c r="X261" s="46">
        <v>46260</v>
      </c>
      <c r="Y261" s="47">
        <v>0</v>
      </c>
      <c r="Z261" s="48">
        <f t="shared" si="149"/>
        <v>0</v>
      </c>
      <c r="AA261" s="49">
        <f t="shared" si="150"/>
        <v>0</v>
      </c>
      <c r="AB261" s="44">
        <v>43</v>
      </c>
      <c r="AC261" s="44">
        <f t="shared" si="151"/>
        <v>32</v>
      </c>
      <c r="AD261" s="44">
        <f t="shared" si="152"/>
        <v>0</v>
      </c>
      <c r="AE261" s="50">
        <f t="shared" si="153"/>
        <v>1</v>
      </c>
      <c r="AF261" s="41">
        <f t="shared" si="154"/>
        <v>0.02</v>
      </c>
      <c r="AG261" s="44">
        <v>3</v>
      </c>
      <c r="AH261" s="44">
        <v>8</v>
      </c>
      <c r="AI261" s="42">
        <f t="shared" si="130"/>
        <v>4.9155145929339478E-2</v>
      </c>
      <c r="AJ261" s="42">
        <f t="shared" si="131"/>
        <v>0</v>
      </c>
      <c r="AK261" s="40">
        <f t="shared" si="155"/>
        <v>0.11797235023041475</v>
      </c>
      <c r="AL261" s="51">
        <v>608</v>
      </c>
      <c r="AM261" s="52">
        <f t="shared" si="156"/>
        <v>2.2414746543778801</v>
      </c>
      <c r="AN261" s="42">
        <f t="shared" si="132"/>
        <v>0.9339477726574501</v>
      </c>
      <c r="AO261" s="53">
        <f t="shared" si="133"/>
        <v>608</v>
      </c>
      <c r="AP261" s="52">
        <f t="shared" si="134"/>
        <v>2.2414746543778801</v>
      </c>
      <c r="AQ261" s="42">
        <f t="shared" si="135"/>
        <v>4.9155145929339478E-2</v>
      </c>
      <c r="AR261" s="46">
        <v>46268</v>
      </c>
      <c r="AS261" s="46">
        <v>46268</v>
      </c>
      <c r="AT261" s="50">
        <f t="shared" si="136"/>
        <v>8</v>
      </c>
      <c r="AU261" s="50">
        <f t="shared" si="157"/>
        <v>358</v>
      </c>
      <c r="AV261" s="50">
        <f t="shared" si="137"/>
        <v>403</v>
      </c>
      <c r="AW261" s="54">
        <f t="shared" si="138"/>
        <v>-45</v>
      </c>
    </row>
    <row r="262" spans="1:49" x14ac:dyDescent="0.25">
      <c r="A262" s="33" t="s">
        <v>63</v>
      </c>
      <c r="B262" s="33" t="s">
        <v>102</v>
      </c>
      <c r="C262" s="33" t="s">
        <v>132</v>
      </c>
      <c r="D262" s="33" t="s">
        <v>358</v>
      </c>
      <c r="E262" s="34">
        <f>COUNTIF('Detalle por artículo'!$K$8:$K$592,D262)</f>
        <v>1</v>
      </c>
      <c r="F262" s="35">
        <f t="shared" si="139"/>
        <v>263.73487903225805</v>
      </c>
      <c r="G262" s="36">
        <f>SUMIF('Detalle por artículo'!$K$8:$K$592,$D262,'Detalle por artículo'!$E$8:$E$592)</f>
        <v>2.3807999999999998</v>
      </c>
      <c r="H262" s="35">
        <f t="shared" si="140"/>
        <v>2</v>
      </c>
      <c r="I262" s="35">
        <f t="shared" si="141"/>
        <v>4</v>
      </c>
      <c r="J262" s="35">
        <f t="shared" si="142"/>
        <v>7</v>
      </c>
      <c r="K262" s="37">
        <f t="shared" si="143"/>
        <v>8.5028571428571426E-2</v>
      </c>
      <c r="L262" s="36">
        <f>SUMIF('Detalle por artículo'!$K$8:$K$592,$D262,'Detalle por artículo'!$O$8:$O$592)</f>
        <v>627.9</v>
      </c>
      <c r="M262" s="38">
        <f>SUMIF('Detalle por artículo'!$K$8:$K$592,$D262,'Detalle por artículo'!$I$8:$I$592)</f>
        <v>814</v>
      </c>
      <c r="N262" s="38">
        <f>SUMIF('Detalle por artículo'!$K$8:$K$592,$D262,'Detalle por artículo'!$M$8:$M$592)</f>
        <v>31</v>
      </c>
      <c r="O262" s="39">
        <f t="shared" si="144"/>
        <v>2.9248157248157245</v>
      </c>
      <c r="P262" s="40">
        <f t="shared" si="145"/>
        <v>771.37592137592139</v>
      </c>
      <c r="Q262" s="41">
        <f t="shared" si="146"/>
        <v>0.1</v>
      </c>
      <c r="R262" s="40">
        <f t="shared" si="147"/>
        <v>2.6188799999999999</v>
      </c>
      <c r="S262" s="42">
        <f>IFERROR(SUM($G$8:G262)/$G$6,0)</f>
        <v>0.90563507921012476</v>
      </c>
      <c r="T262" s="43" t="str">
        <f t="shared" si="148"/>
        <v>C</v>
      </c>
      <c r="U262" s="44">
        <v>814</v>
      </c>
      <c r="V262" s="45">
        <f t="shared" ref="V262:V325" si="158">U262-M262</f>
        <v>0</v>
      </c>
      <c r="W262" s="46">
        <v>46188</v>
      </c>
      <c r="X262" s="46">
        <v>46188</v>
      </c>
      <c r="Y262" s="47">
        <v>0</v>
      </c>
      <c r="Z262" s="48">
        <f t="shared" si="149"/>
        <v>0</v>
      </c>
      <c r="AA262" s="49">
        <f t="shared" si="150"/>
        <v>0</v>
      </c>
      <c r="AB262" s="44">
        <v>674</v>
      </c>
      <c r="AC262" s="44">
        <f t="shared" si="151"/>
        <v>449</v>
      </c>
      <c r="AD262" s="44">
        <f t="shared" si="152"/>
        <v>216</v>
      </c>
      <c r="AE262" s="50">
        <f t="shared" si="153"/>
        <v>47</v>
      </c>
      <c r="AF262" s="41">
        <f t="shared" si="154"/>
        <v>0.94</v>
      </c>
      <c r="AG262" s="44">
        <v>0</v>
      </c>
      <c r="AH262" s="44">
        <v>9</v>
      </c>
      <c r="AI262" s="42">
        <f t="shared" ref="AI262:AI325" si="159">IFERROR(AC262/M262,0)</f>
        <v>0.55159705159705164</v>
      </c>
      <c r="AJ262" s="42">
        <f t="shared" ref="AJ262:AJ325" si="160">IFERROR(AD262/M262,0)</f>
        <v>0.26535626535626533</v>
      </c>
      <c r="AK262" s="40">
        <f t="shared" si="155"/>
        <v>1.3132422604422602</v>
      </c>
      <c r="AL262" s="51">
        <v>140</v>
      </c>
      <c r="AM262" s="52">
        <f t="shared" si="156"/>
        <v>0.40947420147420144</v>
      </c>
      <c r="AN262" s="42">
        <f t="shared" ref="AN262:AN325" si="161">IFERROR(AL262/U262,0)</f>
        <v>0.171990171990172</v>
      </c>
      <c r="AO262" s="53">
        <f t="shared" ref="AO262:AO325" si="162">M262-AB262</f>
        <v>140</v>
      </c>
      <c r="AP262" s="52">
        <f t="shared" ref="AP262:AP325" si="163">AO262*O262/1000</f>
        <v>0.40947420147420144</v>
      </c>
      <c r="AQ262" s="42">
        <f t="shared" ref="AQ262:AQ325" si="164">IFERROR((AC262+AD262)/M262,0)</f>
        <v>0.81695331695331697</v>
      </c>
      <c r="AR262" s="46">
        <v>46213</v>
      </c>
      <c r="AS262" s="46">
        <v>46213</v>
      </c>
      <c r="AT262" s="50">
        <f t="shared" ref="AT262:AT325" si="165">IF(OR(W262="",AS262=""),"",AS262-W262)</f>
        <v>25</v>
      </c>
      <c r="AU262" s="50">
        <f t="shared" si="157"/>
        <v>232</v>
      </c>
      <c r="AV262" s="50">
        <f t="shared" ref="AV262:AV325" si="166">IF(AB262=0,"",RANK(AB262,$AB$8:$AB$474))</f>
        <v>136</v>
      </c>
      <c r="AW262" s="54">
        <f t="shared" ref="AW262:AW325" si="167">IF(OR(AU262="",AV262=""),"",AU262-AV262)</f>
        <v>96</v>
      </c>
    </row>
    <row r="263" spans="1:49" x14ac:dyDescent="0.25">
      <c r="A263" s="33" t="s">
        <v>55</v>
      </c>
      <c r="B263" s="33" t="s">
        <v>314</v>
      </c>
      <c r="C263" s="33" t="s">
        <v>315</v>
      </c>
      <c r="D263" s="33" t="s">
        <v>359</v>
      </c>
      <c r="E263" s="34">
        <f>COUNTIF('Detalle por artículo'!$K$8:$K$592,D263)</f>
        <v>2</v>
      </c>
      <c r="F263" s="35">
        <f t="shared" si="139"/>
        <v>218.60269360269359</v>
      </c>
      <c r="G263" s="36">
        <f>SUMIF('Detalle por artículo'!$K$8:$K$592,$D263,'Detalle por artículo'!$E$8:$E$592)</f>
        <v>2.3759999999999999</v>
      </c>
      <c r="H263" s="35">
        <f t="shared" si="140"/>
        <v>2</v>
      </c>
      <c r="I263" s="35">
        <f t="shared" si="141"/>
        <v>4</v>
      </c>
      <c r="J263" s="35">
        <f t="shared" si="142"/>
        <v>7</v>
      </c>
      <c r="K263" s="37">
        <f t="shared" si="143"/>
        <v>8.4857142857142853E-2</v>
      </c>
      <c r="L263" s="36">
        <f>SUMIF('Detalle por artículo'!$K$8:$K$592,$D263,'Detalle por artículo'!$O$8:$O$592)</f>
        <v>519.4</v>
      </c>
      <c r="M263" s="38">
        <f>SUMIF('Detalle por artículo'!$K$8:$K$592,$D263,'Detalle por artículo'!$I$8:$I$592)</f>
        <v>1488</v>
      </c>
      <c r="N263" s="38">
        <f>SUMIF('Detalle por artículo'!$K$8:$K$592,$D263,'Detalle por artículo'!$M$8:$M$592)</f>
        <v>25</v>
      </c>
      <c r="O263" s="39">
        <f t="shared" si="144"/>
        <v>1.596774193548387</v>
      </c>
      <c r="P263" s="40">
        <f t="shared" si="145"/>
        <v>349.05913978494624</v>
      </c>
      <c r="Q263" s="41">
        <f t="shared" si="146"/>
        <v>0.1</v>
      </c>
      <c r="R263" s="40">
        <f t="shared" si="147"/>
        <v>2.6135999999999999</v>
      </c>
      <c r="S263" s="42">
        <f>IFERROR(SUM($G$8:G263)/$G$6,0)</f>
        <v>0.90650817316627885</v>
      </c>
      <c r="T263" s="43" t="str">
        <f t="shared" si="148"/>
        <v>C</v>
      </c>
      <c r="U263" s="44">
        <v>1488</v>
      </c>
      <c r="V263" s="45">
        <f t="shared" si="158"/>
        <v>0</v>
      </c>
      <c r="W263" s="46">
        <v>46247</v>
      </c>
      <c r="X263" s="46">
        <v>46247</v>
      </c>
      <c r="Y263" s="47">
        <v>0</v>
      </c>
      <c r="Z263" s="48">
        <f t="shared" si="149"/>
        <v>0</v>
      </c>
      <c r="AA263" s="49">
        <f t="shared" si="150"/>
        <v>0</v>
      </c>
      <c r="AB263" s="44">
        <v>1436</v>
      </c>
      <c r="AC263" s="44">
        <f t="shared" si="151"/>
        <v>705</v>
      </c>
      <c r="AD263" s="44">
        <f t="shared" si="152"/>
        <v>698</v>
      </c>
      <c r="AE263" s="50">
        <f t="shared" si="153"/>
        <v>49</v>
      </c>
      <c r="AF263" s="41">
        <f t="shared" si="154"/>
        <v>0.98</v>
      </c>
      <c r="AG263" s="44">
        <v>5</v>
      </c>
      <c r="AH263" s="44">
        <v>28</v>
      </c>
      <c r="AI263" s="42">
        <f t="shared" si="159"/>
        <v>0.47379032258064518</v>
      </c>
      <c r="AJ263" s="42">
        <f t="shared" si="160"/>
        <v>0.46908602150537637</v>
      </c>
      <c r="AK263" s="40">
        <f t="shared" si="155"/>
        <v>1.1257258064516129</v>
      </c>
      <c r="AL263" s="51">
        <v>50</v>
      </c>
      <c r="AM263" s="52">
        <f t="shared" si="156"/>
        <v>7.9838709677419351E-2</v>
      </c>
      <c r="AN263" s="42">
        <f t="shared" si="161"/>
        <v>3.3602150537634407E-2</v>
      </c>
      <c r="AO263" s="53">
        <f t="shared" si="162"/>
        <v>52</v>
      </c>
      <c r="AP263" s="52">
        <f t="shared" si="163"/>
        <v>8.3032258064516126E-2</v>
      </c>
      <c r="AQ263" s="42">
        <f t="shared" si="164"/>
        <v>0.9428763440860215</v>
      </c>
      <c r="AR263" s="46">
        <v>46247</v>
      </c>
      <c r="AS263" s="46">
        <v>46248</v>
      </c>
      <c r="AT263" s="50">
        <f t="shared" si="165"/>
        <v>1</v>
      </c>
      <c r="AU263" s="50">
        <f t="shared" si="157"/>
        <v>100</v>
      </c>
      <c r="AV263" s="50">
        <f t="shared" si="166"/>
        <v>27</v>
      </c>
      <c r="AW263" s="54">
        <f t="shared" si="167"/>
        <v>73</v>
      </c>
    </row>
    <row r="264" spans="1:49" x14ac:dyDescent="0.25">
      <c r="A264" s="33" t="s">
        <v>63</v>
      </c>
      <c r="B264" s="33" t="s">
        <v>263</v>
      </c>
      <c r="C264" s="33" t="s">
        <v>264</v>
      </c>
      <c r="D264" s="33" t="s">
        <v>360</v>
      </c>
      <c r="E264" s="34">
        <f>COUNTIF('Detalle por artículo'!$K$8:$K$592,D264)</f>
        <v>1</v>
      </c>
      <c r="F264" s="35">
        <f t="shared" ref="F264:F327" si="168">IFERROR(L264/G264,0)</f>
        <v>196.22881355932202</v>
      </c>
      <c r="G264" s="36">
        <f>SUMIF('Detalle por artículo'!$K$8:$K$592,$D264,'Detalle por artículo'!$E$8:$E$592)</f>
        <v>2.36</v>
      </c>
      <c r="H264" s="35">
        <f t="shared" ref="H264:H327" si="169">ROUNDUP(G264/1.54,0)</f>
        <v>2</v>
      </c>
      <c r="I264" s="35">
        <f t="shared" ref="I264:I327" si="170">ROUNDUP(G264/0.77,0)</f>
        <v>4</v>
      </c>
      <c r="J264" s="35">
        <f t="shared" ref="J264:J327" si="171">ROUNDUP(G264/0.385,0)</f>
        <v>7</v>
      </c>
      <c r="K264" s="37">
        <f t="shared" ref="K264:K327" si="172">G264/28</f>
        <v>8.4285714285714283E-2</v>
      </c>
      <c r="L264" s="36">
        <f>SUMIF('Detalle por artículo'!$K$8:$K$592,$D264,'Detalle por artículo'!$O$8:$O$592)</f>
        <v>463.09999999999997</v>
      </c>
      <c r="M264" s="38">
        <f>SUMIF('Detalle por artículo'!$K$8:$K$592,$D264,'Detalle por artículo'!$I$8:$I$592)</f>
        <v>1763</v>
      </c>
      <c r="N264" s="38">
        <f>SUMIF('Detalle por artículo'!$K$8:$K$592,$D264,'Detalle por artículo'!$M$8:$M$592)</f>
        <v>23</v>
      </c>
      <c r="O264" s="39">
        <f t="shared" ref="O264:O327" si="173">IFERROR(G264/M264*1000,0)</f>
        <v>1.3386273397617696</v>
      </c>
      <c r="P264" s="40">
        <f t="shared" ref="P264:P327" si="174">IFERROR(L264/M264*1000,0)</f>
        <v>262.67725467952351</v>
      </c>
      <c r="Q264" s="41">
        <f t="shared" ref="Q264:Q327" si="175">IF(F264=0,0,IF(F264&lt;120,0.2,IF(F264&gt;200,0.1,0.15)))</f>
        <v>0.15</v>
      </c>
      <c r="R264" s="40">
        <f t="shared" ref="R264:R327" si="176">G264*(1+Q264)</f>
        <v>2.7139999999999995</v>
      </c>
      <c r="S264" s="42">
        <f>IFERROR(SUM($G$8:G264)/$G$6,0)</f>
        <v>0.90737538770185278</v>
      </c>
      <c r="T264" s="43" t="str">
        <f t="shared" ref="T264:T327" si="177">IF(S264&lt;=0.5,"A",IF(S264&lt;=0.84,"B","C"))</f>
        <v>C</v>
      </c>
      <c r="U264" s="44">
        <v>1763</v>
      </c>
      <c r="V264" s="45">
        <f t="shared" si="158"/>
        <v>0</v>
      </c>
      <c r="W264" s="46">
        <v>46240</v>
      </c>
      <c r="X264" s="46">
        <v>46240</v>
      </c>
      <c r="Y264" s="47">
        <v>0</v>
      </c>
      <c r="Z264" s="48">
        <f t="shared" ref="Z264:Z327" si="178">Y264*O264/1000</f>
        <v>0</v>
      </c>
      <c r="AA264" s="49">
        <f t="shared" ref="AA264:AA327" si="179">Z264/28</f>
        <v>0</v>
      </c>
      <c r="AB264" s="44">
        <v>1303</v>
      </c>
      <c r="AC264" s="44">
        <f t="shared" ref="AC264:AC327" si="180">IFERROR(INDEX(IMP_TOT,MATCH(D264,IMP_MOD,0)),0)</f>
        <v>915</v>
      </c>
      <c r="AD264" s="44">
        <f t="shared" ref="AD264:AD327" si="181">IFERROR(INDEX(REP_TOT,MATCH(D264,REP_MOD,0)),0)</f>
        <v>332</v>
      </c>
      <c r="AE264" s="50">
        <f t="shared" ref="AE264:AE327" si="182">IFERROR(INDEX(IMP_NT,MATCH(D264,IMP_MOD,0)),0)</f>
        <v>49</v>
      </c>
      <c r="AF264" s="41">
        <f t="shared" ref="AF264:AF327" si="183">IFERROR(AE264/TIENDAS,0)</f>
        <v>0.98</v>
      </c>
      <c r="AG264" s="44">
        <v>8</v>
      </c>
      <c r="AH264" s="44">
        <v>48</v>
      </c>
      <c r="AI264" s="42">
        <f t="shared" si="159"/>
        <v>0.51900170164492343</v>
      </c>
      <c r="AJ264" s="42">
        <f t="shared" si="160"/>
        <v>0.18831537152580829</v>
      </c>
      <c r="AK264" s="40">
        <f t="shared" ref="AK264:AK327" si="184">AC264*O264/1000</f>
        <v>1.2248440158820193</v>
      </c>
      <c r="AL264" s="51">
        <v>459</v>
      </c>
      <c r="AM264" s="52">
        <f t="shared" ref="AM264:AM327" si="185">AL264*O264/1000</f>
        <v>0.61442994895065228</v>
      </c>
      <c r="AN264" s="42">
        <f t="shared" si="161"/>
        <v>0.26035167328417469</v>
      </c>
      <c r="AO264" s="53">
        <f t="shared" si="162"/>
        <v>460</v>
      </c>
      <c r="AP264" s="52">
        <f t="shared" si="163"/>
        <v>0.61576857629041404</v>
      </c>
      <c r="AQ264" s="42">
        <f t="shared" si="164"/>
        <v>0.70731707317073167</v>
      </c>
      <c r="AR264" s="46">
        <v>46244</v>
      </c>
      <c r="AS264" s="46">
        <v>46245</v>
      </c>
      <c r="AT264" s="50">
        <f t="shared" si="165"/>
        <v>5</v>
      </c>
      <c r="AU264" s="50">
        <f t="shared" ref="AU264:AU327" si="186">IF(M264=0,"",RANK(M264,$M$8:$M$474))</f>
        <v>62</v>
      </c>
      <c r="AV264" s="50">
        <f t="shared" si="166"/>
        <v>40</v>
      </c>
      <c r="AW264" s="54">
        <f t="shared" si="167"/>
        <v>22</v>
      </c>
    </row>
    <row r="265" spans="1:49" x14ac:dyDescent="0.25">
      <c r="A265" s="33" t="s">
        <v>63</v>
      </c>
      <c r="B265" s="33" t="s">
        <v>263</v>
      </c>
      <c r="C265" s="33" t="s">
        <v>264</v>
      </c>
      <c r="D265" s="33" t="s">
        <v>361</v>
      </c>
      <c r="E265" s="34">
        <f>COUNTIF('Detalle por artículo'!$K$8:$K$592,D265)</f>
        <v>2</v>
      </c>
      <c r="F265" s="35">
        <f t="shared" si="168"/>
        <v>214.67013888888886</v>
      </c>
      <c r="G265" s="36">
        <f>SUMIF('Detalle por artículo'!$K$8:$K$592,$D265,'Detalle por artículo'!$E$8:$E$592)</f>
        <v>2.3040000000000003</v>
      </c>
      <c r="H265" s="35">
        <f t="shared" si="169"/>
        <v>2</v>
      </c>
      <c r="I265" s="35">
        <f t="shared" si="170"/>
        <v>3</v>
      </c>
      <c r="J265" s="35">
        <f t="shared" si="171"/>
        <v>6</v>
      </c>
      <c r="K265" s="37">
        <f t="shared" si="172"/>
        <v>8.2285714285714295E-2</v>
      </c>
      <c r="L265" s="36">
        <f>SUMIF('Detalle por artículo'!$K$8:$K$592,$D265,'Detalle por artículo'!$O$8:$O$592)</f>
        <v>494.59999999999997</v>
      </c>
      <c r="M265" s="38">
        <f>SUMIF('Detalle por artículo'!$K$8:$K$592,$D265,'Detalle por artículo'!$I$8:$I$592)</f>
        <v>1602</v>
      </c>
      <c r="N265" s="38">
        <f>SUMIF('Detalle por artículo'!$K$8:$K$592,$D265,'Detalle por artículo'!$M$8:$M$592)</f>
        <v>24</v>
      </c>
      <c r="O265" s="39">
        <f t="shared" si="173"/>
        <v>1.4382022471910114</v>
      </c>
      <c r="P265" s="40">
        <f t="shared" si="174"/>
        <v>308.73907615480647</v>
      </c>
      <c r="Q265" s="41">
        <f t="shared" si="175"/>
        <v>0.1</v>
      </c>
      <c r="R265" s="40">
        <f t="shared" si="176"/>
        <v>2.5344000000000007</v>
      </c>
      <c r="S265" s="42">
        <f>IFERROR(SUM($G$8:G265)/$G$6,0)</f>
        <v>0.90822202426539622</v>
      </c>
      <c r="T265" s="43" t="str">
        <f t="shared" si="177"/>
        <v>C</v>
      </c>
      <c r="U265" s="44">
        <v>1602</v>
      </c>
      <c r="V265" s="45">
        <f t="shared" si="158"/>
        <v>0</v>
      </c>
      <c r="W265" s="46">
        <v>46233</v>
      </c>
      <c r="X265" s="46">
        <v>46233</v>
      </c>
      <c r="Y265" s="47">
        <v>0</v>
      </c>
      <c r="Z265" s="48">
        <f t="shared" si="178"/>
        <v>0</v>
      </c>
      <c r="AA265" s="49">
        <f t="shared" si="179"/>
        <v>0</v>
      </c>
      <c r="AB265" s="44">
        <v>1310</v>
      </c>
      <c r="AC265" s="44">
        <f t="shared" si="180"/>
        <v>601</v>
      </c>
      <c r="AD265" s="44">
        <f t="shared" si="181"/>
        <v>684</v>
      </c>
      <c r="AE265" s="50">
        <f t="shared" si="182"/>
        <v>48</v>
      </c>
      <c r="AF265" s="41">
        <f t="shared" si="183"/>
        <v>0.96</v>
      </c>
      <c r="AG265" s="44">
        <v>2</v>
      </c>
      <c r="AH265" s="44">
        <v>24</v>
      </c>
      <c r="AI265" s="42">
        <f t="shared" si="159"/>
        <v>0.3751560549313358</v>
      </c>
      <c r="AJ265" s="42">
        <f t="shared" si="160"/>
        <v>0.42696629213483145</v>
      </c>
      <c r="AK265" s="40">
        <f t="shared" si="184"/>
        <v>0.86435955056179781</v>
      </c>
      <c r="AL265" s="51">
        <v>283</v>
      </c>
      <c r="AM265" s="52">
        <f t="shared" si="185"/>
        <v>0.40701123595505623</v>
      </c>
      <c r="AN265" s="42">
        <f t="shared" si="161"/>
        <v>0.17665418227215979</v>
      </c>
      <c r="AO265" s="53">
        <f t="shared" si="162"/>
        <v>292</v>
      </c>
      <c r="AP265" s="52">
        <f t="shared" si="163"/>
        <v>0.41995505617977535</v>
      </c>
      <c r="AQ265" s="42">
        <f t="shared" si="164"/>
        <v>0.80212234706616725</v>
      </c>
      <c r="AR265" s="46">
        <v>46238</v>
      </c>
      <c r="AS265" s="46">
        <v>46238</v>
      </c>
      <c r="AT265" s="50">
        <f t="shared" si="165"/>
        <v>5</v>
      </c>
      <c r="AU265" s="50">
        <f t="shared" si="186"/>
        <v>79</v>
      </c>
      <c r="AV265" s="50">
        <f t="shared" si="166"/>
        <v>39</v>
      </c>
      <c r="AW265" s="54">
        <f t="shared" si="167"/>
        <v>40</v>
      </c>
    </row>
    <row r="266" spans="1:49" x14ac:dyDescent="0.25">
      <c r="A266" s="33" t="s">
        <v>55</v>
      </c>
      <c r="B266" s="33" t="s">
        <v>255</v>
      </c>
      <c r="C266" s="33" t="s">
        <v>132</v>
      </c>
      <c r="D266" s="33" t="s">
        <v>362</v>
      </c>
      <c r="E266" s="34">
        <f>COUNTIF('Detalle por artículo'!$K$8:$K$592,D266)</f>
        <v>1</v>
      </c>
      <c r="F266" s="35">
        <f t="shared" si="168"/>
        <v>256.16319444444446</v>
      </c>
      <c r="G266" s="36">
        <f>SUMIF('Detalle por artículo'!$K$8:$K$592,$D266,'Detalle por artículo'!$E$8:$E$592)</f>
        <v>2.3039999999999998</v>
      </c>
      <c r="H266" s="35">
        <f t="shared" si="169"/>
        <v>2</v>
      </c>
      <c r="I266" s="35">
        <f t="shared" si="170"/>
        <v>3</v>
      </c>
      <c r="J266" s="35">
        <f t="shared" si="171"/>
        <v>6</v>
      </c>
      <c r="K266" s="37">
        <f t="shared" si="172"/>
        <v>8.2285714285714281E-2</v>
      </c>
      <c r="L266" s="36">
        <f>SUMIF('Detalle por artículo'!$K$8:$K$592,$D266,'Detalle por artículo'!$O$8:$O$592)</f>
        <v>590.20000000000005</v>
      </c>
      <c r="M266" s="38">
        <f>SUMIF('Detalle por artículo'!$K$8:$K$592,$D266,'Detalle por artículo'!$I$8:$I$592)</f>
        <v>1101</v>
      </c>
      <c r="N266" s="38">
        <f>SUMIF('Detalle por artículo'!$K$8:$K$592,$D266,'Detalle por artículo'!$M$8:$M$592)</f>
        <v>24</v>
      </c>
      <c r="O266" s="39">
        <f t="shared" si="173"/>
        <v>2.092643051771117</v>
      </c>
      <c r="P266" s="40">
        <f t="shared" si="174"/>
        <v>536.05812897366036</v>
      </c>
      <c r="Q266" s="41">
        <f t="shared" si="175"/>
        <v>0.1</v>
      </c>
      <c r="R266" s="40">
        <f t="shared" si="176"/>
        <v>2.5344000000000002</v>
      </c>
      <c r="S266" s="42">
        <f>IFERROR(SUM($G$8:G266)/$G$6,0)</f>
        <v>0.90906866082893956</v>
      </c>
      <c r="T266" s="43" t="str">
        <f t="shared" si="177"/>
        <v>C</v>
      </c>
      <c r="U266" s="44">
        <v>1101</v>
      </c>
      <c r="V266" s="45">
        <f t="shared" si="158"/>
        <v>0</v>
      </c>
      <c r="W266" s="46">
        <v>46218</v>
      </c>
      <c r="X266" s="46">
        <v>46218</v>
      </c>
      <c r="Y266" s="47">
        <v>0</v>
      </c>
      <c r="Z266" s="48">
        <f t="shared" si="178"/>
        <v>0</v>
      </c>
      <c r="AA266" s="49">
        <f t="shared" si="179"/>
        <v>0</v>
      </c>
      <c r="AB266" s="44">
        <v>689</v>
      </c>
      <c r="AC266" s="44">
        <f t="shared" si="180"/>
        <v>416</v>
      </c>
      <c r="AD266" s="44">
        <f t="shared" si="181"/>
        <v>265</v>
      </c>
      <c r="AE266" s="50">
        <f t="shared" si="182"/>
        <v>49</v>
      </c>
      <c r="AF266" s="41">
        <f t="shared" si="183"/>
        <v>0.98</v>
      </c>
      <c r="AG266" s="44">
        <v>1</v>
      </c>
      <c r="AH266" s="44">
        <v>7</v>
      </c>
      <c r="AI266" s="42">
        <f t="shared" si="159"/>
        <v>0.37783832879200724</v>
      </c>
      <c r="AJ266" s="42">
        <f t="shared" si="160"/>
        <v>0.24069028156221617</v>
      </c>
      <c r="AK266" s="40">
        <f t="shared" si="184"/>
        <v>0.87053950953678461</v>
      </c>
      <c r="AL266" s="51">
        <v>411</v>
      </c>
      <c r="AM266" s="52">
        <f t="shared" si="185"/>
        <v>0.86007629427792909</v>
      </c>
      <c r="AN266" s="42">
        <f t="shared" si="161"/>
        <v>0.37329700272479566</v>
      </c>
      <c r="AO266" s="53">
        <f t="shared" si="162"/>
        <v>412</v>
      </c>
      <c r="AP266" s="52">
        <f t="shared" si="163"/>
        <v>0.86216893732970012</v>
      </c>
      <c r="AQ266" s="42">
        <f t="shared" si="164"/>
        <v>0.61852861035422346</v>
      </c>
      <c r="AR266" s="46">
        <v>46225</v>
      </c>
      <c r="AS266" s="46">
        <v>46225</v>
      </c>
      <c r="AT266" s="50">
        <f t="shared" si="165"/>
        <v>7</v>
      </c>
      <c r="AU266" s="50">
        <f t="shared" si="186"/>
        <v>148</v>
      </c>
      <c r="AV266" s="50">
        <f t="shared" si="166"/>
        <v>126</v>
      </c>
      <c r="AW266" s="54">
        <f t="shared" si="167"/>
        <v>22</v>
      </c>
    </row>
    <row r="267" spans="1:49" x14ac:dyDescent="0.25">
      <c r="A267" s="33" t="s">
        <v>63</v>
      </c>
      <c r="B267" s="33" t="s">
        <v>171</v>
      </c>
      <c r="C267" s="33" t="s">
        <v>363</v>
      </c>
      <c r="D267" s="33" t="s">
        <v>364</v>
      </c>
      <c r="E267" s="34">
        <f>COUNTIF('Detalle por artículo'!$K$8:$K$592,D267)</f>
        <v>1</v>
      </c>
      <c r="F267" s="35">
        <f t="shared" si="168"/>
        <v>140.97222222222223</v>
      </c>
      <c r="G267" s="36">
        <f>SUMIF('Detalle por artículo'!$K$8:$K$592,$D267,'Detalle por artículo'!$E$8:$E$592)</f>
        <v>2.3039999999999998</v>
      </c>
      <c r="H267" s="35">
        <f t="shared" si="169"/>
        <v>2</v>
      </c>
      <c r="I267" s="35">
        <f t="shared" si="170"/>
        <v>3</v>
      </c>
      <c r="J267" s="35">
        <f t="shared" si="171"/>
        <v>6</v>
      </c>
      <c r="K267" s="37">
        <f t="shared" si="172"/>
        <v>8.2285714285714281E-2</v>
      </c>
      <c r="L267" s="36">
        <f>SUMIF('Detalle por artículo'!$K$8:$K$592,$D267,'Detalle por artículo'!$O$8:$O$592)</f>
        <v>324.8</v>
      </c>
      <c r="M267" s="38">
        <f>SUMIF('Detalle por artículo'!$K$8:$K$592,$D267,'Detalle por artículo'!$I$8:$I$592)</f>
        <v>724</v>
      </c>
      <c r="N267" s="38">
        <f>SUMIF('Detalle por artículo'!$K$8:$K$592,$D267,'Detalle por artículo'!$M$8:$M$592)</f>
        <v>24</v>
      </c>
      <c r="O267" s="39">
        <f t="shared" si="173"/>
        <v>3.1823204419889501</v>
      </c>
      <c r="P267" s="40">
        <f t="shared" si="174"/>
        <v>448.61878453038679</v>
      </c>
      <c r="Q267" s="41">
        <f t="shared" si="175"/>
        <v>0.15</v>
      </c>
      <c r="R267" s="40">
        <f t="shared" si="176"/>
        <v>2.6495999999999995</v>
      </c>
      <c r="S267" s="42">
        <f>IFERROR(SUM($G$8:G267)/$G$6,0)</f>
        <v>0.90991529739248289</v>
      </c>
      <c r="T267" s="43" t="str">
        <f t="shared" si="177"/>
        <v>C</v>
      </c>
      <c r="U267" s="44">
        <v>724</v>
      </c>
      <c r="V267" s="45">
        <f t="shared" si="158"/>
        <v>0</v>
      </c>
      <c r="W267" s="46">
        <v>46244</v>
      </c>
      <c r="X267" s="46">
        <v>46244</v>
      </c>
      <c r="Y267" s="47">
        <v>0</v>
      </c>
      <c r="Z267" s="48">
        <f t="shared" si="178"/>
        <v>0</v>
      </c>
      <c r="AA267" s="49">
        <f t="shared" si="179"/>
        <v>0</v>
      </c>
      <c r="AB267" s="44">
        <v>683</v>
      </c>
      <c r="AC267" s="44">
        <f t="shared" si="180"/>
        <v>438</v>
      </c>
      <c r="AD267" s="44">
        <f t="shared" si="181"/>
        <v>223</v>
      </c>
      <c r="AE267" s="50">
        <f t="shared" si="182"/>
        <v>48</v>
      </c>
      <c r="AF267" s="41">
        <f t="shared" si="183"/>
        <v>0.96</v>
      </c>
      <c r="AG267" s="44">
        <v>0</v>
      </c>
      <c r="AH267" s="44">
        <v>22</v>
      </c>
      <c r="AI267" s="42">
        <f t="shared" si="159"/>
        <v>0.60497237569060769</v>
      </c>
      <c r="AJ267" s="42">
        <f t="shared" si="160"/>
        <v>0.30801104972375692</v>
      </c>
      <c r="AK267" s="40">
        <f t="shared" si="184"/>
        <v>1.3938563535911601</v>
      </c>
      <c r="AL267" s="51">
        <v>41</v>
      </c>
      <c r="AM267" s="52">
        <f t="shared" si="185"/>
        <v>0.13047513812154696</v>
      </c>
      <c r="AN267" s="42">
        <f t="shared" si="161"/>
        <v>5.6629834254143648E-2</v>
      </c>
      <c r="AO267" s="53">
        <f t="shared" si="162"/>
        <v>41</v>
      </c>
      <c r="AP267" s="52">
        <f t="shared" si="163"/>
        <v>0.13047513812154696</v>
      </c>
      <c r="AQ267" s="42">
        <f t="shared" si="164"/>
        <v>0.91298342541436461</v>
      </c>
      <c r="AR267" s="46">
        <v>46246</v>
      </c>
      <c r="AS267" s="46">
        <v>46246</v>
      </c>
      <c r="AT267" s="50">
        <f t="shared" si="165"/>
        <v>2</v>
      </c>
      <c r="AU267" s="50">
        <f t="shared" si="186"/>
        <v>298</v>
      </c>
      <c r="AV267" s="50">
        <f t="shared" si="166"/>
        <v>131</v>
      </c>
      <c r="AW267" s="54">
        <f t="shared" si="167"/>
        <v>167</v>
      </c>
    </row>
    <row r="268" spans="1:49" x14ac:dyDescent="0.25">
      <c r="A268" s="33" t="s">
        <v>63</v>
      </c>
      <c r="B268" s="33" t="s">
        <v>102</v>
      </c>
      <c r="C268" s="33" t="s">
        <v>132</v>
      </c>
      <c r="D268" s="33" t="s">
        <v>365</v>
      </c>
      <c r="E268" s="34">
        <f>COUNTIF('Detalle por artículo'!$K$8:$K$592,D268)</f>
        <v>1</v>
      </c>
      <c r="F268" s="35">
        <f t="shared" si="168"/>
        <v>219.27083333333334</v>
      </c>
      <c r="G268" s="36">
        <f>SUMIF('Detalle por artículo'!$K$8:$K$592,$D268,'Detalle por artículo'!$E$8:$E$592)</f>
        <v>2.3039999999999998</v>
      </c>
      <c r="H268" s="35">
        <f t="shared" si="169"/>
        <v>2</v>
      </c>
      <c r="I268" s="35">
        <f t="shared" si="170"/>
        <v>3</v>
      </c>
      <c r="J268" s="35">
        <f t="shared" si="171"/>
        <v>6</v>
      </c>
      <c r="K268" s="37">
        <f t="shared" si="172"/>
        <v>8.2285714285714281E-2</v>
      </c>
      <c r="L268" s="36">
        <f>SUMIF('Detalle por artículo'!$K$8:$K$592,$D268,'Detalle por artículo'!$O$8:$O$592)</f>
        <v>505.2</v>
      </c>
      <c r="M268" s="38">
        <f>SUMIF('Detalle por artículo'!$K$8:$K$592,$D268,'Detalle por artículo'!$I$8:$I$592)</f>
        <v>753</v>
      </c>
      <c r="N268" s="38">
        <f>SUMIF('Detalle por artículo'!$K$8:$K$592,$D268,'Detalle por artículo'!$M$8:$M$592)</f>
        <v>24</v>
      </c>
      <c r="O268" s="39">
        <f t="shared" si="173"/>
        <v>3.0597609561752988</v>
      </c>
      <c r="P268" s="40">
        <f t="shared" si="174"/>
        <v>670.91633466135454</v>
      </c>
      <c r="Q268" s="41">
        <f t="shared" si="175"/>
        <v>0.1</v>
      </c>
      <c r="R268" s="40">
        <f t="shared" si="176"/>
        <v>2.5344000000000002</v>
      </c>
      <c r="S268" s="42">
        <f>IFERROR(SUM($G$8:G268)/$G$6,0)</f>
        <v>0.91076193395602634</v>
      </c>
      <c r="T268" s="43" t="str">
        <f t="shared" si="177"/>
        <v>C</v>
      </c>
      <c r="U268" s="44">
        <v>753</v>
      </c>
      <c r="V268" s="45">
        <f t="shared" si="158"/>
        <v>0</v>
      </c>
      <c r="W268" s="46">
        <v>46237</v>
      </c>
      <c r="X268" s="46">
        <v>46237</v>
      </c>
      <c r="Y268" s="47">
        <v>0</v>
      </c>
      <c r="Z268" s="48">
        <f t="shared" si="178"/>
        <v>0</v>
      </c>
      <c r="AA268" s="49">
        <f t="shared" si="179"/>
        <v>0</v>
      </c>
      <c r="AB268" s="44">
        <v>676</v>
      </c>
      <c r="AC268" s="44">
        <f t="shared" si="180"/>
        <v>450</v>
      </c>
      <c r="AD268" s="44">
        <f t="shared" si="181"/>
        <v>217</v>
      </c>
      <c r="AE268" s="50">
        <f t="shared" si="182"/>
        <v>46</v>
      </c>
      <c r="AF268" s="41">
        <f t="shared" si="183"/>
        <v>0.92</v>
      </c>
      <c r="AG268" s="44">
        <v>4</v>
      </c>
      <c r="AH268" s="44">
        <v>9</v>
      </c>
      <c r="AI268" s="42">
        <f t="shared" si="159"/>
        <v>0.59760956175298807</v>
      </c>
      <c r="AJ268" s="42">
        <f t="shared" si="160"/>
        <v>0.28818061088977426</v>
      </c>
      <c r="AK268" s="40">
        <f t="shared" si="184"/>
        <v>1.3768924302788843</v>
      </c>
      <c r="AL268" s="51">
        <v>63</v>
      </c>
      <c r="AM268" s="52">
        <f t="shared" si="185"/>
        <v>0.19276494023904384</v>
      </c>
      <c r="AN268" s="42">
        <f t="shared" si="161"/>
        <v>8.3665338645418322E-2</v>
      </c>
      <c r="AO268" s="53">
        <f t="shared" si="162"/>
        <v>77</v>
      </c>
      <c r="AP268" s="52">
        <f t="shared" si="163"/>
        <v>0.23560159362549798</v>
      </c>
      <c r="AQ268" s="42">
        <f t="shared" si="164"/>
        <v>0.88579017264276227</v>
      </c>
      <c r="AR268" s="46">
        <v>46265</v>
      </c>
      <c r="AS268" s="46">
        <v>46266</v>
      </c>
      <c r="AT268" s="50">
        <f t="shared" si="165"/>
        <v>29</v>
      </c>
      <c r="AU268" s="50">
        <f t="shared" si="186"/>
        <v>278</v>
      </c>
      <c r="AV268" s="50">
        <f t="shared" si="166"/>
        <v>135</v>
      </c>
      <c r="AW268" s="54">
        <f t="shared" si="167"/>
        <v>143</v>
      </c>
    </row>
    <row r="269" spans="1:49" x14ac:dyDescent="0.25">
      <c r="A269" s="33" t="s">
        <v>55</v>
      </c>
      <c r="B269" s="33" t="s">
        <v>99</v>
      </c>
      <c r="C269" s="33" t="s">
        <v>100</v>
      </c>
      <c r="D269" s="33" t="s">
        <v>366</v>
      </c>
      <c r="E269" s="34">
        <f>COUNTIF('Detalle por artículo'!$K$8:$K$592,D269)</f>
        <v>1</v>
      </c>
      <c r="F269" s="35">
        <f t="shared" si="168"/>
        <v>146.52777777777777</v>
      </c>
      <c r="G269" s="36">
        <f>SUMIF('Detalle por artículo'!$K$8:$K$592,$D269,'Detalle por artículo'!$E$8:$E$592)</f>
        <v>2.3039999999999998</v>
      </c>
      <c r="H269" s="35">
        <f t="shared" si="169"/>
        <v>2</v>
      </c>
      <c r="I269" s="35">
        <f t="shared" si="170"/>
        <v>3</v>
      </c>
      <c r="J269" s="35">
        <f t="shared" si="171"/>
        <v>6</v>
      </c>
      <c r="K269" s="37">
        <f t="shared" si="172"/>
        <v>8.2285714285714281E-2</v>
      </c>
      <c r="L269" s="36">
        <f>SUMIF('Detalle por artículo'!$K$8:$K$592,$D269,'Detalle por artículo'!$O$8:$O$592)</f>
        <v>337.59999999999997</v>
      </c>
      <c r="M269" s="38">
        <f>SUMIF('Detalle por artículo'!$K$8:$K$592,$D269,'Detalle por artículo'!$I$8:$I$592)</f>
        <v>653</v>
      </c>
      <c r="N269" s="38">
        <f>SUMIF('Detalle por artículo'!$K$8:$K$592,$D269,'Detalle por artículo'!$M$8:$M$592)</f>
        <v>24</v>
      </c>
      <c r="O269" s="39">
        <f t="shared" si="173"/>
        <v>3.5283307810107192</v>
      </c>
      <c r="P269" s="40">
        <f t="shared" si="174"/>
        <v>516.99846860643186</v>
      </c>
      <c r="Q269" s="41">
        <f t="shared" si="175"/>
        <v>0.15</v>
      </c>
      <c r="R269" s="40">
        <f t="shared" si="176"/>
        <v>2.6495999999999995</v>
      </c>
      <c r="S269" s="42">
        <f>IFERROR(SUM($G$8:G269)/$G$6,0)</f>
        <v>0.91160857051956967</v>
      </c>
      <c r="T269" s="43" t="str">
        <f t="shared" si="177"/>
        <v>C</v>
      </c>
      <c r="U269" s="44">
        <v>653</v>
      </c>
      <c r="V269" s="45">
        <f t="shared" si="158"/>
        <v>0</v>
      </c>
      <c r="W269" s="46">
        <v>46260</v>
      </c>
      <c r="X269" s="46">
        <v>46260</v>
      </c>
      <c r="Y269" s="47">
        <v>0</v>
      </c>
      <c r="Z269" s="48">
        <f t="shared" si="178"/>
        <v>0</v>
      </c>
      <c r="AA269" s="49">
        <f t="shared" si="179"/>
        <v>0</v>
      </c>
      <c r="AB269" s="44">
        <v>429</v>
      </c>
      <c r="AC269" s="44">
        <f t="shared" si="180"/>
        <v>409</v>
      </c>
      <c r="AD269" s="44">
        <f t="shared" si="181"/>
        <v>12</v>
      </c>
      <c r="AE269" s="50">
        <f t="shared" si="182"/>
        <v>48</v>
      </c>
      <c r="AF269" s="41">
        <f t="shared" si="183"/>
        <v>0.96</v>
      </c>
      <c r="AG269" s="44">
        <v>2</v>
      </c>
      <c r="AH269" s="44">
        <v>8</v>
      </c>
      <c r="AI269" s="42">
        <f t="shared" si="159"/>
        <v>0.62633996937212866</v>
      </c>
      <c r="AJ269" s="42">
        <f t="shared" si="160"/>
        <v>1.8376722817764167E-2</v>
      </c>
      <c r="AK269" s="40">
        <f t="shared" si="184"/>
        <v>1.4430872894333842</v>
      </c>
      <c r="AL269" s="51">
        <v>224</v>
      </c>
      <c r="AM269" s="52">
        <f t="shared" si="185"/>
        <v>0.79034609494640107</v>
      </c>
      <c r="AN269" s="42">
        <f t="shared" si="161"/>
        <v>0.34303215926493108</v>
      </c>
      <c r="AO269" s="53">
        <f t="shared" si="162"/>
        <v>224</v>
      </c>
      <c r="AP269" s="52">
        <f t="shared" si="163"/>
        <v>0.79034609494640107</v>
      </c>
      <c r="AQ269" s="42">
        <f t="shared" si="164"/>
        <v>0.6447166921898928</v>
      </c>
      <c r="AR269" s="46">
        <v>46268</v>
      </c>
      <c r="AS269" s="46">
        <v>46268</v>
      </c>
      <c r="AT269" s="50">
        <f t="shared" si="165"/>
        <v>8</v>
      </c>
      <c r="AU269" s="50">
        <f t="shared" si="186"/>
        <v>356</v>
      </c>
      <c r="AV269" s="50">
        <f t="shared" si="166"/>
        <v>315</v>
      </c>
      <c r="AW269" s="54">
        <f t="shared" si="167"/>
        <v>41</v>
      </c>
    </row>
    <row r="270" spans="1:49" x14ac:dyDescent="0.25">
      <c r="A270" s="33" t="s">
        <v>55</v>
      </c>
      <c r="B270" s="33" t="s">
        <v>99</v>
      </c>
      <c r="C270" s="33" t="s">
        <v>100</v>
      </c>
      <c r="D270" s="33" t="s">
        <v>367</v>
      </c>
      <c r="E270" s="34">
        <f>COUNTIF('Detalle por artículo'!$K$8:$K$592,D270)</f>
        <v>1</v>
      </c>
      <c r="F270" s="35">
        <f t="shared" si="168"/>
        <v>122.30902777777779</v>
      </c>
      <c r="G270" s="36">
        <f>SUMIF('Detalle por artículo'!$K$8:$K$592,$D270,'Detalle por artículo'!$E$8:$E$592)</f>
        <v>2.3039999999999998</v>
      </c>
      <c r="H270" s="35">
        <f t="shared" si="169"/>
        <v>2</v>
      </c>
      <c r="I270" s="35">
        <f t="shared" si="170"/>
        <v>3</v>
      </c>
      <c r="J270" s="35">
        <f t="shared" si="171"/>
        <v>6</v>
      </c>
      <c r="K270" s="37">
        <f t="shared" si="172"/>
        <v>8.2285714285714281E-2</v>
      </c>
      <c r="L270" s="36">
        <f>SUMIF('Detalle por artículo'!$K$8:$K$592,$D270,'Detalle por artículo'!$O$8:$O$592)</f>
        <v>281.8</v>
      </c>
      <c r="M270" s="38">
        <f>SUMIF('Detalle por artículo'!$K$8:$K$592,$D270,'Detalle por artículo'!$I$8:$I$592)</f>
        <v>650</v>
      </c>
      <c r="N270" s="38">
        <f>SUMIF('Detalle por artículo'!$K$8:$K$592,$D270,'Detalle por artículo'!$M$8:$M$592)</f>
        <v>24</v>
      </c>
      <c r="O270" s="39">
        <f t="shared" si="173"/>
        <v>3.5446153846153843</v>
      </c>
      <c r="P270" s="40">
        <f t="shared" si="174"/>
        <v>433.53846153846155</v>
      </c>
      <c r="Q270" s="41">
        <f t="shared" si="175"/>
        <v>0.15</v>
      </c>
      <c r="R270" s="40">
        <f t="shared" si="176"/>
        <v>2.6495999999999995</v>
      </c>
      <c r="S270" s="42">
        <f>IFERROR(SUM($G$8:G270)/$G$6,0)</f>
        <v>0.91245520708311301</v>
      </c>
      <c r="T270" s="43" t="str">
        <f t="shared" si="177"/>
        <v>C</v>
      </c>
      <c r="U270" s="44">
        <v>650</v>
      </c>
      <c r="V270" s="45">
        <f t="shared" si="158"/>
        <v>0</v>
      </c>
      <c r="W270" s="46">
        <v>46260</v>
      </c>
      <c r="X270" s="46">
        <v>46260</v>
      </c>
      <c r="Y270" s="47">
        <v>0</v>
      </c>
      <c r="Z270" s="48">
        <f t="shared" si="178"/>
        <v>0</v>
      </c>
      <c r="AA270" s="49">
        <f t="shared" si="179"/>
        <v>0</v>
      </c>
      <c r="AB270" s="44">
        <v>203</v>
      </c>
      <c r="AC270" s="44">
        <f t="shared" si="180"/>
        <v>178</v>
      </c>
      <c r="AD270" s="44">
        <f t="shared" si="181"/>
        <v>13</v>
      </c>
      <c r="AE270" s="50">
        <f t="shared" si="182"/>
        <v>16</v>
      </c>
      <c r="AF270" s="41">
        <f t="shared" si="183"/>
        <v>0.32</v>
      </c>
      <c r="AG270" s="44">
        <v>3</v>
      </c>
      <c r="AH270" s="44">
        <v>9</v>
      </c>
      <c r="AI270" s="42">
        <f t="shared" si="159"/>
        <v>0.27384615384615385</v>
      </c>
      <c r="AJ270" s="42">
        <f t="shared" si="160"/>
        <v>0.02</v>
      </c>
      <c r="AK270" s="40">
        <f t="shared" si="184"/>
        <v>0.63094153846153833</v>
      </c>
      <c r="AL270" s="51">
        <v>447</v>
      </c>
      <c r="AM270" s="52">
        <f t="shared" si="185"/>
        <v>1.5844430769230766</v>
      </c>
      <c r="AN270" s="42">
        <f t="shared" si="161"/>
        <v>0.68769230769230771</v>
      </c>
      <c r="AO270" s="53">
        <f t="shared" si="162"/>
        <v>447</v>
      </c>
      <c r="AP270" s="52">
        <f t="shared" si="163"/>
        <v>1.5844430769230766</v>
      </c>
      <c r="AQ270" s="42">
        <f t="shared" si="164"/>
        <v>0.29384615384615387</v>
      </c>
      <c r="AR270" s="46">
        <v>46268</v>
      </c>
      <c r="AS270" s="46">
        <v>46268</v>
      </c>
      <c r="AT270" s="50">
        <f t="shared" si="165"/>
        <v>8</v>
      </c>
      <c r="AU270" s="50">
        <f t="shared" si="186"/>
        <v>359</v>
      </c>
      <c r="AV270" s="50">
        <f t="shared" si="166"/>
        <v>379</v>
      </c>
      <c r="AW270" s="54">
        <f t="shared" si="167"/>
        <v>-20</v>
      </c>
    </row>
    <row r="271" spans="1:49" x14ac:dyDescent="0.25">
      <c r="A271" s="33" t="s">
        <v>63</v>
      </c>
      <c r="B271" s="33" t="s">
        <v>110</v>
      </c>
      <c r="C271" s="33" t="s">
        <v>100</v>
      </c>
      <c r="D271" s="33" t="s">
        <v>368</v>
      </c>
      <c r="E271" s="34">
        <f>COUNTIF('Detalle por artículo'!$K$8:$K$592,D271)</f>
        <v>1</v>
      </c>
      <c r="F271" s="35">
        <f t="shared" si="168"/>
        <v>173.26388888888889</v>
      </c>
      <c r="G271" s="36">
        <f>SUMIF('Detalle por artículo'!$K$8:$K$592,$D271,'Detalle por artículo'!$E$8:$E$592)</f>
        <v>2.3039999999999998</v>
      </c>
      <c r="H271" s="35">
        <f t="shared" si="169"/>
        <v>2</v>
      </c>
      <c r="I271" s="35">
        <f t="shared" si="170"/>
        <v>3</v>
      </c>
      <c r="J271" s="35">
        <f t="shared" si="171"/>
        <v>6</v>
      </c>
      <c r="K271" s="37">
        <f t="shared" si="172"/>
        <v>8.2285714285714281E-2</v>
      </c>
      <c r="L271" s="36">
        <f>SUMIF('Detalle por artículo'!$K$8:$K$592,$D271,'Detalle por artículo'!$O$8:$O$592)</f>
        <v>399.2</v>
      </c>
      <c r="M271" s="38">
        <f>SUMIF('Detalle por artículo'!$K$8:$K$592,$D271,'Detalle por artículo'!$I$8:$I$592)</f>
        <v>665</v>
      </c>
      <c r="N271" s="38">
        <f>SUMIF('Detalle por artículo'!$K$8:$K$592,$D271,'Detalle por artículo'!$M$8:$M$592)</f>
        <v>24</v>
      </c>
      <c r="O271" s="39">
        <f t="shared" si="173"/>
        <v>3.4646616541353383</v>
      </c>
      <c r="P271" s="40">
        <f t="shared" si="174"/>
        <v>600.30075187969919</v>
      </c>
      <c r="Q271" s="41">
        <f t="shared" si="175"/>
        <v>0.15</v>
      </c>
      <c r="R271" s="40">
        <f t="shared" si="176"/>
        <v>2.6495999999999995</v>
      </c>
      <c r="S271" s="42">
        <f>IFERROR(SUM($G$8:G271)/$G$6,0)</f>
        <v>0.91330184364665645</v>
      </c>
      <c r="T271" s="43" t="str">
        <f t="shared" si="177"/>
        <v>C</v>
      </c>
      <c r="U271" s="44">
        <v>0</v>
      </c>
      <c r="V271" s="45">
        <f t="shared" si="158"/>
        <v>-665</v>
      </c>
      <c r="W271" s="46"/>
      <c r="X271" s="46"/>
      <c r="Y271" s="47">
        <v>1330</v>
      </c>
      <c r="Z271" s="48">
        <f t="shared" si="178"/>
        <v>4.6079999999999997</v>
      </c>
      <c r="AA271" s="49">
        <f t="shared" si="179"/>
        <v>0.16457142857142856</v>
      </c>
      <c r="AB271" s="44">
        <v>0</v>
      </c>
      <c r="AC271" s="44">
        <f t="shared" si="180"/>
        <v>0</v>
      </c>
      <c r="AD271" s="44">
        <f t="shared" si="181"/>
        <v>0</v>
      </c>
      <c r="AE271" s="50">
        <f t="shared" si="182"/>
        <v>0</v>
      </c>
      <c r="AF271" s="41">
        <f t="shared" si="183"/>
        <v>0</v>
      </c>
      <c r="AG271" s="44">
        <v>0</v>
      </c>
      <c r="AH271" s="44">
        <v>0</v>
      </c>
      <c r="AI271" s="42">
        <f t="shared" si="159"/>
        <v>0</v>
      </c>
      <c r="AJ271" s="42">
        <f t="shared" si="160"/>
        <v>0</v>
      </c>
      <c r="AK271" s="40">
        <f t="shared" si="184"/>
        <v>0</v>
      </c>
      <c r="AL271" s="51">
        <v>0</v>
      </c>
      <c r="AM271" s="52">
        <f t="shared" si="185"/>
        <v>0</v>
      </c>
      <c r="AN271" s="42">
        <f t="shared" si="161"/>
        <v>0</v>
      </c>
      <c r="AO271" s="53">
        <f t="shared" si="162"/>
        <v>665</v>
      </c>
      <c r="AP271" s="52">
        <f t="shared" si="163"/>
        <v>2.3039999999999998</v>
      </c>
      <c r="AQ271" s="42">
        <f t="shared" si="164"/>
        <v>0</v>
      </c>
      <c r="AR271" s="46"/>
      <c r="AS271" s="46"/>
      <c r="AT271" s="50" t="str">
        <f t="shared" si="165"/>
        <v/>
      </c>
      <c r="AU271" s="50">
        <f t="shared" si="186"/>
        <v>347</v>
      </c>
      <c r="AV271" s="50" t="str">
        <f t="shared" si="166"/>
        <v/>
      </c>
      <c r="AW271" s="54" t="str">
        <f t="shared" si="167"/>
        <v/>
      </c>
    </row>
    <row r="272" spans="1:49" x14ac:dyDescent="0.25">
      <c r="A272" s="33" t="s">
        <v>55</v>
      </c>
      <c r="B272" s="33" t="s">
        <v>255</v>
      </c>
      <c r="C272" s="33" t="s">
        <v>132</v>
      </c>
      <c r="D272" s="33" t="s">
        <v>369</v>
      </c>
      <c r="E272" s="34">
        <f>COUNTIF('Detalle por artículo'!$K$8:$K$592,D272)</f>
        <v>1</v>
      </c>
      <c r="F272" s="35">
        <f t="shared" si="168"/>
        <v>255.15695067264573</v>
      </c>
      <c r="G272" s="36">
        <f>SUMIF('Detalle por artículo'!$K$8:$K$592,$D272,'Detalle por artículo'!$E$8:$E$592)</f>
        <v>2.23</v>
      </c>
      <c r="H272" s="35">
        <f t="shared" si="169"/>
        <v>2</v>
      </c>
      <c r="I272" s="35">
        <f t="shared" si="170"/>
        <v>3</v>
      </c>
      <c r="J272" s="35">
        <f t="shared" si="171"/>
        <v>6</v>
      </c>
      <c r="K272" s="37">
        <f t="shared" si="172"/>
        <v>7.964285714285714E-2</v>
      </c>
      <c r="L272" s="36">
        <f>SUMIF('Detalle por artículo'!$K$8:$K$592,$D272,'Detalle por artículo'!$O$8:$O$592)</f>
        <v>569</v>
      </c>
      <c r="M272" s="38">
        <f>SUMIF('Detalle por artículo'!$K$8:$K$592,$D272,'Detalle por artículo'!$I$8:$I$592)</f>
        <v>928</v>
      </c>
      <c r="N272" s="38">
        <f>SUMIF('Detalle por artículo'!$K$8:$K$592,$D272,'Detalle por artículo'!$M$8:$M$592)</f>
        <v>31</v>
      </c>
      <c r="O272" s="39">
        <f t="shared" si="173"/>
        <v>2.4030172413793101</v>
      </c>
      <c r="P272" s="40">
        <f t="shared" si="174"/>
        <v>613.14655172413791</v>
      </c>
      <c r="Q272" s="41">
        <f t="shared" si="175"/>
        <v>0.1</v>
      </c>
      <c r="R272" s="40">
        <f t="shared" si="176"/>
        <v>2.4530000000000003</v>
      </c>
      <c r="S272" s="42">
        <f>IFERROR(SUM($G$8:G272)/$G$6,0)</f>
        <v>0.91412128789001657</v>
      </c>
      <c r="T272" s="43" t="str">
        <f t="shared" si="177"/>
        <v>C</v>
      </c>
      <c r="U272" s="44">
        <v>928</v>
      </c>
      <c r="V272" s="45">
        <f t="shared" si="158"/>
        <v>0</v>
      </c>
      <c r="W272" s="46">
        <v>46218</v>
      </c>
      <c r="X272" s="46">
        <v>46218</v>
      </c>
      <c r="Y272" s="47">
        <v>0</v>
      </c>
      <c r="Z272" s="48">
        <f t="shared" si="178"/>
        <v>0</v>
      </c>
      <c r="AA272" s="49">
        <f t="shared" si="179"/>
        <v>0</v>
      </c>
      <c r="AB272" s="44">
        <v>665</v>
      </c>
      <c r="AC272" s="44">
        <f t="shared" si="180"/>
        <v>391</v>
      </c>
      <c r="AD272" s="44">
        <f t="shared" si="181"/>
        <v>265</v>
      </c>
      <c r="AE272" s="50">
        <f t="shared" si="182"/>
        <v>48</v>
      </c>
      <c r="AF272" s="41">
        <f t="shared" si="183"/>
        <v>0.96</v>
      </c>
      <c r="AG272" s="44">
        <v>1</v>
      </c>
      <c r="AH272" s="44">
        <v>8</v>
      </c>
      <c r="AI272" s="42">
        <f t="shared" si="159"/>
        <v>0.42133620689655171</v>
      </c>
      <c r="AJ272" s="42">
        <f t="shared" si="160"/>
        <v>0.28556034482758619</v>
      </c>
      <c r="AK272" s="40">
        <f t="shared" si="184"/>
        <v>0.93957974137931022</v>
      </c>
      <c r="AL272" s="51">
        <v>263</v>
      </c>
      <c r="AM272" s="52">
        <f t="shared" si="185"/>
        <v>0.63199353448275852</v>
      </c>
      <c r="AN272" s="42">
        <f t="shared" si="161"/>
        <v>0.28340517241379309</v>
      </c>
      <c r="AO272" s="53">
        <f t="shared" si="162"/>
        <v>263</v>
      </c>
      <c r="AP272" s="52">
        <f t="shared" si="163"/>
        <v>0.63199353448275852</v>
      </c>
      <c r="AQ272" s="42">
        <f t="shared" si="164"/>
        <v>0.7068965517241379</v>
      </c>
      <c r="AR272" s="46">
        <v>46225</v>
      </c>
      <c r="AS272" s="46">
        <v>46225</v>
      </c>
      <c r="AT272" s="50">
        <f t="shared" si="165"/>
        <v>7</v>
      </c>
      <c r="AU272" s="50">
        <f t="shared" si="186"/>
        <v>187</v>
      </c>
      <c r="AV272" s="50">
        <f t="shared" si="166"/>
        <v>147</v>
      </c>
      <c r="AW272" s="54">
        <f t="shared" si="167"/>
        <v>40</v>
      </c>
    </row>
    <row r="273" spans="1:49" x14ac:dyDescent="0.25">
      <c r="A273" s="33" t="s">
        <v>55</v>
      </c>
      <c r="B273" s="33" t="s">
        <v>255</v>
      </c>
      <c r="C273" s="33" t="s">
        <v>132</v>
      </c>
      <c r="D273" s="33" t="s">
        <v>370</v>
      </c>
      <c r="E273" s="34">
        <f>COUNTIF('Detalle por artículo'!$K$8:$K$592,D273)</f>
        <v>1</v>
      </c>
      <c r="F273" s="35">
        <f t="shared" si="168"/>
        <v>241.33441091954023</v>
      </c>
      <c r="G273" s="36">
        <f>SUMIF('Detalle por artículo'!$K$8:$K$592,$D273,'Detalle por artículo'!$E$8:$E$592)</f>
        <v>2.2271999999999998</v>
      </c>
      <c r="H273" s="35">
        <f t="shared" si="169"/>
        <v>2</v>
      </c>
      <c r="I273" s="35">
        <f t="shared" si="170"/>
        <v>3</v>
      </c>
      <c r="J273" s="35">
        <f t="shared" si="171"/>
        <v>6</v>
      </c>
      <c r="K273" s="37">
        <f t="shared" si="172"/>
        <v>7.9542857142857137E-2</v>
      </c>
      <c r="L273" s="36">
        <f>SUMIF('Detalle por artículo'!$K$8:$K$592,$D273,'Detalle por artículo'!$O$8:$O$592)</f>
        <v>537.5</v>
      </c>
      <c r="M273" s="38">
        <f>SUMIF('Detalle por artículo'!$K$8:$K$592,$D273,'Detalle por artículo'!$I$8:$I$592)</f>
        <v>928</v>
      </c>
      <c r="N273" s="38">
        <f>SUMIF('Detalle por artículo'!$K$8:$K$592,$D273,'Detalle por artículo'!$M$8:$M$592)</f>
        <v>29</v>
      </c>
      <c r="O273" s="39">
        <f t="shared" si="173"/>
        <v>2.4</v>
      </c>
      <c r="P273" s="40">
        <f t="shared" si="174"/>
        <v>579.20258620689663</v>
      </c>
      <c r="Q273" s="41">
        <f t="shared" si="175"/>
        <v>0.1</v>
      </c>
      <c r="R273" s="40">
        <f t="shared" si="176"/>
        <v>2.4499200000000001</v>
      </c>
      <c r="S273" s="42">
        <f>IFERROR(SUM($G$8:G273)/$G$6,0)</f>
        <v>0.91493970323477503</v>
      </c>
      <c r="T273" s="43" t="str">
        <f t="shared" si="177"/>
        <v>C</v>
      </c>
      <c r="U273" s="44">
        <v>928</v>
      </c>
      <c r="V273" s="45">
        <f t="shared" si="158"/>
        <v>0</v>
      </c>
      <c r="W273" s="46">
        <v>46188</v>
      </c>
      <c r="X273" s="46">
        <v>46188</v>
      </c>
      <c r="Y273" s="47">
        <v>0</v>
      </c>
      <c r="Z273" s="48">
        <f t="shared" si="178"/>
        <v>0</v>
      </c>
      <c r="AA273" s="49">
        <f t="shared" si="179"/>
        <v>0</v>
      </c>
      <c r="AB273" s="44">
        <v>593</v>
      </c>
      <c r="AC273" s="44">
        <f t="shared" si="180"/>
        <v>385</v>
      </c>
      <c r="AD273" s="44">
        <f t="shared" si="181"/>
        <v>195</v>
      </c>
      <c r="AE273" s="50">
        <f t="shared" si="182"/>
        <v>45</v>
      </c>
      <c r="AF273" s="41">
        <f t="shared" si="183"/>
        <v>0.9</v>
      </c>
      <c r="AG273" s="44">
        <v>5</v>
      </c>
      <c r="AH273" s="44">
        <v>8</v>
      </c>
      <c r="AI273" s="42">
        <f t="shared" si="159"/>
        <v>0.41487068965517243</v>
      </c>
      <c r="AJ273" s="42">
        <f t="shared" si="160"/>
        <v>0.2101293103448276</v>
      </c>
      <c r="AK273" s="40">
        <f t="shared" si="184"/>
        <v>0.92400000000000004</v>
      </c>
      <c r="AL273" s="51">
        <v>335</v>
      </c>
      <c r="AM273" s="52">
        <f t="shared" si="185"/>
        <v>0.80400000000000005</v>
      </c>
      <c r="AN273" s="42">
        <f t="shared" si="161"/>
        <v>0.36099137931034481</v>
      </c>
      <c r="AO273" s="53">
        <f t="shared" si="162"/>
        <v>335</v>
      </c>
      <c r="AP273" s="52">
        <f t="shared" si="163"/>
        <v>0.80400000000000005</v>
      </c>
      <c r="AQ273" s="42">
        <f t="shared" si="164"/>
        <v>0.625</v>
      </c>
      <c r="AR273" s="46">
        <v>46219</v>
      </c>
      <c r="AS273" s="46">
        <v>46219</v>
      </c>
      <c r="AT273" s="50">
        <f t="shared" si="165"/>
        <v>31</v>
      </c>
      <c r="AU273" s="50">
        <f t="shared" si="186"/>
        <v>187</v>
      </c>
      <c r="AV273" s="50">
        <f t="shared" si="166"/>
        <v>199</v>
      </c>
      <c r="AW273" s="54">
        <f t="shared" si="167"/>
        <v>-12</v>
      </c>
    </row>
    <row r="274" spans="1:49" x14ac:dyDescent="0.25">
      <c r="A274" s="33" t="s">
        <v>55</v>
      </c>
      <c r="B274" s="33" t="s">
        <v>255</v>
      </c>
      <c r="C274" s="33" t="s">
        <v>132</v>
      </c>
      <c r="D274" s="33" t="s">
        <v>371</v>
      </c>
      <c r="E274" s="34">
        <f>COUNTIF('Detalle por artículo'!$K$8:$K$592,D274)</f>
        <v>1</v>
      </c>
      <c r="F274" s="35">
        <f t="shared" si="168"/>
        <v>245.46515804597706</v>
      </c>
      <c r="G274" s="36">
        <f>SUMIF('Detalle por artículo'!$K$8:$K$592,$D274,'Detalle por artículo'!$E$8:$E$592)</f>
        <v>2.2271999999999998</v>
      </c>
      <c r="H274" s="35">
        <f t="shared" si="169"/>
        <v>2</v>
      </c>
      <c r="I274" s="35">
        <f t="shared" si="170"/>
        <v>3</v>
      </c>
      <c r="J274" s="35">
        <f t="shared" si="171"/>
        <v>6</v>
      </c>
      <c r="K274" s="37">
        <f t="shared" si="172"/>
        <v>7.9542857142857137E-2</v>
      </c>
      <c r="L274" s="36">
        <f>SUMIF('Detalle por artículo'!$K$8:$K$592,$D274,'Detalle por artículo'!$O$8:$O$592)</f>
        <v>546.70000000000005</v>
      </c>
      <c r="M274" s="38">
        <f>SUMIF('Detalle por artículo'!$K$8:$K$592,$D274,'Detalle por artículo'!$I$8:$I$592)</f>
        <v>856</v>
      </c>
      <c r="N274" s="38">
        <f>SUMIF('Detalle por artículo'!$K$8:$K$592,$D274,'Detalle por artículo'!$M$8:$M$592)</f>
        <v>29</v>
      </c>
      <c r="O274" s="39">
        <f t="shared" si="173"/>
        <v>2.6018691588785048</v>
      </c>
      <c r="P274" s="40">
        <f t="shared" si="174"/>
        <v>638.6682242990654</v>
      </c>
      <c r="Q274" s="41">
        <f t="shared" si="175"/>
        <v>0.1</v>
      </c>
      <c r="R274" s="40">
        <f t="shared" si="176"/>
        <v>2.4499200000000001</v>
      </c>
      <c r="S274" s="42">
        <f>IFERROR(SUM($G$8:G274)/$G$6,0)</f>
        <v>0.91575811857953349</v>
      </c>
      <c r="T274" s="43" t="str">
        <f t="shared" si="177"/>
        <v>C</v>
      </c>
      <c r="U274" s="44">
        <v>856</v>
      </c>
      <c r="V274" s="45">
        <f t="shared" si="158"/>
        <v>0</v>
      </c>
      <c r="W274" s="46">
        <v>46188</v>
      </c>
      <c r="X274" s="46">
        <v>46188</v>
      </c>
      <c r="Y274" s="47">
        <v>0</v>
      </c>
      <c r="Z274" s="48">
        <f t="shared" si="178"/>
        <v>0</v>
      </c>
      <c r="AA274" s="49">
        <f t="shared" si="179"/>
        <v>0</v>
      </c>
      <c r="AB274" s="44">
        <v>667</v>
      </c>
      <c r="AC274" s="44">
        <f t="shared" si="180"/>
        <v>407</v>
      </c>
      <c r="AD274" s="44">
        <f t="shared" si="181"/>
        <v>244</v>
      </c>
      <c r="AE274" s="50">
        <f t="shared" si="182"/>
        <v>47</v>
      </c>
      <c r="AF274" s="41">
        <f t="shared" si="183"/>
        <v>0.94</v>
      </c>
      <c r="AG274" s="44">
        <v>8</v>
      </c>
      <c r="AH274" s="44">
        <v>8</v>
      </c>
      <c r="AI274" s="42">
        <f t="shared" si="159"/>
        <v>0.47546728971962615</v>
      </c>
      <c r="AJ274" s="42">
        <f t="shared" si="160"/>
        <v>0.28504672897196259</v>
      </c>
      <c r="AK274" s="40">
        <f t="shared" si="184"/>
        <v>1.0589607476635514</v>
      </c>
      <c r="AL274" s="51">
        <v>189</v>
      </c>
      <c r="AM274" s="52">
        <f t="shared" si="185"/>
        <v>0.49175327102803745</v>
      </c>
      <c r="AN274" s="42">
        <f t="shared" si="161"/>
        <v>0.2207943925233645</v>
      </c>
      <c r="AO274" s="53">
        <f t="shared" si="162"/>
        <v>189</v>
      </c>
      <c r="AP274" s="52">
        <f t="shared" si="163"/>
        <v>0.49175327102803745</v>
      </c>
      <c r="AQ274" s="42">
        <f t="shared" si="164"/>
        <v>0.76051401869158874</v>
      </c>
      <c r="AR274" s="46">
        <v>46219</v>
      </c>
      <c r="AS274" s="46">
        <v>46219</v>
      </c>
      <c r="AT274" s="50">
        <f t="shared" si="165"/>
        <v>31</v>
      </c>
      <c r="AU274" s="50">
        <f t="shared" si="186"/>
        <v>213</v>
      </c>
      <c r="AV274" s="50">
        <f t="shared" si="166"/>
        <v>144</v>
      </c>
      <c r="AW274" s="54">
        <f t="shared" si="167"/>
        <v>69</v>
      </c>
    </row>
    <row r="275" spans="1:49" x14ac:dyDescent="0.25">
      <c r="A275" s="33" t="s">
        <v>63</v>
      </c>
      <c r="B275" s="33" t="s">
        <v>171</v>
      </c>
      <c r="C275" s="33" t="s">
        <v>363</v>
      </c>
      <c r="D275" s="33" t="s">
        <v>372</v>
      </c>
      <c r="E275" s="34">
        <f>COUNTIF('Detalle por artículo'!$K$8:$K$592,D275)</f>
        <v>1</v>
      </c>
      <c r="F275" s="35">
        <f t="shared" si="168"/>
        <v>213.07692307692307</v>
      </c>
      <c r="G275" s="36">
        <f>SUMIF('Detalle por artículo'!$K$8:$K$592,$D275,'Detalle por artículo'!$E$8:$E$592)</f>
        <v>2.21</v>
      </c>
      <c r="H275" s="35">
        <f t="shared" si="169"/>
        <v>2</v>
      </c>
      <c r="I275" s="35">
        <f t="shared" si="170"/>
        <v>3</v>
      </c>
      <c r="J275" s="35">
        <f t="shared" si="171"/>
        <v>6</v>
      </c>
      <c r="K275" s="37">
        <f t="shared" si="172"/>
        <v>7.8928571428571431E-2</v>
      </c>
      <c r="L275" s="36">
        <f>SUMIF('Detalle por artículo'!$K$8:$K$592,$D275,'Detalle por artículo'!$O$8:$O$592)</f>
        <v>470.9</v>
      </c>
      <c r="M275" s="38">
        <f>SUMIF('Detalle por artículo'!$K$8:$K$592,$D275,'Detalle por artículo'!$I$8:$I$592)</f>
        <v>806</v>
      </c>
      <c r="N275" s="38">
        <f>SUMIF('Detalle por artículo'!$K$8:$K$592,$D275,'Detalle por artículo'!$M$8:$M$592)</f>
        <v>23</v>
      </c>
      <c r="O275" s="39">
        <f t="shared" si="173"/>
        <v>2.7419354838709675</v>
      </c>
      <c r="P275" s="40">
        <f t="shared" si="174"/>
        <v>584.24317617866006</v>
      </c>
      <c r="Q275" s="41">
        <f t="shared" si="175"/>
        <v>0.1</v>
      </c>
      <c r="R275" s="40">
        <f t="shared" si="176"/>
        <v>2.431</v>
      </c>
      <c r="S275" s="42">
        <f>IFERROR(SUM($G$8:G275)/$G$6,0)</f>
        <v>0.91657021354716839</v>
      </c>
      <c r="T275" s="43" t="str">
        <f t="shared" si="177"/>
        <v>C</v>
      </c>
      <c r="U275" s="44">
        <v>1534</v>
      </c>
      <c r="V275" s="45">
        <f t="shared" si="158"/>
        <v>728</v>
      </c>
      <c r="W275" s="46">
        <v>46261</v>
      </c>
      <c r="X275" s="46">
        <v>46261</v>
      </c>
      <c r="Y275" s="47">
        <v>0</v>
      </c>
      <c r="Z275" s="48">
        <f t="shared" si="178"/>
        <v>0</v>
      </c>
      <c r="AA275" s="49">
        <f t="shared" si="179"/>
        <v>0</v>
      </c>
      <c r="AB275" s="44">
        <v>1368</v>
      </c>
      <c r="AC275" s="44">
        <f t="shared" si="180"/>
        <v>916</v>
      </c>
      <c r="AD275" s="44">
        <f t="shared" si="181"/>
        <v>427</v>
      </c>
      <c r="AE275" s="50">
        <f t="shared" si="182"/>
        <v>49</v>
      </c>
      <c r="AF275" s="41">
        <f t="shared" si="183"/>
        <v>0.98</v>
      </c>
      <c r="AG275" s="44">
        <v>9</v>
      </c>
      <c r="AH275" s="44">
        <v>16</v>
      </c>
      <c r="AI275" s="42">
        <f t="shared" si="159"/>
        <v>1.1364764267990075</v>
      </c>
      <c r="AJ275" s="42">
        <f t="shared" si="160"/>
        <v>0.52977667493796521</v>
      </c>
      <c r="AK275" s="40">
        <f t="shared" si="184"/>
        <v>2.5116129032258065</v>
      </c>
      <c r="AL275" s="51">
        <v>165</v>
      </c>
      <c r="AM275" s="52">
        <f t="shared" si="185"/>
        <v>0.45241935483870965</v>
      </c>
      <c r="AN275" s="42">
        <f t="shared" si="161"/>
        <v>0.1075619295958279</v>
      </c>
      <c r="AO275" s="53">
        <f t="shared" si="162"/>
        <v>-562</v>
      </c>
      <c r="AP275" s="52">
        <f t="shared" si="163"/>
        <v>-1.5409677419354837</v>
      </c>
      <c r="AQ275" s="42">
        <f t="shared" si="164"/>
        <v>1.6662531017369726</v>
      </c>
      <c r="AR275" s="46">
        <v>46265</v>
      </c>
      <c r="AS275" s="46">
        <v>46266</v>
      </c>
      <c r="AT275" s="50">
        <f t="shared" si="165"/>
        <v>5</v>
      </c>
      <c r="AU275" s="50">
        <f t="shared" si="186"/>
        <v>237</v>
      </c>
      <c r="AV275" s="50">
        <f t="shared" si="166"/>
        <v>32</v>
      </c>
      <c r="AW275" s="54">
        <f t="shared" si="167"/>
        <v>205</v>
      </c>
    </row>
    <row r="276" spans="1:49" x14ac:dyDescent="0.25">
      <c r="A276" s="33" t="s">
        <v>63</v>
      </c>
      <c r="B276" s="33" t="s">
        <v>171</v>
      </c>
      <c r="C276" s="33" t="s">
        <v>363</v>
      </c>
      <c r="D276" s="33" t="s">
        <v>373</v>
      </c>
      <c r="E276" s="34">
        <f>COUNTIF('Detalle por artículo'!$K$8:$K$592,D276)</f>
        <v>1</v>
      </c>
      <c r="F276" s="35">
        <f t="shared" si="168"/>
        <v>188.23529411764707</v>
      </c>
      <c r="G276" s="36">
        <f>SUMIF('Detalle por artículo'!$K$8:$K$592,$D276,'Detalle por artículo'!$E$8:$E$592)</f>
        <v>2.21</v>
      </c>
      <c r="H276" s="35">
        <f t="shared" si="169"/>
        <v>2</v>
      </c>
      <c r="I276" s="35">
        <f t="shared" si="170"/>
        <v>3</v>
      </c>
      <c r="J276" s="35">
        <f t="shared" si="171"/>
        <v>6</v>
      </c>
      <c r="K276" s="37">
        <f t="shared" si="172"/>
        <v>7.8928571428571431E-2</v>
      </c>
      <c r="L276" s="36">
        <f>SUMIF('Detalle por artículo'!$K$8:$K$592,$D276,'Detalle por artículo'!$O$8:$O$592)</f>
        <v>416</v>
      </c>
      <c r="M276" s="38">
        <f>SUMIF('Detalle por artículo'!$K$8:$K$592,$D276,'Detalle por artículo'!$I$8:$I$592)</f>
        <v>647</v>
      </c>
      <c r="N276" s="38">
        <f>SUMIF('Detalle por artículo'!$K$8:$K$592,$D276,'Detalle por artículo'!$M$8:$M$592)</f>
        <v>23</v>
      </c>
      <c r="O276" s="39">
        <f t="shared" si="173"/>
        <v>3.4157650695517776</v>
      </c>
      <c r="P276" s="40">
        <f t="shared" si="174"/>
        <v>642.96754250386402</v>
      </c>
      <c r="Q276" s="41">
        <f t="shared" si="175"/>
        <v>0.15</v>
      </c>
      <c r="R276" s="40">
        <f t="shared" si="176"/>
        <v>2.5414999999999996</v>
      </c>
      <c r="S276" s="42">
        <f>IFERROR(SUM($G$8:G276)/$G$6,0)</f>
        <v>0.91738230851480329</v>
      </c>
      <c r="T276" s="43" t="str">
        <f t="shared" si="177"/>
        <v>C</v>
      </c>
      <c r="U276" s="44">
        <v>647</v>
      </c>
      <c r="V276" s="45">
        <f t="shared" si="158"/>
        <v>0</v>
      </c>
      <c r="W276" s="46">
        <v>46261</v>
      </c>
      <c r="X276" s="46">
        <v>46261</v>
      </c>
      <c r="Y276" s="47">
        <v>0</v>
      </c>
      <c r="Z276" s="48">
        <f t="shared" si="178"/>
        <v>0</v>
      </c>
      <c r="AA276" s="49">
        <f t="shared" si="179"/>
        <v>0</v>
      </c>
      <c r="AB276" s="44">
        <v>328</v>
      </c>
      <c r="AC276" s="44">
        <f t="shared" si="180"/>
        <v>300</v>
      </c>
      <c r="AD276" s="44">
        <f t="shared" si="181"/>
        <v>15</v>
      </c>
      <c r="AE276" s="50">
        <f t="shared" si="182"/>
        <v>31</v>
      </c>
      <c r="AF276" s="41">
        <f t="shared" si="183"/>
        <v>0.62</v>
      </c>
      <c r="AG276" s="44">
        <v>4</v>
      </c>
      <c r="AH276" s="44">
        <v>9</v>
      </c>
      <c r="AI276" s="42">
        <f t="shared" si="159"/>
        <v>0.46367851622874806</v>
      </c>
      <c r="AJ276" s="42">
        <f t="shared" si="160"/>
        <v>2.3183925811437404E-2</v>
      </c>
      <c r="AK276" s="40">
        <f t="shared" si="184"/>
        <v>1.0247295208655331</v>
      </c>
      <c r="AL276" s="51">
        <v>319</v>
      </c>
      <c r="AM276" s="52">
        <f t="shared" si="185"/>
        <v>1.0896290571870171</v>
      </c>
      <c r="AN276" s="42">
        <f t="shared" si="161"/>
        <v>0.49304482225656876</v>
      </c>
      <c r="AO276" s="53">
        <f t="shared" si="162"/>
        <v>319</v>
      </c>
      <c r="AP276" s="52">
        <f t="shared" si="163"/>
        <v>1.0896290571870171</v>
      </c>
      <c r="AQ276" s="42">
        <f t="shared" si="164"/>
        <v>0.48686244204018547</v>
      </c>
      <c r="AR276" s="46">
        <v>46268</v>
      </c>
      <c r="AS276" s="46">
        <v>46268</v>
      </c>
      <c r="AT276" s="50">
        <f t="shared" si="165"/>
        <v>7</v>
      </c>
      <c r="AU276" s="50">
        <f t="shared" si="186"/>
        <v>362</v>
      </c>
      <c r="AV276" s="50">
        <f t="shared" si="166"/>
        <v>339</v>
      </c>
      <c r="AW276" s="54">
        <f t="shared" si="167"/>
        <v>23</v>
      </c>
    </row>
    <row r="277" spans="1:49" x14ac:dyDescent="0.25">
      <c r="A277" s="33" t="s">
        <v>63</v>
      </c>
      <c r="B277" s="33" t="s">
        <v>110</v>
      </c>
      <c r="C277" s="33" t="s">
        <v>100</v>
      </c>
      <c r="D277" s="33" t="s">
        <v>374</v>
      </c>
      <c r="E277" s="34">
        <f>COUNTIF('Detalle por artículo'!$K$8:$K$592,D277)</f>
        <v>1</v>
      </c>
      <c r="F277" s="35">
        <f t="shared" si="168"/>
        <v>118.74999999999999</v>
      </c>
      <c r="G277" s="36">
        <f>SUMIF('Detalle por artículo'!$K$8:$K$592,$D277,'Detalle por artículo'!$E$8:$E$592)</f>
        <v>2.2080000000000002</v>
      </c>
      <c r="H277" s="35">
        <f t="shared" si="169"/>
        <v>2</v>
      </c>
      <c r="I277" s="35">
        <f t="shared" si="170"/>
        <v>3</v>
      </c>
      <c r="J277" s="35">
        <f t="shared" si="171"/>
        <v>6</v>
      </c>
      <c r="K277" s="37">
        <f t="shared" si="172"/>
        <v>7.8857142857142862E-2</v>
      </c>
      <c r="L277" s="36">
        <f>SUMIF('Detalle por artículo'!$K$8:$K$592,$D277,'Detalle por artículo'!$O$8:$O$592)</f>
        <v>262.2</v>
      </c>
      <c r="M277" s="38">
        <f>SUMIF('Detalle por artículo'!$K$8:$K$592,$D277,'Detalle por artículo'!$I$8:$I$592)</f>
        <v>778</v>
      </c>
      <c r="N277" s="38">
        <f>SUMIF('Detalle por artículo'!$K$8:$K$592,$D277,'Detalle por artículo'!$M$8:$M$592)</f>
        <v>23</v>
      </c>
      <c r="O277" s="39">
        <f t="shared" si="173"/>
        <v>2.8380462724935738</v>
      </c>
      <c r="P277" s="40">
        <f t="shared" si="174"/>
        <v>337.01799485861181</v>
      </c>
      <c r="Q277" s="41">
        <f t="shared" si="175"/>
        <v>0.2</v>
      </c>
      <c r="R277" s="40">
        <f t="shared" si="176"/>
        <v>2.6496</v>
      </c>
      <c r="S277" s="42">
        <f>IFERROR(SUM($G$8:G277)/$G$6,0)</f>
        <v>0.91819366855486573</v>
      </c>
      <c r="T277" s="43" t="str">
        <f t="shared" si="177"/>
        <v>C</v>
      </c>
      <c r="U277" s="44">
        <v>778</v>
      </c>
      <c r="V277" s="45">
        <f t="shared" si="158"/>
        <v>0</v>
      </c>
      <c r="W277" s="46">
        <v>46246</v>
      </c>
      <c r="X277" s="46">
        <v>46246</v>
      </c>
      <c r="Y277" s="47">
        <v>0</v>
      </c>
      <c r="Z277" s="48">
        <f t="shared" si="178"/>
        <v>0</v>
      </c>
      <c r="AA277" s="49">
        <f t="shared" si="179"/>
        <v>0</v>
      </c>
      <c r="AB277" s="44">
        <v>249</v>
      </c>
      <c r="AC277" s="44">
        <f t="shared" si="180"/>
        <v>201</v>
      </c>
      <c r="AD277" s="44">
        <f t="shared" si="181"/>
        <v>34</v>
      </c>
      <c r="AE277" s="50">
        <f t="shared" si="182"/>
        <v>25</v>
      </c>
      <c r="AF277" s="41">
        <f t="shared" si="183"/>
        <v>0.5</v>
      </c>
      <c r="AG277" s="44">
        <v>8</v>
      </c>
      <c r="AH277" s="44">
        <v>7</v>
      </c>
      <c r="AI277" s="42">
        <f t="shared" si="159"/>
        <v>0.2583547557840617</v>
      </c>
      <c r="AJ277" s="42">
        <f t="shared" si="160"/>
        <v>4.3701799485861184E-2</v>
      </c>
      <c r="AK277" s="40">
        <f t="shared" si="184"/>
        <v>0.57044730077120831</v>
      </c>
      <c r="AL277" s="51">
        <v>529</v>
      </c>
      <c r="AM277" s="52">
        <f t="shared" si="185"/>
        <v>1.5013264781491005</v>
      </c>
      <c r="AN277" s="42">
        <f t="shared" si="161"/>
        <v>0.67994858611825193</v>
      </c>
      <c r="AO277" s="53">
        <f t="shared" si="162"/>
        <v>529</v>
      </c>
      <c r="AP277" s="52">
        <f t="shared" si="163"/>
        <v>1.5013264781491005</v>
      </c>
      <c r="AQ277" s="42">
        <f t="shared" si="164"/>
        <v>0.30205655526992287</v>
      </c>
      <c r="AR277" s="46">
        <v>46254</v>
      </c>
      <c r="AS277" s="46">
        <v>46255</v>
      </c>
      <c r="AT277" s="50">
        <f t="shared" si="165"/>
        <v>9</v>
      </c>
      <c r="AU277" s="50">
        <f t="shared" si="186"/>
        <v>257</v>
      </c>
      <c r="AV277" s="50">
        <f t="shared" si="166"/>
        <v>370</v>
      </c>
      <c r="AW277" s="54">
        <f t="shared" si="167"/>
        <v>-113</v>
      </c>
    </row>
    <row r="278" spans="1:49" x14ac:dyDescent="0.25">
      <c r="A278" s="33" t="s">
        <v>55</v>
      </c>
      <c r="B278" s="33" t="s">
        <v>99</v>
      </c>
      <c r="C278" s="33" t="s">
        <v>100</v>
      </c>
      <c r="D278" s="33" t="s">
        <v>375</v>
      </c>
      <c r="E278" s="34">
        <f>COUNTIF('Detalle por artículo'!$K$8:$K$592,D278)</f>
        <v>1</v>
      </c>
      <c r="F278" s="35">
        <f t="shared" si="168"/>
        <v>104.1213768115942</v>
      </c>
      <c r="G278" s="36">
        <f>SUMIF('Detalle por artículo'!$K$8:$K$592,$D278,'Detalle por artículo'!$E$8:$E$592)</f>
        <v>2.2080000000000002</v>
      </c>
      <c r="H278" s="35">
        <f t="shared" si="169"/>
        <v>2</v>
      </c>
      <c r="I278" s="35">
        <f t="shared" si="170"/>
        <v>3</v>
      </c>
      <c r="J278" s="35">
        <f t="shared" si="171"/>
        <v>6</v>
      </c>
      <c r="K278" s="37">
        <f t="shared" si="172"/>
        <v>7.8857142857142862E-2</v>
      </c>
      <c r="L278" s="36">
        <f>SUMIF('Detalle por artículo'!$K$8:$K$592,$D278,'Detalle por artículo'!$O$8:$O$592)</f>
        <v>229.9</v>
      </c>
      <c r="M278" s="38">
        <f>SUMIF('Detalle por artículo'!$K$8:$K$592,$D278,'Detalle por artículo'!$I$8:$I$592)</f>
        <v>750</v>
      </c>
      <c r="N278" s="38">
        <f>SUMIF('Detalle por artículo'!$K$8:$K$592,$D278,'Detalle por artículo'!$M$8:$M$592)</f>
        <v>23</v>
      </c>
      <c r="O278" s="39">
        <f t="shared" si="173"/>
        <v>2.9440000000000004</v>
      </c>
      <c r="P278" s="40">
        <f t="shared" si="174"/>
        <v>306.5333333333333</v>
      </c>
      <c r="Q278" s="41">
        <f t="shared" si="175"/>
        <v>0.2</v>
      </c>
      <c r="R278" s="40">
        <f t="shared" si="176"/>
        <v>2.6496</v>
      </c>
      <c r="S278" s="42">
        <f>IFERROR(SUM($G$8:G278)/$G$6,0)</f>
        <v>0.91900502859492805</v>
      </c>
      <c r="T278" s="43" t="str">
        <f t="shared" si="177"/>
        <v>C</v>
      </c>
      <c r="U278" s="44">
        <v>750</v>
      </c>
      <c r="V278" s="45">
        <f t="shared" si="158"/>
        <v>0</v>
      </c>
      <c r="W278" s="46">
        <v>46260</v>
      </c>
      <c r="X278" s="46">
        <v>46260</v>
      </c>
      <c r="Y278" s="47">
        <v>0</v>
      </c>
      <c r="Z278" s="48">
        <f t="shared" si="178"/>
        <v>0</v>
      </c>
      <c r="AA278" s="49">
        <f t="shared" si="179"/>
        <v>0</v>
      </c>
      <c r="AB278" s="44">
        <v>450</v>
      </c>
      <c r="AC278" s="44">
        <f t="shared" si="180"/>
        <v>358</v>
      </c>
      <c r="AD278" s="44">
        <f t="shared" si="181"/>
        <v>84</v>
      </c>
      <c r="AE278" s="50">
        <f t="shared" si="182"/>
        <v>48</v>
      </c>
      <c r="AF278" s="41">
        <f t="shared" si="183"/>
        <v>0.96</v>
      </c>
      <c r="AG278" s="44">
        <v>1</v>
      </c>
      <c r="AH278" s="44">
        <v>7</v>
      </c>
      <c r="AI278" s="42">
        <f t="shared" si="159"/>
        <v>0.47733333333333333</v>
      </c>
      <c r="AJ278" s="42">
        <f t="shared" si="160"/>
        <v>0.112</v>
      </c>
      <c r="AK278" s="40">
        <f t="shared" si="184"/>
        <v>1.0539520000000002</v>
      </c>
      <c r="AL278" s="51">
        <v>300</v>
      </c>
      <c r="AM278" s="52">
        <f t="shared" si="185"/>
        <v>0.88320000000000021</v>
      </c>
      <c r="AN278" s="42">
        <f t="shared" si="161"/>
        <v>0.4</v>
      </c>
      <c r="AO278" s="53">
        <f t="shared" si="162"/>
        <v>300</v>
      </c>
      <c r="AP278" s="52">
        <f t="shared" si="163"/>
        <v>0.88320000000000021</v>
      </c>
      <c r="AQ278" s="42">
        <f t="shared" si="164"/>
        <v>0.58933333333333338</v>
      </c>
      <c r="AR278" s="46">
        <v>46268</v>
      </c>
      <c r="AS278" s="46">
        <v>46269</v>
      </c>
      <c r="AT278" s="50">
        <f t="shared" si="165"/>
        <v>9</v>
      </c>
      <c r="AU278" s="50">
        <f t="shared" si="186"/>
        <v>279</v>
      </c>
      <c r="AV278" s="50">
        <f t="shared" si="166"/>
        <v>306</v>
      </c>
      <c r="AW278" s="54">
        <f t="shared" si="167"/>
        <v>-27</v>
      </c>
    </row>
    <row r="279" spans="1:49" x14ac:dyDescent="0.25">
      <c r="A279" s="33" t="s">
        <v>138</v>
      </c>
      <c r="B279" s="33" t="s">
        <v>139</v>
      </c>
      <c r="C279" s="33" t="s">
        <v>122</v>
      </c>
      <c r="D279" s="33" t="s">
        <v>376</v>
      </c>
      <c r="E279" s="34">
        <f>COUNTIF('Detalle por artículo'!$K$8:$K$592,D279)</f>
        <v>1</v>
      </c>
      <c r="F279" s="35">
        <f t="shared" si="168"/>
        <v>228.32263978001836</v>
      </c>
      <c r="G279" s="36">
        <f>SUMIF('Detalle por artículo'!$K$8:$K$592,$D279,'Detalle por artículo'!$E$8:$E$592)</f>
        <v>2.1819999999999999</v>
      </c>
      <c r="H279" s="35">
        <f t="shared" si="169"/>
        <v>2</v>
      </c>
      <c r="I279" s="35">
        <f t="shared" si="170"/>
        <v>3</v>
      </c>
      <c r="J279" s="35">
        <f t="shared" si="171"/>
        <v>6</v>
      </c>
      <c r="K279" s="37">
        <f t="shared" si="172"/>
        <v>7.792857142857143E-2</v>
      </c>
      <c r="L279" s="36">
        <f>SUMIF('Detalle por artículo'!$K$8:$K$592,$D279,'Detalle por artículo'!$O$8:$O$592)</f>
        <v>498.20000000000005</v>
      </c>
      <c r="M279" s="38">
        <f>SUMIF('Detalle por artículo'!$K$8:$K$592,$D279,'Detalle por artículo'!$I$8:$I$592)</f>
        <v>536</v>
      </c>
      <c r="N279" s="38">
        <f>SUMIF('Detalle por artículo'!$K$8:$K$592,$D279,'Detalle por artículo'!$M$8:$M$592)</f>
        <v>22</v>
      </c>
      <c r="O279" s="39">
        <f t="shared" si="173"/>
        <v>4.0708955223880592</v>
      </c>
      <c r="P279" s="40">
        <f t="shared" si="174"/>
        <v>929.47761194029852</v>
      </c>
      <c r="Q279" s="41">
        <f t="shared" si="175"/>
        <v>0.1</v>
      </c>
      <c r="R279" s="40">
        <f t="shared" si="176"/>
        <v>2.4002000000000003</v>
      </c>
      <c r="S279" s="42">
        <f>IFERROR(SUM($G$8:G279)/$G$6,0)</f>
        <v>0.91980683457654766</v>
      </c>
      <c r="T279" s="43" t="str">
        <f t="shared" si="177"/>
        <v>C</v>
      </c>
      <c r="U279" s="44">
        <v>540</v>
      </c>
      <c r="V279" s="45">
        <f t="shared" si="158"/>
        <v>4</v>
      </c>
      <c r="W279" s="46">
        <v>46286</v>
      </c>
      <c r="X279" s="46">
        <v>46300</v>
      </c>
      <c r="Y279" s="47">
        <v>0</v>
      </c>
      <c r="Z279" s="48">
        <f t="shared" si="178"/>
        <v>0</v>
      </c>
      <c r="AA279" s="49">
        <f t="shared" si="179"/>
        <v>0</v>
      </c>
      <c r="AB279" s="44">
        <v>174</v>
      </c>
      <c r="AC279" s="44">
        <f t="shared" si="180"/>
        <v>136</v>
      </c>
      <c r="AD279" s="44">
        <f t="shared" si="181"/>
        <v>36</v>
      </c>
      <c r="AE279" s="50">
        <f t="shared" si="182"/>
        <v>34</v>
      </c>
      <c r="AF279" s="41">
        <f t="shared" si="183"/>
        <v>0.68</v>
      </c>
      <c r="AG279" s="44">
        <v>2</v>
      </c>
      <c r="AH279" s="44">
        <v>0</v>
      </c>
      <c r="AI279" s="42">
        <f t="shared" si="159"/>
        <v>0.2537313432835821</v>
      </c>
      <c r="AJ279" s="42">
        <f t="shared" si="160"/>
        <v>6.7164179104477612E-2</v>
      </c>
      <c r="AK279" s="40">
        <f t="shared" si="184"/>
        <v>0.55364179104477607</v>
      </c>
      <c r="AL279" s="51">
        <v>366</v>
      </c>
      <c r="AM279" s="52">
        <f t="shared" si="185"/>
        <v>1.4899477611940297</v>
      </c>
      <c r="AN279" s="42">
        <f t="shared" si="161"/>
        <v>0.67777777777777781</v>
      </c>
      <c r="AO279" s="53">
        <f t="shared" si="162"/>
        <v>362</v>
      </c>
      <c r="AP279" s="52">
        <f t="shared" si="163"/>
        <v>1.4736641791044773</v>
      </c>
      <c r="AQ279" s="42">
        <f t="shared" si="164"/>
        <v>0.32089552238805968</v>
      </c>
      <c r="AR279" s="46">
        <v>46295</v>
      </c>
      <c r="AS279" s="46">
        <v>46296</v>
      </c>
      <c r="AT279" s="50">
        <f t="shared" si="165"/>
        <v>10</v>
      </c>
      <c r="AU279" s="50">
        <f t="shared" si="186"/>
        <v>418</v>
      </c>
      <c r="AV279" s="50">
        <f t="shared" si="166"/>
        <v>382</v>
      </c>
      <c r="AW279" s="54">
        <f t="shared" si="167"/>
        <v>36</v>
      </c>
    </row>
    <row r="280" spans="1:49" x14ac:dyDescent="0.25">
      <c r="A280" s="33" t="s">
        <v>55</v>
      </c>
      <c r="B280" s="33" t="s">
        <v>255</v>
      </c>
      <c r="C280" s="33" t="s">
        <v>132</v>
      </c>
      <c r="D280" s="33" t="s">
        <v>377</v>
      </c>
      <c r="E280" s="34">
        <f>COUNTIF('Detalle por artículo'!$K$8:$K$592,D280)</f>
        <v>1</v>
      </c>
      <c r="F280" s="35">
        <f t="shared" si="168"/>
        <v>238.39037927844589</v>
      </c>
      <c r="G280" s="36">
        <f>SUMIF('Detalle por artículo'!$K$8:$K$592,$D280,'Detalle por artículo'!$E$8:$E$592)</f>
        <v>2.1619999999999999</v>
      </c>
      <c r="H280" s="35">
        <f t="shared" si="169"/>
        <v>2</v>
      </c>
      <c r="I280" s="35">
        <f t="shared" si="170"/>
        <v>3</v>
      </c>
      <c r="J280" s="35">
        <f t="shared" si="171"/>
        <v>6</v>
      </c>
      <c r="K280" s="37">
        <f t="shared" si="172"/>
        <v>7.7214285714285708E-2</v>
      </c>
      <c r="L280" s="36">
        <f>SUMIF('Detalle por artículo'!$K$8:$K$592,$D280,'Detalle por artículo'!$O$8:$O$592)</f>
        <v>515.4</v>
      </c>
      <c r="M280" s="38">
        <f>SUMIF('Detalle por artículo'!$K$8:$K$592,$D280,'Detalle por artículo'!$I$8:$I$592)</f>
        <v>836</v>
      </c>
      <c r="N280" s="38">
        <f>SUMIF('Detalle por artículo'!$K$8:$K$592,$D280,'Detalle por artículo'!$M$8:$M$592)</f>
        <v>26</v>
      </c>
      <c r="O280" s="39">
        <f t="shared" si="173"/>
        <v>2.5861244019138754</v>
      </c>
      <c r="P280" s="40">
        <f t="shared" si="174"/>
        <v>616.50717703349278</v>
      </c>
      <c r="Q280" s="41">
        <f t="shared" si="175"/>
        <v>0.1</v>
      </c>
      <c r="R280" s="40">
        <f t="shared" si="176"/>
        <v>2.3782000000000001</v>
      </c>
      <c r="S280" s="42">
        <f>IFERROR(SUM($G$8:G280)/$G$6,0)</f>
        <v>0.92060129128244195</v>
      </c>
      <c r="T280" s="43" t="str">
        <f t="shared" si="177"/>
        <v>C</v>
      </c>
      <c r="U280" s="44">
        <v>0</v>
      </c>
      <c r="V280" s="45">
        <f t="shared" si="158"/>
        <v>-836</v>
      </c>
      <c r="W280" s="46"/>
      <c r="X280" s="46"/>
      <c r="Y280" s="47">
        <v>836</v>
      </c>
      <c r="Z280" s="48">
        <f t="shared" si="178"/>
        <v>2.1619999999999999</v>
      </c>
      <c r="AA280" s="49">
        <f t="shared" si="179"/>
        <v>7.7214285714285708E-2</v>
      </c>
      <c r="AB280" s="44">
        <v>0</v>
      </c>
      <c r="AC280" s="44">
        <f t="shared" si="180"/>
        <v>0</v>
      </c>
      <c r="AD280" s="44">
        <f t="shared" si="181"/>
        <v>0</v>
      </c>
      <c r="AE280" s="50">
        <f t="shared" si="182"/>
        <v>0</v>
      </c>
      <c r="AF280" s="41">
        <f t="shared" si="183"/>
        <v>0</v>
      </c>
      <c r="AG280" s="44">
        <v>0</v>
      </c>
      <c r="AH280" s="44">
        <v>0</v>
      </c>
      <c r="AI280" s="42">
        <f t="shared" si="159"/>
        <v>0</v>
      </c>
      <c r="AJ280" s="42">
        <f t="shared" si="160"/>
        <v>0</v>
      </c>
      <c r="AK280" s="40">
        <f t="shared" si="184"/>
        <v>0</v>
      </c>
      <c r="AL280" s="51">
        <v>0</v>
      </c>
      <c r="AM280" s="52">
        <f t="shared" si="185"/>
        <v>0</v>
      </c>
      <c r="AN280" s="42">
        <f t="shared" si="161"/>
        <v>0</v>
      </c>
      <c r="AO280" s="53">
        <f t="shared" si="162"/>
        <v>836</v>
      </c>
      <c r="AP280" s="52">
        <f t="shared" si="163"/>
        <v>2.1619999999999999</v>
      </c>
      <c r="AQ280" s="42">
        <f t="shared" si="164"/>
        <v>0</v>
      </c>
      <c r="AR280" s="46"/>
      <c r="AS280" s="46"/>
      <c r="AT280" s="50" t="str">
        <f t="shared" si="165"/>
        <v/>
      </c>
      <c r="AU280" s="50">
        <f t="shared" si="186"/>
        <v>221</v>
      </c>
      <c r="AV280" s="50" t="str">
        <f t="shared" si="166"/>
        <v/>
      </c>
      <c r="AW280" s="54" t="str">
        <f t="shared" si="167"/>
        <v/>
      </c>
    </row>
    <row r="281" spans="1:49" x14ac:dyDescent="0.25">
      <c r="A281" s="33" t="s">
        <v>55</v>
      </c>
      <c r="B281" s="33" t="s">
        <v>255</v>
      </c>
      <c r="C281" s="33" t="s">
        <v>132</v>
      </c>
      <c r="D281" s="33" t="s">
        <v>378</v>
      </c>
      <c r="E281" s="34">
        <f>COUNTIF('Detalle por artículo'!$K$8:$K$592,D281)</f>
        <v>1</v>
      </c>
      <c r="F281" s="35">
        <f t="shared" si="168"/>
        <v>231.38888888888886</v>
      </c>
      <c r="G281" s="36">
        <f>SUMIF('Detalle por artículo'!$K$8:$K$592,$D281,'Detalle por artículo'!$E$8:$E$592)</f>
        <v>2.16</v>
      </c>
      <c r="H281" s="35">
        <f t="shared" si="169"/>
        <v>2</v>
      </c>
      <c r="I281" s="35">
        <f t="shared" si="170"/>
        <v>3</v>
      </c>
      <c r="J281" s="35">
        <f t="shared" si="171"/>
        <v>6</v>
      </c>
      <c r="K281" s="37">
        <f t="shared" si="172"/>
        <v>7.7142857142857152E-2</v>
      </c>
      <c r="L281" s="36">
        <f>SUMIF('Detalle por artículo'!$K$8:$K$592,$D281,'Detalle por artículo'!$O$8:$O$592)</f>
        <v>499.79999999999995</v>
      </c>
      <c r="M281" s="38">
        <f>SUMIF('Detalle por artículo'!$K$8:$K$592,$D281,'Detalle por artículo'!$I$8:$I$592)</f>
        <v>924</v>
      </c>
      <c r="N281" s="38">
        <f>SUMIF('Detalle por artículo'!$K$8:$K$592,$D281,'Detalle por artículo'!$M$8:$M$592)</f>
        <v>30</v>
      </c>
      <c r="O281" s="39">
        <f t="shared" si="173"/>
        <v>2.3376623376623376</v>
      </c>
      <c r="P281" s="40">
        <f t="shared" si="174"/>
        <v>540.90909090909088</v>
      </c>
      <c r="Q281" s="41">
        <f t="shared" si="175"/>
        <v>0.1</v>
      </c>
      <c r="R281" s="40">
        <f t="shared" si="176"/>
        <v>2.3760000000000003</v>
      </c>
      <c r="S281" s="42">
        <f>IFERROR(SUM($G$8:G281)/$G$6,0)</f>
        <v>0.92139501306076377</v>
      </c>
      <c r="T281" s="43" t="str">
        <f t="shared" si="177"/>
        <v>C</v>
      </c>
      <c r="U281" s="44">
        <v>924</v>
      </c>
      <c r="V281" s="45">
        <f t="shared" si="158"/>
        <v>0</v>
      </c>
      <c r="W281" s="46">
        <v>46198</v>
      </c>
      <c r="X281" s="46">
        <v>46198</v>
      </c>
      <c r="Y281" s="47">
        <v>0</v>
      </c>
      <c r="Z281" s="48">
        <f t="shared" si="178"/>
        <v>0</v>
      </c>
      <c r="AA281" s="49">
        <f t="shared" si="179"/>
        <v>0</v>
      </c>
      <c r="AB281" s="44">
        <v>630</v>
      </c>
      <c r="AC281" s="44">
        <f t="shared" si="180"/>
        <v>436</v>
      </c>
      <c r="AD281" s="44">
        <f t="shared" si="181"/>
        <v>193</v>
      </c>
      <c r="AE281" s="50">
        <f t="shared" si="182"/>
        <v>48</v>
      </c>
      <c r="AF281" s="41">
        <f t="shared" si="183"/>
        <v>0.96</v>
      </c>
      <c r="AG281" s="44">
        <v>1</v>
      </c>
      <c r="AH281" s="44">
        <v>0</v>
      </c>
      <c r="AI281" s="42">
        <f t="shared" si="159"/>
        <v>0.47186147186147187</v>
      </c>
      <c r="AJ281" s="42">
        <f t="shared" si="160"/>
        <v>0.20887445887445888</v>
      </c>
      <c r="AK281" s="40">
        <f t="shared" si="184"/>
        <v>1.0192207792207792</v>
      </c>
      <c r="AL281" s="51">
        <v>293</v>
      </c>
      <c r="AM281" s="52">
        <f t="shared" si="185"/>
        <v>0.68493506493506495</v>
      </c>
      <c r="AN281" s="42">
        <f t="shared" si="161"/>
        <v>0.3170995670995671</v>
      </c>
      <c r="AO281" s="53">
        <f t="shared" si="162"/>
        <v>294</v>
      </c>
      <c r="AP281" s="52">
        <f t="shared" si="163"/>
        <v>0.68727272727272726</v>
      </c>
      <c r="AQ281" s="42">
        <f t="shared" si="164"/>
        <v>0.68073593073593075</v>
      </c>
      <c r="AR281" s="46">
        <v>46213</v>
      </c>
      <c r="AS281" s="46">
        <v>46213</v>
      </c>
      <c r="AT281" s="50">
        <f t="shared" si="165"/>
        <v>15</v>
      </c>
      <c r="AU281" s="50">
        <f t="shared" si="186"/>
        <v>189</v>
      </c>
      <c r="AV281" s="50">
        <f t="shared" si="166"/>
        <v>168</v>
      </c>
      <c r="AW281" s="54">
        <f t="shared" si="167"/>
        <v>21</v>
      </c>
    </row>
    <row r="282" spans="1:49" x14ac:dyDescent="0.25">
      <c r="A282" s="33" t="s">
        <v>55</v>
      </c>
      <c r="B282" s="33" t="s">
        <v>255</v>
      </c>
      <c r="C282" s="33" t="s">
        <v>132</v>
      </c>
      <c r="D282" s="33" t="s">
        <v>379</v>
      </c>
      <c r="E282" s="34">
        <f>COUNTIF('Detalle por artículo'!$K$8:$K$592,D282)</f>
        <v>1</v>
      </c>
      <c r="F282" s="35">
        <f t="shared" si="168"/>
        <v>246.04724702380955</v>
      </c>
      <c r="G282" s="36">
        <f>SUMIF('Detalle por artículo'!$K$8:$K$592,$D282,'Detalle por artículo'!$E$8:$E$592)</f>
        <v>2.1503999999999999</v>
      </c>
      <c r="H282" s="35">
        <f t="shared" si="169"/>
        <v>2</v>
      </c>
      <c r="I282" s="35">
        <f t="shared" si="170"/>
        <v>3</v>
      </c>
      <c r="J282" s="35">
        <f t="shared" si="171"/>
        <v>6</v>
      </c>
      <c r="K282" s="37">
        <f t="shared" si="172"/>
        <v>7.6799999999999993E-2</v>
      </c>
      <c r="L282" s="36">
        <f>SUMIF('Detalle por artículo'!$K$8:$K$592,$D282,'Detalle por artículo'!$O$8:$O$592)</f>
        <v>529.1</v>
      </c>
      <c r="M282" s="38">
        <f>SUMIF('Detalle por artículo'!$K$8:$K$592,$D282,'Detalle por artículo'!$I$8:$I$592)</f>
        <v>937</v>
      </c>
      <c r="N282" s="38">
        <f>SUMIF('Detalle por artículo'!$K$8:$K$592,$D282,'Detalle por artículo'!$M$8:$M$592)</f>
        <v>28</v>
      </c>
      <c r="O282" s="39">
        <f t="shared" si="173"/>
        <v>2.2949839914621131</v>
      </c>
      <c r="P282" s="40">
        <f t="shared" si="174"/>
        <v>564.67449306296692</v>
      </c>
      <c r="Q282" s="41">
        <f t="shared" si="175"/>
        <v>0.1</v>
      </c>
      <c r="R282" s="40">
        <f t="shared" si="176"/>
        <v>2.36544</v>
      </c>
      <c r="S282" s="42">
        <f>IFERROR(SUM($G$8:G282)/$G$6,0)</f>
        <v>0.92218520718673758</v>
      </c>
      <c r="T282" s="43" t="str">
        <f t="shared" si="177"/>
        <v>C</v>
      </c>
      <c r="U282" s="44">
        <v>937</v>
      </c>
      <c r="V282" s="45">
        <f t="shared" si="158"/>
        <v>0</v>
      </c>
      <c r="W282" s="46">
        <v>46188</v>
      </c>
      <c r="X282" s="46">
        <v>46188</v>
      </c>
      <c r="Y282" s="47">
        <v>0</v>
      </c>
      <c r="Z282" s="48">
        <f t="shared" si="178"/>
        <v>0</v>
      </c>
      <c r="AA282" s="49">
        <f t="shared" si="179"/>
        <v>0</v>
      </c>
      <c r="AB282" s="44">
        <v>634</v>
      </c>
      <c r="AC282" s="44">
        <f t="shared" si="180"/>
        <v>413</v>
      </c>
      <c r="AD282" s="44">
        <f t="shared" si="181"/>
        <v>207</v>
      </c>
      <c r="AE282" s="50">
        <f t="shared" si="182"/>
        <v>48</v>
      </c>
      <c r="AF282" s="41">
        <f t="shared" si="183"/>
        <v>0.96</v>
      </c>
      <c r="AG282" s="44">
        <v>6</v>
      </c>
      <c r="AH282" s="44">
        <v>8</v>
      </c>
      <c r="AI282" s="42">
        <f t="shared" si="159"/>
        <v>0.44076840981856991</v>
      </c>
      <c r="AJ282" s="42">
        <f t="shared" si="160"/>
        <v>0.22091782283884739</v>
      </c>
      <c r="AK282" s="40">
        <f t="shared" si="184"/>
        <v>0.94782838847385265</v>
      </c>
      <c r="AL282" s="51">
        <v>302</v>
      </c>
      <c r="AM282" s="52">
        <f t="shared" si="185"/>
        <v>0.69308516542155818</v>
      </c>
      <c r="AN282" s="42">
        <f t="shared" si="161"/>
        <v>0.32230522945570972</v>
      </c>
      <c r="AO282" s="53">
        <f t="shared" si="162"/>
        <v>303</v>
      </c>
      <c r="AP282" s="52">
        <f t="shared" si="163"/>
        <v>0.69538014941302029</v>
      </c>
      <c r="AQ282" s="42">
        <f t="shared" si="164"/>
        <v>0.66168623265741733</v>
      </c>
      <c r="AR282" s="46">
        <v>46213</v>
      </c>
      <c r="AS282" s="46">
        <v>46213</v>
      </c>
      <c r="AT282" s="50">
        <f t="shared" si="165"/>
        <v>25</v>
      </c>
      <c r="AU282" s="50">
        <f t="shared" si="186"/>
        <v>184</v>
      </c>
      <c r="AV282" s="50">
        <f t="shared" si="166"/>
        <v>165</v>
      </c>
      <c r="AW282" s="54">
        <f t="shared" si="167"/>
        <v>19</v>
      </c>
    </row>
    <row r="283" spans="1:49" x14ac:dyDescent="0.25">
      <c r="A283" s="33" t="s">
        <v>63</v>
      </c>
      <c r="B283" s="33" t="s">
        <v>102</v>
      </c>
      <c r="C283" s="33" t="s">
        <v>103</v>
      </c>
      <c r="D283" s="33" t="s">
        <v>380</v>
      </c>
      <c r="E283" s="34">
        <f>COUNTIF('Detalle por artículo'!$K$8:$K$592,D283)</f>
        <v>1</v>
      </c>
      <c r="F283" s="35">
        <f t="shared" si="168"/>
        <v>218.58490566037733</v>
      </c>
      <c r="G283" s="36">
        <f>SUMIF('Detalle por artículo'!$K$8:$K$592,$D283,'Detalle por artículo'!$E$8:$E$592)</f>
        <v>2.12</v>
      </c>
      <c r="H283" s="35">
        <f t="shared" si="169"/>
        <v>2</v>
      </c>
      <c r="I283" s="35">
        <f t="shared" si="170"/>
        <v>3</v>
      </c>
      <c r="J283" s="35">
        <f t="shared" si="171"/>
        <v>6</v>
      </c>
      <c r="K283" s="37">
        <f t="shared" si="172"/>
        <v>7.571428571428572E-2</v>
      </c>
      <c r="L283" s="36">
        <f>SUMIF('Detalle por artículo'!$K$8:$K$592,$D283,'Detalle por artículo'!$O$8:$O$592)</f>
        <v>463.4</v>
      </c>
      <c r="M283" s="38">
        <f>SUMIF('Detalle por artículo'!$K$8:$K$592,$D283,'Detalle por artículo'!$I$8:$I$592)</f>
        <v>796</v>
      </c>
      <c r="N283" s="38">
        <f>SUMIF('Detalle por artículo'!$K$8:$K$592,$D283,'Detalle por artículo'!$M$8:$M$592)</f>
        <v>25</v>
      </c>
      <c r="O283" s="39">
        <f t="shared" si="173"/>
        <v>2.6633165829145731</v>
      </c>
      <c r="P283" s="40">
        <f t="shared" si="174"/>
        <v>582.1608040201005</v>
      </c>
      <c r="Q283" s="41">
        <f t="shared" si="175"/>
        <v>0.1</v>
      </c>
      <c r="R283" s="40">
        <f t="shared" si="176"/>
        <v>2.3320000000000003</v>
      </c>
      <c r="S283" s="42">
        <f>IFERROR(SUM($G$8:G283)/$G$6,0)</f>
        <v>0.92296423041360898</v>
      </c>
      <c r="T283" s="43" t="str">
        <f t="shared" si="177"/>
        <v>C</v>
      </c>
      <c r="U283" s="44">
        <v>800</v>
      </c>
      <c r="V283" s="45">
        <f t="shared" si="158"/>
        <v>4</v>
      </c>
      <c r="W283" s="46">
        <v>46233</v>
      </c>
      <c r="X283" s="46">
        <v>46233</v>
      </c>
      <c r="Y283" s="47">
        <v>0</v>
      </c>
      <c r="Z283" s="48">
        <f t="shared" si="178"/>
        <v>0</v>
      </c>
      <c r="AA283" s="49">
        <f t="shared" si="179"/>
        <v>0</v>
      </c>
      <c r="AB283" s="44">
        <v>505</v>
      </c>
      <c r="AC283" s="44">
        <f t="shared" si="180"/>
        <v>369</v>
      </c>
      <c r="AD283" s="44">
        <f t="shared" si="181"/>
        <v>127</v>
      </c>
      <c r="AE283" s="50">
        <f t="shared" si="182"/>
        <v>48</v>
      </c>
      <c r="AF283" s="41">
        <f t="shared" si="183"/>
        <v>0.96</v>
      </c>
      <c r="AG283" s="44">
        <v>2</v>
      </c>
      <c r="AH283" s="44">
        <v>7</v>
      </c>
      <c r="AI283" s="42">
        <f t="shared" si="159"/>
        <v>0.46356783919597988</v>
      </c>
      <c r="AJ283" s="42">
        <f t="shared" si="160"/>
        <v>0.15954773869346733</v>
      </c>
      <c r="AK283" s="40">
        <f t="shared" si="184"/>
        <v>0.9827638190954775</v>
      </c>
      <c r="AL283" s="51">
        <v>291</v>
      </c>
      <c r="AM283" s="52">
        <f t="shared" si="185"/>
        <v>0.77502512562814085</v>
      </c>
      <c r="AN283" s="42">
        <f t="shared" si="161"/>
        <v>0.36375000000000002</v>
      </c>
      <c r="AO283" s="53">
        <f t="shared" si="162"/>
        <v>291</v>
      </c>
      <c r="AP283" s="52">
        <f t="shared" si="163"/>
        <v>0.77502512562814085</v>
      </c>
      <c r="AQ283" s="42">
        <f t="shared" si="164"/>
        <v>0.62311557788944727</v>
      </c>
      <c r="AR283" s="46">
        <v>46254</v>
      </c>
      <c r="AS283" s="46">
        <v>46255</v>
      </c>
      <c r="AT283" s="50">
        <f t="shared" si="165"/>
        <v>22</v>
      </c>
      <c r="AU283" s="50">
        <f t="shared" si="186"/>
        <v>245</v>
      </c>
      <c r="AV283" s="50">
        <f t="shared" si="166"/>
        <v>268</v>
      </c>
      <c r="AW283" s="54">
        <f t="shared" si="167"/>
        <v>-23</v>
      </c>
    </row>
    <row r="284" spans="1:49" x14ac:dyDescent="0.25">
      <c r="A284" s="33" t="s">
        <v>63</v>
      </c>
      <c r="B284" s="33" t="s">
        <v>102</v>
      </c>
      <c r="C284" s="33" t="s">
        <v>103</v>
      </c>
      <c r="D284" s="33" t="s">
        <v>381</v>
      </c>
      <c r="E284" s="34">
        <f>COUNTIF('Detalle por artículo'!$K$8:$K$592,D284)</f>
        <v>1</v>
      </c>
      <c r="F284" s="35">
        <f t="shared" si="168"/>
        <v>229.38679245283015</v>
      </c>
      <c r="G284" s="36">
        <f>SUMIF('Detalle por artículo'!$K$8:$K$592,$D284,'Detalle por artículo'!$E$8:$E$592)</f>
        <v>2.12</v>
      </c>
      <c r="H284" s="35">
        <f t="shared" si="169"/>
        <v>2</v>
      </c>
      <c r="I284" s="35">
        <f t="shared" si="170"/>
        <v>3</v>
      </c>
      <c r="J284" s="35">
        <f t="shared" si="171"/>
        <v>6</v>
      </c>
      <c r="K284" s="37">
        <f t="shared" si="172"/>
        <v>7.571428571428572E-2</v>
      </c>
      <c r="L284" s="36">
        <f>SUMIF('Detalle por artículo'!$K$8:$K$592,$D284,'Detalle por artículo'!$O$8:$O$592)</f>
        <v>486.29999999999995</v>
      </c>
      <c r="M284" s="38">
        <f>SUMIF('Detalle por artículo'!$K$8:$K$592,$D284,'Detalle por artículo'!$I$8:$I$592)</f>
        <v>800</v>
      </c>
      <c r="N284" s="38">
        <f>SUMIF('Detalle por artículo'!$K$8:$K$592,$D284,'Detalle por artículo'!$M$8:$M$592)</f>
        <v>25</v>
      </c>
      <c r="O284" s="39">
        <f t="shared" si="173"/>
        <v>2.65</v>
      </c>
      <c r="P284" s="40">
        <f t="shared" si="174"/>
        <v>607.875</v>
      </c>
      <c r="Q284" s="41">
        <f t="shared" si="175"/>
        <v>0.1</v>
      </c>
      <c r="R284" s="40">
        <f t="shared" si="176"/>
        <v>2.3320000000000003</v>
      </c>
      <c r="S284" s="42">
        <f>IFERROR(SUM($G$8:G284)/$G$6,0)</f>
        <v>0.92374325364048038</v>
      </c>
      <c r="T284" s="43" t="str">
        <f t="shared" si="177"/>
        <v>C</v>
      </c>
      <c r="U284" s="44">
        <v>800</v>
      </c>
      <c r="V284" s="45">
        <f t="shared" si="158"/>
        <v>0</v>
      </c>
      <c r="W284" s="46">
        <v>46233</v>
      </c>
      <c r="X284" s="46">
        <v>46233</v>
      </c>
      <c r="Y284" s="47">
        <v>0</v>
      </c>
      <c r="Z284" s="48">
        <f t="shared" si="178"/>
        <v>0</v>
      </c>
      <c r="AA284" s="49">
        <f t="shared" si="179"/>
        <v>0</v>
      </c>
      <c r="AB284" s="44">
        <v>753</v>
      </c>
      <c r="AC284" s="44">
        <f t="shared" si="180"/>
        <v>377</v>
      </c>
      <c r="AD284" s="44">
        <f t="shared" si="181"/>
        <v>368</v>
      </c>
      <c r="AE284" s="50">
        <f t="shared" si="182"/>
        <v>49</v>
      </c>
      <c r="AF284" s="41">
        <f t="shared" si="183"/>
        <v>0.98</v>
      </c>
      <c r="AG284" s="44">
        <v>1</v>
      </c>
      <c r="AH284" s="44">
        <v>7</v>
      </c>
      <c r="AI284" s="42">
        <f t="shared" si="159"/>
        <v>0.47125</v>
      </c>
      <c r="AJ284" s="42">
        <f t="shared" si="160"/>
        <v>0.46</v>
      </c>
      <c r="AK284" s="40">
        <f t="shared" si="184"/>
        <v>0.99904999999999999</v>
      </c>
      <c r="AL284" s="51">
        <v>46</v>
      </c>
      <c r="AM284" s="52">
        <f t="shared" si="185"/>
        <v>0.12189999999999999</v>
      </c>
      <c r="AN284" s="42">
        <f t="shared" si="161"/>
        <v>5.7500000000000002E-2</v>
      </c>
      <c r="AO284" s="53">
        <f t="shared" si="162"/>
        <v>47</v>
      </c>
      <c r="AP284" s="52">
        <f t="shared" si="163"/>
        <v>0.12454999999999999</v>
      </c>
      <c r="AQ284" s="42">
        <f t="shared" si="164"/>
        <v>0.93125000000000002</v>
      </c>
      <c r="AR284" s="46">
        <v>46254</v>
      </c>
      <c r="AS284" s="46">
        <v>46255</v>
      </c>
      <c r="AT284" s="50">
        <f t="shared" si="165"/>
        <v>22</v>
      </c>
      <c r="AU284" s="50">
        <f t="shared" si="186"/>
        <v>241</v>
      </c>
      <c r="AV284" s="50">
        <f t="shared" si="166"/>
        <v>110</v>
      </c>
      <c r="AW284" s="54">
        <f t="shared" si="167"/>
        <v>131</v>
      </c>
    </row>
    <row r="285" spans="1:49" x14ac:dyDescent="0.25">
      <c r="A285" s="33" t="s">
        <v>63</v>
      </c>
      <c r="B285" s="33" t="s">
        <v>84</v>
      </c>
      <c r="C285" s="33" t="s">
        <v>87</v>
      </c>
      <c r="D285" s="33" t="s">
        <v>382</v>
      </c>
      <c r="E285" s="34">
        <f>COUNTIF('Detalle por artículo'!$K$8:$K$592,D285)</f>
        <v>1</v>
      </c>
      <c r="F285" s="35">
        <f t="shared" si="168"/>
        <v>170.83333333333334</v>
      </c>
      <c r="G285" s="36">
        <f>SUMIF('Detalle por artículo'!$K$8:$K$592,$D285,'Detalle por artículo'!$E$8:$E$592)</f>
        <v>2.1120000000000001</v>
      </c>
      <c r="H285" s="35">
        <f t="shared" si="169"/>
        <v>2</v>
      </c>
      <c r="I285" s="35">
        <f t="shared" si="170"/>
        <v>3</v>
      </c>
      <c r="J285" s="35">
        <f t="shared" si="171"/>
        <v>6</v>
      </c>
      <c r="K285" s="37">
        <f t="shared" si="172"/>
        <v>7.5428571428571428E-2</v>
      </c>
      <c r="L285" s="36">
        <f>SUMIF('Detalle por artículo'!$K$8:$K$592,$D285,'Detalle por artículo'!$O$8:$O$592)</f>
        <v>360.8</v>
      </c>
      <c r="M285" s="38">
        <f>SUMIF('Detalle por artículo'!$K$8:$K$592,$D285,'Detalle por artículo'!$I$8:$I$592)</f>
        <v>639</v>
      </c>
      <c r="N285" s="38">
        <f>SUMIF('Detalle por artículo'!$K$8:$K$592,$D285,'Detalle por artículo'!$M$8:$M$592)</f>
        <v>22</v>
      </c>
      <c r="O285" s="39">
        <f t="shared" si="173"/>
        <v>3.3051643192488265</v>
      </c>
      <c r="P285" s="40">
        <f t="shared" si="174"/>
        <v>564.63223787167453</v>
      </c>
      <c r="Q285" s="41">
        <f t="shared" si="175"/>
        <v>0.15</v>
      </c>
      <c r="R285" s="40">
        <f t="shared" si="176"/>
        <v>2.4287999999999998</v>
      </c>
      <c r="S285" s="42">
        <f>IFERROR(SUM($G$8:G285)/$G$6,0)</f>
        <v>0.9245193371570618</v>
      </c>
      <c r="T285" s="43" t="str">
        <f t="shared" si="177"/>
        <v>C</v>
      </c>
      <c r="U285" s="44">
        <v>639</v>
      </c>
      <c r="V285" s="45">
        <f t="shared" si="158"/>
        <v>0</v>
      </c>
      <c r="W285" s="46">
        <v>46217</v>
      </c>
      <c r="X285" s="46">
        <v>46217</v>
      </c>
      <c r="Y285" s="47">
        <v>0</v>
      </c>
      <c r="Z285" s="48">
        <f t="shared" si="178"/>
        <v>0</v>
      </c>
      <c r="AA285" s="49">
        <f t="shared" si="179"/>
        <v>0</v>
      </c>
      <c r="AB285" s="44">
        <v>500</v>
      </c>
      <c r="AC285" s="44">
        <f t="shared" si="180"/>
        <v>354</v>
      </c>
      <c r="AD285" s="44">
        <f t="shared" si="181"/>
        <v>138</v>
      </c>
      <c r="AE285" s="50">
        <f t="shared" si="182"/>
        <v>48</v>
      </c>
      <c r="AF285" s="41">
        <f t="shared" si="183"/>
        <v>0.96</v>
      </c>
      <c r="AG285" s="44">
        <v>1</v>
      </c>
      <c r="AH285" s="44">
        <v>7</v>
      </c>
      <c r="AI285" s="42">
        <f t="shared" si="159"/>
        <v>0.5539906103286385</v>
      </c>
      <c r="AJ285" s="42">
        <f t="shared" si="160"/>
        <v>0.215962441314554</v>
      </c>
      <c r="AK285" s="40">
        <f t="shared" si="184"/>
        <v>1.1700281690140846</v>
      </c>
      <c r="AL285" s="51">
        <v>138</v>
      </c>
      <c r="AM285" s="52">
        <f t="shared" si="185"/>
        <v>0.45611267605633804</v>
      </c>
      <c r="AN285" s="42">
        <f t="shared" si="161"/>
        <v>0.215962441314554</v>
      </c>
      <c r="AO285" s="53">
        <f t="shared" si="162"/>
        <v>139</v>
      </c>
      <c r="AP285" s="52">
        <f t="shared" si="163"/>
        <v>0.45941784037558686</v>
      </c>
      <c r="AQ285" s="42">
        <f t="shared" si="164"/>
        <v>0.7699530516431925</v>
      </c>
      <c r="AR285" s="46">
        <v>46225</v>
      </c>
      <c r="AS285" s="46">
        <v>46225</v>
      </c>
      <c r="AT285" s="50">
        <f t="shared" si="165"/>
        <v>8</v>
      </c>
      <c r="AU285" s="50">
        <f t="shared" si="186"/>
        <v>368</v>
      </c>
      <c r="AV285" s="50">
        <f t="shared" si="166"/>
        <v>272</v>
      </c>
      <c r="AW285" s="54">
        <f t="shared" si="167"/>
        <v>96</v>
      </c>
    </row>
    <row r="286" spans="1:49" x14ac:dyDescent="0.25">
      <c r="A286" s="33" t="s">
        <v>63</v>
      </c>
      <c r="B286" s="33" t="s">
        <v>102</v>
      </c>
      <c r="C286" s="33" t="s">
        <v>132</v>
      </c>
      <c r="D286" s="33" t="s">
        <v>383</v>
      </c>
      <c r="E286" s="34">
        <f>COUNTIF('Detalle por artículo'!$K$8:$K$592,D286)</f>
        <v>1</v>
      </c>
      <c r="F286" s="35">
        <f t="shared" si="168"/>
        <v>246.02272727272728</v>
      </c>
      <c r="G286" s="36">
        <f>SUMIF('Detalle por artículo'!$K$8:$K$592,$D286,'Detalle por artículo'!$E$8:$E$592)</f>
        <v>2.1120000000000001</v>
      </c>
      <c r="H286" s="35">
        <f t="shared" si="169"/>
        <v>2</v>
      </c>
      <c r="I286" s="35">
        <f t="shared" si="170"/>
        <v>3</v>
      </c>
      <c r="J286" s="35">
        <f t="shared" si="171"/>
        <v>6</v>
      </c>
      <c r="K286" s="37">
        <f t="shared" si="172"/>
        <v>7.5428571428571428E-2</v>
      </c>
      <c r="L286" s="36">
        <f>SUMIF('Detalle por artículo'!$K$8:$K$592,$D286,'Detalle por artículo'!$O$8:$O$592)</f>
        <v>519.6</v>
      </c>
      <c r="M286" s="38">
        <f>SUMIF('Detalle por artículo'!$K$8:$K$592,$D286,'Detalle por artículo'!$I$8:$I$592)</f>
        <v>844</v>
      </c>
      <c r="N286" s="38">
        <f>SUMIF('Detalle por artículo'!$K$8:$K$592,$D286,'Detalle por artículo'!$M$8:$M$592)</f>
        <v>22</v>
      </c>
      <c r="O286" s="39">
        <f t="shared" si="173"/>
        <v>2.5023696682464456</v>
      </c>
      <c r="P286" s="40">
        <f t="shared" si="174"/>
        <v>615.63981042654029</v>
      </c>
      <c r="Q286" s="41">
        <f t="shared" si="175"/>
        <v>0.1</v>
      </c>
      <c r="R286" s="40">
        <f t="shared" si="176"/>
        <v>2.3232000000000004</v>
      </c>
      <c r="S286" s="42">
        <f>IFERROR(SUM($G$8:G286)/$G$6,0)</f>
        <v>0.92529542067364323</v>
      </c>
      <c r="T286" s="43" t="str">
        <f t="shared" si="177"/>
        <v>C</v>
      </c>
      <c r="U286" s="44">
        <v>844</v>
      </c>
      <c r="V286" s="45">
        <f t="shared" si="158"/>
        <v>0</v>
      </c>
      <c r="W286" s="46">
        <v>46218</v>
      </c>
      <c r="X286" s="46">
        <v>46218</v>
      </c>
      <c r="Y286" s="47">
        <v>0</v>
      </c>
      <c r="Z286" s="48">
        <f t="shared" si="178"/>
        <v>0</v>
      </c>
      <c r="AA286" s="49">
        <f t="shared" si="179"/>
        <v>0</v>
      </c>
      <c r="AB286" s="44">
        <v>601</v>
      </c>
      <c r="AC286" s="44">
        <f t="shared" si="180"/>
        <v>422</v>
      </c>
      <c r="AD286" s="44">
        <f t="shared" si="181"/>
        <v>179</v>
      </c>
      <c r="AE286" s="50">
        <f t="shared" si="182"/>
        <v>43</v>
      </c>
      <c r="AF286" s="41">
        <f t="shared" si="183"/>
        <v>0.86</v>
      </c>
      <c r="AG286" s="44">
        <v>0</v>
      </c>
      <c r="AH286" s="44">
        <v>0</v>
      </c>
      <c r="AI286" s="42">
        <f t="shared" si="159"/>
        <v>0.5</v>
      </c>
      <c r="AJ286" s="42">
        <f t="shared" si="160"/>
        <v>0.21208530805687204</v>
      </c>
      <c r="AK286" s="40">
        <f t="shared" si="184"/>
        <v>1.056</v>
      </c>
      <c r="AL286" s="51">
        <v>238</v>
      </c>
      <c r="AM286" s="52">
        <f t="shared" si="185"/>
        <v>0.59556398104265407</v>
      </c>
      <c r="AN286" s="42">
        <f t="shared" si="161"/>
        <v>0.28199052132701424</v>
      </c>
      <c r="AO286" s="53">
        <f t="shared" si="162"/>
        <v>243</v>
      </c>
      <c r="AP286" s="52">
        <f t="shared" si="163"/>
        <v>0.60807582938388627</v>
      </c>
      <c r="AQ286" s="42">
        <f t="shared" si="164"/>
        <v>0.71208530805687209</v>
      </c>
      <c r="AR286" s="46">
        <v>46225</v>
      </c>
      <c r="AS286" s="46">
        <v>46225</v>
      </c>
      <c r="AT286" s="50">
        <f t="shared" si="165"/>
        <v>7</v>
      </c>
      <c r="AU286" s="50">
        <f t="shared" si="186"/>
        <v>218</v>
      </c>
      <c r="AV286" s="50">
        <f t="shared" si="166"/>
        <v>190</v>
      </c>
      <c r="AW286" s="54">
        <f t="shared" si="167"/>
        <v>28</v>
      </c>
    </row>
    <row r="287" spans="1:49" x14ac:dyDescent="0.25">
      <c r="A287" s="33" t="s">
        <v>63</v>
      </c>
      <c r="B287" s="33" t="s">
        <v>102</v>
      </c>
      <c r="C287" s="33" t="s">
        <v>132</v>
      </c>
      <c r="D287" s="33" t="s">
        <v>384</v>
      </c>
      <c r="E287" s="34">
        <f>COUNTIF('Detalle por artículo'!$K$8:$K$592,D287)</f>
        <v>1</v>
      </c>
      <c r="F287" s="35">
        <f t="shared" si="168"/>
        <v>282.00757575757575</v>
      </c>
      <c r="G287" s="36">
        <f>SUMIF('Detalle por artículo'!$K$8:$K$592,$D287,'Detalle por artículo'!$E$8:$E$592)</f>
        <v>2.1120000000000001</v>
      </c>
      <c r="H287" s="35">
        <f t="shared" si="169"/>
        <v>2</v>
      </c>
      <c r="I287" s="35">
        <f t="shared" si="170"/>
        <v>3</v>
      </c>
      <c r="J287" s="35">
        <f t="shared" si="171"/>
        <v>6</v>
      </c>
      <c r="K287" s="37">
        <f t="shared" si="172"/>
        <v>7.5428571428571428E-2</v>
      </c>
      <c r="L287" s="36">
        <f>SUMIF('Detalle por artículo'!$K$8:$K$592,$D287,'Detalle por artículo'!$O$8:$O$592)</f>
        <v>595.6</v>
      </c>
      <c r="M287" s="38">
        <f>SUMIF('Detalle por artículo'!$K$8:$K$592,$D287,'Detalle por artículo'!$I$8:$I$592)</f>
        <v>870</v>
      </c>
      <c r="N287" s="38">
        <f>SUMIF('Detalle por artículo'!$K$8:$K$592,$D287,'Detalle por artículo'!$M$8:$M$592)</f>
        <v>22</v>
      </c>
      <c r="O287" s="39">
        <f t="shared" si="173"/>
        <v>2.4275862068965517</v>
      </c>
      <c r="P287" s="40">
        <f t="shared" si="174"/>
        <v>684.59770114942535</v>
      </c>
      <c r="Q287" s="41">
        <f t="shared" si="175"/>
        <v>0.1</v>
      </c>
      <c r="R287" s="40">
        <f t="shared" si="176"/>
        <v>2.3232000000000004</v>
      </c>
      <c r="S287" s="42">
        <f>IFERROR(SUM($G$8:G287)/$G$6,0)</f>
        <v>0.92607150419022466</v>
      </c>
      <c r="T287" s="43" t="str">
        <f t="shared" si="177"/>
        <v>C</v>
      </c>
      <c r="U287" s="44">
        <v>870</v>
      </c>
      <c r="V287" s="45">
        <f t="shared" si="158"/>
        <v>0</v>
      </c>
      <c r="W287" s="46">
        <v>46237</v>
      </c>
      <c r="X287" s="46">
        <v>46237</v>
      </c>
      <c r="Y287" s="47">
        <v>19</v>
      </c>
      <c r="Z287" s="48">
        <f t="shared" si="178"/>
        <v>4.6124137931034481E-2</v>
      </c>
      <c r="AA287" s="49">
        <f t="shared" si="179"/>
        <v>1.6472906403940887E-3</v>
      </c>
      <c r="AB287" s="44">
        <v>576</v>
      </c>
      <c r="AC287" s="44">
        <f t="shared" si="180"/>
        <v>455</v>
      </c>
      <c r="AD287" s="44">
        <f t="shared" si="181"/>
        <v>114</v>
      </c>
      <c r="AE287" s="50">
        <f t="shared" si="182"/>
        <v>48</v>
      </c>
      <c r="AF287" s="41">
        <f t="shared" si="183"/>
        <v>0.96</v>
      </c>
      <c r="AG287" s="44">
        <v>0</v>
      </c>
      <c r="AH287" s="44">
        <v>9</v>
      </c>
      <c r="AI287" s="42">
        <f t="shared" si="159"/>
        <v>0.52298850574712641</v>
      </c>
      <c r="AJ287" s="42">
        <f t="shared" si="160"/>
        <v>0.1310344827586207</v>
      </c>
      <c r="AK287" s="40">
        <f t="shared" si="184"/>
        <v>1.104551724137931</v>
      </c>
      <c r="AL287" s="51">
        <v>294</v>
      </c>
      <c r="AM287" s="52">
        <f t="shared" si="185"/>
        <v>0.71371034482758611</v>
      </c>
      <c r="AN287" s="42">
        <f t="shared" si="161"/>
        <v>0.33793103448275863</v>
      </c>
      <c r="AO287" s="53">
        <f t="shared" si="162"/>
        <v>294</v>
      </c>
      <c r="AP287" s="52">
        <f t="shared" si="163"/>
        <v>0.71371034482758611</v>
      </c>
      <c r="AQ287" s="42">
        <f t="shared" si="164"/>
        <v>0.65402298850574714</v>
      </c>
      <c r="AR287" s="46">
        <v>46254</v>
      </c>
      <c r="AS287" s="46">
        <v>46255</v>
      </c>
      <c r="AT287" s="50">
        <f t="shared" si="165"/>
        <v>18</v>
      </c>
      <c r="AU287" s="50">
        <f t="shared" si="186"/>
        <v>207</v>
      </c>
      <c r="AV287" s="50">
        <f t="shared" si="166"/>
        <v>220</v>
      </c>
      <c r="AW287" s="54">
        <f t="shared" si="167"/>
        <v>-13</v>
      </c>
    </row>
    <row r="288" spans="1:49" x14ac:dyDescent="0.25">
      <c r="A288" s="33" t="s">
        <v>63</v>
      </c>
      <c r="B288" s="33" t="s">
        <v>263</v>
      </c>
      <c r="C288" s="33" t="s">
        <v>264</v>
      </c>
      <c r="D288" s="33" t="s">
        <v>385</v>
      </c>
      <c r="E288" s="34">
        <f>COUNTIF('Detalle por artículo'!$K$8:$K$592,D288)</f>
        <v>1</v>
      </c>
      <c r="F288" s="35">
        <f t="shared" si="168"/>
        <v>103.59848484848483</v>
      </c>
      <c r="G288" s="36">
        <f>SUMIF('Detalle por artículo'!$K$8:$K$592,$D288,'Detalle por artículo'!$E$8:$E$592)</f>
        <v>2.1120000000000001</v>
      </c>
      <c r="H288" s="35">
        <f t="shared" si="169"/>
        <v>2</v>
      </c>
      <c r="I288" s="35">
        <f t="shared" si="170"/>
        <v>3</v>
      </c>
      <c r="J288" s="35">
        <f t="shared" si="171"/>
        <v>6</v>
      </c>
      <c r="K288" s="37">
        <f t="shared" si="172"/>
        <v>7.5428571428571428E-2</v>
      </c>
      <c r="L288" s="36">
        <f>SUMIF('Detalle por artículo'!$K$8:$K$592,$D288,'Detalle por artículo'!$O$8:$O$592)</f>
        <v>218.79999999999998</v>
      </c>
      <c r="M288" s="38">
        <f>SUMIF('Detalle por artículo'!$K$8:$K$592,$D288,'Detalle por artículo'!$I$8:$I$592)</f>
        <v>1622</v>
      </c>
      <c r="N288" s="38">
        <f>SUMIF('Detalle por artículo'!$K$8:$K$592,$D288,'Detalle por artículo'!$M$8:$M$592)</f>
        <v>22</v>
      </c>
      <c r="O288" s="39">
        <f t="shared" si="173"/>
        <v>1.3020961775585698</v>
      </c>
      <c r="P288" s="40">
        <f t="shared" si="174"/>
        <v>134.89519112207151</v>
      </c>
      <c r="Q288" s="41">
        <f t="shared" si="175"/>
        <v>0.2</v>
      </c>
      <c r="R288" s="40">
        <f t="shared" si="176"/>
        <v>2.5344000000000002</v>
      </c>
      <c r="S288" s="42">
        <f>IFERROR(SUM($G$8:G288)/$G$6,0)</f>
        <v>0.92684758770680609</v>
      </c>
      <c r="T288" s="43" t="str">
        <f t="shared" si="177"/>
        <v>C</v>
      </c>
      <c r="U288" s="44">
        <v>1622</v>
      </c>
      <c r="V288" s="45">
        <f t="shared" si="158"/>
        <v>0</v>
      </c>
      <c r="W288" s="46">
        <v>46237</v>
      </c>
      <c r="X288" s="46">
        <v>46237</v>
      </c>
      <c r="Y288" s="47">
        <v>0</v>
      </c>
      <c r="Z288" s="48">
        <f t="shared" si="178"/>
        <v>0</v>
      </c>
      <c r="AA288" s="49">
        <f t="shared" si="179"/>
        <v>0</v>
      </c>
      <c r="AB288" s="44">
        <v>1365</v>
      </c>
      <c r="AC288" s="44">
        <f t="shared" si="180"/>
        <v>597</v>
      </c>
      <c r="AD288" s="44">
        <f t="shared" si="181"/>
        <v>731</v>
      </c>
      <c r="AE288" s="50">
        <f t="shared" si="182"/>
        <v>48</v>
      </c>
      <c r="AF288" s="41">
        <f t="shared" si="183"/>
        <v>0.96</v>
      </c>
      <c r="AG288" s="44">
        <v>1</v>
      </c>
      <c r="AH288" s="44">
        <v>36</v>
      </c>
      <c r="AI288" s="42">
        <f t="shared" si="159"/>
        <v>0.36806411837237979</v>
      </c>
      <c r="AJ288" s="42">
        <f t="shared" si="160"/>
        <v>0.45067817509247843</v>
      </c>
      <c r="AK288" s="40">
        <f t="shared" si="184"/>
        <v>0.77735141800246621</v>
      </c>
      <c r="AL288" s="51">
        <v>256</v>
      </c>
      <c r="AM288" s="52">
        <f t="shared" si="185"/>
        <v>0.33333662145499388</v>
      </c>
      <c r="AN288" s="42">
        <f t="shared" si="161"/>
        <v>0.15782983970406905</v>
      </c>
      <c r="AO288" s="53">
        <f t="shared" si="162"/>
        <v>257</v>
      </c>
      <c r="AP288" s="52">
        <f t="shared" si="163"/>
        <v>0.33463871763255243</v>
      </c>
      <c r="AQ288" s="42">
        <f t="shared" si="164"/>
        <v>0.81874229346485816</v>
      </c>
      <c r="AR288" s="46">
        <v>46238</v>
      </c>
      <c r="AS288" s="46">
        <v>46238</v>
      </c>
      <c r="AT288" s="50">
        <f t="shared" si="165"/>
        <v>1</v>
      </c>
      <c r="AU288" s="50">
        <f t="shared" si="186"/>
        <v>75</v>
      </c>
      <c r="AV288" s="50">
        <f t="shared" si="166"/>
        <v>33</v>
      </c>
      <c r="AW288" s="54">
        <f t="shared" si="167"/>
        <v>42</v>
      </c>
    </row>
    <row r="289" spans="1:49" x14ac:dyDescent="0.25">
      <c r="A289" s="33" t="s">
        <v>55</v>
      </c>
      <c r="B289" s="33" t="s">
        <v>255</v>
      </c>
      <c r="C289" s="33" t="s">
        <v>132</v>
      </c>
      <c r="D289" s="33" t="s">
        <v>386</v>
      </c>
      <c r="E289" s="34">
        <f>COUNTIF('Detalle por artículo'!$K$8:$K$592,D289)</f>
        <v>1</v>
      </c>
      <c r="F289" s="35">
        <f t="shared" si="168"/>
        <v>268.18181818181819</v>
      </c>
      <c r="G289" s="36">
        <f>SUMIF('Detalle por artículo'!$K$8:$K$592,$D289,'Detalle por artículo'!$E$8:$E$592)</f>
        <v>2.09</v>
      </c>
      <c r="H289" s="35">
        <f t="shared" si="169"/>
        <v>2</v>
      </c>
      <c r="I289" s="35">
        <f t="shared" si="170"/>
        <v>3</v>
      </c>
      <c r="J289" s="35">
        <f t="shared" si="171"/>
        <v>6</v>
      </c>
      <c r="K289" s="37">
        <f t="shared" si="172"/>
        <v>7.4642857142857136E-2</v>
      </c>
      <c r="L289" s="36">
        <f>SUMIF('Detalle por artículo'!$K$8:$K$592,$D289,'Detalle por artículo'!$O$8:$O$592)</f>
        <v>560.5</v>
      </c>
      <c r="M289" s="38">
        <f>SUMIF('Detalle por artículo'!$K$8:$K$592,$D289,'Detalle por artículo'!$I$8:$I$592)</f>
        <v>919</v>
      </c>
      <c r="N289" s="38">
        <f>SUMIF('Detalle por artículo'!$K$8:$K$592,$D289,'Detalle por artículo'!$M$8:$M$592)</f>
        <v>29</v>
      </c>
      <c r="O289" s="39">
        <f t="shared" si="173"/>
        <v>2.2742110990206745</v>
      </c>
      <c r="P289" s="40">
        <f t="shared" si="174"/>
        <v>609.90206746463548</v>
      </c>
      <c r="Q289" s="41">
        <f t="shared" si="175"/>
        <v>0.1</v>
      </c>
      <c r="R289" s="40">
        <f t="shared" si="176"/>
        <v>2.2989999999999999</v>
      </c>
      <c r="S289" s="42">
        <f>IFERROR(SUM($G$8:G289)/$G$6,0)</f>
        <v>0.92761558702008984</v>
      </c>
      <c r="T289" s="43" t="str">
        <f t="shared" si="177"/>
        <v>C</v>
      </c>
      <c r="U289" s="44">
        <v>920</v>
      </c>
      <c r="V289" s="45">
        <f t="shared" si="158"/>
        <v>1</v>
      </c>
      <c r="W289" s="46">
        <v>46218</v>
      </c>
      <c r="X289" s="46">
        <v>46218</v>
      </c>
      <c r="Y289" s="47">
        <v>0</v>
      </c>
      <c r="Z289" s="48">
        <f t="shared" si="178"/>
        <v>0</v>
      </c>
      <c r="AA289" s="49">
        <f t="shared" si="179"/>
        <v>0</v>
      </c>
      <c r="AB289" s="44">
        <v>855</v>
      </c>
      <c r="AC289" s="44">
        <f t="shared" si="180"/>
        <v>438</v>
      </c>
      <c r="AD289" s="44">
        <f t="shared" si="181"/>
        <v>399</v>
      </c>
      <c r="AE289" s="50">
        <f t="shared" si="182"/>
        <v>48</v>
      </c>
      <c r="AF289" s="41">
        <f t="shared" si="183"/>
        <v>0.96</v>
      </c>
      <c r="AG289" s="44">
        <v>4</v>
      </c>
      <c r="AH289" s="44">
        <v>14</v>
      </c>
      <c r="AI289" s="42">
        <f t="shared" si="159"/>
        <v>0.47660500544069639</v>
      </c>
      <c r="AJ289" s="42">
        <f t="shared" si="160"/>
        <v>0.43416757344940154</v>
      </c>
      <c r="AK289" s="40">
        <f t="shared" si="184"/>
        <v>0.99610446137105546</v>
      </c>
      <c r="AL289" s="51">
        <v>63</v>
      </c>
      <c r="AM289" s="52">
        <f t="shared" si="185"/>
        <v>0.14327529923830248</v>
      </c>
      <c r="AN289" s="42">
        <f t="shared" si="161"/>
        <v>6.8478260869565211E-2</v>
      </c>
      <c r="AO289" s="53">
        <f t="shared" si="162"/>
        <v>64</v>
      </c>
      <c r="AP289" s="52">
        <f t="shared" si="163"/>
        <v>0.14554951033732316</v>
      </c>
      <c r="AQ289" s="42">
        <f t="shared" si="164"/>
        <v>0.91077257889009788</v>
      </c>
      <c r="AR289" s="46">
        <v>46225</v>
      </c>
      <c r="AS289" s="46">
        <v>46225</v>
      </c>
      <c r="AT289" s="50">
        <f t="shared" si="165"/>
        <v>7</v>
      </c>
      <c r="AU289" s="50">
        <f t="shared" si="186"/>
        <v>191</v>
      </c>
      <c r="AV289" s="50">
        <f t="shared" si="166"/>
        <v>86</v>
      </c>
      <c r="AW289" s="54">
        <f t="shared" si="167"/>
        <v>105</v>
      </c>
    </row>
    <row r="290" spans="1:49" x14ac:dyDescent="0.25">
      <c r="A290" s="33" t="s">
        <v>63</v>
      </c>
      <c r="B290" s="33" t="s">
        <v>171</v>
      </c>
      <c r="C290" s="33" t="s">
        <v>363</v>
      </c>
      <c r="D290" s="33" t="s">
        <v>387</v>
      </c>
      <c r="E290" s="34">
        <f>COUNTIF('Detalle por artículo'!$K$8:$K$592,D290)</f>
        <v>1</v>
      </c>
      <c r="F290" s="35">
        <f t="shared" si="168"/>
        <v>164.19512195121953</v>
      </c>
      <c r="G290" s="36">
        <f>SUMIF('Detalle por artículo'!$K$8:$K$592,$D290,'Detalle por artículo'!$E$8:$E$592)</f>
        <v>2.0499999999999998</v>
      </c>
      <c r="H290" s="35">
        <f t="shared" si="169"/>
        <v>2</v>
      </c>
      <c r="I290" s="35">
        <f t="shared" si="170"/>
        <v>3</v>
      </c>
      <c r="J290" s="35">
        <f t="shared" si="171"/>
        <v>6</v>
      </c>
      <c r="K290" s="37">
        <f t="shared" si="172"/>
        <v>7.3214285714285704E-2</v>
      </c>
      <c r="L290" s="36">
        <f>SUMIF('Detalle por artículo'!$K$8:$K$592,$D290,'Detalle por artículo'!$O$8:$O$592)</f>
        <v>336.6</v>
      </c>
      <c r="M290" s="38">
        <f>SUMIF('Detalle por artículo'!$K$8:$K$592,$D290,'Detalle por artículo'!$I$8:$I$592)</f>
        <v>765</v>
      </c>
      <c r="N290" s="38">
        <f>SUMIF('Detalle por artículo'!$K$8:$K$592,$D290,'Detalle por artículo'!$M$8:$M$592)</f>
        <v>20</v>
      </c>
      <c r="O290" s="39">
        <f t="shared" si="173"/>
        <v>2.6797385620915031</v>
      </c>
      <c r="P290" s="40">
        <f t="shared" si="174"/>
        <v>440</v>
      </c>
      <c r="Q290" s="41">
        <f t="shared" si="175"/>
        <v>0.15</v>
      </c>
      <c r="R290" s="40">
        <f t="shared" si="176"/>
        <v>2.3574999999999995</v>
      </c>
      <c r="S290" s="42">
        <f>IFERROR(SUM($G$8:G290)/$G$6,0)</f>
        <v>0.92836888778192317</v>
      </c>
      <c r="T290" s="43" t="str">
        <f t="shared" si="177"/>
        <v>C</v>
      </c>
      <c r="U290" s="44">
        <v>765</v>
      </c>
      <c r="V290" s="45">
        <f t="shared" si="158"/>
        <v>0</v>
      </c>
      <c r="W290" s="46">
        <v>46240</v>
      </c>
      <c r="X290" s="46">
        <v>46240</v>
      </c>
      <c r="Y290" s="47">
        <v>0</v>
      </c>
      <c r="Z290" s="48">
        <f t="shared" si="178"/>
        <v>0</v>
      </c>
      <c r="AA290" s="49">
        <f t="shared" si="179"/>
        <v>0</v>
      </c>
      <c r="AB290" s="44">
        <v>751</v>
      </c>
      <c r="AC290" s="44">
        <f t="shared" si="180"/>
        <v>440</v>
      </c>
      <c r="AD290" s="44">
        <f t="shared" si="181"/>
        <v>288</v>
      </c>
      <c r="AE290" s="50">
        <f t="shared" si="182"/>
        <v>47</v>
      </c>
      <c r="AF290" s="41">
        <f t="shared" si="183"/>
        <v>0.94</v>
      </c>
      <c r="AG290" s="44">
        <v>1</v>
      </c>
      <c r="AH290" s="44">
        <v>22</v>
      </c>
      <c r="AI290" s="42">
        <f t="shared" si="159"/>
        <v>0.57516339869281041</v>
      </c>
      <c r="AJ290" s="42">
        <f t="shared" si="160"/>
        <v>0.37647058823529411</v>
      </c>
      <c r="AK290" s="40">
        <f t="shared" si="184"/>
        <v>1.1790849673202612</v>
      </c>
      <c r="AL290" s="51">
        <v>13</v>
      </c>
      <c r="AM290" s="52">
        <f t="shared" si="185"/>
        <v>3.4836601307189539E-2</v>
      </c>
      <c r="AN290" s="42">
        <f t="shared" si="161"/>
        <v>1.699346405228758E-2</v>
      </c>
      <c r="AO290" s="53">
        <f t="shared" si="162"/>
        <v>14</v>
      </c>
      <c r="AP290" s="52">
        <f t="shared" si="163"/>
        <v>3.7516339869281039E-2</v>
      </c>
      <c r="AQ290" s="42">
        <f t="shared" si="164"/>
        <v>0.95163398692810452</v>
      </c>
      <c r="AR290" s="46">
        <v>46254</v>
      </c>
      <c r="AS290" s="46">
        <v>46255</v>
      </c>
      <c r="AT290" s="50">
        <f t="shared" si="165"/>
        <v>15</v>
      </c>
      <c r="AU290" s="50">
        <f t="shared" si="186"/>
        <v>264</v>
      </c>
      <c r="AV290" s="50">
        <f t="shared" si="166"/>
        <v>111</v>
      </c>
      <c r="AW290" s="54">
        <f t="shared" si="167"/>
        <v>153</v>
      </c>
    </row>
    <row r="291" spans="1:49" x14ac:dyDescent="0.25">
      <c r="A291" s="33" t="s">
        <v>63</v>
      </c>
      <c r="B291" s="33" t="s">
        <v>102</v>
      </c>
      <c r="C291" s="33" t="s">
        <v>132</v>
      </c>
      <c r="D291" s="33" t="s">
        <v>388</v>
      </c>
      <c r="E291" s="34">
        <f>COUNTIF('Detalle por artículo'!$K$8:$K$592,D291)</f>
        <v>1</v>
      </c>
      <c r="F291" s="35">
        <f t="shared" si="168"/>
        <v>257.83730158730157</v>
      </c>
      <c r="G291" s="36">
        <f>SUMIF('Detalle por artículo'!$K$8:$K$592,$D291,'Detalle por artículo'!$E$8:$E$592)</f>
        <v>2.016</v>
      </c>
      <c r="H291" s="35">
        <f t="shared" si="169"/>
        <v>2</v>
      </c>
      <c r="I291" s="35">
        <f t="shared" si="170"/>
        <v>3</v>
      </c>
      <c r="J291" s="35">
        <f t="shared" si="171"/>
        <v>6</v>
      </c>
      <c r="K291" s="37">
        <f t="shared" si="172"/>
        <v>7.1999999999999995E-2</v>
      </c>
      <c r="L291" s="36">
        <f>SUMIF('Detalle por artículo'!$K$8:$K$592,$D291,'Detalle por artículo'!$O$8:$O$592)</f>
        <v>519.79999999999995</v>
      </c>
      <c r="M291" s="38">
        <f>SUMIF('Detalle por artículo'!$K$8:$K$592,$D291,'Detalle por artículo'!$I$8:$I$592)</f>
        <v>830</v>
      </c>
      <c r="N291" s="38">
        <f>SUMIF('Detalle por artículo'!$K$8:$K$592,$D291,'Detalle por artículo'!$M$8:$M$592)</f>
        <v>21</v>
      </c>
      <c r="O291" s="39">
        <f t="shared" si="173"/>
        <v>2.4289156626506028</v>
      </c>
      <c r="P291" s="40">
        <f t="shared" si="174"/>
        <v>626.26506024096386</v>
      </c>
      <c r="Q291" s="41">
        <f t="shared" si="175"/>
        <v>0.1</v>
      </c>
      <c r="R291" s="40">
        <f t="shared" si="176"/>
        <v>2.2176</v>
      </c>
      <c r="S291" s="42">
        <f>IFERROR(SUM($G$8:G291)/$G$6,0)</f>
        <v>0.92910969477502359</v>
      </c>
      <c r="T291" s="43" t="str">
        <f t="shared" si="177"/>
        <v>C</v>
      </c>
      <c r="U291" s="44">
        <v>830</v>
      </c>
      <c r="V291" s="45">
        <f t="shared" si="158"/>
        <v>0</v>
      </c>
      <c r="W291" s="46">
        <v>46218</v>
      </c>
      <c r="X291" s="46">
        <v>46218</v>
      </c>
      <c r="Y291" s="47">
        <v>0</v>
      </c>
      <c r="Z291" s="48">
        <f t="shared" si="178"/>
        <v>0</v>
      </c>
      <c r="AA291" s="49">
        <f t="shared" si="179"/>
        <v>0</v>
      </c>
      <c r="AB291" s="44">
        <v>663</v>
      </c>
      <c r="AC291" s="44">
        <f t="shared" si="180"/>
        <v>448</v>
      </c>
      <c r="AD291" s="44">
        <f t="shared" si="181"/>
        <v>195</v>
      </c>
      <c r="AE291" s="50">
        <f t="shared" si="182"/>
        <v>48</v>
      </c>
      <c r="AF291" s="41">
        <f t="shared" si="183"/>
        <v>0.96</v>
      </c>
      <c r="AG291" s="44">
        <v>4</v>
      </c>
      <c r="AH291" s="44">
        <v>16</v>
      </c>
      <c r="AI291" s="42">
        <f t="shared" si="159"/>
        <v>0.53975903614457832</v>
      </c>
      <c r="AJ291" s="42">
        <f t="shared" si="160"/>
        <v>0.23493975903614459</v>
      </c>
      <c r="AK291" s="40">
        <f t="shared" si="184"/>
        <v>1.08815421686747</v>
      </c>
      <c r="AL291" s="51">
        <v>167</v>
      </c>
      <c r="AM291" s="52">
        <f t="shared" si="185"/>
        <v>0.40562891566265069</v>
      </c>
      <c r="AN291" s="42">
        <f t="shared" si="161"/>
        <v>0.20120481927710843</v>
      </c>
      <c r="AO291" s="53">
        <f t="shared" si="162"/>
        <v>167</v>
      </c>
      <c r="AP291" s="52">
        <f t="shared" si="163"/>
        <v>0.40562891566265069</v>
      </c>
      <c r="AQ291" s="42">
        <f t="shared" si="164"/>
        <v>0.77469879518072293</v>
      </c>
      <c r="AR291" s="46">
        <v>46225</v>
      </c>
      <c r="AS291" s="46">
        <v>46225</v>
      </c>
      <c r="AT291" s="50">
        <f t="shared" si="165"/>
        <v>7</v>
      </c>
      <c r="AU291" s="50">
        <f t="shared" si="186"/>
        <v>222</v>
      </c>
      <c r="AV291" s="50">
        <f t="shared" si="166"/>
        <v>148</v>
      </c>
      <c r="AW291" s="54">
        <f t="shared" si="167"/>
        <v>74</v>
      </c>
    </row>
    <row r="292" spans="1:49" x14ac:dyDescent="0.25">
      <c r="A292" s="33" t="s">
        <v>55</v>
      </c>
      <c r="B292" s="33" t="s">
        <v>314</v>
      </c>
      <c r="C292" s="33" t="s">
        <v>315</v>
      </c>
      <c r="D292" s="33" t="s">
        <v>389</v>
      </c>
      <c r="E292" s="34">
        <f>COUNTIF('Detalle por artículo'!$K$8:$K$592,D292)</f>
        <v>2</v>
      </c>
      <c r="F292" s="35">
        <f t="shared" si="168"/>
        <v>177.18253968253967</v>
      </c>
      <c r="G292" s="36">
        <f>SUMIF('Detalle por artículo'!$K$8:$K$592,$D292,'Detalle por artículo'!$E$8:$E$592)</f>
        <v>2.016</v>
      </c>
      <c r="H292" s="35">
        <f t="shared" si="169"/>
        <v>2</v>
      </c>
      <c r="I292" s="35">
        <f t="shared" si="170"/>
        <v>3</v>
      </c>
      <c r="J292" s="35">
        <f t="shared" si="171"/>
        <v>6</v>
      </c>
      <c r="K292" s="37">
        <f t="shared" si="172"/>
        <v>7.1999999999999995E-2</v>
      </c>
      <c r="L292" s="36">
        <f>SUMIF('Detalle por artículo'!$K$8:$K$592,$D292,'Detalle por artículo'!$O$8:$O$592)</f>
        <v>357.2</v>
      </c>
      <c r="M292" s="38">
        <f>SUMIF('Detalle por artículo'!$K$8:$K$592,$D292,'Detalle por artículo'!$I$8:$I$592)</f>
        <v>1728</v>
      </c>
      <c r="N292" s="38">
        <f>SUMIF('Detalle por artículo'!$K$8:$K$592,$D292,'Detalle por artículo'!$M$8:$M$592)</f>
        <v>28</v>
      </c>
      <c r="O292" s="39">
        <f t="shared" si="173"/>
        <v>1.1666666666666667</v>
      </c>
      <c r="P292" s="40">
        <f t="shared" si="174"/>
        <v>206.71296296296296</v>
      </c>
      <c r="Q292" s="41">
        <f t="shared" si="175"/>
        <v>0.15</v>
      </c>
      <c r="R292" s="40">
        <f t="shared" si="176"/>
        <v>2.3184</v>
      </c>
      <c r="S292" s="42">
        <f>IFERROR(SUM($G$8:G292)/$G$6,0)</f>
        <v>0.92985050176812412</v>
      </c>
      <c r="T292" s="43" t="str">
        <f t="shared" si="177"/>
        <v>C</v>
      </c>
      <c r="U292" s="44">
        <v>1728</v>
      </c>
      <c r="V292" s="45">
        <f t="shared" si="158"/>
        <v>0</v>
      </c>
      <c r="W292" s="46">
        <v>46244</v>
      </c>
      <c r="X292" s="46">
        <v>46244</v>
      </c>
      <c r="Y292" s="47">
        <v>0</v>
      </c>
      <c r="Z292" s="48">
        <f t="shared" si="178"/>
        <v>0</v>
      </c>
      <c r="AA292" s="49">
        <f t="shared" si="179"/>
        <v>0</v>
      </c>
      <c r="AB292" s="44">
        <v>1363</v>
      </c>
      <c r="AC292" s="44">
        <f t="shared" si="180"/>
        <v>958</v>
      </c>
      <c r="AD292" s="44">
        <f t="shared" si="181"/>
        <v>369</v>
      </c>
      <c r="AE292" s="50">
        <f t="shared" si="182"/>
        <v>49</v>
      </c>
      <c r="AF292" s="41">
        <f t="shared" si="183"/>
        <v>0.98</v>
      </c>
      <c r="AG292" s="44">
        <v>6</v>
      </c>
      <c r="AH292" s="44">
        <v>30</v>
      </c>
      <c r="AI292" s="42">
        <f t="shared" si="159"/>
        <v>0.55439814814814814</v>
      </c>
      <c r="AJ292" s="42">
        <f t="shared" si="160"/>
        <v>0.21354166666666666</v>
      </c>
      <c r="AK292" s="40">
        <f t="shared" si="184"/>
        <v>1.1176666666666668</v>
      </c>
      <c r="AL292" s="51">
        <v>365</v>
      </c>
      <c r="AM292" s="52">
        <f t="shared" si="185"/>
        <v>0.4258333333333334</v>
      </c>
      <c r="AN292" s="42">
        <f t="shared" si="161"/>
        <v>0.21122685185185186</v>
      </c>
      <c r="AO292" s="53">
        <f t="shared" si="162"/>
        <v>365</v>
      </c>
      <c r="AP292" s="52">
        <f t="shared" si="163"/>
        <v>0.4258333333333334</v>
      </c>
      <c r="AQ292" s="42">
        <f t="shared" si="164"/>
        <v>0.76793981481481477</v>
      </c>
      <c r="AR292" s="46">
        <v>46254</v>
      </c>
      <c r="AS292" s="46">
        <v>46255</v>
      </c>
      <c r="AT292" s="50">
        <f t="shared" si="165"/>
        <v>11</v>
      </c>
      <c r="AU292" s="50">
        <f t="shared" si="186"/>
        <v>64</v>
      </c>
      <c r="AV292" s="50">
        <f t="shared" si="166"/>
        <v>34</v>
      </c>
      <c r="AW292" s="54">
        <f t="shared" si="167"/>
        <v>30</v>
      </c>
    </row>
    <row r="293" spans="1:49" x14ac:dyDescent="0.25">
      <c r="A293" s="33" t="s">
        <v>55</v>
      </c>
      <c r="B293" s="33" t="s">
        <v>99</v>
      </c>
      <c r="C293" s="33" t="s">
        <v>100</v>
      </c>
      <c r="D293" s="33" t="s">
        <v>390</v>
      </c>
      <c r="E293" s="34">
        <f>COUNTIF('Detalle por artículo'!$K$8:$K$592,D293)</f>
        <v>1</v>
      </c>
      <c r="F293" s="35">
        <f t="shared" si="168"/>
        <v>97.867063492063494</v>
      </c>
      <c r="G293" s="36">
        <f>SUMIF('Detalle por artículo'!$K$8:$K$592,$D293,'Detalle por artículo'!$E$8:$E$592)</f>
        <v>2.016</v>
      </c>
      <c r="H293" s="35">
        <f t="shared" si="169"/>
        <v>2</v>
      </c>
      <c r="I293" s="35">
        <f t="shared" si="170"/>
        <v>3</v>
      </c>
      <c r="J293" s="35">
        <f t="shared" si="171"/>
        <v>6</v>
      </c>
      <c r="K293" s="37">
        <f t="shared" si="172"/>
        <v>7.1999999999999995E-2</v>
      </c>
      <c r="L293" s="36">
        <f>SUMIF('Detalle por artículo'!$K$8:$K$592,$D293,'Detalle por artículo'!$O$8:$O$592)</f>
        <v>197.3</v>
      </c>
      <c r="M293" s="38">
        <f>SUMIF('Detalle por artículo'!$K$8:$K$592,$D293,'Detalle por artículo'!$I$8:$I$592)</f>
        <v>702</v>
      </c>
      <c r="N293" s="38">
        <f>SUMIF('Detalle por artículo'!$K$8:$K$592,$D293,'Detalle por artículo'!$M$8:$M$592)</f>
        <v>21</v>
      </c>
      <c r="O293" s="39">
        <f t="shared" si="173"/>
        <v>2.8717948717948718</v>
      </c>
      <c r="P293" s="40">
        <f t="shared" si="174"/>
        <v>281.05413105413106</v>
      </c>
      <c r="Q293" s="41">
        <f t="shared" si="175"/>
        <v>0.2</v>
      </c>
      <c r="R293" s="40">
        <f t="shared" si="176"/>
        <v>2.4192</v>
      </c>
      <c r="S293" s="42">
        <f>IFERROR(SUM($G$8:G293)/$G$6,0)</f>
        <v>0.93059130876122453</v>
      </c>
      <c r="T293" s="43" t="str">
        <f t="shared" si="177"/>
        <v>C</v>
      </c>
      <c r="U293" s="44">
        <v>702</v>
      </c>
      <c r="V293" s="45">
        <f t="shared" si="158"/>
        <v>0</v>
      </c>
      <c r="W293" s="46">
        <v>46260</v>
      </c>
      <c r="X293" s="46">
        <v>46260</v>
      </c>
      <c r="Y293" s="47">
        <v>0</v>
      </c>
      <c r="Z293" s="48">
        <f t="shared" si="178"/>
        <v>0</v>
      </c>
      <c r="AA293" s="49">
        <f t="shared" si="179"/>
        <v>0</v>
      </c>
      <c r="AB293" s="44">
        <v>33</v>
      </c>
      <c r="AC293" s="44">
        <f t="shared" si="180"/>
        <v>17</v>
      </c>
      <c r="AD293" s="44">
        <f t="shared" si="181"/>
        <v>5</v>
      </c>
      <c r="AE293" s="50">
        <f t="shared" si="182"/>
        <v>1</v>
      </c>
      <c r="AF293" s="41">
        <f t="shared" si="183"/>
        <v>0.02</v>
      </c>
      <c r="AG293" s="44">
        <v>3</v>
      </c>
      <c r="AH293" s="44">
        <v>8</v>
      </c>
      <c r="AI293" s="42">
        <f t="shared" si="159"/>
        <v>2.4216524216524215E-2</v>
      </c>
      <c r="AJ293" s="42">
        <f t="shared" si="160"/>
        <v>7.1225071225071226E-3</v>
      </c>
      <c r="AK293" s="40">
        <f t="shared" si="184"/>
        <v>4.8820512820512821E-2</v>
      </c>
      <c r="AL293" s="51">
        <v>669</v>
      </c>
      <c r="AM293" s="52">
        <f t="shared" si="185"/>
        <v>1.9212307692307693</v>
      </c>
      <c r="AN293" s="42">
        <f t="shared" si="161"/>
        <v>0.95299145299145294</v>
      </c>
      <c r="AO293" s="53">
        <f t="shared" si="162"/>
        <v>669</v>
      </c>
      <c r="AP293" s="52">
        <f t="shared" si="163"/>
        <v>1.9212307692307693</v>
      </c>
      <c r="AQ293" s="42">
        <f t="shared" si="164"/>
        <v>3.1339031339031341E-2</v>
      </c>
      <c r="AR293" s="46">
        <v>46268</v>
      </c>
      <c r="AS293" s="46">
        <v>46268</v>
      </c>
      <c r="AT293" s="50">
        <f t="shared" si="165"/>
        <v>8</v>
      </c>
      <c r="AU293" s="50">
        <f t="shared" si="186"/>
        <v>313</v>
      </c>
      <c r="AV293" s="50">
        <f t="shared" si="166"/>
        <v>408</v>
      </c>
      <c r="AW293" s="54">
        <f t="shared" si="167"/>
        <v>-95</v>
      </c>
    </row>
    <row r="294" spans="1:49" x14ac:dyDescent="0.25">
      <c r="A294" s="33" t="s">
        <v>55</v>
      </c>
      <c r="B294" s="33" t="s">
        <v>99</v>
      </c>
      <c r="C294" s="33" t="s">
        <v>100</v>
      </c>
      <c r="D294" s="33" t="s">
        <v>391</v>
      </c>
      <c r="E294" s="34">
        <f>COUNTIF('Detalle por artículo'!$K$8:$K$592,D294)</f>
        <v>1</v>
      </c>
      <c r="F294" s="35">
        <f t="shared" si="168"/>
        <v>132.98611111111111</v>
      </c>
      <c r="G294" s="36">
        <f>SUMIF('Detalle por artículo'!$K$8:$K$592,$D294,'Detalle por artículo'!$E$8:$E$592)</f>
        <v>2.016</v>
      </c>
      <c r="H294" s="35">
        <f t="shared" si="169"/>
        <v>2</v>
      </c>
      <c r="I294" s="35">
        <f t="shared" si="170"/>
        <v>3</v>
      </c>
      <c r="J294" s="35">
        <f t="shared" si="171"/>
        <v>6</v>
      </c>
      <c r="K294" s="37">
        <f t="shared" si="172"/>
        <v>7.1999999999999995E-2</v>
      </c>
      <c r="L294" s="36">
        <f>SUMIF('Detalle por artículo'!$K$8:$K$592,$D294,'Detalle por artículo'!$O$8:$O$592)</f>
        <v>268.10000000000002</v>
      </c>
      <c r="M294" s="38">
        <f>SUMIF('Detalle por artículo'!$K$8:$K$592,$D294,'Detalle por artículo'!$I$8:$I$592)</f>
        <v>559</v>
      </c>
      <c r="N294" s="38">
        <f>SUMIF('Detalle por artículo'!$K$8:$K$592,$D294,'Detalle por artículo'!$M$8:$M$592)</f>
        <v>21</v>
      </c>
      <c r="O294" s="39">
        <f t="shared" si="173"/>
        <v>3.6064400715563507</v>
      </c>
      <c r="P294" s="40">
        <f t="shared" si="174"/>
        <v>479.60644007155639</v>
      </c>
      <c r="Q294" s="41">
        <f t="shared" si="175"/>
        <v>0.15</v>
      </c>
      <c r="R294" s="40">
        <f t="shared" si="176"/>
        <v>2.3184</v>
      </c>
      <c r="S294" s="42">
        <f>IFERROR(SUM($G$8:G294)/$G$6,0)</f>
        <v>0.93133211575432495</v>
      </c>
      <c r="T294" s="43" t="str">
        <f t="shared" si="177"/>
        <v>C</v>
      </c>
      <c r="U294" s="44">
        <v>559</v>
      </c>
      <c r="V294" s="45">
        <f t="shared" si="158"/>
        <v>0</v>
      </c>
      <c r="W294" s="46">
        <v>46260</v>
      </c>
      <c r="X294" s="46">
        <v>46260</v>
      </c>
      <c r="Y294" s="47">
        <v>0</v>
      </c>
      <c r="Z294" s="48">
        <f t="shared" si="178"/>
        <v>0</v>
      </c>
      <c r="AA294" s="49">
        <f t="shared" si="179"/>
        <v>0</v>
      </c>
      <c r="AB294" s="44">
        <v>45</v>
      </c>
      <c r="AC294" s="44">
        <f t="shared" si="180"/>
        <v>26</v>
      </c>
      <c r="AD294" s="44">
        <f t="shared" si="181"/>
        <v>10</v>
      </c>
      <c r="AE294" s="50">
        <f t="shared" si="182"/>
        <v>0</v>
      </c>
      <c r="AF294" s="41">
        <f t="shared" si="183"/>
        <v>0</v>
      </c>
      <c r="AG294" s="44">
        <v>2</v>
      </c>
      <c r="AH294" s="44">
        <v>7</v>
      </c>
      <c r="AI294" s="42">
        <f t="shared" si="159"/>
        <v>4.6511627906976744E-2</v>
      </c>
      <c r="AJ294" s="42">
        <f t="shared" si="160"/>
        <v>1.7889087656529516E-2</v>
      </c>
      <c r="AK294" s="40">
        <f t="shared" si="184"/>
        <v>9.3767441860465109E-2</v>
      </c>
      <c r="AL294" s="51">
        <v>514</v>
      </c>
      <c r="AM294" s="52">
        <f t="shared" si="185"/>
        <v>1.8537101967799643</v>
      </c>
      <c r="AN294" s="42">
        <f t="shared" si="161"/>
        <v>0.9194991055456172</v>
      </c>
      <c r="AO294" s="53">
        <f t="shared" si="162"/>
        <v>514</v>
      </c>
      <c r="AP294" s="52">
        <f t="shared" si="163"/>
        <v>1.8537101967799643</v>
      </c>
      <c r="AQ294" s="42">
        <f t="shared" si="164"/>
        <v>6.4400715563506267E-2</v>
      </c>
      <c r="AR294" s="46">
        <v>46268</v>
      </c>
      <c r="AS294" s="46">
        <v>46268</v>
      </c>
      <c r="AT294" s="50">
        <f t="shared" si="165"/>
        <v>8</v>
      </c>
      <c r="AU294" s="50">
        <f t="shared" si="186"/>
        <v>410</v>
      </c>
      <c r="AV294" s="50">
        <f t="shared" si="166"/>
        <v>400</v>
      </c>
      <c r="AW294" s="54">
        <f t="shared" si="167"/>
        <v>10</v>
      </c>
    </row>
    <row r="295" spans="1:49" x14ac:dyDescent="0.25">
      <c r="A295" s="33" t="s">
        <v>55</v>
      </c>
      <c r="B295" s="33" t="s">
        <v>255</v>
      </c>
      <c r="C295" s="33" t="s">
        <v>347</v>
      </c>
      <c r="D295" s="33" t="s">
        <v>392</v>
      </c>
      <c r="E295" s="34">
        <f>COUNTIF('Detalle por artículo'!$K$8:$K$592,D295)</f>
        <v>1</v>
      </c>
      <c r="F295" s="35">
        <f t="shared" si="168"/>
        <v>276.08247422680415</v>
      </c>
      <c r="G295" s="36">
        <f>SUMIF('Detalle por artículo'!$K$8:$K$592,$D295,'Detalle por artículo'!$E$8:$E$592)</f>
        <v>1.94</v>
      </c>
      <c r="H295" s="35">
        <f t="shared" si="169"/>
        <v>2</v>
      </c>
      <c r="I295" s="35">
        <f t="shared" si="170"/>
        <v>3</v>
      </c>
      <c r="J295" s="35">
        <f t="shared" si="171"/>
        <v>6</v>
      </c>
      <c r="K295" s="37">
        <f t="shared" si="172"/>
        <v>6.9285714285714284E-2</v>
      </c>
      <c r="L295" s="36">
        <f>SUMIF('Detalle por artículo'!$K$8:$K$592,$D295,'Detalle por artículo'!$O$8:$O$592)</f>
        <v>535.6</v>
      </c>
      <c r="M295" s="38">
        <f>SUMIF('Detalle por artículo'!$K$8:$K$592,$D295,'Detalle por artículo'!$I$8:$I$592)</f>
        <v>1025</v>
      </c>
      <c r="N295" s="38">
        <f>SUMIF('Detalle por artículo'!$K$8:$K$592,$D295,'Detalle por artículo'!$M$8:$M$592)</f>
        <v>27</v>
      </c>
      <c r="O295" s="39">
        <f t="shared" si="173"/>
        <v>1.8926829268292682</v>
      </c>
      <c r="P295" s="40">
        <f t="shared" si="174"/>
        <v>522.53658536585363</v>
      </c>
      <c r="Q295" s="41">
        <f t="shared" si="175"/>
        <v>0.1</v>
      </c>
      <c r="R295" s="40">
        <f t="shared" si="176"/>
        <v>2.1339999999999999</v>
      </c>
      <c r="S295" s="42">
        <f>IFERROR(SUM($G$8:G295)/$G$6,0)</f>
        <v>0.93204499549966968</v>
      </c>
      <c r="T295" s="43" t="str">
        <f t="shared" si="177"/>
        <v>C</v>
      </c>
      <c r="U295" s="44">
        <v>1025</v>
      </c>
      <c r="V295" s="45">
        <f t="shared" si="158"/>
        <v>0</v>
      </c>
      <c r="W295" s="46">
        <v>46198</v>
      </c>
      <c r="X295" s="46">
        <v>46198</v>
      </c>
      <c r="Y295" s="47">
        <v>0</v>
      </c>
      <c r="Z295" s="48">
        <f t="shared" si="178"/>
        <v>0</v>
      </c>
      <c r="AA295" s="49">
        <f t="shared" si="179"/>
        <v>0</v>
      </c>
      <c r="AB295" s="44">
        <v>415</v>
      </c>
      <c r="AC295" s="44">
        <f t="shared" si="180"/>
        <v>284</v>
      </c>
      <c r="AD295" s="44">
        <f t="shared" si="181"/>
        <v>121</v>
      </c>
      <c r="AE295" s="50">
        <f t="shared" si="182"/>
        <v>32</v>
      </c>
      <c r="AF295" s="41">
        <f t="shared" si="183"/>
        <v>0.64</v>
      </c>
      <c r="AG295" s="44">
        <v>2</v>
      </c>
      <c r="AH295" s="44">
        <v>8</v>
      </c>
      <c r="AI295" s="42">
        <f t="shared" si="159"/>
        <v>0.27707317073170734</v>
      </c>
      <c r="AJ295" s="42">
        <f t="shared" si="160"/>
        <v>0.11804878048780487</v>
      </c>
      <c r="AK295" s="40">
        <f t="shared" si="184"/>
        <v>0.53752195121951218</v>
      </c>
      <c r="AL295" s="51">
        <v>610</v>
      </c>
      <c r="AM295" s="52">
        <f t="shared" si="185"/>
        <v>1.1545365853658536</v>
      </c>
      <c r="AN295" s="42">
        <f t="shared" si="161"/>
        <v>0.59512195121951217</v>
      </c>
      <c r="AO295" s="53">
        <f t="shared" si="162"/>
        <v>610</v>
      </c>
      <c r="AP295" s="52">
        <f t="shared" si="163"/>
        <v>1.1545365853658536</v>
      </c>
      <c r="AQ295" s="42">
        <f t="shared" si="164"/>
        <v>0.39512195121951221</v>
      </c>
      <c r="AR295" s="46">
        <v>46219</v>
      </c>
      <c r="AS295" s="46">
        <v>46219</v>
      </c>
      <c r="AT295" s="50">
        <f t="shared" si="165"/>
        <v>21</v>
      </c>
      <c r="AU295" s="50">
        <f t="shared" si="186"/>
        <v>168</v>
      </c>
      <c r="AV295" s="50">
        <f t="shared" si="166"/>
        <v>321</v>
      </c>
      <c r="AW295" s="54">
        <f t="shared" si="167"/>
        <v>-153</v>
      </c>
    </row>
    <row r="296" spans="1:49" x14ac:dyDescent="0.25">
      <c r="A296" s="33" t="s">
        <v>138</v>
      </c>
      <c r="B296" s="33" t="s">
        <v>393</v>
      </c>
      <c r="C296" s="33" t="s">
        <v>122</v>
      </c>
      <c r="D296" s="33" t="s">
        <v>394</v>
      </c>
      <c r="E296" s="34">
        <f>COUNTIF('Detalle por artículo'!$K$8:$K$592,D296)</f>
        <v>2</v>
      </c>
      <c r="F296" s="35">
        <f t="shared" si="168"/>
        <v>218.88544891640865</v>
      </c>
      <c r="G296" s="36">
        <f>SUMIF('Detalle por artículo'!$K$8:$K$592,$D296,'Detalle por artículo'!$E$8:$E$592)</f>
        <v>1.9380000000000002</v>
      </c>
      <c r="H296" s="35">
        <f t="shared" si="169"/>
        <v>2</v>
      </c>
      <c r="I296" s="35">
        <f t="shared" si="170"/>
        <v>3</v>
      </c>
      <c r="J296" s="35">
        <f t="shared" si="171"/>
        <v>6</v>
      </c>
      <c r="K296" s="37">
        <f t="shared" si="172"/>
        <v>6.9214285714285714E-2</v>
      </c>
      <c r="L296" s="36">
        <f>SUMIF('Detalle por artículo'!$K$8:$K$592,$D296,'Detalle por artículo'!$O$8:$O$592)</f>
        <v>424.2</v>
      </c>
      <c r="M296" s="38">
        <f>SUMIF('Detalle por artículo'!$K$8:$K$592,$D296,'Detalle por artículo'!$I$8:$I$592)</f>
        <v>978</v>
      </c>
      <c r="N296" s="38">
        <f>SUMIF('Detalle por artículo'!$K$8:$K$592,$D296,'Detalle por artículo'!$M$8:$M$592)</f>
        <v>25</v>
      </c>
      <c r="O296" s="39">
        <f t="shared" si="173"/>
        <v>1.98159509202454</v>
      </c>
      <c r="P296" s="40">
        <f t="shared" si="174"/>
        <v>433.74233128834356</v>
      </c>
      <c r="Q296" s="41">
        <f t="shared" si="175"/>
        <v>0.1</v>
      </c>
      <c r="R296" s="40">
        <f t="shared" si="176"/>
        <v>2.1318000000000001</v>
      </c>
      <c r="S296" s="42">
        <f>IFERROR(SUM($G$8:G296)/$G$6,0)</f>
        <v>0.93275714031744184</v>
      </c>
      <c r="T296" s="43" t="str">
        <f t="shared" si="177"/>
        <v>C</v>
      </c>
      <c r="U296" s="44">
        <v>990</v>
      </c>
      <c r="V296" s="45">
        <f t="shared" si="158"/>
        <v>12</v>
      </c>
      <c r="W296" s="46">
        <v>46281</v>
      </c>
      <c r="X296" s="46">
        <v>46300</v>
      </c>
      <c r="Y296" s="47">
        <v>0</v>
      </c>
      <c r="Z296" s="48">
        <f t="shared" si="178"/>
        <v>0</v>
      </c>
      <c r="AA296" s="49">
        <f t="shared" si="179"/>
        <v>0</v>
      </c>
      <c r="AB296" s="44">
        <v>454</v>
      </c>
      <c r="AC296" s="44">
        <f t="shared" si="180"/>
        <v>408</v>
      </c>
      <c r="AD296" s="44">
        <f t="shared" si="181"/>
        <v>44</v>
      </c>
      <c r="AE296" s="50">
        <f t="shared" si="182"/>
        <v>34</v>
      </c>
      <c r="AF296" s="41">
        <f t="shared" si="183"/>
        <v>0.68</v>
      </c>
      <c r="AG296" s="44">
        <v>2</v>
      </c>
      <c r="AH296" s="44">
        <v>0</v>
      </c>
      <c r="AI296" s="42">
        <f t="shared" si="159"/>
        <v>0.41717791411042943</v>
      </c>
      <c r="AJ296" s="42">
        <f t="shared" si="160"/>
        <v>4.4989775051124746E-2</v>
      </c>
      <c r="AK296" s="40">
        <f t="shared" si="184"/>
        <v>0.80849079754601239</v>
      </c>
      <c r="AL296" s="51">
        <v>536</v>
      </c>
      <c r="AM296" s="52">
        <f t="shared" si="185"/>
        <v>1.0621349693251534</v>
      </c>
      <c r="AN296" s="42">
        <f t="shared" si="161"/>
        <v>0.54141414141414146</v>
      </c>
      <c r="AO296" s="53">
        <f t="shared" si="162"/>
        <v>524</v>
      </c>
      <c r="AP296" s="52">
        <f t="shared" si="163"/>
        <v>1.0383558282208589</v>
      </c>
      <c r="AQ296" s="42">
        <f t="shared" si="164"/>
        <v>0.46216768916155421</v>
      </c>
      <c r="AR296" s="46">
        <v>46292</v>
      </c>
      <c r="AS296" s="46">
        <v>46293</v>
      </c>
      <c r="AT296" s="50">
        <f t="shared" si="165"/>
        <v>12</v>
      </c>
      <c r="AU296" s="50">
        <f t="shared" si="186"/>
        <v>177</v>
      </c>
      <c r="AV296" s="50">
        <f t="shared" si="166"/>
        <v>303</v>
      </c>
      <c r="AW296" s="54">
        <f t="shared" si="167"/>
        <v>-126</v>
      </c>
    </row>
    <row r="297" spans="1:49" x14ac:dyDescent="0.25">
      <c r="A297" s="33" t="s">
        <v>63</v>
      </c>
      <c r="B297" s="33" t="s">
        <v>110</v>
      </c>
      <c r="C297" s="33" t="s">
        <v>395</v>
      </c>
      <c r="D297" s="33" t="s">
        <v>396</v>
      </c>
      <c r="E297" s="34">
        <f>COUNTIF('Detalle por artículo'!$K$8:$K$592,D297)</f>
        <v>1</v>
      </c>
      <c r="F297" s="35">
        <f t="shared" si="168"/>
        <v>143.75</v>
      </c>
      <c r="G297" s="36">
        <f>SUMIF('Detalle por artículo'!$K$8:$K$592,$D297,'Detalle por artículo'!$E$8:$E$592)</f>
        <v>1.92</v>
      </c>
      <c r="H297" s="35">
        <f t="shared" si="169"/>
        <v>2</v>
      </c>
      <c r="I297" s="35">
        <f t="shared" si="170"/>
        <v>3</v>
      </c>
      <c r="J297" s="35">
        <f t="shared" si="171"/>
        <v>5</v>
      </c>
      <c r="K297" s="37">
        <f t="shared" si="172"/>
        <v>6.8571428571428575E-2</v>
      </c>
      <c r="L297" s="36">
        <f>SUMIF('Detalle por artículo'!$K$8:$K$592,$D297,'Detalle por artículo'!$O$8:$O$592)</f>
        <v>276</v>
      </c>
      <c r="M297" s="38">
        <f>SUMIF('Detalle por artículo'!$K$8:$K$592,$D297,'Detalle por artículo'!$I$8:$I$592)</f>
        <v>702</v>
      </c>
      <c r="N297" s="38">
        <f>SUMIF('Detalle por artículo'!$K$8:$K$592,$D297,'Detalle por artículo'!$M$8:$M$592)</f>
        <v>20</v>
      </c>
      <c r="O297" s="39">
        <f t="shared" si="173"/>
        <v>2.7350427350427351</v>
      </c>
      <c r="P297" s="40">
        <f t="shared" si="174"/>
        <v>393.16239316239313</v>
      </c>
      <c r="Q297" s="41">
        <f t="shared" si="175"/>
        <v>0.15</v>
      </c>
      <c r="R297" s="40">
        <f t="shared" si="176"/>
        <v>2.2079999999999997</v>
      </c>
      <c r="S297" s="42">
        <f>IFERROR(SUM($G$8:G297)/$G$6,0)</f>
        <v>0.93346267078706124</v>
      </c>
      <c r="T297" s="43" t="str">
        <f t="shared" si="177"/>
        <v>C</v>
      </c>
      <c r="U297" s="44">
        <v>703</v>
      </c>
      <c r="V297" s="45">
        <f t="shared" si="158"/>
        <v>1</v>
      </c>
      <c r="W297" s="46">
        <v>46217</v>
      </c>
      <c r="X297" s="46">
        <v>46217</v>
      </c>
      <c r="Y297" s="47">
        <v>0</v>
      </c>
      <c r="Z297" s="48">
        <f t="shared" si="178"/>
        <v>0</v>
      </c>
      <c r="AA297" s="49">
        <f t="shared" si="179"/>
        <v>0</v>
      </c>
      <c r="AB297" s="44">
        <v>422</v>
      </c>
      <c r="AC297" s="44">
        <f t="shared" si="180"/>
        <v>296</v>
      </c>
      <c r="AD297" s="44">
        <f t="shared" si="181"/>
        <v>105</v>
      </c>
      <c r="AE297" s="50">
        <f t="shared" si="182"/>
        <v>42</v>
      </c>
      <c r="AF297" s="41">
        <f t="shared" si="183"/>
        <v>0.84</v>
      </c>
      <c r="AG297" s="44">
        <v>3</v>
      </c>
      <c r="AH297" s="44">
        <v>19</v>
      </c>
      <c r="AI297" s="42">
        <f t="shared" si="159"/>
        <v>0.42165242165242167</v>
      </c>
      <c r="AJ297" s="42">
        <f t="shared" si="160"/>
        <v>0.14957264957264957</v>
      </c>
      <c r="AK297" s="40">
        <f t="shared" si="184"/>
        <v>0.80957264957264952</v>
      </c>
      <c r="AL297" s="51">
        <v>281</v>
      </c>
      <c r="AM297" s="52">
        <f t="shared" si="185"/>
        <v>0.76854700854700853</v>
      </c>
      <c r="AN297" s="42">
        <f t="shared" si="161"/>
        <v>0.39971550497866287</v>
      </c>
      <c r="AO297" s="53">
        <f t="shared" si="162"/>
        <v>280</v>
      </c>
      <c r="AP297" s="52">
        <f t="shared" si="163"/>
        <v>0.76581196581196587</v>
      </c>
      <c r="AQ297" s="42">
        <f t="shared" si="164"/>
        <v>0.57122507122507127</v>
      </c>
      <c r="AR297" s="46">
        <v>46233</v>
      </c>
      <c r="AS297" s="46">
        <v>46234</v>
      </c>
      <c r="AT297" s="50">
        <f t="shared" si="165"/>
        <v>17</v>
      </c>
      <c r="AU297" s="50">
        <f t="shared" si="186"/>
        <v>313</v>
      </c>
      <c r="AV297" s="50">
        <f t="shared" si="166"/>
        <v>319</v>
      </c>
      <c r="AW297" s="54">
        <f t="shared" si="167"/>
        <v>-6</v>
      </c>
    </row>
    <row r="298" spans="1:49" x14ac:dyDescent="0.25">
      <c r="A298" s="33" t="s">
        <v>55</v>
      </c>
      <c r="B298" s="33" t="s">
        <v>255</v>
      </c>
      <c r="C298" s="33" t="s">
        <v>132</v>
      </c>
      <c r="D298" s="33" t="s">
        <v>397</v>
      </c>
      <c r="E298" s="34">
        <f>COUNTIF('Detalle por artículo'!$K$8:$K$592,D298)</f>
        <v>1</v>
      </c>
      <c r="F298" s="35">
        <f t="shared" si="168"/>
        <v>245.3125</v>
      </c>
      <c r="G298" s="36">
        <f>SUMIF('Detalle por artículo'!$K$8:$K$592,$D298,'Detalle por artículo'!$E$8:$E$592)</f>
        <v>1.92</v>
      </c>
      <c r="H298" s="35">
        <f t="shared" si="169"/>
        <v>2</v>
      </c>
      <c r="I298" s="35">
        <f t="shared" si="170"/>
        <v>3</v>
      </c>
      <c r="J298" s="35">
        <f t="shared" si="171"/>
        <v>5</v>
      </c>
      <c r="K298" s="37">
        <f t="shared" si="172"/>
        <v>6.8571428571428575E-2</v>
      </c>
      <c r="L298" s="36">
        <f>SUMIF('Detalle por artículo'!$K$8:$K$592,$D298,'Detalle por artículo'!$O$8:$O$592)</f>
        <v>471</v>
      </c>
      <c r="M298" s="38">
        <f>SUMIF('Detalle por artículo'!$K$8:$K$592,$D298,'Detalle por artículo'!$I$8:$I$592)</f>
        <v>912</v>
      </c>
      <c r="N298" s="38">
        <f>SUMIF('Detalle por artículo'!$K$8:$K$592,$D298,'Detalle por artículo'!$M$8:$M$592)</f>
        <v>20</v>
      </c>
      <c r="O298" s="39">
        <f t="shared" si="173"/>
        <v>2.1052631578947367</v>
      </c>
      <c r="P298" s="40">
        <f t="shared" si="174"/>
        <v>516.4473684210526</v>
      </c>
      <c r="Q298" s="41">
        <f t="shared" si="175"/>
        <v>0.1</v>
      </c>
      <c r="R298" s="40">
        <f t="shared" si="176"/>
        <v>2.1120000000000001</v>
      </c>
      <c r="S298" s="42">
        <f>IFERROR(SUM($G$8:G298)/$G$6,0)</f>
        <v>0.93416820125668076</v>
      </c>
      <c r="T298" s="43" t="str">
        <f t="shared" si="177"/>
        <v>C</v>
      </c>
      <c r="U298" s="44">
        <v>913</v>
      </c>
      <c r="V298" s="45">
        <f t="shared" si="158"/>
        <v>1</v>
      </c>
      <c r="W298" s="46">
        <v>46218</v>
      </c>
      <c r="X298" s="46">
        <v>46248</v>
      </c>
      <c r="Y298" s="47">
        <v>0</v>
      </c>
      <c r="Z298" s="48">
        <f t="shared" si="178"/>
        <v>0</v>
      </c>
      <c r="AA298" s="49">
        <f t="shared" si="179"/>
        <v>0</v>
      </c>
      <c r="AB298" s="44">
        <v>593</v>
      </c>
      <c r="AC298" s="44">
        <f t="shared" si="180"/>
        <v>412</v>
      </c>
      <c r="AD298" s="44">
        <f t="shared" si="181"/>
        <v>169</v>
      </c>
      <c r="AE298" s="50">
        <f t="shared" si="182"/>
        <v>43</v>
      </c>
      <c r="AF298" s="41">
        <f t="shared" si="183"/>
        <v>0.86</v>
      </c>
      <c r="AG298" s="44">
        <v>3</v>
      </c>
      <c r="AH298" s="44">
        <v>9</v>
      </c>
      <c r="AI298" s="42">
        <f t="shared" si="159"/>
        <v>0.4517543859649123</v>
      </c>
      <c r="AJ298" s="42">
        <f t="shared" si="160"/>
        <v>0.18530701754385964</v>
      </c>
      <c r="AK298" s="40">
        <f t="shared" si="184"/>
        <v>0.86736842105263157</v>
      </c>
      <c r="AL298" s="51">
        <v>320</v>
      </c>
      <c r="AM298" s="52">
        <f t="shared" si="185"/>
        <v>0.67368421052631577</v>
      </c>
      <c r="AN298" s="42">
        <f t="shared" si="161"/>
        <v>0.35049288061336253</v>
      </c>
      <c r="AO298" s="53">
        <f t="shared" si="162"/>
        <v>319</v>
      </c>
      <c r="AP298" s="52">
        <f t="shared" si="163"/>
        <v>0.67157894736842105</v>
      </c>
      <c r="AQ298" s="42">
        <f t="shared" si="164"/>
        <v>0.63706140350877194</v>
      </c>
      <c r="AR298" s="46">
        <v>46225</v>
      </c>
      <c r="AS298" s="46">
        <v>46225</v>
      </c>
      <c r="AT298" s="50">
        <f t="shared" si="165"/>
        <v>7</v>
      </c>
      <c r="AU298" s="50">
        <f t="shared" si="186"/>
        <v>195</v>
      </c>
      <c r="AV298" s="50">
        <f t="shared" si="166"/>
        <v>199</v>
      </c>
      <c r="AW298" s="54">
        <f t="shared" si="167"/>
        <v>-4</v>
      </c>
    </row>
    <row r="299" spans="1:49" x14ac:dyDescent="0.25">
      <c r="A299" s="33" t="s">
        <v>63</v>
      </c>
      <c r="B299" s="33" t="s">
        <v>102</v>
      </c>
      <c r="C299" s="33" t="s">
        <v>103</v>
      </c>
      <c r="D299" s="33" t="s">
        <v>398</v>
      </c>
      <c r="E299" s="34">
        <f>COUNTIF('Detalle por artículo'!$K$8:$K$592,D299)</f>
        <v>1</v>
      </c>
      <c r="F299" s="35">
        <f t="shared" si="168"/>
        <v>194.47916666666666</v>
      </c>
      <c r="G299" s="36">
        <f>SUMIF('Detalle por artículo'!$K$8:$K$592,$D299,'Detalle por artículo'!$E$8:$E$592)</f>
        <v>1.92</v>
      </c>
      <c r="H299" s="35">
        <f t="shared" si="169"/>
        <v>2</v>
      </c>
      <c r="I299" s="35">
        <f t="shared" si="170"/>
        <v>3</v>
      </c>
      <c r="J299" s="35">
        <f t="shared" si="171"/>
        <v>5</v>
      </c>
      <c r="K299" s="37">
        <f t="shared" si="172"/>
        <v>6.8571428571428575E-2</v>
      </c>
      <c r="L299" s="36">
        <f>SUMIF('Detalle por artículo'!$K$8:$K$592,$D299,'Detalle por artículo'!$O$8:$O$592)</f>
        <v>373.4</v>
      </c>
      <c r="M299" s="38">
        <f>SUMIF('Detalle por artículo'!$K$8:$K$592,$D299,'Detalle por artículo'!$I$8:$I$592)</f>
        <v>799</v>
      </c>
      <c r="N299" s="38">
        <f>SUMIF('Detalle por artículo'!$K$8:$K$592,$D299,'Detalle por artículo'!$M$8:$M$592)</f>
        <v>20</v>
      </c>
      <c r="O299" s="39">
        <f t="shared" si="173"/>
        <v>2.4030037546933669</v>
      </c>
      <c r="P299" s="40">
        <f t="shared" si="174"/>
        <v>467.33416770963703</v>
      </c>
      <c r="Q299" s="41">
        <f t="shared" si="175"/>
        <v>0.15</v>
      </c>
      <c r="R299" s="40">
        <f t="shared" si="176"/>
        <v>2.2079999999999997</v>
      </c>
      <c r="S299" s="42">
        <f>IFERROR(SUM($G$8:G299)/$G$6,0)</f>
        <v>0.93487373172630028</v>
      </c>
      <c r="T299" s="43" t="str">
        <f t="shared" si="177"/>
        <v>C</v>
      </c>
      <c r="U299" s="44">
        <v>799</v>
      </c>
      <c r="V299" s="45">
        <f t="shared" si="158"/>
        <v>0</v>
      </c>
      <c r="W299" s="46">
        <v>46281</v>
      </c>
      <c r="X299" s="46">
        <v>46281</v>
      </c>
      <c r="Y299" s="47">
        <v>0</v>
      </c>
      <c r="Z299" s="48">
        <f t="shared" si="178"/>
        <v>0</v>
      </c>
      <c r="AA299" s="49">
        <f t="shared" si="179"/>
        <v>0</v>
      </c>
      <c r="AB299" s="44">
        <v>331</v>
      </c>
      <c r="AC299" s="44">
        <f t="shared" si="180"/>
        <v>236</v>
      </c>
      <c r="AD299" s="44">
        <f t="shared" si="181"/>
        <v>87</v>
      </c>
      <c r="AE299" s="50">
        <f t="shared" si="182"/>
        <v>32</v>
      </c>
      <c r="AF299" s="41">
        <f t="shared" si="183"/>
        <v>0.64</v>
      </c>
      <c r="AG299" s="44">
        <v>1</v>
      </c>
      <c r="AH299" s="44">
        <v>7</v>
      </c>
      <c r="AI299" s="42">
        <f t="shared" si="159"/>
        <v>0.29536921151439299</v>
      </c>
      <c r="AJ299" s="42">
        <f t="shared" si="160"/>
        <v>0.10888610763454318</v>
      </c>
      <c r="AK299" s="40">
        <f t="shared" si="184"/>
        <v>0.56710888610763455</v>
      </c>
      <c r="AL299" s="51">
        <v>468</v>
      </c>
      <c r="AM299" s="52">
        <f t="shared" si="185"/>
        <v>1.1246057571964956</v>
      </c>
      <c r="AN299" s="42">
        <f t="shared" si="161"/>
        <v>0.58573216520650817</v>
      </c>
      <c r="AO299" s="53">
        <f t="shared" si="162"/>
        <v>468</v>
      </c>
      <c r="AP299" s="52">
        <f t="shared" si="163"/>
        <v>1.1246057571964956</v>
      </c>
      <c r="AQ299" s="42">
        <f t="shared" si="164"/>
        <v>0.40425531914893614</v>
      </c>
      <c r="AR299" s="46">
        <v>46281</v>
      </c>
      <c r="AS299" s="46">
        <v>46283</v>
      </c>
      <c r="AT299" s="50">
        <f t="shared" si="165"/>
        <v>2</v>
      </c>
      <c r="AU299" s="50">
        <f t="shared" si="186"/>
        <v>244</v>
      </c>
      <c r="AV299" s="50">
        <f t="shared" si="166"/>
        <v>337</v>
      </c>
      <c r="AW299" s="54">
        <f t="shared" si="167"/>
        <v>-93</v>
      </c>
    </row>
    <row r="300" spans="1:49" x14ac:dyDescent="0.25">
      <c r="A300" s="33" t="s">
        <v>55</v>
      </c>
      <c r="B300" s="33" t="s">
        <v>314</v>
      </c>
      <c r="C300" s="33" t="s">
        <v>315</v>
      </c>
      <c r="D300" s="33" t="s">
        <v>399</v>
      </c>
      <c r="E300" s="34">
        <f>COUNTIF('Detalle por artículo'!$K$8:$K$592,D300)</f>
        <v>2</v>
      </c>
      <c r="F300" s="35">
        <f t="shared" si="168"/>
        <v>188.19444444444443</v>
      </c>
      <c r="G300" s="36">
        <f>SUMIF('Detalle por artículo'!$K$8:$K$592,$D300,'Detalle por artículo'!$E$8:$E$592)</f>
        <v>1.8720000000000001</v>
      </c>
      <c r="H300" s="35">
        <f t="shared" si="169"/>
        <v>2</v>
      </c>
      <c r="I300" s="35">
        <f t="shared" si="170"/>
        <v>3</v>
      </c>
      <c r="J300" s="35">
        <f t="shared" si="171"/>
        <v>5</v>
      </c>
      <c r="K300" s="37">
        <f t="shared" si="172"/>
        <v>6.6857142857142865E-2</v>
      </c>
      <c r="L300" s="36">
        <f>SUMIF('Detalle por artículo'!$K$8:$K$592,$D300,'Detalle por artículo'!$O$8:$O$592)</f>
        <v>352.3</v>
      </c>
      <c r="M300" s="38">
        <f>SUMIF('Detalle por artículo'!$K$8:$K$592,$D300,'Detalle por artículo'!$I$8:$I$592)</f>
        <v>1452</v>
      </c>
      <c r="N300" s="38">
        <f>SUMIF('Detalle por artículo'!$K$8:$K$592,$D300,'Detalle por artículo'!$M$8:$M$592)</f>
        <v>26</v>
      </c>
      <c r="O300" s="39">
        <f t="shared" si="173"/>
        <v>1.2892561983471076</v>
      </c>
      <c r="P300" s="40">
        <f t="shared" si="174"/>
        <v>242.63085399449037</v>
      </c>
      <c r="Q300" s="41">
        <f t="shared" si="175"/>
        <v>0.15</v>
      </c>
      <c r="R300" s="40">
        <f t="shared" si="176"/>
        <v>2.1528</v>
      </c>
      <c r="S300" s="42">
        <f>IFERROR(SUM($G$8:G300)/$G$6,0)</f>
        <v>0.93556162393417919</v>
      </c>
      <c r="T300" s="43" t="str">
        <f t="shared" si="177"/>
        <v>C</v>
      </c>
      <c r="U300" s="44">
        <v>1452</v>
      </c>
      <c r="V300" s="45">
        <f t="shared" si="158"/>
        <v>0</v>
      </c>
      <c r="W300" s="46">
        <v>46247</v>
      </c>
      <c r="X300" s="46">
        <v>46247</v>
      </c>
      <c r="Y300" s="47">
        <v>0</v>
      </c>
      <c r="Z300" s="48">
        <f t="shared" si="178"/>
        <v>0</v>
      </c>
      <c r="AA300" s="49">
        <f t="shared" si="179"/>
        <v>0</v>
      </c>
      <c r="AB300" s="44">
        <v>1058</v>
      </c>
      <c r="AC300" s="44">
        <f t="shared" si="180"/>
        <v>798</v>
      </c>
      <c r="AD300" s="44">
        <f t="shared" si="181"/>
        <v>211</v>
      </c>
      <c r="AE300" s="50">
        <f t="shared" si="182"/>
        <v>48</v>
      </c>
      <c r="AF300" s="41">
        <f t="shared" si="183"/>
        <v>0.96</v>
      </c>
      <c r="AG300" s="44">
        <v>5</v>
      </c>
      <c r="AH300" s="44">
        <v>44</v>
      </c>
      <c r="AI300" s="42">
        <f t="shared" si="159"/>
        <v>0.54958677685950408</v>
      </c>
      <c r="AJ300" s="42">
        <f t="shared" si="160"/>
        <v>0.1453168044077135</v>
      </c>
      <c r="AK300" s="40">
        <f t="shared" si="184"/>
        <v>1.0288264462809917</v>
      </c>
      <c r="AL300" s="51">
        <v>394</v>
      </c>
      <c r="AM300" s="52">
        <f t="shared" si="185"/>
        <v>0.50796694214876037</v>
      </c>
      <c r="AN300" s="42">
        <f t="shared" si="161"/>
        <v>0.27134986225895319</v>
      </c>
      <c r="AO300" s="53">
        <f t="shared" si="162"/>
        <v>394</v>
      </c>
      <c r="AP300" s="52">
        <f t="shared" si="163"/>
        <v>0.50796694214876037</v>
      </c>
      <c r="AQ300" s="42">
        <f t="shared" si="164"/>
        <v>0.69490358126721763</v>
      </c>
      <c r="AR300" s="46">
        <v>46254</v>
      </c>
      <c r="AS300" s="46">
        <v>46255</v>
      </c>
      <c r="AT300" s="50">
        <f t="shared" si="165"/>
        <v>8</v>
      </c>
      <c r="AU300" s="50">
        <f t="shared" si="186"/>
        <v>105</v>
      </c>
      <c r="AV300" s="50">
        <f t="shared" si="166"/>
        <v>62</v>
      </c>
      <c r="AW300" s="54">
        <f t="shared" si="167"/>
        <v>43</v>
      </c>
    </row>
    <row r="301" spans="1:49" x14ac:dyDescent="0.25">
      <c r="A301" s="33" t="s">
        <v>63</v>
      </c>
      <c r="B301" s="33" t="s">
        <v>263</v>
      </c>
      <c r="C301" s="33" t="s">
        <v>264</v>
      </c>
      <c r="D301" s="33" t="s">
        <v>400</v>
      </c>
      <c r="E301" s="34">
        <f>COUNTIF('Detalle por artículo'!$K$8:$K$592,D301)</f>
        <v>1</v>
      </c>
      <c r="F301" s="35">
        <f t="shared" si="168"/>
        <v>205.24324324324323</v>
      </c>
      <c r="G301" s="36">
        <f>SUMIF('Detalle por artículo'!$K$8:$K$592,$D301,'Detalle por artículo'!$E$8:$E$592)</f>
        <v>1.85</v>
      </c>
      <c r="H301" s="35">
        <f t="shared" si="169"/>
        <v>2</v>
      </c>
      <c r="I301" s="35">
        <f t="shared" si="170"/>
        <v>3</v>
      </c>
      <c r="J301" s="35">
        <f t="shared" si="171"/>
        <v>5</v>
      </c>
      <c r="K301" s="37">
        <f t="shared" si="172"/>
        <v>6.6071428571428573E-2</v>
      </c>
      <c r="L301" s="36">
        <f>SUMIF('Detalle por artículo'!$K$8:$K$592,$D301,'Detalle por artículo'!$O$8:$O$592)</f>
        <v>379.7</v>
      </c>
      <c r="M301" s="38">
        <f>SUMIF('Detalle por artículo'!$K$8:$K$592,$D301,'Detalle por artículo'!$I$8:$I$592)</f>
        <v>697</v>
      </c>
      <c r="N301" s="38">
        <f>SUMIF('Detalle por artículo'!$K$8:$K$592,$D301,'Detalle por artículo'!$M$8:$M$592)</f>
        <v>18</v>
      </c>
      <c r="O301" s="39">
        <f t="shared" si="173"/>
        <v>2.6542324246771885</v>
      </c>
      <c r="P301" s="40">
        <f t="shared" si="174"/>
        <v>544.76327116212337</v>
      </c>
      <c r="Q301" s="41">
        <f t="shared" si="175"/>
        <v>0.1</v>
      </c>
      <c r="R301" s="40">
        <f t="shared" si="176"/>
        <v>2.0350000000000001</v>
      </c>
      <c r="S301" s="42">
        <f>IFERROR(SUM($G$8:G301)/$G$6,0)</f>
        <v>0.9362414319387603</v>
      </c>
      <c r="T301" s="43" t="str">
        <f t="shared" si="177"/>
        <v>C</v>
      </c>
      <c r="U301" s="44">
        <v>697</v>
      </c>
      <c r="V301" s="45">
        <f t="shared" si="158"/>
        <v>0</v>
      </c>
      <c r="W301" s="46">
        <v>46240</v>
      </c>
      <c r="X301" s="46">
        <v>46240</v>
      </c>
      <c r="Y301" s="47">
        <v>0</v>
      </c>
      <c r="Z301" s="48">
        <f t="shared" si="178"/>
        <v>0</v>
      </c>
      <c r="AA301" s="49">
        <f t="shared" si="179"/>
        <v>0</v>
      </c>
      <c r="AB301" s="44">
        <v>625</v>
      </c>
      <c r="AC301" s="44">
        <f t="shared" si="180"/>
        <v>529</v>
      </c>
      <c r="AD301" s="44">
        <f t="shared" si="181"/>
        <v>71</v>
      </c>
      <c r="AE301" s="50">
        <f t="shared" si="182"/>
        <v>48</v>
      </c>
      <c r="AF301" s="41">
        <f t="shared" si="183"/>
        <v>0.96</v>
      </c>
      <c r="AG301" s="44">
        <v>1</v>
      </c>
      <c r="AH301" s="44">
        <v>24</v>
      </c>
      <c r="AI301" s="42">
        <f t="shared" si="159"/>
        <v>0.75896700143472018</v>
      </c>
      <c r="AJ301" s="42">
        <f t="shared" si="160"/>
        <v>0.10186513629842181</v>
      </c>
      <c r="AK301" s="40">
        <f t="shared" si="184"/>
        <v>1.4040889526542328</v>
      </c>
      <c r="AL301" s="51">
        <v>72</v>
      </c>
      <c r="AM301" s="52">
        <f t="shared" si="185"/>
        <v>0.19110473457675758</v>
      </c>
      <c r="AN301" s="42">
        <f t="shared" si="161"/>
        <v>0.10329985652797705</v>
      </c>
      <c r="AO301" s="53">
        <f t="shared" si="162"/>
        <v>72</v>
      </c>
      <c r="AP301" s="52">
        <f t="shared" si="163"/>
        <v>0.19110473457675758</v>
      </c>
      <c r="AQ301" s="42">
        <f t="shared" si="164"/>
        <v>0.86083213773314204</v>
      </c>
      <c r="AR301" s="46">
        <v>46254</v>
      </c>
      <c r="AS301" s="46">
        <v>46255</v>
      </c>
      <c r="AT301" s="50">
        <f t="shared" si="165"/>
        <v>15</v>
      </c>
      <c r="AU301" s="50">
        <f t="shared" si="186"/>
        <v>321</v>
      </c>
      <c r="AV301" s="50">
        <f t="shared" si="166"/>
        <v>170</v>
      </c>
      <c r="AW301" s="54">
        <f t="shared" si="167"/>
        <v>151</v>
      </c>
    </row>
    <row r="302" spans="1:49" x14ac:dyDescent="0.25">
      <c r="A302" s="33" t="s">
        <v>63</v>
      </c>
      <c r="B302" s="33" t="s">
        <v>84</v>
      </c>
      <c r="C302" s="33" t="s">
        <v>87</v>
      </c>
      <c r="D302" s="33" t="s">
        <v>401</v>
      </c>
      <c r="E302" s="34">
        <f>COUNTIF('Detalle por artículo'!$K$8:$K$592,D302)</f>
        <v>1</v>
      </c>
      <c r="F302" s="35">
        <f t="shared" si="168"/>
        <v>182.29166666666666</v>
      </c>
      <c r="G302" s="36">
        <f>SUMIF('Detalle por artículo'!$K$8:$K$592,$D302,'Detalle por artículo'!$E$8:$E$592)</f>
        <v>1.8240000000000001</v>
      </c>
      <c r="H302" s="35">
        <f t="shared" si="169"/>
        <v>2</v>
      </c>
      <c r="I302" s="35">
        <f t="shared" si="170"/>
        <v>3</v>
      </c>
      <c r="J302" s="35">
        <f t="shared" si="171"/>
        <v>5</v>
      </c>
      <c r="K302" s="37">
        <f t="shared" si="172"/>
        <v>6.5142857142857141E-2</v>
      </c>
      <c r="L302" s="36">
        <f>SUMIF('Detalle por artículo'!$K$8:$K$592,$D302,'Detalle por artículo'!$O$8:$O$592)</f>
        <v>332.5</v>
      </c>
      <c r="M302" s="38">
        <f>SUMIF('Detalle por artículo'!$K$8:$K$592,$D302,'Detalle por artículo'!$I$8:$I$592)</f>
        <v>730</v>
      </c>
      <c r="N302" s="38">
        <f>SUMIF('Detalle por artículo'!$K$8:$K$592,$D302,'Detalle por artículo'!$M$8:$M$592)</f>
        <v>19</v>
      </c>
      <c r="O302" s="39">
        <f t="shared" si="173"/>
        <v>2.4986301369863018</v>
      </c>
      <c r="P302" s="40">
        <f t="shared" si="174"/>
        <v>455.47945205479454</v>
      </c>
      <c r="Q302" s="41">
        <f t="shared" si="175"/>
        <v>0.15</v>
      </c>
      <c r="R302" s="40">
        <f t="shared" si="176"/>
        <v>2.0975999999999999</v>
      </c>
      <c r="S302" s="42">
        <f>IFERROR(SUM($G$8:G302)/$G$6,0)</f>
        <v>0.93691168588489881</v>
      </c>
      <c r="T302" s="43" t="str">
        <f t="shared" si="177"/>
        <v>C</v>
      </c>
      <c r="U302" s="44">
        <v>730</v>
      </c>
      <c r="V302" s="45">
        <f t="shared" si="158"/>
        <v>0</v>
      </c>
      <c r="W302" s="46">
        <v>46217</v>
      </c>
      <c r="X302" s="46">
        <v>46217</v>
      </c>
      <c r="Y302" s="47">
        <v>0</v>
      </c>
      <c r="Z302" s="48">
        <f t="shared" si="178"/>
        <v>0</v>
      </c>
      <c r="AA302" s="49">
        <f t="shared" si="179"/>
        <v>0</v>
      </c>
      <c r="AB302" s="44">
        <v>701</v>
      </c>
      <c r="AC302" s="44">
        <f t="shared" si="180"/>
        <v>535</v>
      </c>
      <c r="AD302" s="44">
        <f t="shared" si="181"/>
        <v>166</v>
      </c>
      <c r="AE302" s="50">
        <f t="shared" si="182"/>
        <v>48</v>
      </c>
      <c r="AF302" s="41">
        <f t="shared" si="183"/>
        <v>0.96</v>
      </c>
      <c r="AG302" s="44">
        <v>0</v>
      </c>
      <c r="AH302" s="44">
        <v>0</v>
      </c>
      <c r="AI302" s="42">
        <f t="shared" si="159"/>
        <v>0.73287671232876717</v>
      </c>
      <c r="AJ302" s="42">
        <f t="shared" si="160"/>
        <v>0.22739726027397261</v>
      </c>
      <c r="AK302" s="40">
        <f t="shared" si="184"/>
        <v>1.3367671232876714</v>
      </c>
      <c r="AL302" s="51">
        <v>29</v>
      </c>
      <c r="AM302" s="52">
        <f t="shared" si="185"/>
        <v>7.2460273972602754E-2</v>
      </c>
      <c r="AN302" s="42">
        <f t="shared" si="161"/>
        <v>3.9726027397260277E-2</v>
      </c>
      <c r="AO302" s="53">
        <f t="shared" si="162"/>
        <v>29</v>
      </c>
      <c r="AP302" s="52">
        <f t="shared" si="163"/>
        <v>7.2460273972602754E-2</v>
      </c>
      <c r="AQ302" s="42">
        <f t="shared" si="164"/>
        <v>0.96027397260273972</v>
      </c>
      <c r="AR302" s="46">
        <v>46225</v>
      </c>
      <c r="AS302" s="46">
        <v>46225</v>
      </c>
      <c r="AT302" s="50">
        <f t="shared" si="165"/>
        <v>8</v>
      </c>
      <c r="AU302" s="50">
        <f t="shared" si="186"/>
        <v>296</v>
      </c>
      <c r="AV302" s="50">
        <f t="shared" si="166"/>
        <v>121</v>
      </c>
      <c r="AW302" s="54">
        <f t="shared" si="167"/>
        <v>175</v>
      </c>
    </row>
    <row r="303" spans="1:49" x14ac:dyDescent="0.25">
      <c r="A303" s="33" t="s">
        <v>55</v>
      </c>
      <c r="B303" s="33" t="s">
        <v>255</v>
      </c>
      <c r="C303" s="33" t="s">
        <v>132</v>
      </c>
      <c r="D303" s="33" t="s">
        <v>402</v>
      </c>
      <c r="E303" s="34">
        <f>COUNTIF('Detalle por artículo'!$K$8:$K$592,D303)</f>
        <v>1</v>
      </c>
      <c r="F303" s="35">
        <f t="shared" si="168"/>
        <v>184.86842105263156</v>
      </c>
      <c r="G303" s="36">
        <f>SUMIF('Detalle por artículo'!$K$8:$K$592,$D303,'Detalle por artículo'!$E$8:$E$592)</f>
        <v>1.8240000000000001</v>
      </c>
      <c r="H303" s="35">
        <f t="shared" si="169"/>
        <v>2</v>
      </c>
      <c r="I303" s="35">
        <f t="shared" si="170"/>
        <v>3</v>
      </c>
      <c r="J303" s="35">
        <f t="shared" si="171"/>
        <v>5</v>
      </c>
      <c r="K303" s="37">
        <f t="shared" si="172"/>
        <v>6.5142857142857141E-2</v>
      </c>
      <c r="L303" s="36">
        <f>SUMIF('Detalle por artículo'!$K$8:$K$592,$D303,'Detalle por artículo'!$O$8:$O$592)</f>
        <v>337.2</v>
      </c>
      <c r="M303" s="38">
        <f>SUMIF('Detalle por artículo'!$K$8:$K$592,$D303,'Detalle por artículo'!$I$8:$I$592)</f>
        <v>857</v>
      </c>
      <c r="N303" s="38">
        <f>SUMIF('Detalle por artículo'!$K$8:$K$592,$D303,'Detalle por artículo'!$M$8:$M$592)</f>
        <v>19</v>
      </c>
      <c r="O303" s="39">
        <f t="shared" si="173"/>
        <v>2.1283547257876312</v>
      </c>
      <c r="P303" s="40">
        <f t="shared" si="174"/>
        <v>393.46557759626603</v>
      </c>
      <c r="Q303" s="41">
        <f t="shared" si="175"/>
        <v>0.15</v>
      </c>
      <c r="R303" s="40">
        <f t="shared" si="176"/>
        <v>2.0975999999999999</v>
      </c>
      <c r="S303" s="42">
        <f>IFERROR(SUM($G$8:G303)/$G$6,0)</f>
        <v>0.93758193983103733</v>
      </c>
      <c r="T303" s="43" t="str">
        <f t="shared" si="177"/>
        <v>C</v>
      </c>
      <c r="U303" s="44">
        <v>857</v>
      </c>
      <c r="V303" s="45">
        <f t="shared" si="158"/>
        <v>0</v>
      </c>
      <c r="W303" s="46">
        <v>46218</v>
      </c>
      <c r="X303" s="46">
        <v>46218</v>
      </c>
      <c r="Y303" s="47">
        <v>0</v>
      </c>
      <c r="Z303" s="48">
        <f t="shared" si="178"/>
        <v>0</v>
      </c>
      <c r="AA303" s="49">
        <f t="shared" si="179"/>
        <v>0</v>
      </c>
      <c r="AB303" s="44">
        <v>576</v>
      </c>
      <c r="AC303" s="44">
        <f t="shared" si="180"/>
        <v>481</v>
      </c>
      <c r="AD303" s="44">
        <f t="shared" si="181"/>
        <v>94</v>
      </c>
      <c r="AE303" s="50">
        <f t="shared" si="182"/>
        <v>48</v>
      </c>
      <c r="AF303" s="41">
        <f t="shared" si="183"/>
        <v>0.96</v>
      </c>
      <c r="AG303" s="44">
        <v>1</v>
      </c>
      <c r="AH303" s="44">
        <v>0</v>
      </c>
      <c r="AI303" s="42">
        <f t="shared" si="159"/>
        <v>0.56126021003500581</v>
      </c>
      <c r="AJ303" s="42">
        <f t="shared" si="160"/>
        <v>0.10968494749124855</v>
      </c>
      <c r="AK303" s="40">
        <f t="shared" si="184"/>
        <v>1.0237386231038506</v>
      </c>
      <c r="AL303" s="51">
        <v>281</v>
      </c>
      <c r="AM303" s="52">
        <f t="shared" si="185"/>
        <v>0.59806767794632432</v>
      </c>
      <c r="AN303" s="42">
        <f t="shared" si="161"/>
        <v>0.32788798133022168</v>
      </c>
      <c r="AO303" s="53">
        <f t="shared" si="162"/>
        <v>281</v>
      </c>
      <c r="AP303" s="52">
        <f t="shared" si="163"/>
        <v>0.59806767794632432</v>
      </c>
      <c r="AQ303" s="42">
        <f t="shared" si="164"/>
        <v>0.67094515752625439</v>
      </c>
      <c r="AR303" s="46">
        <v>46225</v>
      </c>
      <c r="AS303" s="46">
        <v>46225</v>
      </c>
      <c r="AT303" s="50">
        <f t="shared" si="165"/>
        <v>7</v>
      </c>
      <c r="AU303" s="50">
        <f t="shared" si="186"/>
        <v>211</v>
      </c>
      <c r="AV303" s="50">
        <f t="shared" si="166"/>
        <v>220</v>
      </c>
      <c r="AW303" s="54">
        <f t="shared" si="167"/>
        <v>-9</v>
      </c>
    </row>
    <row r="304" spans="1:49" x14ac:dyDescent="0.25">
      <c r="A304" s="33" t="s">
        <v>63</v>
      </c>
      <c r="B304" s="33" t="s">
        <v>102</v>
      </c>
      <c r="C304" s="33" t="s">
        <v>132</v>
      </c>
      <c r="D304" s="33" t="s">
        <v>403</v>
      </c>
      <c r="E304" s="34">
        <f>COUNTIF('Detalle por artículo'!$K$8:$K$592,D304)</f>
        <v>1</v>
      </c>
      <c r="F304" s="35">
        <f t="shared" si="168"/>
        <v>249.56140350877192</v>
      </c>
      <c r="G304" s="36">
        <f>SUMIF('Detalle por artículo'!$K$8:$K$592,$D304,'Detalle por artículo'!$E$8:$E$592)</f>
        <v>1.8240000000000001</v>
      </c>
      <c r="H304" s="35">
        <f t="shared" si="169"/>
        <v>2</v>
      </c>
      <c r="I304" s="35">
        <f t="shared" si="170"/>
        <v>3</v>
      </c>
      <c r="J304" s="35">
        <f t="shared" si="171"/>
        <v>5</v>
      </c>
      <c r="K304" s="37">
        <f t="shared" si="172"/>
        <v>6.5142857142857141E-2</v>
      </c>
      <c r="L304" s="36">
        <f>SUMIF('Detalle por artículo'!$K$8:$K$592,$D304,'Detalle por artículo'!$O$8:$O$592)</f>
        <v>455.2</v>
      </c>
      <c r="M304" s="38">
        <f>SUMIF('Detalle por artículo'!$K$8:$K$592,$D304,'Detalle por artículo'!$I$8:$I$592)</f>
        <v>750</v>
      </c>
      <c r="N304" s="38">
        <f>SUMIF('Detalle por artículo'!$K$8:$K$592,$D304,'Detalle por artículo'!$M$8:$M$592)</f>
        <v>19</v>
      </c>
      <c r="O304" s="39">
        <f t="shared" si="173"/>
        <v>2.4319999999999999</v>
      </c>
      <c r="P304" s="40">
        <f t="shared" si="174"/>
        <v>606.93333333333328</v>
      </c>
      <c r="Q304" s="41">
        <f t="shared" si="175"/>
        <v>0.1</v>
      </c>
      <c r="R304" s="40">
        <f t="shared" si="176"/>
        <v>2.0064000000000002</v>
      </c>
      <c r="S304" s="42">
        <f>IFERROR(SUM($G$8:G304)/$G$6,0)</f>
        <v>0.93825219377717584</v>
      </c>
      <c r="T304" s="43" t="str">
        <f t="shared" si="177"/>
        <v>C</v>
      </c>
      <c r="U304" s="44">
        <v>750</v>
      </c>
      <c r="V304" s="45">
        <f t="shared" si="158"/>
        <v>0</v>
      </c>
      <c r="W304" s="46">
        <v>46237</v>
      </c>
      <c r="X304" s="46">
        <v>46237</v>
      </c>
      <c r="Y304" s="47">
        <v>0</v>
      </c>
      <c r="Z304" s="48">
        <f t="shared" si="178"/>
        <v>0</v>
      </c>
      <c r="AA304" s="49">
        <f t="shared" si="179"/>
        <v>0</v>
      </c>
      <c r="AB304" s="44">
        <v>662</v>
      </c>
      <c r="AC304" s="44">
        <f t="shared" si="180"/>
        <v>463</v>
      </c>
      <c r="AD304" s="44">
        <f t="shared" si="181"/>
        <v>188</v>
      </c>
      <c r="AE304" s="50">
        <f t="shared" si="182"/>
        <v>49</v>
      </c>
      <c r="AF304" s="41">
        <f t="shared" si="183"/>
        <v>0.98</v>
      </c>
      <c r="AG304" s="44">
        <v>2</v>
      </c>
      <c r="AH304" s="44">
        <v>9</v>
      </c>
      <c r="AI304" s="42">
        <f t="shared" si="159"/>
        <v>0.61733333333333329</v>
      </c>
      <c r="AJ304" s="42">
        <f t="shared" si="160"/>
        <v>0.25066666666666665</v>
      </c>
      <c r="AK304" s="40">
        <f t="shared" si="184"/>
        <v>1.1260160000000001</v>
      </c>
      <c r="AL304" s="51">
        <v>87</v>
      </c>
      <c r="AM304" s="52">
        <f t="shared" si="185"/>
        <v>0.21158399999999999</v>
      </c>
      <c r="AN304" s="42">
        <f t="shared" si="161"/>
        <v>0.11600000000000001</v>
      </c>
      <c r="AO304" s="53">
        <f t="shared" si="162"/>
        <v>88</v>
      </c>
      <c r="AP304" s="52">
        <f t="shared" si="163"/>
        <v>0.21401599999999998</v>
      </c>
      <c r="AQ304" s="42">
        <f t="shared" si="164"/>
        <v>0.86799999999999999</v>
      </c>
      <c r="AR304" s="46">
        <v>46252</v>
      </c>
      <c r="AS304" s="46">
        <v>46252</v>
      </c>
      <c r="AT304" s="50">
        <f t="shared" si="165"/>
        <v>15</v>
      </c>
      <c r="AU304" s="50">
        <f t="shared" si="186"/>
        <v>279</v>
      </c>
      <c r="AV304" s="50">
        <f t="shared" si="166"/>
        <v>149</v>
      </c>
      <c r="AW304" s="54">
        <f t="shared" si="167"/>
        <v>130</v>
      </c>
    </row>
    <row r="305" spans="1:49" x14ac:dyDescent="0.25">
      <c r="A305" s="33" t="s">
        <v>55</v>
      </c>
      <c r="B305" s="33" t="s">
        <v>255</v>
      </c>
      <c r="C305" s="33" t="s">
        <v>132</v>
      </c>
      <c r="D305" s="33" t="s">
        <v>404</v>
      </c>
      <c r="E305" s="34">
        <f>COUNTIF('Detalle por artículo'!$K$8:$K$592,D305)</f>
        <v>1</v>
      </c>
      <c r="F305" s="35">
        <f t="shared" si="168"/>
        <v>254.55555555555554</v>
      </c>
      <c r="G305" s="36">
        <f>SUMIF('Detalle por artículo'!$K$8:$K$592,$D305,'Detalle por artículo'!$E$8:$E$592)</f>
        <v>1.8</v>
      </c>
      <c r="H305" s="35">
        <f t="shared" si="169"/>
        <v>2</v>
      </c>
      <c r="I305" s="35">
        <f t="shared" si="170"/>
        <v>3</v>
      </c>
      <c r="J305" s="35">
        <f t="shared" si="171"/>
        <v>5</v>
      </c>
      <c r="K305" s="37">
        <f t="shared" si="172"/>
        <v>6.4285714285714293E-2</v>
      </c>
      <c r="L305" s="36">
        <f>SUMIF('Detalle por artículo'!$K$8:$K$592,$D305,'Detalle por artículo'!$O$8:$O$592)</f>
        <v>458.2</v>
      </c>
      <c r="M305" s="38">
        <f>SUMIF('Detalle por artículo'!$K$8:$K$592,$D305,'Detalle por artículo'!$I$8:$I$592)</f>
        <v>745</v>
      </c>
      <c r="N305" s="38">
        <f>SUMIF('Detalle por artículo'!$K$8:$K$592,$D305,'Detalle por artículo'!$M$8:$M$592)</f>
        <v>25</v>
      </c>
      <c r="O305" s="39">
        <f t="shared" si="173"/>
        <v>2.4161073825503356</v>
      </c>
      <c r="P305" s="40">
        <f t="shared" si="174"/>
        <v>615.03355704697981</v>
      </c>
      <c r="Q305" s="41">
        <f t="shared" si="175"/>
        <v>0.1</v>
      </c>
      <c r="R305" s="40">
        <f t="shared" si="176"/>
        <v>1.9800000000000002</v>
      </c>
      <c r="S305" s="42">
        <f>IFERROR(SUM($G$8:G305)/$G$6,0)</f>
        <v>0.9389136285924442</v>
      </c>
      <c r="T305" s="43" t="str">
        <f t="shared" si="177"/>
        <v>C</v>
      </c>
      <c r="U305" s="44">
        <v>745</v>
      </c>
      <c r="V305" s="45">
        <f t="shared" si="158"/>
        <v>0</v>
      </c>
      <c r="W305" s="46">
        <v>46218</v>
      </c>
      <c r="X305" s="46">
        <v>46218</v>
      </c>
      <c r="Y305" s="47">
        <v>0</v>
      </c>
      <c r="Z305" s="48">
        <f t="shared" si="178"/>
        <v>0</v>
      </c>
      <c r="AA305" s="49">
        <f t="shared" si="179"/>
        <v>0</v>
      </c>
      <c r="AB305" s="44">
        <v>624</v>
      </c>
      <c r="AC305" s="44">
        <f t="shared" si="180"/>
        <v>402</v>
      </c>
      <c r="AD305" s="44">
        <f t="shared" si="181"/>
        <v>220</v>
      </c>
      <c r="AE305" s="50">
        <f t="shared" si="182"/>
        <v>49</v>
      </c>
      <c r="AF305" s="41">
        <f t="shared" si="183"/>
        <v>0.98</v>
      </c>
      <c r="AG305" s="44">
        <v>2</v>
      </c>
      <c r="AH305" s="44">
        <v>0</v>
      </c>
      <c r="AI305" s="42">
        <f t="shared" si="159"/>
        <v>0.53959731543624156</v>
      </c>
      <c r="AJ305" s="42">
        <f t="shared" si="160"/>
        <v>0.29530201342281881</v>
      </c>
      <c r="AK305" s="40">
        <f t="shared" si="184"/>
        <v>0.97127516778523493</v>
      </c>
      <c r="AL305" s="51">
        <v>120</v>
      </c>
      <c r="AM305" s="52">
        <f t="shared" si="185"/>
        <v>0.28993288590604027</v>
      </c>
      <c r="AN305" s="42">
        <f t="shared" si="161"/>
        <v>0.16107382550335569</v>
      </c>
      <c r="AO305" s="53">
        <f t="shared" si="162"/>
        <v>121</v>
      </c>
      <c r="AP305" s="52">
        <f t="shared" si="163"/>
        <v>0.29234899328859065</v>
      </c>
      <c r="AQ305" s="42">
        <f t="shared" si="164"/>
        <v>0.83489932885906037</v>
      </c>
      <c r="AR305" s="46">
        <v>46225</v>
      </c>
      <c r="AS305" s="46">
        <v>46225</v>
      </c>
      <c r="AT305" s="50">
        <f t="shared" si="165"/>
        <v>7</v>
      </c>
      <c r="AU305" s="50">
        <f t="shared" si="186"/>
        <v>288</v>
      </c>
      <c r="AV305" s="50">
        <f t="shared" si="166"/>
        <v>171</v>
      </c>
      <c r="AW305" s="54">
        <f t="shared" si="167"/>
        <v>117</v>
      </c>
    </row>
    <row r="306" spans="1:49" x14ac:dyDescent="0.25">
      <c r="A306" s="33" t="s">
        <v>138</v>
      </c>
      <c r="B306" s="33" t="s">
        <v>393</v>
      </c>
      <c r="C306" s="33" t="s">
        <v>122</v>
      </c>
      <c r="D306" s="33" t="s">
        <v>405</v>
      </c>
      <c r="E306" s="34">
        <f>COUNTIF('Detalle por artículo'!$K$8:$K$592,D306)</f>
        <v>2</v>
      </c>
      <c r="F306" s="35">
        <f t="shared" si="168"/>
        <v>193.10151430173866</v>
      </c>
      <c r="G306" s="36">
        <f>SUMIF('Detalle por artículo'!$K$8:$K$592,$D306,'Detalle por artículo'!$E$8:$E$592)</f>
        <v>1.7829999999999999</v>
      </c>
      <c r="H306" s="35">
        <f t="shared" si="169"/>
        <v>2</v>
      </c>
      <c r="I306" s="35">
        <f t="shared" si="170"/>
        <v>3</v>
      </c>
      <c r="J306" s="35">
        <f t="shared" si="171"/>
        <v>5</v>
      </c>
      <c r="K306" s="37">
        <f t="shared" si="172"/>
        <v>6.3678571428571432E-2</v>
      </c>
      <c r="L306" s="36">
        <f>SUMIF('Detalle por artículo'!$K$8:$K$592,$D306,'Detalle por artículo'!$O$8:$O$592)</f>
        <v>344.3</v>
      </c>
      <c r="M306" s="38">
        <f>SUMIF('Detalle por artículo'!$K$8:$K$592,$D306,'Detalle por artículo'!$I$8:$I$592)</f>
        <v>1019</v>
      </c>
      <c r="N306" s="38">
        <f>SUMIF('Detalle por artículo'!$K$8:$K$592,$D306,'Detalle por artículo'!$M$8:$M$592)</f>
        <v>23</v>
      </c>
      <c r="O306" s="39">
        <f t="shared" si="173"/>
        <v>1.749754661432777</v>
      </c>
      <c r="P306" s="40">
        <f t="shared" si="174"/>
        <v>337.8802747791953</v>
      </c>
      <c r="Q306" s="41">
        <f t="shared" si="175"/>
        <v>0.15</v>
      </c>
      <c r="R306" s="40">
        <f t="shared" si="176"/>
        <v>2.0504499999999997</v>
      </c>
      <c r="S306" s="42">
        <f>IFERROR(SUM($G$8:G306)/$G$6,0)</f>
        <v>0.9395688165233459</v>
      </c>
      <c r="T306" s="43" t="str">
        <f t="shared" si="177"/>
        <v>C</v>
      </c>
      <c r="U306" s="44">
        <v>1043</v>
      </c>
      <c r="V306" s="45">
        <f t="shared" si="158"/>
        <v>24</v>
      </c>
      <c r="W306" s="46">
        <v>46281</v>
      </c>
      <c r="X306" s="46">
        <v>46300</v>
      </c>
      <c r="Y306" s="47">
        <v>0</v>
      </c>
      <c r="Z306" s="48">
        <f t="shared" si="178"/>
        <v>0</v>
      </c>
      <c r="AA306" s="49">
        <f t="shared" si="179"/>
        <v>0</v>
      </c>
      <c r="AB306" s="44">
        <v>520</v>
      </c>
      <c r="AC306" s="44">
        <f t="shared" si="180"/>
        <v>477</v>
      </c>
      <c r="AD306" s="44">
        <f t="shared" si="181"/>
        <v>39</v>
      </c>
      <c r="AE306" s="50">
        <f t="shared" si="182"/>
        <v>34</v>
      </c>
      <c r="AF306" s="41">
        <f t="shared" si="183"/>
        <v>0.68</v>
      </c>
      <c r="AG306" s="44">
        <v>4</v>
      </c>
      <c r="AH306" s="44">
        <v>0</v>
      </c>
      <c r="AI306" s="42">
        <f t="shared" si="159"/>
        <v>0.46810598626104022</v>
      </c>
      <c r="AJ306" s="42">
        <f t="shared" si="160"/>
        <v>3.8272816486751716E-2</v>
      </c>
      <c r="AK306" s="40">
        <f t="shared" si="184"/>
        <v>0.83463297350343468</v>
      </c>
      <c r="AL306" s="51">
        <v>521</v>
      </c>
      <c r="AM306" s="52">
        <f t="shared" si="185"/>
        <v>0.91162217860647687</v>
      </c>
      <c r="AN306" s="42">
        <f t="shared" si="161"/>
        <v>0.49952061361457334</v>
      </c>
      <c r="AO306" s="53">
        <f t="shared" si="162"/>
        <v>499</v>
      </c>
      <c r="AP306" s="52">
        <f t="shared" si="163"/>
        <v>0.87312757605495572</v>
      </c>
      <c r="AQ306" s="42">
        <f t="shared" si="164"/>
        <v>0.5063788027477919</v>
      </c>
      <c r="AR306" s="46">
        <v>46292</v>
      </c>
      <c r="AS306" s="46">
        <v>46293</v>
      </c>
      <c r="AT306" s="50">
        <f t="shared" si="165"/>
        <v>12</v>
      </c>
      <c r="AU306" s="50">
        <f t="shared" si="186"/>
        <v>169</v>
      </c>
      <c r="AV306" s="50">
        <f t="shared" si="166"/>
        <v>260</v>
      </c>
      <c r="AW306" s="54">
        <f t="shared" si="167"/>
        <v>-91</v>
      </c>
    </row>
    <row r="307" spans="1:49" x14ac:dyDescent="0.25">
      <c r="A307" s="33" t="s">
        <v>55</v>
      </c>
      <c r="B307" s="33" t="s">
        <v>255</v>
      </c>
      <c r="C307" s="33" t="s">
        <v>132</v>
      </c>
      <c r="D307" s="33" t="s">
        <v>406</v>
      </c>
      <c r="E307" s="34">
        <f>COUNTIF('Detalle por artículo'!$K$8:$K$592,D307)</f>
        <v>1</v>
      </c>
      <c r="F307" s="35">
        <f t="shared" si="168"/>
        <v>255.09510869565216</v>
      </c>
      <c r="G307" s="36">
        <f>SUMIF('Detalle por artículo'!$K$8:$K$592,$D307,'Detalle por artículo'!$E$8:$E$592)</f>
        <v>1.7664</v>
      </c>
      <c r="H307" s="35">
        <f t="shared" si="169"/>
        <v>2</v>
      </c>
      <c r="I307" s="35">
        <f t="shared" si="170"/>
        <v>3</v>
      </c>
      <c r="J307" s="35">
        <f t="shared" si="171"/>
        <v>5</v>
      </c>
      <c r="K307" s="37">
        <f t="shared" si="172"/>
        <v>6.3085714285714287E-2</v>
      </c>
      <c r="L307" s="36">
        <f>SUMIF('Detalle por artículo'!$K$8:$K$592,$D307,'Detalle por artículo'!$O$8:$O$592)</f>
        <v>450.59999999999997</v>
      </c>
      <c r="M307" s="38">
        <f>SUMIF('Detalle por artículo'!$K$8:$K$592,$D307,'Detalle por artículo'!$I$8:$I$592)</f>
        <v>783</v>
      </c>
      <c r="N307" s="38">
        <f>SUMIF('Detalle por artículo'!$K$8:$K$592,$D307,'Detalle por artículo'!$M$8:$M$592)</f>
        <v>23</v>
      </c>
      <c r="O307" s="39">
        <f t="shared" si="173"/>
        <v>2.2559386973180073</v>
      </c>
      <c r="P307" s="40">
        <f t="shared" si="174"/>
        <v>575.47892720306504</v>
      </c>
      <c r="Q307" s="41">
        <f t="shared" si="175"/>
        <v>0.1</v>
      </c>
      <c r="R307" s="40">
        <f t="shared" si="176"/>
        <v>1.9430400000000001</v>
      </c>
      <c r="S307" s="42">
        <f>IFERROR(SUM($G$8:G307)/$G$6,0)</f>
        <v>0.94021790455539578</v>
      </c>
      <c r="T307" s="43" t="str">
        <f t="shared" si="177"/>
        <v>C</v>
      </c>
      <c r="U307" s="44">
        <v>783</v>
      </c>
      <c r="V307" s="45">
        <f t="shared" si="158"/>
        <v>0</v>
      </c>
      <c r="W307" s="46">
        <v>46188</v>
      </c>
      <c r="X307" s="46">
        <v>46188</v>
      </c>
      <c r="Y307" s="47">
        <v>0</v>
      </c>
      <c r="Z307" s="48">
        <f t="shared" si="178"/>
        <v>0</v>
      </c>
      <c r="AA307" s="49">
        <f t="shared" si="179"/>
        <v>0</v>
      </c>
      <c r="AB307" s="44">
        <v>561</v>
      </c>
      <c r="AC307" s="44">
        <f t="shared" si="180"/>
        <v>409</v>
      </c>
      <c r="AD307" s="44">
        <f t="shared" si="181"/>
        <v>144</v>
      </c>
      <c r="AE307" s="50">
        <f t="shared" si="182"/>
        <v>48</v>
      </c>
      <c r="AF307" s="41">
        <f t="shared" si="183"/>
        <v>0.96</v>
      </c>
      <c r="AG307" s="44">
        <v>0</v>
      </c>
      <c r="AH307" s="44">
        <v>8</v>
      </c>
      <c r="AI307" s="42">
        <f t="shared" si="159"/>
        <v>0.52234993614303959</v>
      </c>
      <c r="AJ307" s="42">
        <f t="shared" si="160"/>
        <v>0.18390804597701149</v>
      </c>
      <c r="AK307" s="40">
        <f t="shared" si="184"/>
        <v>0.92267892720306499</v>
      </c>
      <c r="AL307" s="51">
        <v>222</v>
      </c>
      <c r="AM307" s="52">
        <f t="shared" si="185"/>
        <v>0.50081839080459767</v>
      </c>
      <c r="AN307" s="42">
        <f t="shared" si="161"/>
        <v>0.28352490421455939</v>
      </c>
      <c r="AO307" s="53">
        <f t="shared" si="162"/>
        <v>222</v>
      </c>
      <c r="AP307" s="52">
        <f t="shared" si="163"/>
        <v>0.50081839080459767</v>
      </c>
      <c r="AQ307" s="42">
        <f t="shared" si="164"/>
        <v>0.70625798212005109</v>
      </c>
      <c r="AR307" s="46">
        <v>46219</v>
      </c>
      <c r="AS307" s="46">
        <v>46219</v>
      </c>
      <c r="AT307" s="50">
        <f t="shared" si="165"/>
        <v>31</v>
      </c>
      <c r="AU307" s="50">
        <f t="shared" si="186"/>
        <v>252</v>
      </c>
      <c r="AV307" s="50">
        <f t="shared" si="166"/>
        <v>232</v>
      </c>
      <c r="AW307" s="54">
        <f t="shared" si="167"/>
        <v>20</v>
      </c>
    </row>
    <row r="308" spans="1:49" x14ac:dyDescent="0.25">
      <c r="A308" s="33" t="s">
        <v>138</v>
      </c>
      <c r="B308" s="33" t="s">
        <v>407</v>
      </c>
      <c r="C308" s="33" t="s">
        <v>172</v>
      </c>
      <c r="D308" s="33" t="s">
        <v>408</v>
      </c>
      <c r="E308" s="34">
        <f>COUNTIF('Detalle por artículo'!$K$8:$K$592,D308)</f>
        <v>1</v>
      </c>
      <c r="F308" s="35">
        <f t="shared" si="168"/>
        <v>114.11564625850339</v>
      </c>
      <c r="G308" s="36">
        <f>SUMIF('Detalle por artículo'!$K$8:$K$592,$D308,'Detalle por artículo'!$E$8:$E$592)</f>
        <v>1.764</v>
      </c>
      <c r="H308" s="35">
        <f t="shared" si="169"/>
        <v>2</v>
      </c>
      <c r="I308" s="35">
        <f t="shared" si="170"/>
        <v>3</v>
      </c>
      <c r="J308" s="35">
        <f t="shared" si="171"/>
        <v>5</v>
      </c>
      <c r="K308" s="37">
        <f t="shared" si="172"/>
        <v>6.3E-2</v>
      </c>
      <c r="L308" s="36">
        <f>SUMIF('Detalle por artículo'!$K$8:$K$592,$D308,'Detalle por artículo'!$O$8:$O$592)</f>
        <v>201.29999999999998</v>
      </c>
      <c r="M308" s="38">
        <f>SUMIF('Detalle por artículo'!$K$8:$K$592,$D308,'Detalle por artículo'!$I$8:$I$592)</f>
        <v>402</v>
      </c>
      <c r="N308" s="38">
        <f>SUMIF('Detalle por artículo'!$K$8:$K$592,$D308,'Detalle por artículo'!$M$8:$M$592)</f>
        <v>14</v>
      </c>
      <c r="O308" s="39">
        <f t="shared" si="173"/>
        <v>4.3880597014925371</v>
      </c>
      <c r="P308" s="40">
        <f t="shared" si="174"/>
        <v>500.74626865671632</v>
      </c>
      <c r="Q308" s="41">
        <f t="shared" si="175"/>
        <v>0.2</v>
      </c>
      <c r="R308" s="40">
        <f t="shared" si="176"/>
        <v>2.1168</v>
      </c>
      <c r="S308" s="42">
        <f>IFERROR(SUM($G$8:G308)/$G$6,0)</f>
        <v>0.94086611067435877</v>
      </c>
      <c r="T308" s="43" t="str">
        <f t="shared" si="177"/>
        <v>C</v>
      </c>
      <c r="U308" s="44">
        <v>401</v>
      </c>
      <c r="V308" s="45">
        <f t="shared" si="158"/>
        <v>-1</v>
      </c>
      <c r="W308" s="46">
        <v>46272</v>
      </c>
      <c r="X308" s="46">
        <v>46272</v>
      </c>
      <c r="Y308" s="47">
        <v>403</v>
      </c>
      <c r="Z308" s="48">
        <f t="shared" si="178"/>
        <v>1.7683880597014925</v>
      </c>
      <c r="AA308" s="49">
        <f t="shared" si="179"/>
        <v>6.3156716417910444E-2</v>
      </c>
      <c r="AB308" s="44">
        <v>227</v>
      </c>
      <c r="AC308" s="44">
        <f t="shared" si="180"/>
        <v>210</v>
      </c>
      <c r="AD308" s="44">
        <f t="shared" si="181"/>
        <v>11</v>
      </c>
      <c r="AE308" s="50">
        <f t="shared" si="182"/>
        <v>33</v>
      </c>
      <c r="AF308" s="41">
        <f t="shared" si="183"/>
        <v>0.66</v>
      </c>
      <c r="AG308" s="44">
        <v>0</v>
      </c>
      <c r="AH308" s="44">
        <v>6</v>
      </c>
      <c r="AI308" s="42">
        <f t="shared" si="159"/>
        <v>0.52238805970149249</v>
      </c>
      <c r="AJ308" s="42">
        <f t="shared" si="160"/>
        <v>2.736318407960199E-2</v>
      </c>
      <c r="AK308" s="40">
        <f t="shared" si="184"/>
        <v>0.92149253731343272</v>
      </c>
      <c r="AL308" s="51">
        <v>174</v>
      </c>
      <c r="AM308" s="52">
        <f t="shared" si="185"/>
        <v>0.76352238805970152</v>
      </c>
      <c r="AN308" s="42">
        <f t="shared" si="161"/>
        <v>0.43391521197007482</v>
      </c>
      <c r="AO308" s="53">
        <f t="shared" si="162"/>
        <v>175</v>
      </c>
      <c r="AP308" s="52">
        <f t="shared" si="163"/>
        <v>0.76791044776119399</v>
      </c>
      <c r="AQ308" s="42">
        <f t="shared" si="164"/>
        <v>0.54975124378109452</v>
      </c>
      <c r="AR308" s="46">
        <v>46274</v>
      </c>
      <c r="AS308" s="46">
        <v>46279</v>
      </c>
      <c r="AT308" s="50">
        <f t="shared" si="165"/>
        <v>7</v>
      </c>
      <c r="AU308" s="50">
        <f t="shared" si="186"/>
        <v>451</v>
      </c>
      <c r="AV308" s="50">
        <f t="shared" si="166"/>
        <v>376</v>
      </c>
      <c r="AW308" s="54">
        <f t="shared" si="167"/>
        <v>75</v>
      </c>
    </row>
    <row r="309" spans="1:49" x14ac:dyDescent="0.25">
      <c r="A309" s="33" t="s">
        <v>63</v>
      </c>
      <c r="B309" s="33" t="s">
        <v>84</v>
      </c>
      <c r="C309" s="33" t="s">
        <v>94</v>
      </c>
      <c r="D309" s="33" t="s">
        <v>409</v>
      </c>
      <c r="E309" s="34">
        <f>COUNTIF('Detalle por artículo'!$K$8:$K$592,D309)</f>
        <v>1</v>
      </c>
      <c r="F309" s="35">
        <f t="shared" si="168"/>
        <v>173.72304199772987</v>
      </c>
      <c r="G309" s="36">
        <f>SUMIF('Detalle por artículo'!$K$8:$K$592,$D309,'Detalle por artículo'!$E$8:$E$592)</f>
        <v>1.762</v>
      </c>
      <c r="H309" s="35">
        <f t="shared" si="169"/>
        <v>2</v>
      </c>
      <c r="I309" s="35">
        <f t="shared" si="170"/>
        <v>3</v>
      </c>
      <c r="J309" s="35">
        <f t="shared" si="171"/>
        <v>5</v>
      </c>
      <c r="K309" s="37">
        <f t="shared" si="172"/>
        <v>6.2928571428571431E-2</v>
      </c>
      <c r="L309" s="36">
        <f>SUMIF('Detalle por artículo'!$K$8:$K$592,$D309,'Detalle por artículo'!$O$8:$O$592)</f>
        <v>306.10000000000002</v>
      </c>
      <c r="M309" s="38">
        <f>SUMIF('Detalle por artículo'!$K$8:$K$592,$D309,'Detalle por artículo'!$I$8:$I$592)</f>
        <v>422</v>
      </c>
      <c r="N309" s="38">
        <f>SUMIF('Detalle por artículo'!$K$8:$K$592,$D309,'Detalle por artículo'!$M$8:$M$592)</f>
        <v>17</v>
      </c>
      <c r="O309" s="39">
        <f t="shared" si="173"/>
        <v>4.1753554502369674</v>
      </c>
      <c r="P309" s="40">
        <f t="shared" si="174"/>
        <v>725.35545023696693</v>
      </c>
      <c r="Q309" s="41">
        <f t="shared" si="175"/>
        <v>0.15</v>
      </c>
      <c r="R309" s="40">
        <f t="shared" si="176"/>
        <v>2.0263</v>
      </c>
      <c r="S309" s="42">
        <f>IFERROR(SUM($G$8:G309)/$G$6,0)</f>
        <v>0.94151358186574918</v>
      </c>
      <c r="T309" s="43" t="str">
        <f t="shared" si="177"/>
        <v>C</v>
      </c>
      <c r="U309" s="44">
        <v>0</v>
      </c>
      <c r="V309" s="45">
        <f t="shared" si="158"/>
        <v>-422</v>
      </c>
      <c r="W309" s="46"/>
      <c r="X309" s="46"/>
      <c r="Y309" s="47">
        <v>422</v>
      </c>
      <c r="Z309" s="48">
        <f t="shared" si="178"/>
        <v>1.7620000000000002</v>
      </c>
      <c r="AA309" s="49">
        <f t="shared" si="179"/>
        <v>6.2928571428571431E-2</v>
      </c>
      <c r="AB309" s="44">
        <v>0</v>
      </c>
      <c r="AC309" s="44">
        <f t="shared" si="180"/>
        <v>0</v>
      </c>
      <c r="AD309" s="44">
        <f t="shared" si="181"/>
        <v>0</v>
      </c>
      <c r="AE309" s="50">
        <f t="shared" si="182"/>
        <v>0</v>
      </c>
      <c r="AF309" s="41">
        <f t="shared" si="183"/>
        <v>0</v>
      </c>
      <c r="AG309" s="44">
        <v>0</v>
      </c>
      <c r="AH309" s="44">
        <v>0</v>
      </c>
      <c r="AI309" s="42">
        <f t="shared" si="159"/>
        <v>0</v>
      </c>
      <c r="AJ309" s="42">
        <f t="shared" si="160"/>
        <v>0</v>
      </c>
      <c r="AK309" s="40">
        <f t="shared" si="184"/>
        <v>0</v>
      </c>
      <c r="AL309" s="51">
        <v>0</v>
      </c>
      <c r="AM309" s="52">
        <f t="shared" si="185"/>
        <v>0</v>
      </c>
      <c r="AN309" s="42">
        <f t="shared" si="161"/>
        <v>0</v>
      </c>
      <c r="AO309" s="53">
        <f t="shared" si="162"/>
        <v>422</v>
      </c>
      <c r="AP309" s="52">
        <f t="shared" si="163"/>
        <v>1.7620000000000002</v>
      </c>
      <c r="AQ309" s="42">
        <f t="shared" si="164"/>
        <v>0</v>
      </c>
      <c r="AR309" s="46"/>
      <c r="AS309" s="46"/>
      <c r="AT309" s="50" t="str">
        <f t="shared" si="165"/>
        <v/>
      </c>
      <c r="AU309" s="50">
        <f t="shared" si="186"/>
        <v>444</v>
      </c>
      <c r="AV309" s="50" t="str">
        <f t="shared" si="166"/>
        <v/>
      </c>
      <c r="AW309" s="54" t="str">
        <f t="shared" si="167"/>
        <v/>
      </c>
    </row>
    <row r="310" spans="1:49" x14ac:dyDescent="0.25">
      <c r="A310" s="33" t="s">
        <v>63</v>
      </c>
      <c r="B310" s="33" t="s">
        <v>84</v>
      </c>
      <c r="C310" s="33" t="s">
        <v>87</v>
      </c>
      <c r="D310" s="33" t="s">
        <v>410</v>
      </c>
      <c r="E310" s="34">
        <f>COUNTIF('Detalle por artículo'!$K$8:$K$592,D310)</f>
        <v>1</v>
      </c>
      <c r="F310" s="35">
        <f t="shared" si="168"/>
        <v>165.92567259461927</v>
      </c>
      <c r="G310" s="36">
        <f>SUMIF('Detalle por artículo'!$K$8:$K$592,$D310,'Detalle por artículo'!$E$8:$E$592)</f>
        <v>1.7544</v>
      </c>
      <c r="H310" s="35">
        <f t="shared" si="169"/>
        <v>2</v>
      </c>
      <c r="I310" s="35">
        <f t="shared" si="170"/>
        <v>3</v>
      </c>
      <c r="J310" s="35">
        <f t="shared" si="171"/>
        <v>5</v>
      </c>
      <c r="K310" s="37">
        <f t="shared" si="172"/>
        <v>6.2657142857142856E-2</v>
      </c>
      <c r="L310" s="36">
        <f>SUMIF('Detalle por artículo'!$K$8:$K$592,$D310,'Detalle por artículo'!$O$8:$O$592)</f>
        <v>291.10000000000002</v>
      </c>
      <c r="M310" s="38">
        <f>SUMIF('Detalle por artículo'!$K$8:$K$592,$D310,'Detalle por artículo'!$I$8:$I$592)</f>
        <v>518</v>
      </c>
      <c r="N310" s="38">
        <f>SUMIF('Detalle por artículo'!$K$8:$K$592,$D310,'Detalle por artículo'!$M$8:$M$592)</f>
        <v>17</v>
      </c>
      <c r="O310" s="39">
        <f t="shared" si="173"/>
        <v>3.3868725868725869</v>
      </c>
      <c r="P310" s="40">
        <f t="shared" si="174"/>
        <v>561.96911196911208</v>
      </c>
      <c r="Q310" s="41">
        <f t="shared" si="175"/>
        <v>0.15</v>
      </c>
      <c r="R310" s="40">
        <f t="shared" si="176"/>
        <v>2.0175599999999996</v>
      </c>
      <c r="S310" s="42">
        <f>IFERROR(SUM($G$8:G310)/$G$6,0)</f>
        <v>0.94215826033236383</v>
      </c>
      <c r="T310" s="43" t="str">
        <f t="shared" si="177"/>
        <v>C</v>
      </c>
      <c r="U310" s="44">
        <v>0</v>
      </c>
      <c r="V310" s="45">
        <f t="shared" si="158"/>
        <v>-518</v>
      </c>
      <c r="W310" s="46"/>
      <c r="X310" s="46"/>
      <c r="Y310" s="47">
        <v>518</v>
      </c>
      <c r="Z310" s="48">
        <f t="shared" si="178"/>
        <v>1.7544000000000002</v>
      </c>
      <c r="AA310" s="49">
        <f t="shared" si="179"/>
        <v>6.265714285714287E-2</v>
      </c>
      <c r="AB310" s="44">
        <v>0</v>
      </c>
      <c r="AC310" s="44">
        <f t="shared" si="180"/>
        <v>0</v>
      </c>
      <c r="AD310" s="44">
        <f t="shared" si="181"/>
        <v>0</v>
      </c>
      <c r="AE310" s="50">
        <f t="shared" si="182"/>
        <v>0</v>
      </c>
      <c r="AF310" s="41">
        <f t="shared" si="183"/>
        <v>0</v>
      </c>
      <c r="AG310" s="44">
        <v>0</v>
      </c>
      <c r="AH310" s="44">
        <v>0</v>
      </c>
      <c r="AI310" s="42">
        <f t="shared" si="159"/>
        <v>0</v>
      </c>
      <c r="AJ310" s="42">
        <f t="shared" si="160"/>
        <v>0</v>
      </c>
      <c r="AK310" s="40">
        <f t="shared" si="184"/>
        <v>0</v>
      </c>
      <c r="AL310" s="51">
        <v>0</v>
      </c>
      <c r="AM310" s="52">
        <f t="shared" si="185"/>
        <v>0</v>
      </c>
      <c r="AN310" s="42">
        <f t="shared" si="161"/>
        <v>0</v>
      </c>
      <c r="AO310" s="53">
        <f t="shared" si="162"/>
        <v>518</v>
      </c>
      <c r="AP310" s="52">
        <f t="shared" si="163"/>
        <v>1.7544000000000002</v>
      </c>
      <c r="AQ310" s="42">
        <f t="shared" si="164"/>
        <v>0</v>
      </c>
      <c r="AR310" s="46"/>
      <c r="AS310" s="46"/>
      <c r="AT310" s="50" t="str">
        <f t="shared" si="165"/>
        <v/>
      </c>
      <c r="AU310" s="50">
        <f t="shared" si="186"/>
        <v>424</v>
      </c>
      <c r="AV310" s="50" t="str">
        <f t="shared" si="166"/>
        <v/>
      </c>
      <c r="AW310" s="54" t="str">
        <f t="shared" si="167"/>
        <v/>
      </c>
    </row>
    <row r="311" spans="1:49" x14ac:dyDescent="0.25">
      <c r="A311" s="33" t="s">
        <v>63</v>
      </c>
      <c r="B311" s="33" t="s">
        <v>263</v>
      </c>
      <c r="C311" s="33" t="s">
        <v>264</v>
      </c>
      <c r="D311" s="33" t="s">
        <v>411</v>
      </c>
      <c r="E311" s="34">
        <f>COUNTIF('Detalle por artículo'!$K$8:$K$592,D311)</f>
        <v>1</v>
      </c>
      <c r="F311" s="35">
        <f t="shared" si="168"/>
        <v>189.65517241379311</v>
      </c>
      <c r="G311" s="36">
        <f>SUMIF('Detalle por artículo'!$K$8:$K$592,$D311,'Detalle por artículo'!$E$8:$E$592)</f>
        <v>1.74</v>
      </c>
      <c r="H311" s="35">
        <f t="shared" si="169"/>
        <v>2</v>
      </c>
      <c r="I311" s="35">
        <f t="shared" si="170"/>
        <v>3</v>
      </c>
      <c r="J311" s="35">
        <f t="shared" si="171"/>
        <v>5</v>
      </c>
      <c r="K311" s="37">
        <f t="shared" si="172"/>
        <v>6.2142857142857146E-2</v>
      </c>
      <c r="L311" s="36">
        <f>SUMIF('Detalle por artículo'!$K$8:$K$592,$D311,'Detalle por artículo'!$O$8:$O$592)</f>
        <v>330</v>
      </c>
      <c r="M311" s="38">
        <f>SUMIF('Detalle por artículo'!$K$8:$K$592,$D311,'Detalle por artículo'!$I$8:$I$592)</f>
        <v>756</v>
      </c>
      <c r="N311" s="38">
        <f>SUMIF('Detalle por artículo'!$K$8:$K$592,$D311,'Detalle por artículo'!$M$8:$M$592)</f>
        <v>17</v>
      </c>
      <c r="O311" s="39">
        <f t="shared" si="173"/>
        <v>2.3015873015873014</v>
      </c>
      <c r="P311" s="40">
        <f t="shared" si="174"/>
        <v>436.50793650793651</v>
      </c>
      <c r="Q311" s="41">
        <f t="shared" si="175"/>
        <v>0.15</v>
      </c>
      <c r="R311" s="40">
        <f t="shared" si="176"/>
        <v>2.0009999999999999</v>
      </c>
      <c r="S311" s="42">
        <f>IFERROR(SUM($G$8:G311)/$G$6,0)</f>
        <v>0.94279764732045634</v>
      </c>
      <c r="T311" s="43" t="str">
        <f t="shared" si="177"/>
        <v>C</v>
      </c>
      <c r="U311" s="44">
        <v>756</v>
      </c>
      <c r="V311" s="45">
        <f t="shared" si="158"/>
        <v>0</v>
      </c>
      <c r="W311" s="46">
        <v>46240</v>
      </c>
      <c r="X311" s="46">
        <v>46240</v>
      </c>
      <c r="Y311" s="47">
        <v>0</v>
      </c>
      <c r="Z311" s="48">
        <f t="shared" si="178"/>
        <v>0</v>
      </c>
      <c r="AA311" s="49">
        <f t="shared" si="179"/>
        <v>0</v>
      </c>
      <c r="AB311" s="44">
        <v>704</v>
      </c>
      <c r="AC311" s="44">
        <f t="shared" si="180"/>
        <v>459</v>
      </c>
      <c r="AD311" s="44">
        <f t="shared" si="181"/>
        <v>221</v>
      </c>
      <c r="AE311" s="50">
        <f t="shared" si="182"/>
        <v>49</v>
      </c>
      <c r="AF311" s="41">
        <f t="shared" si="183"/>
        <v>0.98</v>
      </c>
      <c r="AG311" s="44">
        <v>0</v>
      </c>
      <c r="AH311" s="44">
        <v>24</v>
      </c>
      <c r="AI311" s="42">
        <f t="shared" si="159"/>
        <v>0.6071428571428571</v>
      </c>
      <c r="AJ311" s="42">
        <f t="shared" si="160"/>
        <v>0.29232804232804233</v>
      </c>
      <c r="AK311" s="40">
        <f t="shared" si="184"/>
        <v>1.0564285714285713</v>
      </c>
      <c r="AL311" s="51">
        <v>51</v>
      </c>
      <c r="AM311" s="52">
        <f t="shared" si="185"/>
        <v>0.11738095238095236</v>
      </c>
      <c r="AN311" s="42">
        <f t="shared" si="161"/>
        <v>6.7460317460317457E-2</v>
      </c>
      <c r="AO311" s="53">
        <f t="shared" si="162"/>
        <v>52</v>
      </c>
      <c r="AP311" s="52">
        <f t="shared" si="163"/>
        <v>0.11968253968253967</v>
      </c>
      <c r="AQ311" s="42">
        <f t="shared" si="164"/>
        <v>0.89947089947089942</v>
      </c>
      <c r="AR311" s="46">
        <v>46244</v>
      </c>
      <c r="AS311" s="46">
        <v>46245</v>
      </c>
      <c r="AT311" s="50">
        <f t="shared" si="165"/>
        <v>5</v>
      </c>
      <c r="AU311" s="50">
        <f t="shared" si="186"/>
        <v>276</v>
      </c>
      <c r="AV311" s="50">
        <f t="shared" si="166"/>
        <v>120</v>
      </c>
      <c r="AW311" s="54">
        <f t="shared" si="167"/>
        <v>156</v>
      </c>
    </row>
    <row r="312" spans="1:49" x14ac:dyDescent="0.25">
      <c r="A312" s="33" t="s">
        <v>63</v>
      </c>
      <c r="B312" s="33" t="s">
        <v>171</v>
      </c>
      <c r="C312" s="33" t="s">
        <v>363</v>
      </c>
      <c r="D312" s="33" t="s">
        <v>412</v>
      </c>
      <c r="E312" s="34">
        <f>COUNTIF('Detalle por artículo'!$K$8:$K$592,D312)</f>
        <v>1</v>
      </c>
      <c r="F312" s="35">
        <f t="shared" si="168"/>
        <v>204.27745664739882</v>
      </c>
      <c r="G312" s="36">
        <f>SUMIF('Detalle por artículo'!$K$8:$K$592,$D312,'Detalle por artículo'!$E$8:$E$592)</f>
        <v>1.73</v>
      </c>
      <c r="H312" s="35">
        <f t="shared" si="169"/>
        <v>2</v>
      </c>
      <c r="I312" s="35">
        <f t="shared" si="170"/>
        <v>3</v>
      </c>
      <c r="J312" s="35">
        <f t="shared" si="171"/>
        <v>5</v>
      </c>
      <c r="K312" s="37">
        <f t="shared" si="172"/>
        <v>6.1785714285714284E-2</v>
      </c>
      <c r="L312" s="36">
        <f>SUMIF('Detalle por artículo'!$K$8:$K$592,$D312,'Detalle por artículo'!$O$8:$O$592)</f>
        <v>353.4</v>
      </c>
      <c r="M312" s="38">
        <f>SUMIF('Detalle por artículo'!$K$8:$K$592,$D312,'Detalle por artículo'!$I$8:$I$592)</f>
        <v>714</v>
      </c>
      <c r="N312" s="38">
        <f>SUMIF('Detalle por artículo'!$K$8:$K$592,$D312,'Detalle por artículo'!$M$8:$M$592)</f>
        <v>18</v>
      </c>
      <c r="O312" s="39">
        <f t="shared" si="173"/>
        <v>2.4229691876750699</v>
      </c>
      <c r="P312" s="40">
        <f t="shared" si="174"/>
        <v>494.9579831932773</v>
      </c>
      <c r="Q312" s="41">
        <f t="shared" si="175"/>
        <v>0.1</v>
      </c>
      <c r="R312" s="40">
        <f t="shared" si="176"/>
        <v>1.903</v>
      </c>
      <c r="S312" s="42">
        <f>IFERROR(SUM($G$8:G312)/$G$6,0)</f>
        <v>0.94343335967068642</v>
      </c>
      <c r="T312" s="43" t="str">
        <f t="shared" si="177"/>
        <v>C</v>
      </c>
      <c r="U312" s="44">
        <v>714</v>
      </c>
      <c r="V312" s="45">
        <f t="shared" si="158"/>
        <v>0</v>
      </c>
      <c r="W312" s="46">
        <v>46261</v>
      </c>
      <c r="X312" s="46">
        <v>46261</v>
      </c>
      <c r="Y312" s="47">
        <v>0</v>
      </c>
      <c r="Z312" s="48">
        <f t="shared" si="178"/>
        <v>0</v>
      </c>
      <c r="AA312" s="49">
        <f t="shared" si="179"/>
        <v>0</v>
      </c>
      <c r="AB312" s="44">
        <v>574</v>
      </c>
      <c r="AC312" s="44">
        <f t="shared" si="180"/>
        <v>465</v>
      </c>
      <c r="AD312" s="44">
        <f t="shared" si="181"/>
        <v>99</v>
      </c>
      <c r="AE312" s="50">
        <f t="shared" si="182"/>
        <v>48</v>
      </c>
      <c r="AF312" s="41">
        <f t="shared" si="183"/>
        <v>0.96</v>
      </c>
      <c r="AG312" s="44">
        <v>1</v>
      </c>
      <c r="AH312" s="44">
        <v>9</v>
      </c>
      <c r="AI312" s="42">
        <f t="shared" si="159"/>
        <v>0.65126050420168069</v>
      </c>
      <c r="AJ312" s="42">
        <f t="shared" si="160"/>
        <v>0.13865546218487396</v>
      </c>
      <c r="AK312" s="40">
        <f t="shared" si="184"/>
        <v>1.1266806722689076</v>
      </c>
      <c r="AL312" s="51">
        <v>130</v>
      </c>
      <c r="AM312" s="52">
        <f t="shared" si="185"/>
        <v>0.31498599439775909</v>
      </c>
      <c r="AN312" s="42">
        <f t="shared" si="161"/>
        <v>0.18207282913165265</v>
      </c>
      <c r="AO312" s="53">
        <f t="shared" si="162"/>
        <v>140</v>
      </c>
      <c r="AP312" s="52">
        <f t="shared" si="163"/>
        <v>0.33921568627450976</v>
      </c>
      <c r="AQ312" s="42">
        <f t="shared" si="164"/>
        <v>0.78991596638655459</v>
      </c>
      <c r="AR312" s="46">
        <v>46265</v>
      </c>
      <c r="AS312" s="46">
        <v>46266</v>
      </c>
      <c r="AT312" s="50">
        <f t="shared" si="165"/>
        <v>5</v>
      </c>
      <c r="AU312" s="50">
        <f t="shared" si="186"/>
        <v>306</v>
      </c>
      <c r="AV312" s="50">
        <f t="shared" si="166"/>
        <v>224</v>
      </c>
      <c r="AW312" s="54">
        <f t="shared" si="167"/>
        <v>82</v>
      </c>
    </row>
    <row r="313" spans="1:49" x14ac:dyDescent="0.25">
      <c r="A313" s="33" t="s">
        <v>55</v>
      </c>
      <c r="B313" s="33" t="s">
        <v>302</v>
      </c>
      <c r="C313" s="33" t="s">
        <v>303</v>
      </c>
      <c r="D313" s="33" t="s">
        <v>413</v>
      </c>
      <c r="E313" s="34">
        <f>COUNTIF('Detalle por artículo'!$K$8:$K$592,D313)</f>
        <v>1</v>
      </c>
      <c r="F313" s="35">
        <f t="shared" si="168"/>
        <v>78.472222222222214</v>
      </c>
      <c r="G313" s="36">
        <f>SUMIF('Detalle por artículo'!$K$8:$K$592,$D313,'Detalle por artículo'!$E$8:$E$592)</f>
        <v>1.728</v>
      </c>
      <c r="H313" s="35">
        <f t="shared" si="169"/>
        <v>2</v>
      </c>
      <c r="I313" s="35">
        <f t="shared" si="170"/>
        <v>3</v>
      </c>
      <c r="J313" s="35">
        <f t="shared" si="171"/>
        <v>5</v>
      </c>
      <c r="K313" s="37">
        <f t="shared" si="172"/>
        <v>6.1714285714285715E-2</v>
      </c>
      <c r="L313" s="36">
        <f>SUMIF('Detalle por artículo'!$K$8:$K$592,$D313,'Detalle por artículo'!$O$8:$O$592)</f>
        <v>135.6</v>
      </c>
      <c r="M313" s="38">
        <f>SUMIF('Detalle por artículo'!$K$8:$K$592,$D313,'Detalle por artículo'!$I$8:$I$592)</f>
        <v>628</v>
      </c>
      <c r="N313" s="38">
        <f>SUMIF('Detalle por artículo'!$K$8:$K$592,$D313,'Detalle por artículo'!$M$8:$M$592)</f>
        <v>18</v>
      </c>
      <c r="O313" s="39">
        <f t="shared" si="173"/>
        <v>2.7515923566878984</v>
      </c>
      <c r="P313" s="40">
        <f t="shared" si="174"/>
        <v>215.92356687898086</v>
      </c>
      <c r="Q313" s="41">
        <f t="shared" si="175"/>
        <v>0.2</v>
      </c>
      <c r="R313" s="40">
        <f t="shared" si="176"/>
        <v>2.0735999999999999</v>
      </c>
      <c r="S313" s="42">
        <f>IFERROR(SUM($G$8:G313)/$G$6,0)</f>
        <v>0.94406833709334392</v>
      </c>
      <c r="T313" s="43" t="str">
        <f t="shared" si="177"/>
        <v>C</v>
      </c>
      <c r="U313" s="44">
        <v>628</v>
      </c>
      <c r="V313" s="45">
        <f t="shared" si="158"/>
        <v>0</v>
      </c>
      <c r="W313" s="46">
        <v>46218</v>
      </c>
      <c r="X313" s="46">
        <v>46218</v>
      </c>
      <c r="Y313" s="47">
        <v>0</v>
      </c>
      <c r="Z313" s="48">
        <f t="shared" si="178"/>
        <v>0</v>
      </c>
      <c r="AA313" s="49">
        <f t="shared" si="179"/>
        <v>0</v>
      </c>
      <c r="AB313" s="44">
        <v>85</v>
      </c>
      <c r="AC313" s="44">
        <f t="shared" si="180"/>
        <v>265</v>
      </c>
      <c r="AD313" s="44">
        <f t="shared" si="181"/>
        <v>4</v>
      </c>
      <c r="AE313" s="50">
        <f t="shared" si="182"/>
        <v>35</v>
      </c>
      <c r="AF313" s="41">
        <f t="shared" si="183"/>
        <v>0.7</v>
      </c>
      <c r="AG313" s="44">
        <v>4</v>
      </c>
      <c r="AH313" s="44">
        <v>22</v>
      </c>
      <c r="AI313" s="42">
        <f t="shared" si="159"/>
        <v>0.42197452229299365</v>
      </c>
      <c r="AJ313" s="42">
        <f t="shared" si="160"/>
        <v>6.369426751592357E-3</v>
      </c>
      <c r="AK313" s="40">
        <f t="shared" si="184"/>
        <v>0.7291719745222931</v>
      </c>
      <c r="AL313" s="51">
        <v>543</v>
      </c>
      <c r="AM313" s="52">
        <f t="shared" si="185"/>
        <v>1.4941146496815287</v>
      </c>
      <c r="AN313" s="42">
        <f t="shared" si="161"/>
        <v>0.86464968152866239</v>
      </c>
      <c r="AO313" s="53">
        <f t="shared" si="162"/>
        <v>543</v>
      </c>
      <c r="AP313" s="52">
        <f t="shared" si="163"/>
        <v>1.4941146496815287</v>
      </c>
      <c r="AQ313" s="42">
        <f t="shared" si="164"/>
        <v>0.428343949044586</v>
      </c>
      <c r="AR313" s="46">
        <v>46233</v>
      </c>
      <c r="AS313" s="46">
        <v>46234</v>
      </c>
      <c r="AT313" s="50">
        <f t="shared" si="165"/>
        <v>16</v>
      </c>
      <c r="AU313" s="50">
        <f t="shared" si="186"/>
        <v>377</v>
      </c>
      <c r="AV313" s="50">
        <f t="shared" si="166"/>
        <v>390</v>
      </c>
      <c r="AW313" s="54">
        <f t="shared" si="167"/>
        <v>-13</v>
      </c>
    </row>
    <row r="314" spans="1:49" x14ac:dyDescent="0.25">
      <c r="A314" s="33" t="s">
        <v>55</v>
      </c>
      <c r="B314" s="33" t="s">
        <v>314</v>
      </c>
      <c r="C314" s="33" t="s">
        <v>315</v>
      </c>
      <c r="D314" s="33" t="s">
        <v>414</v>
      </c>
      <c r="E314" s="34">
        <f>COUNTIF('Detalle por artículo'!$K$8:$K$592,D314)</f>
        <v>2</v>
      </c>
      <c r="F314" s="35">
        <f t="shared" si="168"/>
        <v>174.94212962962965</v>
      </c>
      <c r="G314" s="36">
        <f>SUMIF('Detalle por artículo'!$K$8:$K$592,$D314,'Detalle por artículo'!$E$8:$E$592)</f>
        <v>1.728</v>
      </c>
      <c r="H314" s="35">
        <f t="shared" si="169"/>
        <v>2</v>
      </c>
      <c r="I314" s="35">
        <f t="shared" si="170"/>
        <v>3</v>
      </c>
      <c r="J314" s="35">
        <f t="shared" si="171"/>
        <v>5</v>
      </c>
      <c r="K314" s="37">
        <f t="shared" si="172"/>
        <v>6.1714285714285715E-2</v>
      </c>
      <c r="L314" s="36">
        <f>SUMIF('Detalle por artículo'!$K$8:$K$592,$D314,'Detalle por artículo'!$O$8:$O$592)</f>
        <v>302.3</v>
      </c>
      <c r="M314" s="38">
        <f>SUMIF('Detalle por artículo'!$K$8:$K$592,$D314,'Detalle por artículo'!$I$8:$I$592)</f>
        <v>1499</v>
      </c>
      <c r="N314" s="38">
        <f>SUMIF('Detalle por artículo'!$K$8:$K$592,$D314,'Detalle por artículo'!$M$8:$M$592)</f>
        <v>24</v>
      </c>
      <c r="O314" s="39">
        <f t="shared" si="173"/>
        <v>1.1527685123415612</v>
      </c>
      <c r="P314" s="40">
        <f t="shared" si="174"/>
        <v>201.6677785190127</v>
      </c>
      <c r="Q314" s="41">
        <f t="shared" si="175"/>
        <v>0.15</v>
      </c>
      <c r="R314" s="40">
        <f t="shared" si="176"/>
        <v>1.9871999999999999</v>
      </c>
      <c r="S314" s="42">
        <f>IFERROR(SUM($G$8:G314)/$G$6,0)</f>
        <v>0.94470331451600154</v>
      </c>
      <c r="T314" s="43" t="str">
        <f t="shared" si="177"/>
        <v>C</v>
      </c>
      <c r="U314" s="44">
        <v>1499</v>
      </c>
      <c r="V314" s="45">
        <f t="shared" si="158"/>
        <v>0</v>
      </c>
      <c r="W314" s="46">
        <v>46247</v>
      </c>
      <c r="X314" s="46">
        <v>46247</v>
      </c>
      <c r="Y314" s="47">
        <v>0</v>
      </c>
      <c r="Z314" s="48">
        <f t="shared" si="178"/>
        <v>0</v>
      </c>
      <c r="AA314" s="49">
        <f t="shared" si="179"/>
        <v>0</v>
      </c>
      <c r="AB314" s="44">
        <v>955</v>
      </c>
      <c r="AC314" s="44">
        <f t="shared" si="180"/>
        <v>784</v>
      </c>
      <c r="AD314" s="44">
        <f t="shared" si="181"/>
        <v>139</v>
      </c>
      <c r="AE314" s="50">
        <f t="shared" si="182"/>
        <v>48</v>
      </c>
      <c r="AF314" s="41">
        <f t="shared" si="183"/>
        <v>0.96</v>
      </c>
      <c r="AG314" s="44">
        <v>3</v>
      </c>
      <c r="AH314" s="44">
        <v>30</v>
      </c>
      <c r="AI314" s="42">
        <f t="shared" si="159"/>
        <v>0.52301534356237489</v>
      </c>
      <c r="AJ314" s="42">
        <f t="shared" si="160"/>
        <v>9.2728485657104731E-2</v>
      </c>
      <c r="AK314" s="40">
        <f t="shared" si="184"/>
        <v>0.90377051367578398</v>
      </c>
      <c r="AL314" s="51">
        <v>544</v>
      </c>
      <c r="AM314" s="52">
        <f t="shared" si="185"/>
        <v>0.62710607071380919</v>
      </c>
      <c r="AN314" s="42">
        <f t="shared" si="161"/>
        <v>0.36290860573715811</v>
      </c>
      <c r="AO314" s="53">
        <f t="shared" si="162"/>
        <v>544</v>
      </c>
      <c r="AP314" s="52">
        <f t="shared" si="163"/>
        <v>0.62710607071380919</v>
      </c>
      <c r="AQ314" s="42">
        <f t="shared" si="164"/>
        <v>0.61574382921947968</v>
      </c>
      <c r="AR314" s="46">
        <v>46254</v>
      </c>
      <c r="AS314" s="46">
        <v>46255</v>
      </c>
      <c r="AT314" s="50">
        <f t="shared" si="165"/>
        <v>8</v>
      </c>
      <c r="AU314" s="50">
        <f t="shared" si="186"/>
        <v>96</v>
      </c>
      <c r="AV314" s="50">
        <f t="shared" si="166"/>
        <v>72</v>
      </c>
      <c r="AW314" s="54">
        <f t="shared" si="167"/>
        <v>24</v>
      </c>
    </row>
    <row r="315" spans="1:49" x14ac:dyDescent="0.25">
      <c r="A315" s="33" t="s">
        <v>63</v>
      </c>
      <c r="B315" s="33" t="s">
        <v>171</v>
      </c>
      <c r="C315" s="33" t="s">
        <v>363</v>
      </c>
      <c r="D315" s="33" t="s">
        <v>415</v>
      </c>
      <c r="E315" s="34">
        <f>COUNTIF('Detalle por artículo'!$K$8:$K$592,D315)</f>
        <v>1</v>
      </c>
      <c r="F315" s="35">
        <f t="shared" si="168"/>
        <v>112.44212962962963</v>
      </c>
      <c r="G315" s="36">
        <f>SUMIF('Detalle por artículo'!$K$8:$K$592,$D315,'Detalle por artículo'!$E$8:$E$592)</f>
        <v>1.728</v>
      </c>
      <c r="H315" s="35">
        <f t="shared" si="169"/>
        <v>2</v>
      </c>
      <c r="I315" s="35">
        <f t="shared" si="170"/>
        <v>3</v>
      </c>
      <c r="J315" s="35">
        <f t="shared" si="171"/>
        <v>5</v>
      </c>
      <c r="K315" s="37">
        <f t="shared" si="172"/>
        <v>6.1714285714285715E-2</v>
      </c>
      <c r="L315" s="36">
        <f>SUMIF('Detalle por artículo'!$K$8:$K$592,$D315,'Detalle por artículo'!$O$8:$O$592)</f>
        <v>194.3</v>
      </c>
      <c r="M315" s="38">
        <f>SUMIF('Detalle por artículo'!$K$8:$K$592,$D315,'Detalle por artículo'!$I$8:$I$592)</f>
        <v>690</v>
      </c>
      <c r="N315" s="38">
        <f>SUMIF('Detalle por artículo'!$K$8:$K$592,$D315,'Detalle por artículo'!$M$8:$M$592)</f>
        <v>18</v>
      </c>
      <c r="O315" s="39">
        <f t="shared" si="173"/>
        <v>2.5043478260869563</v>
      </c>
      <c r="P315" s="40">
        <f t="shared" si="174"/>
        <v>281.59420289855075</v>
      </c>
      <c r="Q315" s="41">
        <f t="shared" si="175"/>
        <v>0.2</v>
      </c>
      <c r="R315" s="40">
        <f t="shared" si="176"/>
        <v>2.0735999999999999</v>
      </c>
      <c r="S315" s="42">
        <f>IFERROR(SUM($G$8:G315)/$G$6,0)</f>
        <v>0.94533829193865904</v>
      </c>
      <c r="T315" s="43" t="str">
        <f t="shared" si="177"/>
        <v>C</v>
      </c>
      <c r="U315" s="44">
        <v>690</v>
      </c>
      <c r="V315" s="45">
        <f t="shared" si="158"/>
        <v>0</v>
      </c>
      <c r="W315" s="46">
        <v>46244</v>
      </c>
      <c r="X315" s="46">
        <v>46244</v>
      </c>
      <c r="Y315" s="47">
        <v>0</v>
      </c>
      <c r="Z315" s="48">
        <f t="shared" si="178"/>
        <v>0</v>
      </c>
      <c r="AA315" s="49">
        <f t="shared" si="179"/>
        <v>0</v>
      </c>
      <c r="AB315" s="44">
        <v>597</v>
      </c>
      <c r="AC315" s="44">
        <f t="shared" si="180"/>
        <v>448</v>
      </c>
      <c r="AD315" s="44">
        <f t="shared" si="181"/>
        <v>127</v>
      </c>
      <c r="AE315" s="50">
        <f t="shared" si="182"/>
        <v>48</v>
      </c>
      <c r="AF315" s="41">
        <f t="shared" si="183"/>
        <v>0.96</v>
      </c>
      <c r="AG315" s="44">
        <v>1</v>
      </c>
      <c r="AH315" s="44">
        <v>21</v>
      </c>
      <c r="AI315" s="42">
        <f t="shared" si="159"/>
        <v>0.64927536231884053</v>
      </c>
      <c r="AJ315" s="42">
        <f t="shared" si="160"/>
        <v>0.18405797101449275</v>
      </c>
      <c r="AK315" s="40">
        <f t="shared" si="184"/>
        <v>1.1219478260869564</v>
      </c>
      <c r="AL315" s="51">
        <v>84</v>
      </c>
      <c r="AM315" s="52">
        <f t="shared" si="185"/>
        <v>0.21036521739130432</v>
      </c>
      <c r="AN315" s="42">
        <f t="shared" si="161"/>
        <v>0.12173913043478261</v>
      </c>
      <c r="AO315" s="53">
        <f t="shared" si="162"/>
        <v>93</v>
      </c>
      <c r="AP315" s="52">
        <f t="shared" si="163"/>
        <v>0.23290434782608693</v>
      </c>
      <c r="AQ315" s="42">
        <f t="shared" si="164"/>
        <v>0.83333333333333337</v>
      </c>
      <c r="AR315" s="46">
        <v>46254</v>
      </c>
      <c r="AS315" s="46">
        <v>46255</v>
      </c>
      <c r="AT315" s="50">
        <f t="shared" si="165"/>
        <v>11</v>
      </c>
      <c r="AU315" s="50">
        <f t="shared" si="186"/>
        <v>323</v>
      </c>
      <c r="AV315" s="50">
        <f t="shared" si="166"/>
        <v>194</v>
      </c>
      <c r="AW315" s="54">
        <f t="shared" si="167"/>
        <v>129</v>
      </c>
    </row>
    <row r="316" spans="1:49" x14ac:dyDescent="0.25">
      <c r="A316" s="33" t="s">
        <v>55</v>
      </c>
      <c r="B316" s="33" t="s">
        <v>255</v>
      </c>
      <c r="C316" s="33" t="s">
        <v>347</v>
      </c>
      <c r="D316" s="33" t="s">
        <v>416</v>
      </c>
      <c r="E316" s="34">
        <f>COUNTIF('Detalle por artículo'!$K$8:$K$592,D316)</f>
        <v>1</v>
      </c>
      <c r="F316" s="35">
        <f t="shared" si="168"/>
        <v>222.91666666666666</v>
      </c>
      <c r="G316" s="36">
        <f>SUMIF('Detalle por artículo'!$K$8:$K$592,$D316,'Detalle por artículo'!$E$8:$E$592)</f>
        <v>1.728</v>
      </c>
      <c r="H316" s="35">
        <f t="shared" si="169"/>
        <v>2</v>
      </c>
      <c r="I316" s="35">
        <f t="shared" si="170"/>
        <v>3</v>
      </c>
      <c r="J316" s="35">
        <f t="shared" si="171"/>
        <v>5</v>
      </c>
      <c r="K316" s="37">
        <f t="shared" si="172"/>
        <v>6.1714285714285715E-2</v>
      </c>
      <c r="L316" s="36">
        <f>SUMIF('Detalle por artículo'!$K$8:$K$592,$D316,'Detalle por artículo'!$O$8:$O$592)</f>
        <v>385.2</v>
      </c>
      <c r="M316" s="38">
        <f>SUMIF('Detalle por artículo'!$K$8:$K$592,$D316,'Detalle por artículo'!$I$8:$I$592)</f>
        <v>908</v>
      </c>
      <c r="N316" s="38">
        <f>SUMIF('Detalle por artículo'!$K$8:$K$592,$D316,'Detalle por artículo'!$M$8:$M$592)</f>
        <v>18</v>
      </c>
      <c r="O316" s="39">
        <f t="shared" si="173"/>
        <v>1.9030837004405285</v>
      </c>
      <c r="P316" s="40">
        <f t="shared" si="174"/>
        <v>424.22907488986783</v>
      </c>
      <c r="Q316" s="41">
        <f t="shared" si="175"/>
        <v>0.1</v>
      </c>
      <c r="R316" s="40">
        <f t="shared" si="176"/>
        <v>1.9008</v>
      </c>
      <c r="S316" s="42">
        <f>IFERROR(SUM($G$8:G316)/$G$6,0)</f>
        <v>0.94597326936131654</v>
      </c>
      <c r="T316" s="43" t="str">
        <f t="shared" si="177"/>
        <v>C</v>
      </c>
      <c r="U316" s="44">
        <v>910</v>
      </c>
      <c r="V316" s="45">
        <f t="shared" si="158"/>
        <v>2</v>
      </c>
      <c r="W316" s="46">
        <v>46246</v>
      </c>
      <c r="X316" s="46">
        <v>46246</v>
      </c>
      <c r="Y316" s="47">
        <v>15</v>
      </c>
      <c r="Z316" s="48">
        <f t="shared" si="178"/>
        <v>2.8546255506607929E-2</v>
      </c>
      <c r="AA316" s="49">
        <f t="shared" si="179"/>
        <v>1.0195091252359974E-3</v>
      </c>
      <c r="AB316" s="44">
        <v>642</v>
      </c>
      <c r="AC316" s="44">
        <f t="shared" si="180"/>
        <v>452</v>
      </c>
      <c r="AD316" s="44">
        <f t="shared" si="181"/>
        <v>173</v>
      </c>
      <c r="AE316" s="50">
        <f t="shared" si="182"/>
        <v>48</v>
      </c>
      <c r="AF316" s="41">
        <f t="shared" si="183"/>
        <v>0.96</v>
      </c>
      <c r="AG316" s="44">
        <v>8</v>
      </c>
      <c r="AH316" s="44">
        <v>9</v>
      </c>
      <c r="AI316" s="42">
        <f t="shared" si="159"/>
        <v>0.49779735682819382</v>
      </c>
      <c r="AJ316" s="42">
        <f t="shared" si="160"/>
        <v>0.19052863436123349</v>
      </c>
      <c r="AK316" s="40">
        <f t="shared" si="184"/>
        <v>0.86019383259911886</v>
      </c>
      <c r="AL316" s="51">
        <v>267</v>
      </c>
      <c r="AM316" s="52">
        <f t="shared" si="185"/>
        <v>0.50812334801762116</v>
      </c>
      <c r="AN316" s="42">
        <f t="shared" si="161"/>
        <v>0.29340659340659342</v>
      </c>
      <c r="AO316" s="53">
        <f t="shared" si="162"/>
        <v>266</v>
      </c>
      <c r="AP316" s="52">
        <f t="shared" si="163"/>
        <v>0.50622026431718059</v>
      </c>
      <c r="AQ316" s="42">
        <f t="shared" si="164"/>
        <v>0.68832599118942728</v>
      </c>
      <c r="AR316" s="46">
        <v>46252</v>
      </c>
      <c r="AS316" s="46">
        <v>46252</v>
      </c>
      <c r="AT316" s="50">
        <f t="shared" si="165"/>
        <v>6</v>
      </c>
      <c r="AU316" s="50">
        <f t="shared" si="186"/>
        <v>197</v>
      </c>
      <c r="AV316" s="50">
        <f t="shared" si="166"/>
        <v>160</v>
      </c>
      <c r="AW316" s="54">
        <f t="shared" si="167"/>
        <v>37</v>
      </c>
    </row>
    <row r="317" spans="1:49" x14ac:dyDescent="0.25">
      <c r="A317" s="33" t="s">
        <v>55</v>
      </c>
      <c r="B317" s="33" t="s">
        <v>255</v>
      </c>
      <c r="C317" s="33" t="s">
        <v>132</v>
      </c>
      <c r="D317" s="33" t="s">
        <v>417</v>
      </c>
      <c r="E317" s="34">
        <f>COUNTIF('Detalle por artículo'!$K$8:$K$592,D317)</f>
        <v>1</v>
      </c>
      <c r="F317" s="35">
        <f t="shared" si="168"/>
        <v>247.91666666666666</v>
      </c>
      <c r="G317" s="36">
        <f>SUMIF('Detalle por artículo'!$K$8:$K$592,$D317,'Detalle por artículo'!$E$8:$E$592)</f>
        <v>1.728</v>
      </c>
      <c r="H317" s="35">
        <f t="shared" si="169"/>
        <v>2</v>
      </c>
      <c r="I317" s="35">
        <f t="shared" si="170"/>
        <v>3</v>
      </c>
      <c r="J317" s="35">
        <f t="shared" si="171"/>
        <v>5</v>
      </c>
      <c r="K317" s="37">
        <f t="shared" si="172"/>
        <v>6.1714285714285715E-2</v>
      </c>
      <c r="L317" s="36">
        <f>SUMIF('Detalle por artículo'!$K$8:$K$592,$D317,'Detalle por artículo'!$O$8:$O$592)</f>
        <v>428.4</v>
      </c>
      <c r="M317" s="38">
        <f>SUMIF('Detalle por artículo'!$K$8:$K$592,$D317,'Detalle por artículo'!$I$8:$I$592)</f>
        <v>813</v>
      </c>
      <c r="N317" s="38">
        <f>SUMIF('Detalle por artículo'!$K$8:$K$592,$D317,'Detalle por artículo'!$M$8:$M$592)</f>
        <v>18</v>
      </c>
      <c r="O317" s="39">
        <f t="shared" si="173"/>
        <v>2.1254612546125462</v>
      </c>
      <c r="P317" s="40">
        <f t="shared" si="174"/>
        <v>526.93726937269366</v>
      </c>
      <c r="Q317" s="41">
        <f t="shared" si="175"/>
        <v>0.1</v>
      </c>
      <c r="R317" s="40">
        <f t="shared" si="176"/>
        <v>1.9008</v>
      </c>
      <c r="S317" s="42">
        <f>IFERROR(SUM($G$8:G317)/$G$6,0)</f>
        <v>0.94660824678397404</v>
      </c>
      <c r="T317" s="43" t="str">
        <f t="shared" si="177"/>
        <v>C</v>
      </c>
      <c r="U317" s="44">
        <v>813</v>
      </c>
      <c r="V317" s="45">
        <f t="shared" si="158"/>
        <v>0</v>
      </c>
      <c r="W317" s="46">
        <v>46237</v>
      </c>
      <c r="X317" s="46">
        <v>46237</v>
      </c>
      <c r="Y317" s="47">
        <v>0</v>
      </c>
      <c r="Z317" s="48">
        <f t="shared" si="178"/>
        <v>0</v>
      </c>
      <c r="AA317" s="49">
        <f t="shared" si="179"/>
        <v>0</v>
      </c>
      <c r="AB317" s="44">
        <v>666</v>
      </c>
      <c r="AC317" s="44">
        <f t="shared" si="180"/>
        <v>371</v>
      </c>
      <c r="AD317" s="44">
        <f t="shared" si="181"/>
        <v>286</v>
      </c>
      <c r="AE317" s="50">
        <f t="shared" si="182"/>
        <v>42</v>
      </c>
      <c r="AF317" s="41">
        <f t="shared" si="183"/>
        <v>0.84</v>
      </c>
      <c r="AG317" s="44">
        <v>1</v>
      </c>
      <c r="AH317" s="44">
        <v>8</v>
      </c>
      <c r="AI317" s="42">
        <f t="shared" si="159"/>
        <v>0.45633456334563344</v>
      </c>
      <c r="AJ317" s="42">
        <f t="shared" si="160"/>
        <v>0.35178351783517836</v>
      </c>
      <c r="AK317" s="40">
        <f t="shared" si="184"/>
        <v>0.78854612546125469</v>
      </c>
      <c r="AL317" s="51">
        <v>146</v>
      </c>
      <c r="AM317" s="52">
        <f t="shared" si="185"/>
        <v>0.31031734317343179</v>
      </c>
      <c r="AN317" s="42">
        <f t="shared" si="161"/>
        <v>0.17958179581795819</v>
      </c>
      <c r="AO317" s="53">
        <f t="shared" si="162"/>
        <v>147</v>
      </c>
      <c r="AP317" s="52">
        <f t="shared" si="163"/>
        <v>0.31244280442804429</v>
      </c>
      <c r="AQ317" s="42">
        <f t="shared" si="164"/>
        <v>0.80811808118081185</v>
      </c>
      <c r="AR317" s="46">
        <v>46254</v>
      </c>
      <c r="AS317" s="46">
        <v>46255</v>
      </c>
      <c r="AT317" s="50">
        <f t="shared" si="165"/>
        <v>18</v>
      </c>
      <c r="AU317" s="50">
        <f t="shared" si="186"/>
        <v>233</v>
      </c>
      <c r="AV317" s="50">
        <f t="shared" si="166"/>
        <v>146</v>
      </c>
      <c r="AW317" s="54">
        <f t="shared" si="167"/>
        <v>87</v>
      </c>
    </row>
    <row r="318" spans="1:49" x14ac:dyDescent="0.25">
      <c r="A318" s="33" t="s">
        <v>63</v>
      </c>
      <c r="B318" s="33" t="s">
        <v>84</v>
      </c>
      <c r="C318" s="33" t="s">
        <v>87</v>
      </c>
      <c r="D318" s="33" t="s">
        <v>418</v>
      </c>
      <c r="E318" s="34">
        <f>COUNTIF('Detalle por artículo'!$K$8:$K$592,D318)</f>
        <v>1</v>
      </c>
      <c r="F318" s="35">
        <f t="shared" si="168"/>
        <v>182.92824074074073</v>
      </c>
      <c r="G318" s="36">
        <f>SUMIF('Detalle por artículo'!$K$8:$K$592,$D318,'Detalle por artículo'!$E$8:$E$592)</f>
        <v>1.728</v>
      </c>
      <c r="H318" s="35">
        <f t="shared" si="169"/>
        <v>2</v>
      </c>
      <c r="I318" s="35">
        <f t="shared" si="170"/>
        <v>3</v>
      </c>
      <c r="J318" s="35">
        <f t="shared" si="171"/>
        <v>5</v>
      </c>
      <c r="K318" s="37">
        <f t="shared" si="172"/>
        <v>6.1714285714285715E-2</v>
      </c>
      <c r="L318" s="36">
        <f>SUMIF('Detalle por artículo'!$K$8:$K$592,$D318,'Detalle por artículo'!$O$8:$O$592)</f>
        <v>316.09999999999997</v>
      </c>
      <c r="M318" s="38">
        <f>SUMIF('Detalle por artículo'!$K$8:$K$592,$D318,'Detalle por artículo'!$I$8:$I$592)</f>
        <v>675</v>
      </c>
      <c r="N318" s="38">
        <f>SUMIF('Detalle por artículo'!$K$8:$K$592,$D318,'Detalle por artículo'!$M$8:$M$592)</f>
        <v>18</v>
      </c>
      <c r="O318" s="39">
        <f t="shared" si="173"/>
        <v>2.5599999999999996</v>
      </c>
      <c r="P318" s="40">
        <f t="shared" si="174"/>
        <v>468.29629629629625</v>
      </c>
      <c r="Q318" s="41">
        <f t="shared" si="175"/>
        <v>0.15</v>
      </c>
      <c r="R318" s="40">
        <f t="shared" si="176"/>
        <v>1.9871999999999999</v>
      </c>
      <c r="S318" s="42">
        <f>IFERROR(SUM($G$8:G318)/$G$6,0)</f>
        <v>0.94724322420663165</v>
      </c>
      <c r="T318" s="43" t="str">
        <f t="shared" si="177"/>
        <v>C</v>
      </c>
      <c r="U318" s="44">
        <v>675</v>
      </c>
      <c r="V318" s="45">
        <f t="shared" si="158"/>
        <v>0</v>
      </c>
      <c r="W318" s="46">
        <v>46233</v>
      </c>
      <c r="X318" s="46">
        <v>46233</v>
      </c>
      <c r="Y318" s="47">
        <v>0</v>
      </c>
      <c r="Z318" s="48">
        <f t="shared" si="178"/>
        <v>0</v>
      </c>
      <c r="AA318" s="49">
        <f t="shared" si="179"/>
        <v>0</v>
      </c>
      <c r="AB318" s="44">
        <v>450</v>
      </c>
      <c r="AC318" s="44">
        <f t="shared" si="180"/>
        <v>355</v>
      </c>
      <c r="AD318" s="44">
        <f t="shared" si="181"/>
        <v>94</v>
      </c>
      <c r="AE318" s="50">
        <f t="shared" si="182"/>
        <v>47</v>
      </c>
      <c r="AF318" s="41">
        <f t="shared" si="183"/>
        <v>0.94</v>
      </c>
      <c r="AG318" s="44">
        <v>0</v>
      </c>
      <c r="AH318" s="44">
        <v>6</v>
      </c>
      <c r="AI318" s="42">
        <f t="shared" si="159"/>
        <v>0.52592592592592591</v>
      </c>
      <c r="AJ318" s="42">
        <f t="shared" si="160"/>
        <v>0.13925925925925925</v>
      </c>
      <c r="AK318" s="40">
        <f t="shared" si="184"/>
        <v>0.90879999999999983</v>
      </c>
      <c r="AL318" s="51">
        <v>225</v>
      </c>
      <c r="AM318" s="52">
        <f t="shared" si="185"/>
        <v>0.57599999999999985</v>
      </c>
      <c r="AN318" s="42">
        <f t="shared" si="161"/>
        <v>0.33333333333333331</v>
      </c>
      <c r="AO318" s="53">
        <f t="shared" si="162"/>
        <v>225</v>
      </c>
      <c r="AP318" s="52">
        <f t="shared" si="163"/>
        <v>0.57599999999999985</v>
      </c>
      <c r="AQ318" s="42">
        <f t="shared" si="164"/>
        <v>0.66518518518518521</v>
      </c>
      <c r="AR318" s="46">
        <v>46246</v>
      </c>
      <c r="AS318" s="46">
        <v>46246</v>
      </c>
      <c r="AT318" s="50">
        <f t="shared" si="165"/>
        <v>13</v>
      </c>
      <c r="AU318" s="50">
        <f t="shared" si="186"/>
        <v>342</v>
      </c>
      <c r="AV318" s="50">
        <f t="shared" si="166"/>
        <v>306</v>
      </c>
      <c r="AW318" s="54">
        <f t="shared" si="167"/>
        <v>36</v>
      </c>
    </row>
    <row r="319" spans="1:49" x14ac:dyDescent="0.25">
      <c r="A319" s="33" t="s">
        <v>63</v>
      </c>
      <c r="B319" s="33" t="s">
        <v>288</v>
      </c>
      <c r="C319" s="33" t="s">
        <v>289</v>
      </c>
      <c r="D319" s="33" t="s">
        <v>419</v>
      </c>
      <c r="E319" s="34">
        <f>COUNTIF('Detalle por artículo'!$K$8:$K$592,D319)</f>
        <v>1</v>
      </c>
      <c r="F319" s="35">
        <f t="shared" si="168"/>
        <v>178.76157407407408</v>
      </c>
      <c r="G319" s="36">
        <f>SUMIF('Detalle por artículo'!$K$8:$K$592,$D319,'Detalle por artículo'!$E$8:$E$592)</f>
        <v>1.728</v>
      </c>
      <c r="H319" s="35">
        <f t="shared" si="169"/>
        <v>2</v>
      </c>
      <c r="I319" s="35">
        <f t="shared" si="170"/>
        <v>3</v>
      </c>
      <c r="J319" s="35">
        <f t="shared" si="171"/>
        <v>5</v>
      </c>
      <c r="K319" s="37">
        <f t="shared" si="172"/>
        <v>6.1714285714285715E-2</v>
      </c>
      <c r="L319" s="36">
        <f>SUMIF('Detalle por artículo'!$K$8:$K$592,$D319,'Detalle por artículo'!$O$8:$O$592)</f>
        <v>308.89999999999998</v>
      </c>
      <c r="M319" s="38">
        <f>SUMIF('Detalle por artículo'!$K$8:$K$592,$D319,'Detalle por artículo'!$I$8:$I$592)</f>
        <v>793</v>
      </c>
      <c r="N319" s="38">
        <f>SUMIF('Detalle por artículo'!$K$8:$K$592,$D319,'Detalle por artículo'!$M$8:$M$592)</f>
        <v>18</v>
      </c>
      <c r="O319" s="39">
        <f t="shared" si="173"/>
        <v>2.1790668348045394</v>
      </c>
      <c r="P319" s="40">
        <f t="shared" si="174"/>
        <v>389.53341740226983</v>
      </c>
      <c r="Q319" s="41">
        <f t="shared" si="175"/>
        <v>0.15</v>
      </c>
      <c r="R319" s="40">
        <f t="shared" si="176"/>
        <v>1.9871999999999999</v>
      </c>
      <c r="S319" s="42">
        <f>IFERROR(SUM($G$8:G319)/$G$6,0)</f>
        <v>0.94787820162928915</v>
      </c>
      <c r="T319" s="43" t="str">
        <f t="shared" si="177"/>
        <v>C</v>
      </c>
      <c r="U319" s="44">
        <v>793</v>
      </c>
      <c r="V319" s="45">
        <f t="shared" si="158"/>
        <v>0</v>
      </c>
      <c r="W319" s="46">
        <v>46252</v>
      </c>
      <c r="X319" s="46">
        <v>46252</v>
      </c>
      <c r="Y319" s="47">
        <v>808</v>
      </c>
      <c r="Z319" s="48">
        <f t="shared" si="178"/>
        <v>1.7606860025220679</v>
      </c>
      <c r="AA319" s="49">
        <f t="shared" si="179"/>
        <v>6.2881642947216709E-2</v>
      </c>
      <c r="AB319" s="44">
        <v>487</v>
      </c>
      <c r="AC319" s="44">
        <f t="shared" si="180"/>
        <v>407</v>
      </c>
      <c r="AD319" s="44">
        <f t="shared" si="181"/>
        <v>71</v>
      </c>
      <c r="AE319" s="50">
        <f t="shared" si="182"/>
        <v>48</v>
      </c>
      <c r="AF319" s="41">
        <f t="shared" si="183"/>
        <v>0.96</v>
      </c>
      <c r="AG319" s="44">
        <v>1</v>
      </c>
      <c r="AH319" s="44">
        <v>8</v>
      </c>
      <c r="AI319" s="42">
        <f t="shared" si="159"/>
        <v>0.51324085750315263</v>
      </c>
      <c r="AJ319" s="42">
        <f t="shared" si="160"/>
        <v>8.953341740226986E-2</v>
      </c>
      <c r="AK319" s="40">
        <f t="shared" si="184"/>
        <v>0.88688020176544746</v>
      </c>
      <c r="AL319" s="51">
        <v>306</v>
      </c>
      <c r="AM319" s="52">
        <f t="shared" si="185"/>
        <v>0.66679445145018901</v>
      </c>
      <c r="AN319" s="42">
        <f t="shared" si="161"/>
        <v>0.38587641866330391</v>
      </c>
      <c r="AO319" s="53">
        <f t="shared" si="162"/>
        <v>306</v>
      </c>
      <c r="AP319" s="52">
        <f t="shared" si="163"/>
        <v>0.66679445145018901</v>
      </c>
      <c r="AQ319" s="42">
        <f t="shared" si="164"/>
        <v>0.60277427490542246</v>
      </c>
      <c r="AR319" s="46">
        <v>46260</v>
      </c>
      <c r="AS319" s="46">
        <v>46260</v>
      </c>
      <c r="AT319" s="50">
        <f t="shared" si="165"/>
        <v>8</v>
      </c>
      <c r="AU319" s="50">
        <f t="shared" si="186"/>
        <v>248</v>
      </c>
      <c r="AV319" s="50">
        <f t="shared" si="166"/>
        <v>279</v>
      </c>
      <c r="AW319" s="54">
        <f t="shared" si="167"/>
        <v>-31</v>
      </c>
    </row>
    <row r="320" spans="1:49" x14ac:dyDescent="0.25">
      <c r="A320" s="33" t="s">
        <v>63</v>
      </c>
      <c r="B320" s="33" t="s">
        <v>288</v>
      </c>
      <c r="C320" s="33" t="s">
        <v>289</v>
      </c>
      <c r="D320" s="33" t="s">
        <v>420</v>
      </c>
      <c r="E320" s="34">
        <f>COUNTIF('Detalle por artículo'!$K$8:$K$592,D320)</f>
        <v>1</v>
      </c>
      <c r="F320" s="35">
        <f t="shared" si="168"/>
        <v>138.54166666666669</v>
      </c>
      <c r="G320" s="36">
        <f>SUMIF('Detalle por artículo'!$K$8:$K$592,$D320,'Detalle por artículo'!$E$8:$E$592)</f>
        <v>1.728</v>
      </c>
      <c r="H320" s="35">
        <f t="shared" si="169"/>
        <v>2</v>
      </c>
      <c r="I320" s="35">
        <f t="shared" si="170"/>
        <v>3</v>
      </c>
      <c r="J320" s="35">
        <f t="shared" si="171"/>
        <v>5</v>
      </c>
      <c r="K320" s="37">
        <f t="shared" si="172"/>
        <v>6.1714285714285715E-2</v>
      </c>
      <c r="L320" s="36">
        <f>SUMIF('Detalle por artículo'!$K$8:$K$592,$D320,'Detalle por artículo'!$O$8:$O$592)</f>
        <v>239.4</v>
      </c>
      <c r="M320" s="38">
        <f>SUMIF('Detalle por artículo'!$K$8:$K$592,$D320,'Detalle por artículo'!$I$8:$I$592)</f>
        <v>658</v>
      </c>
      <c r="N320" s="38">
        <f>SUMIF('Detalle por artículo'!$K$8:$K$592,$D320,'Detalle por artículo'!$M$8:$M$592)</f>
        <v>18</v>
      </c>
      <c r="O320" s="39">
        <f t="shared" si="173"/>
        <v>2.6261398176291793</v>
      </c>
      <c r="P320" s="40">
        <f t="shared" si="174"/>
        <v>363.82978723404256</v>
      </c>
      <c r="Q320" s="41">
        <f t="shared" si="175"/>
        <v>0.15</v>
      </c>
      <c r="R320" s="40">
        <f t="shared" si="176"/>
        <v>1.9871999999999999</v>
      </c>
      <c r="S320" s="42">
        <f>IFERROR(SUM($G$8:G320)/$G$6,0)</f>
        <v>0.94851317905194665</v>
      </c>
      <c r="T320" s="43" t="str">
        <f t="shared" si="177"/>
        <v>C</v>
      </c>
      <c r="U320" s="44">
        <v>653</v>
      </c>
      <c r="V320" s="45">
        <f t="shared" si="158"/>
        <v>-5</v>
      </c>
      <c r="W320" s="46">
        <v>46248</v>
      </c>
      <c r="X320" s="46">
        <v>46248</v>
      </c>
      <c r="Y320" s="47">
        <v>10</v>
      </c>
      <c r="Z320" s="48">
        <f t="shared" si="178"/>
        <v>2.6261398176291792E-2</v>
      </c>
      <c r="AA320" s="49">
        <f t="shared" si="179"/>
        <v>9.3790707772470686E-4</v>
      </c>
      <c r="AB320" s="44">
        <v>598</v>
      </c>
      <c r="AC320" s="44">
        <f t="shared" si="180"/>
        <v>440</v>
      </c>
      <c r="AD320" s="44">
        <f t="shared" si="181"/>
        <v>134</v>
      </c>
      <c r="AE320" s="50">
        <f t="shared" si="182"/>
        <v>47</v>
      </c>
      <c r="AF320" s="41">
        <f t="shared" si="183"/>
        <v>0.94</v>
      </c>
      <c r="AG320" s="44">
        <v>0</v>
      </c>
      <c r="AH320" s="44">
        <v>24</v>
      </c>
      <c r="AI320" s="42">
        <f t="shared" si="159"/>
        <v>0.66869300911854102</v>
      </c>
      <c r="AJ320" s="42">
        <f t="shared" si="160"/>
        <v>0.20364741641337386</v>
      </c>
      <c r="AK320" s="40">
        <f t="shared" si="184"/>
        <v>1.1555015197568388</v>
      </c>
      <c r="AL320" s="51">
        <v>45</v>
      </c>
      <c r="AM320" s="52">
        <f t="shared" si="185"/>
        <v>0.11817629179331307</v>
      </c>
      <c r="AN320" s="42">
        <f t="shared" si="161"/>
        <v>6.8912710566615618E-2</v>
      </c>
      <c r="AO320" s="53">
        <f t="shared" si="162"/>
        <v>60</v>
      </c>
      <c r="AP320" s="52">
        <f t="shared" si="163"/>
        <v>0.15756838905775075</v>
      </c>
      <c r="AQ320" s="42">
        <f t="shared" si="164"/>
        <v>0.87234042553191493</v>
      </c>
      <c r="AR320" s="46">
        <v>46254</v>
      </c>
      <c r="AS320" s="46">
        <v>46255</v>
      </c>
      <c r="AT320" s="50">
        <f t="shared" si="165"/>
        <v>7</v>
      </c>
      <c r="AU320" s="50">
        <f t="shared" si="186"/>
        <v>351</v>
      </c>
      <c r="AV320" s="50">
        <f t="shared" si="166"/>
        <v>192</v>
      </c>
      <c r="AW320" s="54">
        <f t="shared" si="167"/>
        <v>159</v>
      </c>
    </row>
    <row r="321" spans="1:49" x14ac:dyDescent="0.25">
      <c r="A321" s="33" t="s">
        <v>63</v>
      </c>
      <c r="B321" s="33" t="s">
        <v>171</v>
      </c>
      <c r="C321" s="33" t="s">
        <v>363</v>
      </c>
      <c r="D321" s="33" t="s">
        <v>421</v>
      </c>
      <c r="E321" s="34">
        <f>COUNTIF('Detalle por artículo'!$K$8:$K$592,D321)</f>
        <v>1</v>
      </c>
      <c r="F321" s="35">
        <f t="shared" si="168"/>
        <v>201.38726975985077</v>
      </c>
      <c r="G321" s="36">
        <f>SUMIF('Detalle por artículo'!$K$8:$K$592,$D321,'Detalle por artículo'!$E$8:$E$592)</f>
        <v>1.7156</v>
      </c>
      <c r="H321" s="35">
        <f t="shared" si="169"/>
        <v>2</v>
      </c>
      <c r="I321" s="35">
        <f t="shared" si="170"/>
        <v>3</v>
      </c>
      <c r="J321" s="35">
        <f t="shared" si="171"/>
        <v>5</v>
      </c>
      <c r="K321" s="37">
        <f t="shared" si="172"/>
        <v>6.1271428571428574E-2</v>
      </c>
      <c r="L321" s="36">
        <f>SUMIF('Detalle por artículo'!$K$8:$K$592,$D321,'Detalle por artículo'!$O$8:$O$592)</f>
        <v>345.5</v>
      </c>
      <c r="M321" s="38">
        <f>SUMIF('Detalle por artículo'!$K$8:$K$592,$D321,'Detalle por artículo'!$I$8:$I$592)</f>
        <v>826</v>
      </c>
      <c r="N321" s="38">
        <f>SUMIF('Detalle por artículo'!$K$8:$K$592,$D321,'Detalle por artículo'!$M$8:$M$592)</f>
        <v>23</v>
      </c>
      <c r="O321" s="39">
        <f t="shared" si="173"/>
        <v>2.0769975786924939</v>
      </c>
      <c r="P321" s="40">
        <f t="shared" si="174"/>
        <v>418.28087167070214</v>
      </c>
      <c r="Q321" s="41">
        <f t="shared" si="175"/>
        <v>0.1</v>
      </c>
      <c r="R321" s="40">
        <f t="shared" si="176"/>
        <v>1.8871600000000002</v>
      </c>
      <c r="S321" s="42">
        <f>IFERROR(SUM($G$8:G321)/$G$6,0)</f>
        <v>0.94914359992365449</v>
      </c>
      <c r="T321" s="43" t="str">
        <f t="shared" si="177"/>
        <v>C</v>
      </c>
      <c r="U321" s="44">
        <v>826</v>
      </c>
      <c r="V321" s="45">
        <f t="shared" si="158"/>
        <v>0</v>
      </c>
      <c r="W321" s="46">
        <v>46262</v>
      </c>
      <c r="X321" s="46">
        <v>46262</v>
      </c>
      <c r="Y321" s="47">
        <v>0</v>
      </c>
      <c r="Z321" s="48">
        <f t="shared" si="178"/>
        <v>0</v>
      </c>
      <c r="AA321" s="49">
        <f t="shared" si="179"/>
        <v>0</v>
      </c>
      <c r="AB321" s="44">
        <v>689</v>
      </c>
      <c r="AC321" s="44">
        <f t="shared" si="180"/>
        <v>466</v>
      </c>
      <c r="AD321" s="44">
        <f t="shared" si="181"/>
        <v>212</v>
      </c>
      <c r="AE321" s="50">
        <f t="shared" si="182"/>
        <v>49</v>
      </c>
      <c r="AF321" s="41">
        <f t="shared" si="183"/>
        <v>0.98</v>
      </c>
      <c r="AG321" s="44">
        <v>2</v>
      </c>
      <c r="AH321" s="44">
        <v>9</v>
      </c>
      <c r="AI321" s="42">
        <f t="shared" si="159"/>
        <v>0.56416464891041163</v>
      </c>
      <c r="AJ321" s="42">
        <f t="shared" si="160"/>
        <v>0.2566585956416465</v>
      </c>
      <c r="AK321" s="40">
        <f t="shared" si="184"/>
        <v>0.96788087167070214</v>
      </c>
      <c r="AL321" s="51">
        <v>137</v>
      </c>
      <c r="AM321" s="52">
        <f t="shared" si="185"/>
        <v>0.28454866828087166</v>
      </c>
      <c r="AN321" s="42">
        <f t="shared" si="161"/>
        <v>0.16585956416464892</v>
      </c>
      <c r="AO321" s="53">
        <f t="shared" si="162"/>
        <v>137</v>
      </c>
      <c r="AP321" s="52">
        <f t="shared" si="163"/>
        <v>0.28454866828087166</v>
      </c>
      <c r="AQ321" s="42">
        <f t="shared" si="164"/>
        <v>0.82082324455205813</v>
      </c>
      <c r="AR321" s="46">
        <v>46265</v>
      </c>
      <c r="AS321" s="46">
        <v>46266</v>
      </c>
      <c r="AT321" s="50">
        <f t="shared" si="165"/>
        <v>4</v>
      </c>
      <c r="AU321" s="50">
        <f t="shared" si="186"/>
        <v>223</v>
      </c>
      <c r="AV321" s="50">
        <f t="shared" si="166"/>
        <v>126</v>
      </c>
      <c r="AW321" s="54">
        <f t="shared" si="167"/>
        <v>97</v>
      </c>
    </row>
    <row r="322" spans="1:49" x14ac:dyDescent="0.25">
      <c r="A322" s="33" t="s">
        <v>63</v>
      </c>
      <c r="B322" s="33" t="s">
        <v>102</v>
      </c>
      <c r="C322" s="33" t="s">
        <v>103</v>
      </c>
      <c r="D322" s="33" t="s">
        <v>422</v>
      </c>
      <c r="E322" s="34">
        <f>COUNTIF('Detalle por artículo'!$K$8:$K$592,D322)</f>
        <v>1</v>
      </c>
      <c r="F322" s="35">
        <f t="shared" si="168"/>
        <v>262.94117647058823</v>
      </c>
      <c r="G322" s="36">
        <f>SUMIF('Detalle por artículo'!$K$8:$K$592,$D322,'Detalle por artículo'!$E$8:$E$592)</f>
        <v>1.7</v>
      </c>
      <c r="H322" s="35">
        <f t="shared" si="169"/>
        <v>2</v>
      </c>
      <c r="I322" s="35">
        <f t="shared" si="170"/>
        <v>3</v>
      </c>
      <c r="J322" s="35">
        <f t="shared" si="171"/>
        <v>5</v>
      </c>
      <c r="K322" s="37">
        <f t="shared" si="172"/>
        <v>6.0714285714285714E-2</v>
      </c>
      <c r="L322" s="36">
        <f>SUMIF('Detalle por artículo'!$K$8:$K$592,$D322,'Detalle por artículo'!$O$8:$O$592)</f>
        <v>447</v>
      </c>
      <c r="M322" s="38">
        <f>SUMIF('Detalle por artículo'!$K$8:$K$592,$D322,'Detalle por artículo'!$I$8:$I$592)</f>
        <v>810</v>
      </c>
      <c r="N322" s="38">
        <f>SUMIF('Detalle por artículo'!$K$8:$K$592,$D322,'Detalle por artículo'!$M$8:$M$592)</f>
        <v>20</v>
      </c>
      <c r="O322" s="39">
        <f t="shared" si="173"/>
        <v>2.0987654320987654</v>
      </c>
      <c r="P322" s="40">
        <f t="shared" si="174"/>
        <v>551.85185185185185</v>
      </c>
      <c r="Q322" s="41">
        <f t="shared" si="175"/>
        <v>0.1</v>
      </c>
      <c r="R322" s="40">
        <f t="shared" si="176"/>
        <v>1.87</v>
      </c>
      <c r="S322" s="42">
        <f>IFERROR(SUM($G$8:G322)/$G$6,0)</f>
        <v>0.9497682883602967</v>
      </c>
      <c r="T322" s="43" t="str">
        <f t="shared" si="177"/>
        <v>C</v>
      </c>
      <c r="U322" s="44">
        <v>810</v>
      </c>
      <c r="V322" s="45">
        <f t="shared" si="158"/>
        <v>0</v>
      </c>
      <c r="W322" s="46">
        <v>46233</v>
      </c>
      <c r="X322" s="46">
        <v>46233</v>
      </c>
      <c r="Y322" s="47">
        <v>0</v>
      </c>
      <c r="Z322" s="48">
        <f t="shared" si="178"/>
        <v>0</v>
      </c>
      <c r="AA322" s="49">
        <f t="shared" si="179"/>
        <v>0</v>
      </c>
      <c r="AB322" s="44">
        <v>587</v>
      </c>
      <c r="AC322" s="44">
        <f t="shared" si="180"/>
        <v>382</v>
      </c>
      <c r="AD322" s="44">
        <f t="shared" si="181"/>
        <v>196</v>
      </c>
      <c r="AE322" s="50">
        <f t="shared" si="182"/>
        <v>48</v>
      </c>
      <c r="AF322" s="41">
        <f t="shared" si="183"/>
        <v>0.96</v>
      </c>
      <c r="AG322" s="44">
        <v>2</v>
      </c>
      <c r="AH322" s="44">
        <v>7</v>
      </c>
      <c r="AI322" s="42">
        <f t="shared" si="159"/>
        <v>0.47160493827160493</v>
      </c>
      <c r="AJ322" s="42">
        <f t="shared" si="160"/>
        <v>0.24197530864197531</v>
      </c>
      <c r="AK322" s="40">
        <f t="shared" si="184"/>
        <v>0.80172839506172844</v>
      </c>
      <c r="AL322" s="51">
        <v>217</v>
      </c>
      <c r="AM322" s="52">
        <f t="shared" si="185"/>
        <v>0.45543209876543211</v>
      </c>
      <c r="AN322" s="42">
        <f t="shared" si="161"/>
        <v>0.26790123456790121</v>
      </c>
      <c r="AO322" s="53">
        <f t="shared" si="162"/>
        <v>223</v>
      </c>
      <c r="AP322" s="52">
        <f t="shared" si="163"/>
        <v>0.46802469135802471</v>
      </c>
      <c r="AQ322" s="42">
        <f t="shared" si="164"/>
        <v>0.71358024691358024</v>
      </c>
      <c r="AR322" s="46">
        <v>46257</v>
      </c>
      <c r="AS322" s="46">
        <v>46258</v>
      </c>
      <c r="AT322" s="50">
        <f t="shared" si="165"/>
        <v>25</v>
      </c>
      <c r="AU322" s="50">
        <f t="shared" si="186"/>
        <v>235</v>
      </c>
      <c r="AV322" s="50">
        <f t="shared" si="166"/>
        <v>207</v>
      </c>
      <c r="AW322" s="54">
        <f t="shared" si="167"/>
        <v>28</v>
      </c>
    </row>
    <row r="323" spans="1:49" x14ac:dyDescent="0.25">
      <c r="A323" s="33" t="s">
        <v>55</v>
      </c>
      <c r="B323" s="33" t="s">
        <v>255</v>
      </c>
      <c r="C323" s="33" t="s">
        <v>132</v>
      </c>
      <c r="D323" s="33" t="s">
        <v>423</v>
      </c>
      <c r="E323" s="34">
        <f>COUNTIF('Detalle por artículo'!$K$8:$K$592,D323)</f>
        <v>1</v>
      </c>
      <c r="F323" s="35">
        <f t="shared" si="168"/>
        <v>251.30208333333334</v>
      </c>
      <c r="G323" s="36">
        <f>SUMIF('Detalle por artículo'!$K$8:$K$592,$D323,'Detalle por artículo'!$E$8:$E$592)</f>
        <v>1.6896</v>
      </c>
      <c r="H323" s="35">
        <f t="shared" si="169"/>
        <v>2</v>
      </c>
      <c r="I323" s="35">
        <f t="shared" si="170"/>
        <v>3</v>
      </c>
      <c r="J323" s="35">
        <f t="shared" si="171"/>
        <v>5</v>
      </c>
      <c r="K323" s="37">
        <f t="shared" si="172"/>
        <v>6.0342857142857143E-2</v>
      </c>
      <c r="L323" s="36">
        <f>SUMIF('Detalle por artículo'!$K$8:$K$592,$D323,'Detalle por artículo'!$O$8:$O$592)</f>
        <v>424.6</v>
      </c>
      <c r="M323" s="38">
        <f>SUMIF('Detalle por artículo'!$K$8:$K$592,$D323,'Detalle por artículo'!$I$8:$I$592)</f>
        <v>769</v>
      </c>
      <c r="N323" s="38">
        <f>SUMIF('Detalle por artículo'!$K$8:$K$592,$D323,'Detalle por artículo'!$M$8:$M$592)</f>
        <v>22</v>
      </c>
      <c r="O323" s="39">
        <f t="shared" si="173"/>
        <v>2.1971391417425226</v>
      </c>
      <c r="P323" s="40">
        <f t="shared" si="174"/>
        <v>552.1456436931079</v>
      </c>
      <c r="Q323" s="41">
        <f t="shared" si="175"/>
        <v>0.1</v>
      </c>
      <c r="R323" s="40">
        <f t="shared" si="176"/>
        <v>1.8585600000000002</v>
      </c>
      <c r="S323" s="42">
        <f>IFERROR(SUM($G$8:G323)/$G$6,0)</f>
        <v>0.95038915517356182</v>
      </c>
      <c r="T323" s="43" t="str">
        <f t="shared" si="177"/>
        <v>C</v>
      </c>
      <c r="U323" s="44">
        <v>769</v>
      </c>
      <c r="V323" s="45">
        <f t="shared" si="158"/>
        <v>0</v>
      </c>
      <c r="W323" s="46">
        <v>46188</v>
      </c>
      <c r="X323" s="46">
        <v>46188</v>
      </c>
      <c r="Y323" s="47">
        <v>0</v>
      </c>
      <c r="Z323" s="48">
        <f t="shared" si="178"/>
        <v>0</v>
      </c>
      <c r="AA323" s="49">
        <f t="shared" si="179"/>
        <v>0</v>
      </c>
      <c r="AB323" s="44">
        <v>544</v>
      </c>
      <c r="AC323" s="44">
        <f t="shared" si="180"/>
        <v>396</v>
      </c>
      <c r="AD323" s="44">
        <f t="shared" si="181"/>
        <v>123</v>
      </c>
      <c r="AE323" s="50">
        <f t="shared" si="182"/>
        <v>48</v>
      </c>
      <c r="AF323" s="41">
        <f t="shared" si="183"/>
        <v>0.96</v>
      </c>
      <c r="AG323" s="44">
        <v>3</v>
      </c>
      <c r="AH323" s="44">
        <v>22</v>
      </c>
      <c r="AI323" s="42">
        <f t="shared" si="159"/>
        <v>0.51495448634590379</v>
      </c>
      <c r="AJ323" s="42">
        <f t="shared" si="160"/>
        <v>0.1599479843953186</v>
      </c>
      <c r="AK323" s="40">
        <f t="shared" si="184"/>
        <v>0.87006710013003896</v>
      </c>
      <c r="AL323" s="51">
        <v>225</v>
      </c>
      <c r="AM323" s="52">
        <f t="shared" si="185"/>
        <v>0.49435630689206755</v>
      </c>
      <c r="AN323" s="42">
        <f t="shared" si="161"/>
        <v>0.2925877763328999</v>
      </c>
      <c r="AO323" s="53">
        <f t="shared" si="162"/>
        <v>225</v>
      </c>
      <c r="AP323" s="52">
        <f t="shared" si="163"/>
        <v>0.49435630689206755</v>
      </c>
      <c r="AQ323" s="42">
        <f t="shared" si="164"/>
        <v>0.67490247074122234</v>
      </c>
      <c r="AR323" s="46">
        <v>46219</v>
      </c>
      <c r="AS323" s="46">
        <v>46219</v>
      </c>
      <c r="AT323" s="50">
        <f t="shared" si="165"/>
        <v>31</v>
      </c>
      <c r="AU323" s="50">
        <f t="shared" si="186"/>
        <v>263</v>
      </c>
      <c r="AV323" s="50">
        <f t="shared" si="166"/>
        <v>241</v>
      </c>
      <c r="AW323" s="54">
        <f t="shared" si="167"/>
        <v>22</v>
      </c>
    </row>
    <row r="324" spans="1:49" x14ac:dyDescent="0.25">
      <c r="A324" s="33" t="s">
        <v>55</v>
      </c>
      <c r="B324" s="33" t="s">
        <v>255</v>
      </c>
      <c r="C324" s="33" t="s">
        <v>132</v>
      </c>
      <c r="D324" s="33" t="s">
        <v>424</v>
      </c>
      <c r="E324" s="34">
        <f>COUNTIF('Detalle por artículo'!$K$8:$K$592,D324)</f>
        <v>1</v>
      </c>
      <c r="F324" s="35">
        <f t="shared" si="168"/>
        <v>261.18607954545456</v>
      </c>
      <c r="G324" s="36">
        <f>SUMIF('Detalle por artículo'!$K$8:$K$592,$D324,'Detalle por artículo'!$E$8:$E$592)</f>
        <v>1.6896</v>
      </c>
      <c r="H324" s="35">
        <f t="shared" si="169"/>
        <v>2</v>
      </c>
      <c r="I324" s="35">
        <f t="shared" si="170"/>
        <v>3</v>
      </c>
      <c r="J324" s="35">
        <f t="shared" si="171"/>
        <v>5</v>
      </c>
      <c r="K324" s="37">
        <f t="shared" si="172"/>
        <v>6.0342857142857143E-2</v>
      </c>
      <c r="L324" s="36">
        <f>SUMIF('Detalle por artículo'!$K$8:$K$592,$D324,'Detalle por artículo'!$O$8:$O$592)</f>
        <v>441.3</v>
      </c>
      <c r="M324" s="38">
        <f>SUMIF('Detalle por artículo'!$K$8:$K$592,$D324,'Detalle por artículo'!$I$8:$I$592)</f>
        <v>711</v>
      </c>
      <c r="N324" s="38">
        <f>SUMIF('Detalle por artículo'!$K$8:$K$592,$D324,'Detalle por artículo'!$M$8:$M$592)</f>
        <v>22</v>
      </c>
      <c r="O324" s="39">
        <f t="shared" si="173"/>
        <v>2.3763713080168776</v>
      </c>
      <c r="P324" s="40">
        <f t="shared" si="174"/>
        <v>620.67510548523205</v>
      </c>
      <c r="Q324" s="41">
        <f t="shared" si="175"/>
        <v>0.1</v>
      </c>
      <c r="R324" s="40">
        <f t="shared" si="176"/>
        <v>1.8585600000000002</v>
      </c>
      <c r="S324" s="42">
        <f>IFERROR(SUM($G$8:G324)/$G$6,0)</f>
        <v>0.95101002198682705</v>
      </c>
      <c r="T324" s="43" t="str">
        <f t="shared" si="177"/>
        <v>C</v>
      </c>
      <c r="U324" s="44">
        <v>711</v>
      </c>
      <c r="V324" s="45">
        <f t="shared" si="158"/>
        <v>0</v>
      </c>
      <c r="W324" s="46">
        <v>46188</v>
      </c>
      <c r="X324" s="46">
        <v>46188</v>
      </c>
      <c r="Y324" s="47">
        <v>0</v>
      </c>
      <c r="Z324" s="48">
        <f t="shared" si="178"/>
        <v>0</v>
      </c>
      <c r="AA324" s="49">
        <f t="shared" si="179"/>
        <v>0</v>
      </c>
      <c r="AB324" s="44">
        <v>655</v>
      </c>
      <c r="AC324" s="44">
        <f t="shared" si="180"/>
        <v>384</v>
      </c>
      <c r="AD324" s="44">
        <f t="shared" si="181"/>
        <v>259</v>
      </c>
      <c r="AE324" s="50">
        <f t="shared" si="182"/>
        <v>48</v>
      </c>
      <c r="AF324" s="41">
        <f t="shared" si="183"/>
        <v>0.96</v>
      </c>
      <c r="AG324" s="44">
        <v>4</v>
      </c>
      <c r="AH324" s="44">
        <v>8</v>
      </c>
      <c r="AI324" s="42">
        <f t="shared" si="159"/>
        <v>0.54008438818565396</v>
      </c>
      <c r="AJ324" s="42">
        <f t="shared" si="160"/>
        <v>0.36427566807313644</v>
      </c>
      <c r="AK324" s="40">
        <f t="shared" si="184"/>
        <v>0.91252658227848094</v>
      </c>
      <c r="AL324" s="51">
        <v>56</v>
      </c>
      <c r="AM324" s="52">
        <f t="shared" si="185"/>
        <v>0.13307679324894514</v>
      </c>
      <c r="AN324" s="42">
        <f t="shared" si="161"/>
        <v>7.8762306610407881E-2</v>
      </c>
      <c r="AO324" s="53">
        <f t="shared" si="162"/>
        <v>56</v>
      </c>
      <c r="AP324" s="52">
        <f t="shared" si="163"/>
        <v>0.13307679324894514</v>
      </c>
      <c r="AQ324" s="42">
        <f t="shared" si="164"/>
        <v>0.90436005625879046</v>
      </c>
      <c r="AR324" s="46">
        <v>46219</v>
      </c>
      <c r="AS324" s="46">
        <v>46219</v>
      </c>
      <c r="AT324" s="50">
        <f t="shared" si="165"/>
        <v>31</v>
      </c>
      <c r="AU324" s="50">
        <f t="shared" si="186"/>
        <v>308</v>
      </c>
      <c r="AV324" s="50">
        <f t="shared" si="166"/>
        <v>152</v>
      </c>
      <c r="AW324" s="54">
        <f t="shared" si="167"/>
        <v>156</v>
      </c>
    </row>
    <row r="325" spans="1:49" x14ac:dyDescent="0.25">
      <c r="A325" s="33" t="s">
        <v>55</v>
      </c>
      <c r="B325" s="33" t="s">
        <v>255</v>
      </c>
      <c r="C325" s="33" t="s">
        <v>132</v>
      </c>
      <c r="D325" s="33" t="s">
        <v>425</v>
      </c>
      <c r="E325" s="34">
        <f>COUNTIF('Detalle por artículo'!$K$8:$K$592,D325)</f>
        <v>1</v>
      </c>
      <c r="F325" s="35">
        <f t="shared" si="168"/>
        <v>236.74698795180723</v>
      </c>
      <c r="G325" s="36">
        <f>SUMIF('Detalle por artículo'!$K$8:$K$592,$D325,'Detalle por artículo'!$E$8:$E$592)</f>
        <v>1.66</v>
      </c>
      <c r="H325" s="35">
        <f t="shared" si="169"/>
        <v>2</v>
      </c>
      <c r="I325" s="35">
        <f t="shared" si="170"/>
        <v>3</v>
      </c>
      <c r="J325" s="35">
        <f t="shared" si="171"/>
        <v>5</v>
      </c>
      <c r="K325" s="37">
        <f t="shared" si="172"/>
        <v>5.9285714285714282E-2</v>
      </c>
      <c r="L325" s="36">
        <f>SUMIF('Detalle por artículo'!$K$8:$K$592,$D325,'Detalle por artículo'!$O$8:$O$592)</f>
        <v>393</v>
      </c>
      <c r="M325" s="38">
        <f>SUMIF('Detalle por artículo'!$K$8:$K$592,$D325,'Detalle por artículo'!$I$8:$I$592)</f>
        <v>683</v>
      </c>
      <c r="N325" s="38">
        <f>SUMIF('Detalle por artículo'!$K$8:$K$592,$D325,'Detalle por artículo'!$M$8:$M$592)</f>
        <v>23</v>
      </c>
      <c r="O325" s="39">
        <f t="shared" si="173"/>
        <v>2.4304538799414348</v>
      </c>
      <c r="P325" s="40">
        <f t="shared" si="174"/>
        <v>575.40263543191804</v>
      </c>
      <c r="Q325" s="41">
        <f t="shared" si="175"/>
        <v>0.1</v>
      </c>
      <c r="R325" s="40">
        <f t="shared" si="176"/>
        <v>1.8260000000000001</v>
      </c>
      <c r="S325" s="42">
        <f>IFERROR(SUM($G$8:G325)/$G$6,0)</f>
        <v>0.95162001187201883</v>
      </c>
      <c r="T325" s="43" t="str">
        <f t="shared" si="177"/>
        <v>C</v>
      </c>
      <c r="U325" s="44">
        <v>683</v>
      </c>
      <c r="V325" s="45">
        <f t="shared" si="158"/>
        <v>0</v>
      </c>
      <c r="W325" s="46">
        <v>46218</v>
      </c>
      <c r="X325" s="46">
        <v>46218</v>
      </c>
      <c r="Y325" s="47">
        <v>0</v>
      </c>
      <c r="Z325" s="48">
        <f t="shared" si="178"/>
        <v>0</v>
      </c>
      <c r="AA325" s="49">
        <f t="shared" si="179"/>
        <v>0</v>
      </c>
      <c r="AB325" s="44">
        <v>621</v>
      </c>
      <c r="AC325" s="44">
        <f t="shared" si="180"/>
        <v>425</v>
      </c>
      <c r="AD325" s="44">
        <f t="shared" si="181"/>
        <v>196</v>
      </c>
      <c r="AE325" s="50">
        <f t="shared" si="182"/>
        <v>49</v>
      </c>
      <c r="AF325" s="41">
        <f t="shared" si="183"/>
        <v>0.98</v>
      </c>
      <c r="AG325" s="44">
        <v>0</v>
      </c>
      <c r="AH325" s="44">
        <v>0</v>
      </c>
      <c r="AI325" s="42">
        <f t="shared" si="159"/>
        <v>0.62225475841874089</v>
      </c>
      <c r="AJ325" s="42">
        <f t="shared" si="160"/>
        <v>0.28696925329428991</v>
      </c>
      <c r="AK325" s="40">
        <f t="shared" si="184"/>
        <v>1.0329428989751097</v>
      </c>
      <c r="AL325" s="51">
        <v>61</v>
      </c>
      <c r="AM325" s="52">
        <f t="shared" si="185"/>
        <v>0.14825768667642752</v>
      </c>
      <c r="AN325" s="42">
        <f t="shared" si="161"/>
        <v>8.9311859443631042E-2</v>
      </c>
      <c r="AO325" s="53">
        <f t="shared" si="162"/>
        <v>62</v>
      </c>
      <c r="AP325" s="52">
        <f t="shared" si="163"/>
        <v>0.15068814055636895</v>
      </c>
      <c r="AQ325" s="42">
        <f t="shared" si="164"/>
        <v>0.9092240117130308</v>
      </c>
      <c r="AR325" s="46">
        <v>46225</v>
      </c>
      <c r="AS325" s="46">
        <v>46225</v>
      </c>
      <c r="AT325" s="50">
        <f t="shared" si="165"/>
        <v>7</v>
      </c>
      <c r="AU325" s="50">
        <f t="shared" si="186"/>
        <v>332</v>
      </c>
      <c r="AV325" s="50">
        <f t="shared" si="166"/>
        <v>174</v>
      </c>
      <c r="AW325" s="54">
        <f t="shared" si="167"/>
        <v>158</v>
      </c>
    </row>
    <row r="326" spans="1:49" x14ac:dyDescent="0.25">
      <c r="A326" s="33" t="s">
        <v>138</v>
      </c>
      <c r="B326" s="33" t="s">
        <v>426</v>
      </c>
      <c r="C326" s="33" t="s">
        <v>427</v>
      </c>
      <c r="D326" s="33" t="s">
        <v>428</v>
      </c>
      <c r="E326" s="34">
        <f>COUNTIF('Detalle por artículo'!$K$8:$K$592,D326)</f>
        <v>1</v>
      </c>
      <c r="F326" s="35">
        <f t="shared" si="168"/>
        <v>124.81927710843375</v>
      </c>
      <c r="G326" s="36">
        <f>SUMIF('Detalle por artículo'!$K$8:$K$592,$D326,'Detalle por artículo'!$E$8:$E$592)</f>
        <v>1.66</v>
      </c>
      <c r="H326" s="35">
        <f t="shared" si="169"/>
        <v>2</v>
      </c>
      <c r="I326" s="35">
        <f t="shared" si="170"/>
        <v>3</v>
      </c>
      <c r="J326" s="35">
        <f t="shared" si="171"/>
        <v>5</v>
      </c>
      <c r="K326" s="37">
        <f t="shared" si="172"/>
        <v>5.9285714285714282E-2</v>
      </c>
      <c r="L326" s="36">
        <f>SUMIF('Detalle por artículo'!$K$8:$K$592,$D326,'Detalle por artículo'!$O$8:$O$592)</f>
        <v>207.20000000000002</v>
      </c>
      <c r="M326" s="38">
        <f>SUMIF('Detalle por artículo'!$K$8:$K$592,$D326,'Detalle por artículo'!$I$8:$I$592)</f>
        <v>500</v>
      </c>
      <c r="N326" s="38">
        <f>SUMIF('Detalle por artículo'!$K$8:$K$592,$D326,'Detalle por artículo'!$M$8:$M$592)</f>
        <v>23</v>
      </c>
      <c r="O326" s="39">
        <f t="shared" si="173"/>
        <v>3.32</v>
      </c>
      <c r="P326" s="40">
        <f t="shared" si="174"/>
        <v>414.40000000000003</v>
      </c>
      <c r="Q326" s="41">
        <f t="shared" si="175"/>
        <v>0.15</v>
      </c>
      <c r="R326" s="40">
        <f t="shared" si="176"/>
        <v>1.9089999999999998</v>
      </c>
      <c r="S326" s="42">
        <f>IFERROR(SUM($G$8:G326)/$G$6,0)</f>
        <v>0.95223000175721051</v>
      </c>
      <c r="T326" s="43" t="str">
        <f t="shared" si="177"/>
        <v>C</v>
      </c>
      <c r="U326" s="44">
        <v>500</v>
      </c>
      <c r="V326" s="45">
        <f t="shared" ref="V326:V389" si="187">U326-M326</f>
        <v>0</v>
      </c>
      <c r="W326" s="46">
        <v>46244</v>
      </c>
      <c r="X326" s="46">
        <v>46244</v>
      </c>
      <c r="Y326" s="47">
        <v>0</v>
      </c>
      <c r="Z326" s="48">
        <f t="shared" si="178"/>
        <v>0</v>
      </c>
      <c r="AA326" s="49">
        <f t="shared" si="179"/>
        <v>0</v>
      </c>
      <c r="AB326" s="44">
        <v>315</v>
      </c>
      <c r="AC326" s="44">
        <f t="shared" si="180"/>
        <v>213</v>
      </c>
      <c r="AD326" s="44">
        <f t="shared" si="181"/>
        <v>95</v>
      </c>
      <c r="AE326" s="50">
        <f t="shared" si="182"/>
        <v>34</v>
      </c>
      <c r="AF326" s="41">
        <f t="shared" si="183"/>
        <v>0.68</v>
      </c>
      <c r="AG326" s="44">
        <v>1</v>
      </c>
      <c r="AH326" s="44">
        <v>6</v>
      </c>
      <c r="AI326" s="42">
        <f t="shared" ref="AI326:AI389" si="188">IFERROR(AC326/M326,0)</f>
        <v>0.42599999999999999</v>
      </c>
      <c r="AJ326" s="42">
        <f t="shared" ref="AJ326:AJ389" si="189">IFERROR(AD326/M326,0)</f>
        <v>0.19</v>
      </c>
      <c r="AK326" s="40">
        <f t="shared" si="184"/>
        <v>0.70716000000000001</v>
      </c>
      <c r="AL326" s="51">
        <v>180</v>
      </c>
      <c r="AM326" s="52">
        <f t="shared" si="185"/>
        <v>0.59760000000000002</v>
      </c>
      <c r="AN326" s="42">
        <f t="shared" ref="AN326:AN389" si="190">IFERROR(AL326/U326,0)</f>
        <v>0.36</v>
      </c>
      <c r="AO326" s="53">
        <f t="shared" ref="AO326:AO389" si="191">M326-AB326</f>
        <v>185</v>
      </c>
      <c r="AP326" s="52">
        <f t="shared" ref="AP326:AP389" si="192">AO326*O326/1000</f>
        <v>0.61419999999999997</v>
      </c>
      <c r="AQ326" s="42">
        <f t="shared" ref="AQ326:AQ389" si="193">IFERROR((AC326+AD326)/M326,0)</f>
        <v>0.61599999999999999</v>
      </c>
      <c r="AR326" s="46">
        <v>46254</v>
      </c>
      <c r="AS326" s="46">
        <v>46254</v>
      </c>
      <c r="AT326" s="50">
        <f t="shared" ref="AT326:AT389" si="194">IF(OR(W326="",AS326=""),"",AS326-W326)</f>
        <v>10</v>
      </c>
      <c r="AU326" s="50">
        <f t="shared" si="186"/>
        <v>428</v>
      </c>
      <c r="AV326" s="50">
        <f t="shared" ref="AV326:AV389" si="195">IF(AB326=0,"",RANK(AB326,$AB$8:$AB$474))</f>
        <v>340</v>
      </c>
      <c r="AW326" s="54">
        <f t="shared" ref="AW326:AW389" si="196">IF(OR(AU326="",AV326=""),"",AU326-AV326)</f>
        <v>88</v>
      </c>
    </row>
    <row r="327" spans="1:49" x14ac:dyDescent="0.25">
      <c r="A327" s="33" t="s">
        <v>55</v>
      </c>
      <c r="B327" s="33" t="s">
        <v>255</v>
      </c>
      <c r="C327" s="33" t="s">
        <v>347</v>
      </c>
      <c r="D327" s="33" t="s">
        <v>429</v>
      </c>
      <c r="E327" s="34">
        <f>COUNTIF('Detalle por artículo'!$K$8:$K$592,D327)</f>
        <v>1</v>
      </c>
      <c r="F327" s="35">
        <f t="shared" si="168"/>
        <v>233.39393939393938</v>
      </c>
      <c r="G327" s="36">
        <f>SUMIF('Detalle por artículo'!$K$8:$K$592,$D327,'Detalle por artículo'!$E$8:$E$592)</f>
        <v>1.65</v>
      </c>
      <c r="H327" s="35">
        <f t="shared" si="169"/>
        <v>2</v>
      </c>
      <c r="I327" s="35">
        <f t="shared" si="170"/>
        <v>3</v>
      </c>
      <c r="J327" s="35">
        <f t="shared" si="171"/>
        <v>5</v>
      </c>
      <c r="K327" s="37">
        <f t="shared" si="172"/>
        <v>5.8928571428571427E-2</v>
      </c>
      <c r="L327" s="36">
        <f>SUMIF('Detalle por artículo'!$K$8:$K$592,$D327,'Detalle por artículo'!$O$8:$O$592)</f>
        <v>385.09999999999997</v>
      </c>
      <c r="M327" s="38">
        <f>SUMIF('Detalle por artículo'!$K$8:$K$592,$D327,'Detalle por artículo'!$I$8:$I$592)</f>
        <v>853</v>
      </c>
      <c r="N327" s="38">
        <f>SUMIF('Detalle por artículo'!$K$8:$K$592,$D327,'Detalle por artículo'!$M$8:$M$592)</f>
        <v>23</v>
      </c>
      <c r="O327" s="39">
        <f t="shared" si="173"/>
        <v>1.9343493552168813</v>
      </c>
      <c r="P327" s="40">
        <f t="shared" si="174"/>
        <v>451.46541617819457</v>
      </c>
      <c r="Q327" s="41">
        <f t="shared" si="175"/>
        <v>0.1</v>
      </c>
      <c r="R327" s="40">
        <f t="shared" si="176"/>
        <v>1.8149999999999999</v>
      </c>
      <c r="S327" s="42">
        <f>IFERROR(SUM($G$8:G327)/$G$6,0)</f>
        <v>0.95283631700453975</v>
      </c>
      <c r="T327" s="43" t="str">
        <f t="shared" si="177"/>
        <v>C</v>
      </c>
      <c r="U327" s="44">
        <v>853</v>
      </c>
      <c r="V327" s="45">
        <f t="shared" si="187"/>
        <v>0</v>
      </c>
      <c r="W327" s="46">
        <v>46198</v>
      </c>
      <c r="X327" s="46">
        <v>46198</v>
      </c>
      <c r="Y327" s="47">
        <v>0</v>
      </c>
      <c r="Z327" s="48">
        <f t="shared" si="178"/>
        <v>0</v>
      </c>
      <c r="AA327" s="49">
        <f t="shared" si="179"/>
        <v>0</v>
      </c>
      <c r="AB327" s="44">
        <v>525</v>
      </c>
      <c r="AC327" s="44">
        <f t="shared" si="180"/>
        <v>379</v>
      </c>
      <c r="AD327" s="44">
        <f t="shared" si="181"/>
        <v>129</v>
      </c>
      <c r="AE327" s="50">
        <f t="shared" si="182"/>
        <v>44</v>
      </c>
      <c r="AF327" s="41">
        <f t="shared" si="183"/>
        <v>0.88</v>
      </c>
      <c r="AG327" s="44">
        <v>9</v>
      </c>
      <c r="AH327" s="44">
        <v>8</v>
      </c>
      <c r="AI327" s="42">
        <f t="shared" si="188"/>
        <v>0.44431418522860494</v>
      </c>
      <c r="AJ327" s="42">
        <f t="shared" si="189"/>
        <v>0.15123094958968347</v>
      </c>
      <c r="AK327" s="40">
        <f t="shared" si="184"/>
        <v>0.7331184056271981</v>
      </c>
      <c r="AL327" s="51">
        <v>328</v>
      </c>
      <c r="AM327" s="52">
        <f t="shared" si="185"/>
        <v>0.63446658851113702</v>
      </c>
      <c r="AN327" s="42">
        <f t="shared" si="190"/>
        <v>0.38452520515826494</v>
      </c>
      <c r="AO327" s="53">
        <f t="shared" si="191"/>
        <v>328</v>
      </c>
      <c r="AP327" s="52">
        <f t="shared" si="192"/>
        <v>0.63446658851113702</v>
      </c>
      <c r="AQ327" s="42">
        <f t="shared" si="193"/>
        <v>0.59554513481828841</v>
      </c>
      <c r="AR327" s="46">
        <v>46219</v>
      </c>
      <c r="AS327" s="46">
        <v>46219</v>
      </c>
      <c r="AT327" s="50">
        <f t="shared" si="194"/>
        <v>21</v>
      </c>
      <c r="AU327" s="50">
        <f t="shared" si="186"/>
        <v>214</v>
      </c>
      <c r="AV327" s="50">
        <f t="shared" si="195"/>
        <v>257</v>
      </c>
      <c r="AW327" s="54">
        <f t="shared" si="196"/>
        <v>-43</v>
      </c>
    </row>
    <row r="328" spans="1:49" x14ac:dyDescent="0.25">
      <c r="A328" s="33" t="s">
        <v>63</v>
      </c>
      <c r="B328" s="33" t="s">
        <v>171</v>
      </c>
      <c r="C328" s="33" t="s">
        <v>363</v>
      </c>
      <c r="D328" s="33" t="s">
        <v>430</v>
      </c>
      <c r="E328" s="34">
        <f>COUNTIF('Detalle por artículo'!$K$8:$K$592,D328)</f>
        <v>1</v>
      </c>
      <c r="F328" s="35">
        <f t="shared" ref="F328:F391" si="197">IFERROR(L328/G328,0)</f>
        <v>151.03658536585365</v>
      </c>
      <c r="G328" s="36">
        <f>SUMIF('Detalle por artículo'!$K$8:$K$592,$D328,'Detalle por artículo'!$E$8:$E$592)</f>
        <v>1.64</v>
      </c>
      <c r="H328" s="35">
        <f t="shared" ref="H328:H391" si="198">ROUNDUP(G328/1.54,0)</f>
        <v>2</v>
      </c>
      <c r="I328" s="35">
        <f t="shared" ref="I328:I391" si="199">ROUNDUP(G328/0.77,0)</f>
        <v>3</v>
      </c>
      <c r="J328" s="35">
        <f t="shared" ref="J328:J391" si="200">ROUNDUP(G328/0.385,0)</f>
        <v>5</v>
      </c>
      <c r="K328" s="37">
        <f t="shared" ref="K328:K391" si="201">G328/28</f>
        <v>5.8571428571428566E-2</v>
      </c>
      <c r="L328" s="36">
        <f>SUMIF('Detalle por artículo'!$K$8:$K$592,$D328,'Detalle por artículo'!$O$8:$O$592)</f>
        <v>247.7</v>
      </c>
      <c r="M328" s="38">
        <f>SUMIF('Detalle por artículo'!$K$8:$K$592,$D328,'Detalle por artículo'!$I$8:$I$592)</f>
        <v>759</v>
      </c>
      <c r="N328" s="38">
        <f>SUMIF('Detalle por artículo'!$K$8:$K$592,$D328,'Detalle por artículo'!$M$8:$M$592)</f>
        <v>16</v>
      </c>
      <c r="O328" s="39">
        <f t="shared" ref="O328:O391" si="202">IFERROR(G328/M328*1000,0)</f>
        <v>2.1607378129117261</v>
      </c>
      <c r="P328" s="40">
        <f t="shared" ref="P328:P391" si="203">IFERROR(L328/M328*1000,0)</f>
        <v>326.35046113306981</v>
      </c>
      <c r="Q328" s="41">
        <f t="shared" ref="Q328:Q391" si="204">IF(F328=0,0,IF(F328&lt;120,0.2,IF(F328&gt;200,0.1,0.15)))</f>
        <v>0.15</v>
      </c>
      <c r="R328" s="40">
        <f t="shared" ref="R328:R391" si="205">G328*(1+Q328)</f>
        <v>1.8859999999999997</v>
      </c>
      <c r="S328" s="42">
        <f>IFERROR(SUM($G$8:G328)/$G$6,0)</f>
        <v>0.95343895761400632</v>
      </c>
      <c r="T328" s="43" t="str">
        <f t="shared" ref="T328:T391" si="206">IF(S328&lt;=0.5,"A",IF(S328&lt;=0.84,"B","C"))</f>
        <v>C</v>
      </c>
      <c r="U328" s="44">
        <v>767</v>
      </c>
      <c r="V328" s="45">
        <f t="shared" si="187"/>
        <v>8</v>
      </c>
      <c r="W328" s="46">
        <v>46240</v>
      </c>
      <c r="X328" s="46">
        <v>46240</v>
      </c>
      <c r="Y328" s="47">
        <v>0</v>
      </c>
      <c r="Z328" s="48">
        <f t="shared" ref="Z328:Z391" si="207">Y328*O328/1000</f>
        <v>0</v>
      </c>
      <c r="AA328" s="49">
        <f t="shared" ref="AA328:AA391" si="208">Z328/28</f>
        <v>0</v>
      </c>
      <c r="AB328" s="44">
        <v>758</v>
      </c>
      <c r="AC328" s="44">
        <f t="shared" ref="AC328:AC391" si="209">IFERROR(INDEX(IMP_TOT,MATCH(D328,IMP_MOD,0)),0)</f>
        <v>447</v>
      </c>
      <c r="AD328" s="44">
        <f t="shared" ref="AD328:AD391" si="210">IFERROR(INDEX(REP_TOT,MATCH(D328,REP_MOD,0)),0)</f>
        <v>302</v>
      </c>
      <c r="AE328" s="50">
        <f t="shared" ref="AE328:AE391" si="211">IFERROR(INDEX(IMP_NT,MATCH(D328,IMP_MOD,0)),0)</f>
        <v>48</v>
      </c>
      <c r="AF328" s="41">
        <f t="shared" ref="AF328:AF391" si="212">IFERROR(AE328/TIENDAS,0)</f>
        <v>0.96</v>
      </c>
      <c r="AG328" s="44">
        <v>2</v>
      </c>
      <c r="AH328" s="44">
        <v>7</v>
      </c>
      <c r="AI328" s="42">
        <f t="shared" si="188"/>
        <v>0.58893280632411071</v>
      </c>
      <c r="AJ328" s="42">
        <f t="shared" si="189"/>
        <v>0.39789196310935443</v>
      </c>
      <c r="AK328" s="40">
        <f t="shared" ref="AK328:AK391" si="213">AC328*O328/1000</f>
        <v>0.9658498023715415</v>
      </c>
      <c r="AL328" s="51">
        <v>0</v>
      </c>
      <c r="AM328" s="52">
        <f t="shared" ref="AM328:AM391" si="214">AL328*O328/1000</f>
        <v>0</v>
      </c>
      <c r="AN328" s="42">
        <f t="shared" si="190"/>
        <v>0</v>
      </c>
      <c r="AO328" s="53">
        <f t="shared" si="191"/>
        <v>1</v>
      </c>
      <c r="AP328" s="52">
        <f t="shared" si="192"/>
        <v>2.160737812911726E-3</v>
      </c>
      <c r="AQ328" s="42">
        <f t="shared" si="193"/>
        <v>0.98682476943346509</v>
      </c>
      <c r="AR328" s="46">
        <v>46254</v>
      </c>
      <c r="AS328" s="46">
        <v>46255</v>
      </c>
      <c r="AT328" s="50">
        <f t="shared" si="194"/>
        <v>15</v>
      </c>
      <c r="AU328" s="50">
        <f t="shared" ref="AU328:AU391" si="215">IF(M328=0,"",RANK(M328,$M$8:$M$474))</f>
        <v>270</v>
      </c>
      <c r="AV328" s="50">
        <f t="shared" si="195"/>
        <v>108</v>
      </c>
      <c r="AW328" s="54">
        <f t="shared" si="196"/>
        <v>162</v>
      </c>
    </row>
    <row r="329" spans="1:49" x14ac:dyDescent="0.25">
      <c r="A329" s="33" t="s">
        <v>55</v>
      </c>
      <c r="B329" s="33" t="s">
        <v>329</v>
      </c>
      <c r="C329" s="33" t="s">
        <v>330</v>
      </c>
      <c r="D329" s="33" t="s">
        <v>431</v>
      </c>
      <c r="E329" s="34">
        <f>COUNTIF('Detalle por artículo'!$K$8:$K$592,D329)</f>
        <v>1</v>
      </c>
      <c r="F329" s="35">
        <f t="shared" si="197"/>
        <v>138.84803921568627</v>
      </c>
      <c r="G329" s="36">
        <f>SUMIF('Detalle por artículo'!$K$8:$K$592,$D329,'Detalle por artículo'!$E$8:$E$592)</f>
        <v>1.6319999999999999</v>
      </c>
      <c r="H329" s="35">
        <f t="shared" si="198"/>
        <v>2</v>
      </c>
      <c r="I329" s="35">
        <f t="shared" si="199"/>
        <v>3</v>
      </c>
      <c r="J329" s="35">
        <f t="shared" si="200"/>
        <v>5</v>
      </c>
      <c r="K329" s="37">
        <f t="shared" si="201"/>
        <v>5.8285714285714281E-2</v>
      </c>
      <c r="L329" s="36">
        <f>SUMIF('Detalle por artículo'!$K$8:$K$592,$D329,'Detalle por artículo'!$O$8:$O$592)</f>
        <v>226.6</v>
      </c>
      <c r="M329" s="38">
        <f>SUMIF('Detalle por artículo'!$K$8:$K$592,$D329,'Detalle por artículo'!$I$8:$I$592)</f>
        <v>877</v>
      </c>
      <c r="N329" s="38">
        <f>SUMIF('Detalle por artículo'!$K$8:$K$592,$D329,'Detalle por artículo'!$M$8:$M$592)</f>
        <v>17</v>
      </c>
      <c r="O329" s="39">
        <f t="shared" si="202"/>
        <v>1.8608893956670465</v>
      </c>
      <c r="P329" s="40">
        <f t="shared" si="203"/>
        <v>258.38084378563281</v>
      </c>
      <c r="Q329" s="41">
        <f t="shared" si="204"/>
        <v>0.15</v>
      </c>
      <c r="R329" s="40">
        <f t="shared" si="205"/>
        <v>1.8767999999999998</v>
      </c>
      <c r="S329" s="42">
        <f>IFERROR(SUM($G$8:G329)/$G$6,0)</f>
        <v>0.95403865851318292</v>
      </c>
      <c r="T329" s="43" t="str">
        <f t="shared" si="206"/>
        <v>C</v>
      </c>
      <c r="U329" s="44">
        <v>877</v>
      </c>
      <c r="V329" s="45">
        <f t="shared" si="187"/>
        <v>0</v>
      </c>
      <c r="W329" s="46">
        <v>46218</v>
      </c>
      <c r="X329" s="46">
        <v>46218</v>
      </c>
      <c r="Y329" s="47">
        <v>0</v>
      </c>
      <c r="Z329" s="48">
        <f t="shared" si="207"/>
        <v>0</v>
      </c>
      <c r="AA329" s="49">
        <f t="shared" si="208"/>
        <v>0</v>
      </c>
      <c r="AB329" s="44">
        <v>709</v>
      </c>
      <c r="AC329" s="44">
        <f t="shared" si="209"/>
        <v>360</v>
      </c>
      <c r="AD329" s="44">
        <f t="shared" si="210"/>
        <v>342</v>
      </c>
      <c r="AE329" s="50">
        <f t="shared" si="211"/>
        <v>48</v>
      </c>
      <c r="AF329" s="41">
        <f t="shared" si="212"/>
        <v>0.96</v>
      </c>
      <c r="AG329" s="44">
        <v>0</v>
      </c>
      <c r="AH329" s="44">
        <v>7</v>
      </c>
      <c r="AI329" s="42">
        <f t="shared" si="188"/>
        <v>0.41049030786773089</v>
      </c>
      <c r="AJ329" s="42">
        <f t="shared" si="189"/>
        <v>0.38996579247434437</v>
      </c>
      <c r="AK329" s="40">
        <f t="shared" si="213"/>
        <v>0.66992018244013674</v>
      </c>
      <c r="AL329" s="51">
        <v>168</v>
      </c>
      <c r="AM329" s="52">
        <f t="shared" si="214"/>
        <v>0.31262941847206382</v>
      </c>
      <c r="AN329" s="42">
        <f t="shared" si="190"/>
        <v>0.19156214367160776</v>
      </c>
      <c r="AO329" s="53">
        <f t="shared" si="191"/>
        <v>168</v>
      </c>
      <c r="AP329" s="52">
        <f t="shared" si="192"/>
        <v>0.31262941847206382</v>
      </c>
      <c r="AQ329" s="42">
        <f t="shared" si="193"/>
        <v>0.80045610034207526</v>
      </c>
      <c r="AR329" s="46">
        <v>46219</v>
      </c>
      <c r="AS329" s="46">
        <v>46219</v>
      </c>
      <c r="AT329" s="50">
        <f t="shared" si="194"/>
        <v>1</v>
      </c>
      <c r="AU329" s="50">
        <f t="shared" si="215"/>
        <v>203</v>
      </c>
      <c r="AV329" s="50">
        <f t="shared" si="195"/>
        <v>119</v>
      </c>
      <c r="AW329" s="54">
        <f t="shared" si="196"/>
        <v>84</v>
      </c>
    </row>
    <row r="330" spans="1:49" x14ac:dyDescent="0.25">
      <c r="A330" s="33" t="s">
        <v>55</v>
      </c>
      <c r="B330" s="33" t="s">
        <v>255</v>
      </c>
      <c r="C330" s="33" t="s">
        <v>132</v>
      </c>
      <c r="D330" s="33" t="s">
        <v>432</v>
      </c>
      <c r="E330" s="34">
        <f>COUNTIF('Detalle por artículo'!$K$8:$K$592,D330)</f>
        <v>1</v>
      </c>
      <c r="F330" s="35">
        <f t="shared" si="197"/>
        <v>273.03921568627453</v>
      </c>
      <c r="G330" s="36">
        <f>SUMIF('Detalle por artículo'!$K$8:$K$592,$D330,'Detalle por artículo'!$E$8:$E$592)</f>
        <v>1.6319999999999999</v>
      </c>
      <c r="H330" s="35">
        <f t="shared" si="198"/>
        <v>2</v>
      </c>
      <c r="I330" s="35">
        <f t="shared" si="199"/>
        <v>3</v>
      </c>
      <c r="J330" s="35">
        <f t="shared" si="200"/>
        <v>5</v>
      </c>
      <c r="K330" s="37">
        <f t="shared" si="201"/>
        <v>5.8285714285714281E-2</v>
      </c>
      <c r="L330" s="36">
        <f>SUMIF('Detalle por artículo'!$K$8:$K$592,$D330,'Detalle por artículo'!$O$8:$O$592)</f>
        <v>445.6</v>
      </c>
      <c r="M330" s="38">
        <f>SUMIF('Detalle por artículo'!$K$8:$K$592,$D330,'Detalle por artículo'!$I$8:$I$592)</f>
        <v>748</v>
      </c>
      <c r="N330" s="38">
        <f>SUMIF('Detalle por artículo'!$K$8:$K$592,$D330,'Detalle por artículo'!$M$8:$M$592)</f>
        <v>17</v>
      </c>
      <c r="O330" s="39">
        <f t="shared" si="202"/>
        <v>2.1818181818181817</v>
      </c>
      <c r="P330" s="40">
        <f t="shared" si="203"/>
        <v>595.72192513368987</v>
      </c>
      <c r="Q330" s="41">
        <f t="shared" si="204"/>
        <v>0.1</v>
      </c>
      <c r="R330" s="40">
        <f t="shared" si="205"/>
        <v>1.7952000000000001</v>
      </c>
      <c r="S330" s="42">
        <f>IFERROR(SUM($G$8:G330)/$G$6,0)</f>
        <v>0.95463835941235953</v>
      </c>
      <c r="T330" s="43" t="str">
        <f t="shared" si="206"/>
        <v>C</v>
      </c>
      <c r="U330" s="44">
        <v>748</v>
      </c>
      <c r="V330" s="45">
        <f t="shared" si="187"/>
        <v>0</v>
      </c>
      <c r="W330" s="46">
        <v>46218</v>
      </c>
      <c r="X330" s="46">
        <v>46218</v>
      </c>
      <c r="Y330" s="47">
        <v>0</v>
      </c>
      <c r="Z330" s="48">
        <f t="shared" si="207"/>
        <v>0</v>
      </c>
      <c r="AA330" s="49">
        <f t="shared" si="208"/>
        <v>0</v>
      </c>
      <c r="AB330" s="44">
        <v>617</v>
      </c>
      <c r="AC330" s="44">
        <f t="shared" si="209"/>
        <v>492</v>
      </c>
      <c r="AD330" s="44">
        <f t="shared" si="210"/>
        <v>124</v>
      </c>
      <c r="AE330" s="50">
        <f t="shared" si="211"/>
        <v>48</v>
      </c>
      <c r="AF330" s="41">
        <f t="shared" si="212"/>
        <v>0.96</v>
      </c>
      <c r="AG330" s="44">
        <v>1</v>
      </c>
      <c r="AH330" s="44">
        <v>0</v>
      </c>
      <c r="AI330" s="42">
        <f t="shared" si="188"/>
        <v>0.65775401069518713</v>
      </c>
      <c r="AJ330" s="42">
        <f t="shared" si="189"/>
        <v>0.16577540106951871</v>
      </c>
      <c r="AK330" s="40">
        <f t="shared" si="213"/>
        <v>1.0734545454545452</v>
      </c>
      <c r="AL330" s="51">
        <v>131</v>
      </c>
      <c r="AM330" s="52">
        <f t="shared" si="214"/>
        <v>0.2858181818181818</v>
      </c>
      <c r="AN330" s="42">
        <f t="shared" si="190"/>
        <v>0.1751336898395722</v>
      </c>
      <c r="AO330" s="53">
        <f t="shared" si="191"/>
        <v>131</v>
      </c>
      <c r="AP330" s="52">
        <f t="shared" si="192"/>
        <v>0.2858181818181818</v>
      </c>
      <c r="AQ330" s="42">
        <f t="shared" si="193"/>
        <v>0.82352941176470584</v>
      </c>
      <c r="AR330" s="46">
        <v>46225</v>
      </c>
      <c r="AS330" s="46">
        <v>46225</v>
      </c>
      <c r="AT330" s="50">
        <f t="shared" si="194"/>
        <v>7</v>
      </c>
      <c r="AU330" s="50">
        <f t="shared" si="215"/>
        <v>282</v>
      </c>
      <c r="AV330" s="50">
        <f t="shared" si="195"/>
        <v>177</v>
      </c>
      <c r="AW330" s="54">
        <f t="shared" si="196"/>
        <v>105</v>
      </c>
    </row>
    <row r="331" spans="1:49" x14ac:dyDescent="0.25">
      <c r="A331" s="33" t="s">
        <v>55</v>
      </c>
      <c r="B331" s="33" t="s">
        <v>255</v>
      </c>
      <c r="C331" s="33" t="s">
        <v>132</v>
      </c>
      <c r="D331" s="33" t="s">
        <v>433</v>
      </c>
      <c r="E331" s="34">
        <f>COUNTIF('Detalle por artículo'!$K$8:$K$592,D331)</f>
        <v>1</v>
      </c>
      <c r="F331" s="35">
        <f t="shared" si="197"/>
        <v>273.65196078431376</v>
      </c>
      <c r="G331" s="36">
        <f>SUMIF('Detalle por artículo'!$K$8:$K$592,$D331,'Detalle por artículo'!$E$8:$E$592)</f>
        <v>1.6319999999999999</v>
      </c>
      <c r="H331" s="35">
        <f t="shared" si="198"/>
        <v>2</v>
      </c>
      <c r="I331" s="35">
        <f t="shared" si="199"/>
        <v>3</v>
      </c>
      <c r="J331" s="35">
        <f t="shared" si="200"/>
        <v>5</v>
      </c>
      <c r="K331" s="37">
        <f t="shared" si="201"/>
        <v>5.8285714285714281E-2</v>
      </c>
      <c r="L331" s="36">
        <f>SUMIF('Detalle por artículo'!$K$8:$K$592,$D331,'Detalle por artículo'!$O$8:$O$592)</f>
        <v>446.6</v>
      </c>
      <c r="M331" s="38">
        <f>SUMIF('Detalle por artículo'!$K$8:$K$592,$D331,'Detalle por artículo'!$I$8:$I$592)</f>
        <v>773</v>
      </c>
      <c r="N331" s="38">
        <f>SUMIF('Detalle por artículo'!$K$8:$K$592,$D331,'Detalle por artículo'!$M$8:$M$592)</f>
        <v>17</v>
      </c>
      <c r="O331" s="39">
        <f t="shared" si="202"/>
        <v>2.1112548512289777</v>
      </c>
      <c r="P331" s="40">
        <f t="shared" si="203"/>
        <v>577.74902975420434</v>
      </c>
      <c r="Q331" s="41">
        <f t="shared" si="204"/>
        <v>0.1</v>
      </c>
      <c r="R331" s="40">
        <f t="shared" si="205"/>
        <v>1.7952000000000001</v>
      </c>
      <c r="S331" s="42">
        <f>IFERROR(SUM($G$8:G331)/$G$6,0)</f>
        <v>0.95523806031153602</v>
      </c>
      <c r="T331" s="43" t="str">
        <f t="shared" si="206"/>
        <v>C</v>
      </c>
      <c r="U331" s="44">
        <v>773</v>
      </c>
      <c r="V331" s="45">
        <f t="shared" si="187"/>
        <v>0</v>
      </c>
      <c r="W331" s="46">
        <v>46218</v>
      </c>
      <c r="X331" s="46">
        <v>46218</v>
      </c>
      <c r="Y331" s="47">
        <v>0</v>
      </c>
      <c r="Z331" s="48">
        <f t="shared" si="207"/>
        <v>0</v>
      </c>
      <c r="AA331" s="49">
        <f t="shared" si="208"/>
        <v>0</v>
      </c>
      <c r="AB331" s="44">
        <v>650</v>
      </c>
      <c r="AC331" s="44">
        <f t="shared" si="209"/>
        <v>489</v>
      </c>
      <c r="AD331" s="44">
        <f t="shared" si="210"/>
        <v>154</v>
      </c>
      <c r="AE331" s="50">
        <f t="shared" si="211"/>
        <v>48</v>
      </c>
      <c r="AF331" s="41">
        <f t="shared" si="212"/>
        <v>0.96</v>
      </c>
      <c r="AG331" s="44">
        <v>7</v>
      </c>
      <c r="AH331" s="44">
        <v>0</v>
      </c>
      <c r="AI331" s="42">
        <f t="shared" si="188"/>
        <v>0.63260025873221215</v>
      </c>
      <c r="AJ331" s="42">
        <f t="shared" si="189"/>
        <v>0.19922380336351875</v>
      </c>
      <c r="AK331" s="40">
        <f t="shared" si="213"/>
        <v>1.03240362225097</v>
      </c>
      <c r="AL331" s="51">
        <v>122</v>
      </c>
      <c r="AM331" s="52">
        <f t="shared" si="214"/>
        <v>0.25757309184993527</v>
      </c>
      <c r="AN331" s="42">
        <f t="shared" si="190"/>
        <v>0.15782664941785252</v>
      </c>
      <c r="AO331" s="53">
        <f t="shared" si="191"/>
        <v>123</v>
      </c>
      <c r="AP331" s="52">
        <f t="shared" si="192"/>
        <v>0.25968434670116425</v>
      </c>
      <c r="AQ331" s="42">
        <f t="shared" si="193"/>
        <v>0.8318240620957309</v>
      </c>
      <c r="AR331" s="46">
        <v>46225</v>
      </c>
      <c r="AS331" s="46">
        <v>46225</v>
      </c>
      <c r="AT331" s="50">
        <f t="shared" si="194"/>
        <v>7</v>
      </c>
      <c r="AU331" s="50">
        <f t="shared" si="215"/>
        <v>261</v>
      </c>
      <c r="AV331" s="50">
        <f t="shared" si="195"/>
        <v>155</v>
      </c>
      <c r="AW331" s="54">
        <f t="shared" si="196"/>
        <v>106</v>
      </c>
    </row>
    <row r="332" spans="1:49" x14ac:dyDescent="0.25">
      <c r="A332" s="33" t="s">
        <v>63</v>
      </c>
      <c r="B332" s="33" t="s">
        <v>84</v>
      </c>
      <c r="C332" s="33" t="s">
        <v>87</v>
      </c>
      <c r="D332" s="33" t="s">
        <v>434</v>
      </c>
      <c r="E332" s="34">
        <f>COUNTIF('Detalle por artículo'!$K$8:$K$592,D332)</f>
        <v>1</v>
      </c>
      <c r="F332" s="35">
        <f t="shared" si="197"/>
        <v>187.13235294117649</v>
      </c>
      <c r="G332" s="36">
        <f>SUMIF('Detalle por artículo'!$K$8:$K$592,$D332,'Detalle por artículo'!$E$8:$E$592)</f>
        <v>1.6319999999999999</v>
      </c>
      <c r="H332" s="35">
        <f t="shared" si="198"/>
        <v>2</v>
      </c>
      <c r="I332" s="35">
        <f t="shared" si="199"/>
        <v>3</v>
      </c>
      <c r="J332" s="35">
        <f t="shared" si="200"/>
        <v>5</v>
      </c>
      <c r="K332" s="37">
        <f t="shared" si="201"/>
        <v>5.8285714285714281E-2</v>
      </c>
      <c r="L332" s="36">
        <f>SUMIF('Detalle por artículo'!$K$8:$K$592,$D332,'Detalle por artículo'!$O$8:$O$592)</f>
        <v>305.40000000000003</v>
      </c>
      <c r="M332" s="38">
        <f>SUMIF('Detalle por artículo'!$K$8:$K$592,$D332,'Detalle por artículo'!$I$8:$I$592)</f>
        <v>633</v>
      </c>
      <c r="N332" s="38">
        <f>SUMIF('Detalle por artículo'!$K$8:$K$592,$D332,'Detalle por artículo'!$M$8:$M$592)</f>
        <v>17</v>
      </c>
      <c r="O332" s="39">
        <f t="shared" si="202"/>
        <v>2.578199052132701</v>
      </c>
      <c r="P332" s="40">
        <f t="shared" si="203"/>
        <v>482.46445497630339</v>
      </c>
      <c r="Q332" s="41">
        <f t="shared" si="204"/>
        <v>0.15</v>
      </c>
      <c r="R332" s="40">
        <f t="shared" si="205"/>
        <v>1.8767999999999998</v>
      </c>
      <c r="S332" s="42">
        <f>IFERROR(SUM($G$8:G332)/$G$6,0)</f>
        <v>0.95583776121071262</v>
      </c>
      <c r="T332" s="43" t="str">
        <f t="shared" si="206"/>
        <v>C</v>
      </c>
      <c r="U332" s="44">
        <v>633</v>
      </c>
      <c r="V332" s="45">
        <f t="shared" si="187"/>
        <v>0</v>
      </c>
      <c r="W332" s="46">
        <v>46237</v>
      </c>
      <c r="X332" s="46">
        <v>46237</v>
      </c>
      <c r="Y332" s="47">
        <v>0</v>
      </c>
      <c r="Z332" s="48">
        <f t="shared" si="207"/>
        <v>0</v>
      </c>
      <c r="AA332" s="49">
        <f t="shared" si="208"/>
        <v>0</v>
      </c>
      <c r="AB332" s="44">
        <v>432</v>
      </c>
      <c r="AC332" s="44">
        <f t="shared" si="209"/>
        <v>356</v>
      </c>
      <c r="AD332" s="44">
        <f t="shared" si="210"/>
        <v>71</v>
      </c>
      <c r="AE332" s="50">
        <f t="shared" si="211"/>
        <v>48</v>
      </c>
      <c r="AF332" s="41">
        <f t="shared" si="212"/>
        <v>0.96</v>
      </c>
      <c r="AG332" s="44">
        <v>1</v>
      </c>
      <c r="AH332" s="44">
        <v>7</v>
      </c>
      <c r="AI332" s="42">
        <f t="shared" si="188"/>
        <v>0.56240126382306477</v>
      </c>
      <c r="AJ332" s="42">
        <f t="shared" si="189"/>
        <v>0.11216429699842022</v>
      </c>
      <c r="AK332" s="40">
        <f t="shared" si="213"/>
        <v>0.91783886255924152</v>
      </c>
      <c r="AL332" s="51">
        <v>201</v>
      </c>
      <c r="AM332" s="52">
        <f t="shared" si="214"/>
        <v>0.51821800947867291</v>
      </c>
      <c r="AN332" s="42">
        <f t="shared" si="190"/>
        <v>0.31753554502369669</v>
      </c>
      <c r="AO332" s="53">
        <f t="shared" si="191"/>
        <v>201</v>
      </c>
      <c r="AP332" s="52">
        <f t="shared" si="192"/>
        <v>0.51821800947867291</v>
      </c>
      <c r="AQ332" s="42">
        <f t="shared" si="193"/>
        <v>0.674565560821485</v>
      </c>
      <c r="AR332" s="46">
        <v>46254</v>
      </c>
      <c r="AS332" s="46">
        <v>46255</v>
      </c>
      <c r="AT332" s="50">
        <f t="shared" si="194"/>
        <v>18</v>
      </c>
      <c r="AU332" s="50">
        <f t="shared" si="215"/>
        <v>374</v>
      </c>
      <c r="AV332" s="50">
        <f t="shared" si="195"/>
        <v>313</v>
      </c>
      <c r="AW332" s="54">
        <f t="shared" si="196"/>
        <v>61</v>
      </c>
    </row>
    <row r="333" spans="1:49" x14ac:dyDescent="0.25">
      <c r="A333" s="33" t="s">
        <v>63</v>
      </c>
      <c r="B333" s="33" t="s">
        <v>171</v>
      </c>
      <c r="C333" s="33" t="s">
        <v>363</v>
      </c>
      <c r="D333" s="33" t="s">
        <v>435</v>
      </c>
      <c r="E333" s="34">
        <f>COUNTIF('Detalle por artículo'!$K$8:$K$592,D333)</f>
        <v>1</v>
      </c>
      <c r="F333" s="35">
        <f t="shared" si="197"/>
        <v>153.80368098159511</v>
      </c>
      <c r="G333" s="36">
        <f>SUMIF('Detalle por artículo'!$K$8:$K$592,$D333,'Detalle por artículo'!$E$8:$E$592)</f>
        <v>1.63</v>
      </c>
      <c r="H333" s="35">
        <f t="shared" si="198"/>
        <v>2</v>
      </c>
      <c r="I333" s="35">
        <f t="shared" si="199"/>
        <v>3</v>
      </c>
      <c r="J333" s="35">
        <f t="shared" si="200"/>
        <v>5</v>
      </c>
      <c r="K333" s="37">
        <f t="shared" si="201"/>
        <v>5.8214285714285711E-2</v>
      </c>
      <c r="L333" s="36">
        <f>SUMIF('Detalle por artículo'!$K$8:$K$592,$D333,'Detalle por artículo'!$O$8:$O$592)</f>
        <v>250.70000000000002</v>
      </c>
      <c r="M333" s="38">
        <f>SUMIF('Detalle por artículo'!$K$8:$K$592,$D333,'Detalle por artículo'!$I$8:$I$592)</f>
        <v>847</v>
      </c>
      <c r="N333" s="38">
        <f>SUMIF('Detalle por artículo'!$K$8:$K$592,$D333,'Detalle por artículo'!$M$8:$M$592)</f>
        <v>17</v>
      </c>
      <c r="O333" s="39">
        <f t="shared" si="202"/>
        <v>1.9244391971664698</v>
      </c>
      <c r="P333" s="40">
        <f t="shared" si="203"/>
        <v>295.98583234946875</v>
      </c>
      <c r="Q333" s="41">
        <f t="shared" si="204"/>
        <v>0.15</v>
      </c>
      <c r="R333" s="40">
        <f t="shared" si="205"/>
        <v>1.8744999999999998</v>
      </c>
      <c r="S333" s="42">
        <f>IFERROR(SUM($G$8:G333)/$G$6,0)</f>
        <v>0.95643672718231665</v>
      </c>
      <c r="T333" s="43" t="str">
        <f t="shared" si="206"/>
        <v>C</v>
      </c>
      <c r="U333" s="44">
        <v>847</v>
      </c>
      <c r="V333" s="45">
        <f t="shared" si="187"/>
        <v>0</v>
      </c>
      <c r="W333" s="46">
        <v>46261</v>
      </c>
      <c r="X333" s="46">
        <v>46261</v>
      </c>
      <c r="Y333" s="47">
        <v>0</v>
      </c>
      <c r="Z333" s="48">
        <f t="shared" si="207"/>
        <v>0</v>
      </c>
      <c r="AA333" s="49">
        <f t="shared" si="208"/>
        <v>0</v>
      </c>
      <c r="AB333" s="44">
        <v>595</v>
      </c>
      <c r="AC333" s="44">
        <f t="shared" si="209"/>
        <v>456</v>
      </c>
      <c r="AD333" s="44">
        <f t="shared" si="210"/>
        <v>128</v>
      </c>
      <c r="AE333" s="50">
        <f t="shared" si="211"/>
        <v>48</v>
      </c>
      <c r="AF333" s="41">
        <f t="shared" si="212"/>
        <v>0.96</v>
      </c>
      <c r="AG333" s="44">
        <v>2</v>
      </c>
      <c r="AH333" s="44">
        <v>9</v>
      </c>
      <c r="AI333" s="42">
        <f t="shared" si="188"/>
        <v>0.53837072018890197</v>
      </c>
      <c r="AJ333" s="42">
        <f t="shared" si="189"/>
        <v>0.1511216056670602</v>
      </c>
      <c r="AK333" s="40">
        <f t="shared" si="213"/>
        <v>0.87754427390791023</v>
      </c>
      <c r="AL333" s="51">
        <v>252</v>
      </c>
      <c r="AM333" s="52">
        <f t="shared" si="214"/>
        <v>0.48495867768595041</v>
      </c>
      <c r="AN333" s="42">
        <f t="shared" si="190"/>
        <v>0.2975206611570248</v>
      </c>
      <c r="AO333" s="53">
        <f t="shared" si="191"/>
        <v>252</v>
      </c>
      <c r="AP333" s="52">
        <f t="shared" si="192"/>
        <v>0.48495867768595041</v>
      </c>
      <c r="AQ333" s="42">
        <f t="shared" si="193"/>
        <v>0.68949232585596221</v>
      </c>
      <c r="AR333" s="46">
        <v>46268</v>
      </c>
      <c r="AS333" s="46">
        <v>46269</v>
      </c>
      <c r="AT333" s="50">
        <f t="shared" si="194"/>
        <v>8</v>
      </c>
      <c r="AU333" s="50">
        <f t="shared" si="215"/>
        <v>217</v>
      </c>
      <c r="AV333" s="50">
        <f t="shared" si="195"/>
        <v>196</v>
      </c>
      <c r="AW333" s="54">
        <f t="shared" si="196"/>
        <v>21</v>
      </c>
    </row>
    <row r="334" spans="1:49" x14ac:dyDescent="0.25">
      <c r="A334" s="33" t="s">
        <v>63</v>
      </c>
      <c r="B334" s="33" t="s">
        <v>288</v>
      </c>
      <c r="C334" s="33" t="s">
        <v>289</v>
      </c>
      <c r="D334" s="33" t="s">
        <v>436</v>
      </c>
      <c r="E334" s="34">
        <f>COUNTIF('Detalle por artículo'!$K$8:$K$592,D334)</f>
        <v>1</v>
      </c>
      <c r="F334" s="35">
        <f t="shared" si="197"/>
        <v>105.99386503067484</v>
      </c>
      <c r="G334" s="36">
        <f>SUMIF('Detalle por artículo'!$K$8:$K$592,$D334,'Detalle por artículo'!$E$8:$E$592)</f>
        <v>1.63</v>
      </c>
      <c r="H334" s="35">
        <f t="shared" si="198"/>
        <v>2</v>
      </c>
      <c r="I334" s="35">
        <f t="shared" si="199"/>
        <v>3</v>
      </c>
      <c r="J334" s="35">
        <f t="shared" si="200"/>
        <v>5</v>
      </c>
      <c r="K334" s="37">
        <f t="shared" si="201"/>
        <v>5.8214285714285711E-2</v>
      </c>
      <c r="L334" s="36">
        <f>SUMIF('Detalle por artículo'!$K$8:$K$592,$D334,'Detalle por artículo'!$O$8:$O$592)</f>
        <v>172.76999999999998</v>
      </c>
      <c r="M334" s="38">
        <f>SUMIF('Detalle por artículo'!$K$8:$K$592,$D334,'Detalle por artículo'!$I$8:$I$592)</f>
        <v>590</v>
      </c>
      <c r="N334" s="38">
        <f>SUMIF('Detalle por artículo'!$K$8:$K$592,$D334,'Detalle por artículo'!$M$8:$M$592)</f>
        <v>17</v>
      </c>
      <c r="O334" s="39">
        <f t="shared" si="202"/>
        <v>2.7627118644067794</v>
      </c>
      <c r="P334" s="40">
        <f t="shared" si="203"/>
        <v>292.83050847457628</v>
      </c>
      <c r="Q334" s="41">
        <f t="shared" si="204"/>
        <v>0.2</v>
      </c>
      <c r="R334" s="40">
        <f t="shared" si="205"/>
        <v>1.9559999999999997</v>
      </c>
      <c r="S334" s="42">
        <f>IFERROR(SUM($G$8:G334)/$G$6,0)</f>
        <v>0.95703569315392067</v>
      </c>
      <c r="T334" s="43" t="str">
        <f t="shared" si="206"/>
        <v>C</v>
      </c>
      <c r="U334" s="44">
        <v>0</v>
      </c>
      <c r="V334" s="45">
        <f t="shared" si="187"/>
        <v>-590</v>
      </c>
      <c r="W334" s="46"/>
      <c r="X334" s="46"/>
      <c r="Y334" s="47">
        <v>590</v>
      </c>
      <c r="Z334" s="48">
        <f t="shared" si="207"/>
        <v>1.6299999999999997</v>
      </c>
      <c r="AA334" s="49">
        <f t="shared" si="208"/>
        <v>5.8214285714285705E-2</v>
      </c>
      <c r="AB334" s="44">
        <v>0</v>
      </c>
      <c r="AC334" s="44">
        <f t="shared" si="209"/>
        <v>0</v>
      </c>
      <c r="AD334" s="44">
        <f t="shared" si="210"/>
        <v>0</v>
      </c>
      <c r="AE334" s="50">
        <f t="shared" si="211"/>
        <v>0</v>
      </c>
      <c r="AF334" s="41">
        <f t="shared" si="212"/>
        <v>0</v>
      </c>
      <c r="AG334" s="44">
        <v>0</v>
      </c>
      <c r="AH334" s="44">
        <v>0</v>
      </c>
      <c r="AI334" s="42">
        <f t="shared" si="188"/>
        <v>0</v>
      </c>
      <c r="AJ334" s="42">
        <f t="shared" si="189"/>
        <v>0</v>
      </c>
      <c r="AK334" s="40">
        <f t="shared" si="213"/>
        <v>0</v>
      </c>
      <c r="AL334" s="51">
        <v>0</v>
      </c>
      <c r="AM334" s="52">
        <f t="shared" si="214"/>
        <v>0</v>
      </c>
      <c r="AN334" s="42">
        <f t="shared" si="190"/>
        <v>0</v>
      </c>
      <c r="AO334" s="53">
        <f t="shared" si="191"/>
        <v>590</v>
      </c>
      <c r="AP334" s="52">
        <f t="shared" si="192"/>
        <v>1.6299999999999997</v>
      </c>
      <c r="AQ334" s="42">
        <f t="shared" si="193"/>
        <v>0</v>
      </c>
      <c r="AR334" s="46"/>
      <c r="AS334" s="46"/>
      <c r="AT334" s="50" t="str">
        <f t="shared" si="194"/>
        <v/>
      </c>
      <c r="AU334" s="50">
        <f t="shared" si="215"/>
        <v>404</v>
      </c>
      <c r="AV334" s="50" t="str">
        <f t="shared" si="195"/>
        <v/>
      </c>
      <c r="AW334" s="54" t="str">
        <f t="shared" si="196"/>
        <v/>
      </c>
    </row>
    <row r="335" spans="1:49" x14ac:dyDescent="0.25">
      <c r="A335" s="33" t="s">
        <v>55</v>
      </c>
      <c r="B335" s="33" t="s">
        <v>255</v>
      </c>
      <c r="C335" s="33" t="s">
        <v>103</v>
      </c>
      <c r="D335" s="33" t="s">
        <v>437</v>
      </c>
      <c r="E335" s="34">
        <f>COUNTIF('Detalle por artículo'!$K$8:$K$592,D335)</f>
        <v>1</v>
      </c>
      <c r="F335" s="35">
        <f t="shared" si="197"/>
        <v>203.56265356265359</v>
      </c>
      <c r="G335" s="36">
        <f>SUMIF('Detalle por artículo'!$K$8:$K$592,$D335,'Detalle por artículo'!$E$8:$E$592)</f>
        <v>1.6279999999999999</v>
      </c>
      <c r="H335" s="35">
        <f t="shared" si="198"/>
        <v>2</v>
      </c>
      <c r="I335" s="35">
        <f t="shared" si="199"/>
        <v>3</v>
      </c>
      <c r="J335" s="35">
        <f t="shared" si="200"/>
        <v>5</v>
      </c>
      <c r="K335" s="37">
        <f t="shared" si="201"/>
        <v>5.8142857142857142E-2</v>
      </c>
      <c r="L335" s="36">
        <f>SUMIF('Detalle por artículo'!$K$8:$K$592,$D335,'Detalle por artículo'!$O$8:$O$592)</f>
        <v>331.40000000000003</v>
      </c>
      <c r="M335" s="38">
        <f>SUMIF('Detalle por artículo'!$K$8:$K$592,$D335,'Detalle por artículo'!$I$8:$I$592)</f>
        <v>520</v>
      </c>
      <c r="N335" s="38">
        <f>SUMIF('Detalle por artículo'!$K$8:$K$592,$D335,'Detalle por artículo'!$M$8:$M$592)</f>
        <v>21</v>
      </c>
      <c r="O335" s="39">
        <f t="shared" si="202"/>
        <v>3.1307692307692303</v>
      </c>
      <c r="P335" s="40">
        <f t="shared" si="203"/>
        <v>637.30769230769238</v>
      </c>
      <c r="Q335" s="41">
        <f t="shared" si="204"/>
        <v>0.1</v>
      </c>
      <c r="R335" s="40">
        <f t="shared" si="205"/>
        <v>1.7907999999999999</v>
      </c>
      <c r="S335" s="42">
        <f>IFERROR(SUM($G$8:G335)/$G$6,0)</f>
        <v>0.95763392419795224</v>
      </c>
      <c r="T335" s="43" t="str">
        <f t="shared" si="206"/>
        <v>C</v>
      </c>
      <c r="U335" s="44">
        <v>520</v>
      </c>
      <c r="V335" s="45">
        <f t="shared" si="187"/>
        <v>0</v>
      </c>
      <c r="W335" s="46">
        <v>46281</v>
      </c>
      <c r="X335" s="46">
        <v>46281</v>
      </c>
      <c r="Y335" s="47">
        <v>0</v>
      </c>
      <c r="Z335" s="48">
        <f t="shared" si="207"/>
        <v>0</v>
      </c>
      <c r="AA335" s="49">
        <f t="shared" si="208"/>
        <v>0</v>
      </c>
      <c r="AB335" s="44">
        <v>36</v>
      </c>
      <c r="AC335" s="44">
        <f t="shared" si="209"/>
        <v>284</v>
      </c>
      <c r="AD335" s="44">
        <f t="shared" si="210"/>
        <v>0</v>
      </c>
      <c r="AE335" s="50">
        <f t="shared" si="211"/>
        <v>35</v>
      </c>
      <c r="AF335" s="41">
        <f t="shared" si="212"/>
        <v>0.7</v>
      </c>
      <c r="AG335" s="44">
        <v>0</v>
      </c>
      <c r="AH335" s="44">
        <v>0</v>
      </c>
      <c r="AI335" s="42">
        <f t="shared" si="188"/>
        <v>0.5461538461538461</v>
      </c>
      <c r="AJ335" s="42">
        <f t="shared" si="189"/>
        <v>0</v>
      </c>
      <c r="AK335" s="40">
        <f t="shared" si="213"/>
        <v>0.88913846153846143</v>
      </c>
      <c r="AL335" s="51">
        <v>484</v>
      </c>
      <c r="AM335" s="52">
        <f t="shared" si="214"/>
        <v>1.5152923076923075</v>
      </c>
      <c r="AN335" s="42">
        <f t="shared" si="190"/>
        <v>0.93076923076923079</v>
      </c>
      <c r="AO335" s="53">
        <f t="shared" si="191"/>
        <v>484</v>
      </c>
      <c r="AP335" s="52">
        <f t="shared" si="192"/>
        <v>1.5152923076923075</v>
      </c>
      <c r="AQ335" s="42">
        <f t="shared" si="193"/>
        <v>0.5461538461538461</v>
      </c>
      <c r="AR335" s="46">
        <v>46285</v>
      </c>
      <c r="AS335" s="46">
        <v>46287</v>
      </c>
      <c r="AT335" s="50">
        <f t="shared" si="194"/>
        <v>6</v>
      </c>
      <c r="AU335" s="50">
        <f t="shared" si="215"/>
        <v>423</v>
      </c>
      <c r="AV335" s="50">
        <f t="shared" si="195"/>
        <v>407</v>
      </c>
      <c r="AW335" s="54">
        <f t="shared" si="196"/>
        <v>16</v>
      </c>
    </row>
    <row r="336" spans="1:49" x14ac:dyDescent="0.25">
      <c r="A336" s="33" t="s">
        <v>55</v>
      </c>
      <c r="B336" s="33" t="s">
        <v>314</v>
      </c>
      <c r="C336" s="33" t="s">
        <v>315</v>
      </c>
      <c r="D336" s="33" t="s">
        <v>438</v>
      </c>
      <c r="E336" s="34">
        <f>COUNTIF('Detalle por artículo'!$K$8:$K$592,D336)</f>
        <v>1</v>
      </c>
      <c r="F336" s="35">
        <f t="shared" si="197"/>
        <v>190.15151515151518</v>
      </c>
      <c r="G336" s="36">
        <f>SUMIF('Detalle por artículo'!$K$8:$K$592,$D336,'Detalle por artículo'!$E$8:$E$592)</f>
        <v>1.5840000000000001</v>
      </c>
      <c r="H336" s="35">
        <f t="shared" si="198"/>
        <v>2</v>
      </c>
      <c r="I336" s="35">
        <f t="shared" si="199"/>
        <v>3</v>
      </c>
      <c r="J336" s="35">
        <f t="shared" si="200"/>
        <v>5</v>
      </c>
      <c r="K336" s="37">
        <f t="shared" si="201"/>
        <v>5.6571428571428571E-2</v>
      </c>
      <c r="L336" s="36">
        <f>SUMIF('Detalle por artículo'!$K$8:$K$592,$D336,'Detalle por artículo'!$O$8:$O$592)</f>
        <v>301.20000000000005</v>
      </c>
      <c r="M336" s="38">
        <f>SUMIF('Detalle por artículo'!$K$8:$K$592,$D336,'Detalle por artículo'!$I$8:$I$592)</f>
        <v>1050</v>
      </c>
      <c r="N336" s="38">
        <f>SUMIF('Detalle por artículo'!$K$8:$K$592,$D336,'Detalle por artículo'!$M$8:$M$592)</f>
        <v>22</v>
      </c>
      <c r="O336" s="39">
        <f t="shared" si="202"/>
        <v>1.5085714285714285</v>
      </c>
      <c r="P336" s="40">
        <f t="shared" si="203"/>
        <v>286.85714285714295</v>
      </c>
      <c r="Q336" s="41">
        <f t="shared" si="204"/>
        <v>0.15</v>
      </c>
      <c r="R336" s="40">
        <f t="shared" si="205"/>
        <v>1.8215999999999999</v>
      </c>
      <c r="S336" s="42">
        <f>IFERROR(SUM($G$8:G336)/$G$6,0)</f>
        <v>0.95821598683538822</v>
      </c>
      <c r="T336" s="43" t="str">
        <f t="shared" si="206"/>
        <v>C</v>
      </c>
      <c r="U336" s="44">
        <v>1050</v>
      </c>
      <c r="V336" s="45">
        <f t="shared" si="187"/>
        <v>0</v>
      </c>
      <c r="W336" s="46">
        <v>46244</v>
      </c>
      <c r="X336" s="46">
        <v>46244</v>
      </c>
      <c r="Y336" s="47">
        <v>0</v>
      </c>
      <c r="Z336" s="48">
        <f t="shared" si="207"/>
        <v>0</v>
      </c>
      <c r="AA336" s="49">
        <f t="shared" si="208"/>
        <v>0</v>
      </c>
      <c r="AB336" s="44">
        <v>614</v>
      </c>
      <c r="AC336" s="44">
        <f t="shared" si="209"/>
        <v>391</v>
      </c>
      <c r="AD336" s="44">
        <f t="shared" si="210"/>
        <v>196</v>
      </c>
      <c r="AE336" s="50">
        <f t="shared" si="211"/>
        <v>47</v>
      </c>
      <c r="AF336" s="41">
        <f t="shared" si="212"/>
        <v>0.94</v>
      </c>
      <c r="AG336" s="44">
        <v>5</v>
      </c>
      <c r="AH336" s="44">
        <v>22</v>
      </c>
      <c r="AI336" s="42">
        <f t="shared" si="188"/>
        <v>0.37238095238095237</v>
      </c>
      <c r="AJ336" s="42">
        <f t="shared" si="189"/>
        <v>0.18666666666666668</v>
      </c>
      <c r="AK336" s="40">
        <f t="shared" si="213"/>
        <v>0.58985142857142858</v>
      </c>
      <c r="AL336" s="51">
        <v>434</v>
      </c>
      <c r="AM336" s="52">
        <f t="shared" si="214"/>
        <v>0.65471999999999997</v>
      </c>
      <c r="AN336" s="42">
        <f t="shared" si="190"/>
        <v>0.41333333333333333</v>
      </c>
      <c r="AO336" s="53">
        <f t="shared" si="191"/>
        <v>436</v>
      </c>
      <c r="AP336" s="52">
        <f t="shared" si="192"/>
        <v>0.6577371428571428</v>
      </c>
      <c r="AQ336" s="42">
        <f t="shared" si="193"/>
        <v>0.55904761904761902</v>
      </c>
      <c r="AR336" s="46">
        <v>46254</v>
      </c>
      <c r="AS336" s="46">
        <v>46255</v>
      </c>
      <c r="AT336" s="50">
        <f t="shared" si="194"/>
        <v>11</v>
      </c>
      <c r="AU336" s="50">
        <f t="shared" si="215"/>
        <v>158</v>
      </c>
      <c r="AV336" s="50">
        <f t="shared" si="195"/>
        <v>180</v>
      </c>
      <c r="AW336" s="54">
        <f t="shared" si="196"/>
        <v>-22</v>
      </c>
    </row>
    <row r="337" spans="1:49" x14ac:dyDescent="0.25">
      <c r="A337" s="33" t="s">
        <v>55</v>
      </c>
      <c r="B337" s="33" t="s">
        <v>255</v>
      </c>
      <c r="C337" s="33" t="s">
        <v>132</v>
      </c>
      <c r="D337" s="33" t="s">
        <v>439</v>
      </c>
      <c r="E337" s="34">
        <f>COUNTIF('Detalle por artículo'!$K$8:$K$592,D337)</f>
        <v>1</v>
      </c>
      <c r="F337" s="35">
        <f t="shared" si="197"/>
        <v>285.94936708860757</v>
      </c>
      <c r="G337" s="36">
        <f>SUMIF('Detalle por artículo'!$K$8:$K$592,$D337,'Detalle por artículo'!$E$8:$E$592)</f>
        <v>1.58</v>
      </c>
      <c r="H337" s="35">
        <f t="shared" si="198"/>
        <v>2</v>
      </c>
      <c r="I337" s="35">
        <f t="shared" si="199"/>
        <v>3</v>
      </c>
      <c r="J337" s="35">
        <f t="shared" si="200"/>
        <v>5</v>
      </c>
      <c r="K337" s="37">
        <f t="shared" si="201"/>
        <v>5.6428571428571432E-2</v>
      </c>
      <c r="L337" s="36">
        <f>SUMIF('Detalle por artículo'!$K$8:$K$592,$D337,'Detalle por artículo'!$O$8:$O$592)</f>
        <v>451.8</v>
      </c>
      <c r="M337" s="38">
        <f>SUMIF('Detalle por artículo'!$K$8:$K$592,$D337,'Detalle por artículo'!$I$8:$I$592)</f>
        <v>657</v>
      </c>
      <c r="N337" s="38">
        <f>SUMIF('Detalle por artículo'!$K$8:$K$592,$D337,'Detalle por artículo'!$M$8:$M$592)</f>
        <v>22</v>
      </c>
      <c r="O337" s="39">
        <f t="shared" si="202"/>
        <v>2.4048706240487063</v>
      </c>
      <c r="P337" s="40">
        <f t="shared" si="203"/>
        <v>687.67123287671234</v>
      </c>
      <c r="Q337" s="41">
        <f t="shared" si="204"/>
        <v>0.1</v>
      </c>
      <c r="R337" s="40">
        <f t="shared" si="205"/>
        <v>1.7380000000000002</v>
      </c>
      <c r="S337" s="42">
        <f>IFERROR(SUM($G$8:G337)/$G$6,0)</f>
        <v>0.95879657961767917</v>
      </c>
      <c r="T337" s="43" t="str">
        <f t="shared" si="206"/>
        <v>C</v>
      </c>
      <c r="U337" s="44">
        <v>657</v>
      </c>
      <c r="V337" s="45">
        <f t="shared" si="187"/>
        <v>0</v>
      </c>
      <c r="W337" s="46">
        <v>46218</v>
      </c>
      <c r="X337" s="46">
        <v>46218</v>
      </c>
      <c r="Y337" s="47">
        <v>0</v>
      </c>
      <c r="Z337" s="48">
        <f t="shared" si="207"/>
        <v>0</v>
      </c>
      <c r="AA337" s="49">
        <f t="shared" si="208"/>
        <v>0</v>
      </c>
      <c r="AB337" s="44">
        <v>507</v>
      </c>
      <c r="AC337" s="44">
        <f t="shared" si="209"/>
        <v>416</v>
      </c>
      <c r="AD337" s="44">
        <f t="shared" si="210"/>
        <v>82</v>
      </c>
      <c r="AE337" s="50">
        <f t="shared" si="211"/>
        <v>48</v>
      </c>
      <c r="AF337" s="41">
        <f t="shared" si="212"/>
        <v>0.96</v>
      </c>
      <c r="AG337" s="44">
        <v>1</v>
      </c>
      <c r="AH337" s="44">
        <v>8</v>
      </c>
      <c r="AI337" s="42">
        <f t="shared" si="188"/>
        <v>0.63318112633181123</v>
      </c>
      <c r="AJ337" s="42">
        <f t="shared" si="189"/>
        <v>0.12480974124809741</v>
      </c>
      <c r="AK337" s="40">
        <f t="shared" si="213"/>
        <v>1.0004261796042619</v>
      </c>
      <c r="AL337" s="51">
        <v>150</v>
      </c>
      <c r="AM337" s="52">
        <f t="shared" si="214"/>
        <v>0.36073059360730592</v>
      </c>
      <c r="AN337" s="42">
        <f t="shared" si="190"/>
        <v>0.22831050228310501</v>
      </c>
      <c r="AO337" s="53">
        <f t="shared" si="191"/>
        <v>150</v>
      </c>
      <c r="AP337" s="52">
        <f t="shared" si="192"/>
        <v>0.36073059360730592</v>
      </c>
      <c r="AQ337" s="42">
        <f t="shared" si="193"/>
        <v>0.75799086757990863</v>
      </c>
      <c r="AR337" s="46">
        <v>46225</v>
      </c>
      <c r="AS337" s="46">
        <v>46225</v>
      </c>
      <c r="AT337" s="50">
        <f t="shared" si="194"/>
        <v>7</v>
      </c>
      <c r="AU337" s="50">
        <f t="shared" si="215"/>
        <v>352</v>
      </c>
      <c r="AV337" s="50">
        <f t="shared" si="195"/>
        <v>267</v>
      </c>
      <c r="AW337" s="54">
        <f t="shared" si="196"/>
        <v>85</v>
      </c>
    </row>
    <row r="338" spans="1:49" x14ac:dyDescent="0.25">
      <c r="A338" s="33" t="s">
        <v>55</v>
      </c>
      <c r="B338" s="33" t="s">
        <v>302</v>
      </c>
      <c r="C338" s="33" t="s">
        <v>303</v>
      </c>
      <c r="D338" s="33" t="s">
        <v>440</v>
      </c>
      <c r="E338" s="34">
        <f>COUNTIF('Detalle por artículo'!$K$8:$K$592,D338)</f>
        <v>1</v>
      </c>
      <c r="F338" s="35">
        <f t="shared" si="197"/>
        <v>186.10389610389612</v>
      </c>
      <c r="G338" s="36">
        <f>SUMIF('Detalle por artículo'!$K$8:$K$592,$D338,'Detalle por artículo'!$E$8:$E$592)</f>
        <v>1.54</v>
      </c>
      <c r="H338" s="35">
        <f t="shared" si="198"/>
        <v>1</v>
      </c>
      <c r="I338" s="35">
        <f t="shared" si="199"/>
        <v>2</v>
      </c>
      <c r="J338" s="35">
        <f t="shared" si="200"/>
        <v>4</v>
      </c>
      <c r="K338" s="37">
        <f t="shared" si="201"/>
        <v>5.5E-2</v>
      </c>
      <c r="L338" s="36">
        <f>SUMIF('Detalle por artículo'!$K$8:$K$592,$D338,'Detalle por artículo'!$O$8:$O$592)</f>
        <v>286.60000000000002</v>
      </c>
      <c r="M338" s="38">
        <f>SUMIF('Detalle por artículo'!$K$8:$K$592,$D338,'Detalle por artículo'!$I$8:$I$592)</f>
        <v>483</v>
      </c>
      <c r="N338" s="38">
        <f>SUMIF('Detalle por artículo'!$K$8:$K$592,$D338,'Detalle por artículo'!$M$8:$M$592)</f>
        <v>16</v>
      </c>
      <c r="O338" s="39">
        <f t="shared" si="202"/>
        <v>3.1884057971014492</v>
      </c>
      <c r="P338" s="40">
        <f t="shared" si="203"/>
        <v>593.37474120082823</v>
      </c>
      <c r="Q338" s="41">
        <f t="shared" si="204"/>
        <v>0.15</v>
      </c>
      <c r="R338" s="40">
        <f t="shared" si="205"/>
        <v>1.7709999999999999</v>
      </c>
      <c r="S338" s="42">
        <f>IFERROR(SUM($G$8:G338)/$G$6,0)</f>
        <v>0.9593624738485198</v>
      </c>
      <c r="T338" s="43" t="str">
        <f t="shared" si="206"/>
        <v>C</v>
      </c>
      <c r="U338" s="44">
        <v>483</v>
      </c>
      <c r="V338" s="45">
        <f t="shared" si="187"/>
        <v>0</v>
      </c>
      <c r="W338" s="46">
        <v>46246</v>
      </c>
      <c r="X338" s="46">
        <v>46262</v>
      </c>
      <c r="Y338" s="47">
        <v>0</v>
      </c>
      <c r="Z338" s="48">
        <f t="shared" si="207"/>
        <v>0</v>
      </c>
      <c r="AA338" s="49">
        <f t="shared" si="208"/>
        <v>0</v>
      </c>
      <c r="AB338" s="44">
        <v>466</v>
      </c>
      <c r="AC338" s="44">
        <f t="shared" si="209"/>
        <v>427</v>
      </c>
      <c r="AD338" s="44">
        <f t="shared" si="210"/>
        <v>37</v>
      </c>
      <c r="AE338" s="50">
        <f t="shared" si="211"/>
        <v>48</v>
      </c>
      <c r="AF338" s="41">
        <f t="shared" si="212"/>
        <v>0.96</v>
      </c>
      <c r="AG338" s="44">
        <v>2</v>
      </c>
      <c r="AH338" s="44">
        <v>0</v>
      </c>
      <c r="AI338" s="42">
        <f t="shared" si="188"/>
        <v>0.88405797101449279</v>
      </c>
      <c r="AJ338" s="42">
        <f t="shared" si="189"/>
        <v>7.6604554865424432E-2</v>
      </c>
      <c r="AK338" s="40">
        <f t="shared" si="213"/>
        <v>1.3614492753623189</v>
      </c>
      <c r="AL338" s="51">
        <v>11</v>
      </c>
      <c r="AM338" s="52">
        <f t="shared" si="214"/>
        <v>3.5072463768115937E-2</v>
      </c>
      <c r="AN338" s="42">
        <f t="shared" si="190"/>
        <v>2.2774327122153208E-2</v>
      </c>
      <c r="AO338" s="53">
        <f t="shared" si="191"/>
        <v>17</v>
      </c>
      <c r="AP338" s="52">
        <f t="shared" si="192"/>
        <v>5.4202898550724639E-2</v>
      </c>
      <c r="AQ338" s="42">
        <f t="shared" si="193"/>
        <v>0.96066252587991718</v>
      </c>
      <c r="AR338" s="46">
        <v>46254</v>
      </c>
      <c r="AS338" s="46">
        <v>46254</v>
      </c>
      <c r="AT338" s="50">
        <f t="shared" si="194"/>
        <v>8</v>
      </c>
      <c r="AU338" s="50">
        <f t="shared" si="215"/>
        <v>434</v>
      </c>
      <c r="AV338" s="50">
        <f t="shared" si="195"/>
        <v>294</v>
      </c>
      <c r="AW338" s="54">
        <f t="shared" si="196"/>
        <v>140</v>
      </c>
    </row>
    <row r="339" spans="1:49" x14ac:dyDescent="0.25">
      <c r="A339" s="33" t="s">
        <v>63</v>
      </c>
      <c r="B339" s="33" t="s">
        <v>171</v>
      </c>
      <c r="C339" s="33" t="s">
        <v>363</v>
      </c>
      <c r="D339" s="33" t="s">
        <v>441</v>
      </c>
      <c r="E339" s="34">
        <f>COUNTIF('Detalle por artículo'!$K$8:$K$592,D339)</f>
        <v>1</v>
      </c>
      <c r="F339" s="35">
        <f t="shared" si="197"/>
        <v>221.81818181818184</v>
      </c>
      <c r="G339" s="36">
        <f>SUMIF('Detalle por artículo'!$K$8:$K$592,$D339,'Detalle por artículo'!$E$8:$E$592)</f>
        <v>1.54</v>
      </c>
      <c r="H339" s="35">
        <f t="shared" si="198"/>
        <v>1</v>
      </c>
      <c r="I339" s="35">
        <f t="shared" si="199"/>
        <v>2</v>
      </c>
      <c r="J339" s="35">
        <f t="shared" si="200"/>
        <v>4</v>
      </c>
      <c r="K339" s="37">
        <f t="shared" si="201"/>
        <v>5.5E-2</v>
      </c>
      <c r="L339" s="36">
        <f>SUMIF('Detalle por artículo'!$K$8:$K$592,$D339,'Detalle por artículo'!$O$8:$O$592)</f>
        <v>341.6</v>
      </c>
      <c r="M339" s="38">
        <f>SUMIF('Detalle por artículo'!$K$8:$K$592,$D339,'Detalle por artículo'!$I$8:$I$592)</f>
        <v>686</v>
      </c>
      <c r="N339" s="38">
        <f>SUMIF('Detalle por artículo'!$K$8:$K$592,$D339,'Detalle por artículo'!$M$8:$M$592)</f>
        <v>16</v>
      </c>
      <c r="O339" s="39">
        <f t="shared" si="202"/>
        <v>2.2448979591836733</v>
      </c>
      <c r="P339" s="40">
        <f t="shared" si="203"/>
        <v>497.9591836734694</v>
      </c>
      <c r="Q339" s="41">
        <f t="shared" si="204"/>
        <v>0.1</v>
      </c>
      <c r="R339" s="40">
        <f t="shared" si="205"/>
        <v>1.6940000000000002</v>
      </c>
      <c r="S339" s="42">
        <f>IFERROR(SUM($G$8:G339)/$G$6,0)</f>
        <v>0.95992836807936033</v>
      </c>
      <c r="T339" s="43" t="str">
        <f t="shared" si="206"/>
        <v>C</v>
      </c>
      <c r="U339" s="44">
        <v>696</v>
      </c>
      <c r="V339" s="45">
        <f t="shared" si="187"/>
        <v>10</v>
      </c>
      <c r="W339" s="46">
        <v>46252</v>
      </c>
      <c r="X339" s="46">
        <v>46252</v>
      </c>
      <c r="Y339" s="47">
        <v>686</v>
      </c>
      <c r="Z339" s="48">
        <f t="shared" si="207"/>
        <v>1.5399999999999998</v>
      </c>
      <c r="AA339" s="49">
        <f t="shared" si="208"/>
        <v>5.4999999999999993E-2</v>
      </c>
      <c r="AB339" s="44">
        <v>651</v>
      </c>
      <c r="AC339" s="44">
        <f t="shared" si="209"/>
        <v>491</v>
      </c>
      <c r="AD339" s="44">
        <f t="shared" si="210"/>
        <v>153</v>
      </c>
      <c r="AE339" s="50">
        <f t="shared" si="211"/>
        <v>47</v>
      </c>
      <c r="AF339" s="41">
        <f t="shared" si="212"/>
        <v>0.94</v>
      </c>
      <c r="AG339" s="44">
        <v>0</v>
      </c>
      <c r="AH339" s="44">
        <v>7</v>
      </c>
      <c r="AI339" s="42">
        <f t="shared" si="188"/>
        <v>0.71574344023323611</v>
      </c>
      <c r="AJ339" s="42">
        <f t="shared" si="189"/>
        <v>0.22303206997084549</v>
      </c>
      <c r="AK339" s="40">
        <f t="shared" si="213"/>
        <v>1.1022448979591837</v>
      </c>
      <c r="AL339" s="51">
        <v>44</v>
      </c>
      <c r="AM339" s="52">
        <f t="shared" si="214"/>
        <v>9.8775510204081624E-2</v>
      </c>
      <c r="AN339" s="42">
        <f t="shared" si="190"/>
        <v>6.3218390804597707E-2</v>
      </c>
      <c r="AO339" s="53">
        <f t="shared" si="191"/>
        <v>35</v>
      </c>
      <c r="AP339" s="52">
        <f t="shared" si="192"/>
        <v>7.857142857142857E-2</v>
      </c>
      <c r="AQ339" s="42">
        <f t="shared" si="193"/>
        <v>0.93877551020408168</v>
      </c>
      <c r="AR339" s="46">
        <v>46260</v>
      </c>
      <c r="AS339" s="46">
        <v>46260</v>
      </c>
      <c r="AT339" s="50">
        <f t="shared" si="194"/>
        <v>8</v>
      </c>
      <c r="AU339" s="50">
        <f t="shared" si="215"/>
        <v>329</v>
      </c>
      <c r="AV339" s="50">
        <f t="shared" si="195"/>
        <v>154</v>
      </c>
      <c r="AW339" s="54">
        <f t="shared" si="196"/>
        <v>175</v>
      </c>
    </row>
    <row r="340" spans="1:49" x14ac:dyDescent="0.25">
      <c r="A340" s="33" t="s">
        <v>55</v>
      </c>
      <c r="B340" s="33" t="s">
        <v>442</v>
      </c>
      <c r="C340" s="33" t="s">
        <v>443</v>
      </c>
      <c r="D340" s="33" t="s">
        <v>444</v>
      </c>
      <c r="E340" s="34">
        <f>COUNTIF('Detalle por artículo'!$K$8:$K$592,D340)</f>
        <v>2</v>
      </c>
      <c r="F340" s="35">
        <f t="shared" si="197"/>
        <v>62.72727272727272</v>
      </c>
      <c r="G340" s="36">
        <f>SUMIF('Detalle por artículo'!$K$8:$K$592,$D340,'Detalle por artículo'!$E$8:$E$592)</f>
        <v>1.54</v>
      </c>
      <c r="H340" s="35">
        <f t="shared" si="198"/>
        <v>1</v>
      </c>
      <c r="I340" s="35">
        <f t="shared" si="199"/>
        <v>2</v>
      </c>
      <c r="J340" s="35">
        <f t="shared" si="200"/>
        <v>4</v>
      </c>
      <c r="K340" s="37">
        <f t="shared" si="201"/>
        <v>5.5E-2</v>
      </c>
      <c r="L340" s="36">
        <f>SUMIF('Detalle por artículo'!$K$8:$K$592,$D340,'Detalle por artículo'!$O$8:$O$592)</f>
        <v>96.6</v>
      </c>
      <c r="M340" s="38">
        <f>SUMIF('Detalle por artículo'!$K$8:$K$592,$D340,'Detalle por artículo'!$I$8:$I$592)</f>
        <v>1066</v>
      </c>
      <c r="N340" s="38">
        <f>SUMIF('Detalle por artículo'!$K$8:$K$592,$D340,'Detalle por artículo'!$M$8:$M$592)</f>
        <v>17</v>
      </c>
      <c r="O340" s="39">
        <f t="shared" si="202"/>
        <v>1.4446529080675423</v>
      </c>
      <c r="P340" s="40">
        <f t="shared" si="203"/>
        <v>90.619136960600372</v>
      </c>
      <c r="Q340" s="41">
        <f t="shared" si="204"/>
        <v>0.2</v>
      </c>
      <c r="R340" s="40">
        <f t="shared" si="205"/>
        <v>1.8479999999999999</v>
      </c>
      <c r="S340" s="42">
        <f>IFERROR(SUM($G$8:G340)/$G$6,0)</f>
        <v>0.96049426231020096</v>
      </c>
      <c r="T340" s="43" t="str">
        <f t="shared" si="206"/>
        <v>C</v>
      </c>
      <c r="U340" s="44">
        <v>0</v>
      </c>
      <c r="V340" s="45">
        <f t="shared" si="187"/>
        <v>-1066</v>
      </c>
      <c r="W340" s="46"/>
      <c r="X340" s="46"/>
      <c r="Y340" s="47">
        <v>1066</v>
      </c>
      <c r="Z340" s="48">
        <f t="shared" si="207"/>
        <v>1.54</v>
      </c>
      <c r="AA340" s="49">
        <f t="shared" si="208"/>
        <v>5.5E-2</v>
      </c>
      <c r="AB340" s="44">
        <v>0</v>
      </c>
      <c r="AC340" s="44">
        <f t="shared" si="209"/>
        <v>0</v>
      </c>
      <c r="AD340" s="44">
        <f t="shared" si="210"/>
        <v>0</v>
      </c>
      <c r="AE340" s="50">
        <f t="shared" si="211"/>
        <v>0</v>
      </c>
      <c r="AF340" s="41">
        <f t="shared" si="212"/>
        <v>0</v>
      </c>
      <c r="AG340" s="44">
        <v>0</v>
      </c>
      <c r="AH340" s="44">
        <v>0</v>
      </c>
      <c r="AI340" s="42">
        <f t="shared" si="188"/>
        <v>0</v>
      </c>
      <c r="AJ340" s="42">
        <f t="shared" si="189"/>
        <v>0</v>
      </c>
      <c r="AK340" s="40">
        <f t="shared" si="213"/>
        <v>0</v>
      </c>
      <c r="AL340" s="51">
        <v>0</v>
      </c>
      <c r="AM340" s="52">
        <f t="shared" si="214"/>
        <v>0</v>
      </c>
      <c r="AN340" s="42">
        <f t="shared" si="190"/>
        <v>0</v>
      </c>
      <c r="AO340" s="53">
        <f t="shared" si="191"/>
        <v>1066</v>
      </c>
      <c r="AP340" s="52">
        <f t="shared" si="192"/>
        <v>1.54</v>
      </c>
      <c r="AQ340" s="42">
        <f t="shared" si="193"/>
        <v>0</v>
      </c>
      <c r="AR340" s="46"/>
      <c r="AS340" s="46"/>
      <c r="AT340" s="50" t="str">
        <f t="shared" si="194"/>
        <v/>
      </c>
      <c r="AU340" s="50">
        <f t="shared" si="215"/>
        <v>153</v>
      </c>
      <c r="AV340" s="50" t="str">
        <f t="shared" si="195"/>
        <v/>
      </c>
      <c r="AW340" s="54" t="str">
        <f t="shared" si="196"/>
        <v/>
      </c>
    </row>
    <row r="341" spans="1:49" x14ac:dyDescent="0.25">
      <c r="A341" s="33" t="s">
        <v>55</v>
      </c>
      <c r="B341" s="33" t="s">
        <v>329</v>
      </c>
      <c r="C341" s="33" t="s">
        <v>445</v>
      </c>
      <c r="D341" s="33" t="s">
        <v>446</v>
      </c>
      <c r="E341" s="34">
        <f>COUNTIF('Detalle por artículo'!$K$8:$K$592,D341)</f>
        <v>1</v>
      </c>
      <c r="F341" s="35">
        <f t="shared" si="197"/>
        <v>191.86197916666666</v>
      </c>
      <c r="G341" s="36">
        <f>SUMIF('Detalle por artículo'!$K$8:$K$592,$D341,'Detalle por artículo'!$E$8:$E$592)</f>
        <v>1.536</v>
      </c>
      <c r="H341" s="35">
        <f t="shared" si="198"/>
        <v>1</v>
      </c>
      <c r="I341" s="35">
        <f t="shared" si="199"/>
        <v>2</v>
      </c>
      <c r="J341" s="35">
        <f t="shared" si="200"/>
        <v>4</v>
      </c>
      <c r="K341" s="37">
        <f t="shared" si="201"/>
        <v>5.4857142857142861E-2</v>
      </c>
      <c r="L341" s="36">
        <f>SUMIF('Detalle por artículo'!$K$8:$K$592,$D341,'Detalle por artículo'!$O$8:$O$592)</f>
        <v>294.7</v>
      </c>
      <c r="M341" s="38">
        <f>SUMIF('Detalle por artículo'!$K$8:$K$592,$D341,'Detalle por artículo'!$I$8:$I$592)</f>
        <v>1048</v>
      </c>
      <c r="N341" s="38">
        <f>SUMIF('Detalle por artículo'!$K$8:$K$592,$D341,'Detalle por artículo'!$M$8:$M$592)</f>
        <v>16</v>
      </c>
      <c r="O341" s="39">
        <f t="shared" si="202"/>
        <v>1.4656488549618323</v>
      </c>
      <c r="P341" s="40">
        <f t="shared" si="203"/>
        <v>281.20229007633583</v>
      </c>
      <c r="Q341" s="41">
        <f t="shared" si="204"/>
        <v>0.15</v>
      </c>
      <c r="R341" s="40">
        <f t="shared" si="205"/>
        <v>1.7664</v>
      </c>
      <c r="S341" s="42">
        <f>IFERROR(SUM($G$8:G341)/$G$6,0)</f>
        <v>0.96105868668589656</v>
      </c>
      <c r="T341" s="43" t="str">
        <f t="shared" si="206"/>
        <v>C</v>
      </c>
      <c r="U341" s="44">
        <v>1048</v>
      </c>
      <c r="V341" s="45">
        <f t="shared" si="187"/>
        <v>0</v>
      </c>
      <c r="W341" s="46">
        <v>46219</v>
      </c>
      <c r="X341" s="46">
        <v>46219</v>
      </c>
      <c r="Y341" s="47">
        <v>0</v>
      </c>
      <c r="Z341" s="48">
        <f t="shared" si="207"/>
        <v>0</v>
      </c>
      <c r="AA341" s="49">
        <f t="shared" si="208"/>
        <v>0</v>
      </c>
      <c r="AB341" s="44">
        <v>793</v>
      </c>
      <c r="AC341" s="44">
        <f t="shared" si="209"/>
        <v>407</v>
      </c>
      <c r="AD341" s="44">
        <f t="shared" si="210"/>
        <v>377</v>
      </c>
      <c r="AE341" s="50">
        <f t="shared" si="211"/>
        <v>48</v>
      </c>
      <c r="AF341" s="41">
        <f t="shared" si="212"/>
        <v>0.96</v>
      </c>
      <c r="AG341" s="44">
        <v>2</v>
      </c>
      <c r="AH341" s="44">
        <v>7</v>
      </c>
      <c r="AI341" s="42">
        <f t="shared" si="188"/>
        <v>0.38835877862595419</v>
      </c>
      <c r="AJ341" s="42">
        <f t="shared" si="189"/>
        <v>0.35973282442748089</v>
      </c>
      <c r="AK341" s="40">
        <f t="shared" si="213"/>
        <v>0.59651908396946574</v>
      </c>
      <c r="AL341" s="51">
        <v>252</v>
      </c>
      <c r="AM341" s="52">
        <f t="shared" si="214"/>
        <v>0.36934351145038175</v>
      </c>
      <c r="AN341" s="42">
        <f t="shared" si="190"/>
        <v>0.24045801526717558</v>
      </c>
      <c r="AO341" s="53">
        <f t="shared" si="191"/>
        <v>255</v>
      </c>
      <c r="AP341" s="52">
        <f t="shared" si="192"/>
        <v>0.37374045801526723</v>
      </c>
      <c r="AQ341" s="42">
        <f t="shared" si="193"/>
        <v>0.74809160305343514</v>
      </c>
      <c r="AR341" s="46">
        <v>46225</v>
      </c>
      <c r="AS341" s="46">
        <v>46225</v>
      </c>
      <c r="AT341" s="50">
        <f t="shared" si="194"/>
        <v>6</v>
      </c>
      <c r="AU341" s="50">
        <f t="shared" si="215"/>
        <v>161</v>
      </c>
      <c r="AV341" s="50">
        <f t="shared" si="195"/>
        <v>97</v>
      </c>
      <c r="AW341" s="54">
        <f t="shared" si="196"/>
        <v>64</v>
      </c>
    </row>
    <row r="342" spans="1:49" x14ac:dyDescent="0.25">
      <c r="A342" s="33" t="s">
        <v>55</v>
      </c>
      <c r="B342" s="33" t="s">
        <v>255</v>
      </c>
      <c r="C342" s="33" t="s">
        <v>132</v>
      </c>
      <c r="D342" s="33" t="s">
        <v>447</v>
      </c>
      <c r="E342" s="34">
        <f>COUNTIF('Detalle por artículo'!$K$8:$K$592,D342)</f>
        <v>1</v>
      </c>
      <c r="F342" s="35">
        <f t="shared" si="197"/>
        <v>226.43229166666666</v>
      </c>
      <c r="G342" s="36">
        <f>SUMIF('Detalle por artículo'!$K$8:$K$592,$D342,'Detalle por artículo'!$E$8:$E$592)</f>
        <v>1.536</v>
      </c>
      <c r="H342" s="35">
        <f t="shared" si="198"/>
        <v>1</v>
      </c>
      <c r="I342" s="35">
        <f t="shared" si="199"/>
        <v>2</v>
      </c>
      <c r="J342" s="35">
        <f t="shared" si="200"/>
        <v>4</v>
      </c>
      <c r="K342" s="37">
        <f t="shared" si="201"/>
        <v>5.4857142857142861E-2</v>
      </c>
      <c r="L342" s="36">
        <f>SUMIF('Detalle por artículo'!$K$8:$K$592,$D342,'Detalle por artículo'!$O$8:$O$592)</f>
        <v>347.8</v>
      </c>
      <c r="M342" s="38">
        <f>SUMIF('Detalle por artículo'!$K$8:$K$592,$D342,'Detalle por artículo'!$I$8:$I$592)</f>
        <v>715</v>
      </c>
      <c r="N342" s="38">
        <f>SUMIF('Detalle por artículo'!$K$8:$K$592,$D342,'Detalle por artículo'!$M$8:$M$592)</f>
        <v>16</v>
      </c>
      <c r="O342" s="39">
        <f t="shared" si="202"/>
        <v>2.1482517482517482</v>
      </c>
      <c r="P342" s="40">
        <f t="shared" si="203"/>
        <v>486.43356643356645</v>
      </c>
      <c r="Q342" s="41">
        <f t="shared" si="204"/>
        <v>0.1</v>
      </c>
      <c r="R342" s="40">
        <f t="shared" si="205"/>
        <v>1.6896000000000002</v>
      </c>
      <c r="S342" s="42">
        <f>IFERROR(SUM($G$8:G342)/$G$6,0)</f>
        <v>0.96162311106159215</v>
      </c>
      <c r="T342" s="43" t="str">
        <f t="shared" si="206"/>
        <v>C</v>
      </c>
      <c r="U342" s="44">
        <v>715</v>
      </c>
      <c r="V342" s="45">
        <f t="shared" si="187"/>
        <v>0</v>
      </c>
      <c r="W342" s="46">
        <v>46218</v>
      </c>
      <c r="X342" s="46">
        <v>46218</v>
      </c>
      <c r="Y342" s="47">
        <v>0</v>
      </c>
      <c r="Z342" s="48">
        <f t="shared" si="207"/>
        <v>0</v>
      </c>
      <c r="AA342" s="49">
        <f t="shared" si="208"/>
        <v>0</v>
      </c>
      <c r="AB342" s="44">
        <v>601</v>
      </c>
      <c r="AC342" s="44">
        <f t="shared" si="209"/>
        <v>418</v>
      </c>
      <c r="AD342" s="44">
        <f t="shared" si="210"/>
        <v>182</v>
      </c>
      <c r="AE342" s="50">
        <f t="shared" si="211"/>
        <v>48</v>
      </c>
      <c r="AF342" s="41">
        <f t="shared" si="212"/>
        <v>0.96</v>
      </c>
      <c r="AG342" s="44">
        <v>1</v>
      </c>
      <c r="AH342" s="44">
        <v>0</v>
      </c>
      <c r="AI342" s="42">
        <f t="shared" si="188"/>
        <v>0.58461538461538465</v>
      </c>
      <c r="AJ342" s="42">
        <f t="shared" si="189"/>
        <v>0.25454545454545452</v>
      </c>
      <c r="AK342" s="40">
        <f t="shared" si="213"/>
        <v>0.89796923076923074</v>
      </c>
      <c r="AL342" s="51">
        <v>113</v>
      </c>
      <c r="AM342" s="52">
        <f t="shared" si="214"/>
        <v>0.24275244755244757</v>
      </c>
      <c r="AN342" s="42">
        <f t="shared" si="190"/>
        <v>0.15804195804195803</v>
      </c>
      <c r="AO342" s="53">
        <f t="shared" si="191"/>
        <v>114</v>
      </c>
      <c r="AP342" s="52">
        <f t="shared" si="192"/>
        <v>0.2449006993006993</v>
      </c>
      <c r="AQ342" s="42">
        <f t="shared" si="193"/>
        <v>0.83916083916083917</v>
      </c>
      <c r="AR342" s="46">
        <v>46225</v>
      </c>
      <c r="AS342" s="46">
        <v>46225</v>
      </c>
      <c r="AT342" s="50">
        <f t="shared" si="194"/>
        <v>7</v>
      </c>
      <c r="AU342" s="50">
        <f t="shared" si="215"/>
        <v>304</v>
      </c>
      <c r="AV342" s="50">
        <f t="shared" si="195"/>
        <v>190</v>
      </c>
      <c r="AW342" s="54">
        <f t="shared" si="196"/>
        <v>114</v>
      </c>
    </row>
    <row r="343" spans="1:49" x14ac:dyDescent="0.25">
      <c r="A343" s="33" t="s">
        <v>55</v>
      </c>
      <c r="B343" s="33" t="s">
        <v>255</v>
      </c>
      <c r="C343" s="33" t="s">
        <v>347</v>
      </c>
      <c r="D343" s="33" t="s">
        <v>448</v>
      </c>
      <c r="E343" s="34">
        <f>COUNTIF('Detalle por artículo'!$K$8:$K$592,D343)</f>
        <v>1</v>
      </c>
      <c r="F343" s="35">
        <f t="shared" si="197"/>
        <v>222.91666666666669</v>
      </c>
      <c r="G343" s="36">
        <f>SUMIF('Detalle por artículo'!$K$8:$K$592,$D343,'Detalle por artículo'!$E$8:$E$592)</f>
        <v>1.536</v>
      </c>
      <c r="H343" s="35">
        <f t="shared" si="198"/>
        <v>1</v>
      </c>
      <c r="I343" s="35">
        <f t="shared" si="199"/>
        <v>2</v>
      </c>
      <c r="J343" s="35">
        <f t="shared" si="200"/>
        <v>4</v>
      </c>
      <c r="K343" s="37">
        <f t="shared" si="201"/>
        <v>5.4857142857142861E-2</v>
      </c>
      <c r="L343" s="36">
        <f>SUMIF('Detalle por artículo'!$K$8:$K$592,$D343,'Detalle por artículo'!$O$8:$O$592)</f>
        <v>342.40000000000003</v>
      </c>
      <c r="M343" s="38">
        <f>SUMIF('Detalle por artículo'!$K$8:$K$592,$D343,'Detalle por artículo'!$I$8:$I$592)</f>
        <v>816</v>
      </c>
      <c r="N343" s="38">
        <f>SUMIF('Detalle por artículo'!$K$8:$K$592,$D343,'Detalle por artículo'!$M$8:$M$592)</f>
        <v>16</v>
      </c>
      <c r="O343" s="39">
        <f t="shared" si="202"/>
        <v>1.8823529411764706</v>
      </c>
      <c r="P343" s="40">
        <f t="shared" si="203"/>
        <v>419.60784313725497</v>
      </c>
      <c r="Q343" s="41">
        <f t="shared" si="204"/>
        <v>0.1</v>
      </c>
      <c r="R343" s="40">
        <f t="shared" si="205"/>
        <v>1.6896000000000002</v>
      </c>
      <c r="S343" s="42">
        <f>IFERROR(SUM($G$8:G343)/$G$6,0)</f>
        <v>0.96218753543728774</v>
      </c>
      <c r="T343" s="43" t="str">
        <f t="shared" si="206"/>
        <v>C</v>
      </c>
      <c r="U343" s="44">
        <v>816</v>
      </c>
      <c r="V343" s="45">
        <f t="shared" si="187"/>
        <v>0</v>
      </c>
      <c r="W343" s="46">
        <v>46246</v>
      </c>
      <c r="X343" s="46">
        <v>46246</v>
      </c>
      <c r="Y343" s="47">
        <v>0</v>
      </c>
      <c r="Z343" s="48">
        <f t="shared" si="207"/>
        <v>0</v>
      </c>
      <c r="AA343" s="49">
        <f t="shared" si="208"/>
        <v>0</v>
      </c>
      <c r="AB343" s="44">
        <v>341</v>
      </c>
      <c r="AC343" s="44">
        <f t="shared" si="209"/>
        <v>268</v>
      </c>
      <c r="AD343" s="44">
        <f t="shared" si="210"/>
        <v>59</v>
      </c>
      <c r="AE343" s="50">
        <f t="shared" si="211"/>
        <v>30</v>
      </c>
      <c r="AF343" s="41">
        <f t="shared" si="212"/>
        <v>0.6</v>
      </c>
      <c r="AG343" s="44">
        <v>6</v>
      </c>
      <c r="AH343" s="44">
        <v>8</v>
      </c>
      <c r="AI343" s="42">
        <f t="shared" si="188"/>
        <v>0.32843137254901961</v>
      </c>
      <c r="AJ343" s="42">
        <f t="shared" si="189"/>
        <v>7.2303921568627458E-2</v>
      </c>
      <c r="AK343" s="40">
        <f t="shared" si="213"/>
        <v>0.50447058823529412</v>
      </c>
      <c r="AL343" s="51">
        <v>475</v>
      </c>
      <c r="AM343" s="52">
        <f t="shared" si="214"/>
        <v>0.89411764705882357</v>
      </c>
      <c r="AN343" s="42">
        <f t="shared" si="190"/>
        <v>0.58210784313725494</v>
      </c>
      <c r="AO343" s="53">
        <f t="shared" si="191"/>
        <v>475</v>
      </c>
      <c r="AP343" s="52">
        <f t="shared" si="192"/>
        <v>0.89411764705882357</v>
      </c>
      <c r="AQ343" s="42">
        <f t="shared" si="193"/>
        <v>0.40073529411764708</v>
      </c>
      <c r="AR343" s="46">
        <v>46254</v>
      </c>
      <c r="AS343" s="46">
        <v>46255</v>
      </c>
      <c r="AT343" s="50">
        <f t="shared" si="194"/>
        <v>9</v>
      </c>
      <c r="AU343" s="50">
        <f t="shared" si="215"/>
        <v>230</v>
      </c>
      <c r="AV343" s="50">
        <f t="shared" si="195"/>
        <v>334</v>
      </c>
      <c r="AW343" s="54">
        <f t="shared" si="196"/>
        <v>-104</v>
      </c>
    </row>
    <row r="344" spans="1:49" x14ac:dyDescent="0.25">
      <c r="A344" s="33" t="s">
        <v>55</v>
      </c>
      <c r="B344" s="33" t="s">
        <v>255</v>
      </c>
      <c r="C344" s="33" t="s">
        <v>347</v>
      </c>
      <c r="D344" s="33" t="s">
        <v>449</v>
      </c>
      <c r="E344" s="34">
        <f>COUNTIF('Detalle por artículo'!$K$8:$K$592,D344)</f>
        <v>1</v>
      </c>
      <c r="F344" s="35">
        <f t="shared" si="197"/>
        <v>222.91666666666669</v>
      </c>
      <c r="G344" s="36">
        <f>SUMIF('Detalle por artículo'!$K$8:$K$592,$D344,'Detalle por artículo'!$E$8:$E$592)</f>
        <v>1.536</v>
      </c>
      <c r="H344" s="35">
        <f t="shared" si="198"/>
        <v>1</v>
      </c>
      <c r="I344" s="35">
        <f t="shared" si="199"/>
        <v>2</v>
      </c>
      <c r="J344" s="35">
        <f t="shared" si="200"/>
        <v>4</v>
      </c>
      <c r="K344" s="37">
        <f t="shared" si="201"/>
        <v>5.4857142857142861E-2</v>
      </c>
      <c r="L344" s="36">
        <f>SUMIF('Detalle por artículo'!$K$8:$K$592,$D344,'Detalle por artículo'!$O$8:$O$592)</f>
        <v>342.40000000000003</v>
      </c>
      <c r="M344" s="38">
        <f>SUMIF('Detalle por artículo'!$K$8:$K$592,$D344,'Detalle por artículo'!$I$8:$I$592)</f>
        <v>779</v>
      </c>
      <c r="N344" s="38">
        <f>SUMIF('Detalle por artículo'!$K$8:$K$592,$D344,'Detalle por artículo'!$M$8:$M$592)</f>
        <v>16</v>
      </c>
      <c r="O344" s="39">
        <f t="shared" si="202"/>
        <v>1.9717586649550707</v>
      </c>
      <c r="P344" s="40">
        <f t="shared" si="203"/>
        <v>439.53786906290122</v>
      </c>
      <c r="Q344" s="41">
        <f t="shared" si="204"/>
        <v>0.1</v>
      </c>
      <c r="R344" s="40">
        <f t="shared" si="205"/>
        <v>1.6896000000000002</v>
      </c>
      <c r="S344" s="42">
        <f>IFERROR(SUM($G$8:G344)/$G$6,0)</f>
        <v>0.96275195981298334</v>
      </c>
      <c r="T344" s="43" t="str">
        <f t="shared" si="206"/>
        <v>C</v>
      </c>
      <c r="U344" s="44">
        <v>779</v>
      </c>
      <c r="V344" s="45">
        <f t="shared" si="187"/>
        <v>0</v>
      </c>
      <c r="W344" s="46">
        <v>46246</v>
      </c>
      <c r="X344" s="46">
        <v>46246</v>
      </c>
      <c r="Y344" s="47">
        <v>0</v>
      </c>
      <c r="Z344" s="48">
        <f t="shared" si="207"/>
        <v>0</v>
      </c>
      <c r="AA344" s="49">
        <f t="shared" si="208"/>
        <v>0</v>
      </c>
      <c r="AB344" s="44">
        <v>520</v>
      </c>
      <c r="AC344" s="44">
        <f t="shared" si="209"/>
        <v>375</v>
      </c>
      <c r="AD344" s="44">
        <f t="shared" si="210"/>
        <v>128</v>
      </c>
      <c r="AE344" s="50">
        <f t="shared" si="211"/>
        <v>44</v>
      </c>
      <c r="AF344" s="41">
        <f t="shared" si="212"/>
        <v>0.88</v>
      </c>
      <c r="AG344" s="44">
        <v>9</v>
      </c>
      <c r="AH344" s="44">
        <v>8</v>
      </c>
      <c r="AI344" s="42">
        <f t="shared" si="188"/>
        <v>0.48138639281129653</v>
      </c>
      <c r="AJ344" s="42">
        <f t="shared" si="189"/>
        <v>0.16431322207958921</v>
      </c>
      <c r="AK344" s="40">
        <f t="shared" si="213"/>
        <v>0.73940949935815148</v>
      </c>
      <c r="AL344" s="51">
        <v>259</v>
      </c>
      <c r="AM344" s="52">
        <f t="shared" si="214"/>
        <v>0.51068549422336329</v>
      </c>
      <c r="AN344" s="42">
        <f t="shared" si="190"/>
        <v>0.33247753530166879</v>
      </c>
      <c r="AO344" s="53">
        <f t="shared" si="191"/>
        <v>259</v>
      </c>
      <c r="AP344" s="52">
        <f t="shared" si="192"/>
        <v>0.51068549422336329</v>
      </c>
      <c r="AQ344" s="42">
        <f t="shared" si="193"/>
        <v>0.64569961489088579</v>
      </c>
      <c r="AR344" s="46">
        <v>46254</v>
      </c>
      <c r="AS344" s="46">
        <v>46255</v>
      </c>
      <c r="AT344" s="50">
        <f t="shared" si="194"/>
        <v>9</v>
      </c>
      <c r="AU344" s="50">
        <f t="shared" si="215"/>
        <v>255</v>
      </c>
      <c r="AV344" s="50">
        <f t="shared" si="195"/>
        <v>260</v>
      </c>
      <c r="AW344" s="54">
        <f t="shared" si="196"/>
        <v>-5</v>
      </c>
    </row>
    <row r="345" spans="1:49" x14ac:dyDescent="0.25">
      <c r="A345" s="33" t="s">
        <v>55</v>
      </c>
      <c r="B345" s="33" t="s">
        <v>255</v>
      </c>
      <c r="C345" s="33" t="s">
        <v>132</v>
      </c>
      <c r="D345" s="33" t="s">
        <v>450</v>
      </c>
      <c r="E345" s="34">
        <f>COUNTIF('Detalle por artículo'!$K$8:$K$592,D345)</f>
        <v>1</v>
      </c>
      <c r="F345" s="35">
        <f t="shared" si="197"/>
        <v>252.33004385964909</v>
      </c>
      <c r="G345" s="36">
        <f>SUMIF('Detalle por artículo'!$K$8:$K$592,$D345,'Detalle por artículo'!$E$8:$E$592)</f>
        <v>1.4592000000000001</v>
      </c>
      <c r="H345" s="35">
        <f t="shared" si="198"/>
        <v>1</v>
      </c>
      <c r="I345" s="35">
        <f t="shared" si="199"/>
        <v>2</v>
      </c>
      <c r="J345" s="35">
        <f t="shared" si="200"/>
        <v>4</v>
      </c>
      <c r="K345" s="37">
        <f t="shared" si="201"/>
        <v>5.2114285714285717E-2</v>
      </c>
      <c r="L345" s="36">
        <f>SUMIF('Detalle por artículo'!$K$8:$K$592,$D345,'Detalle por artículo'!$O$8:$O$592)</f>
        <v>368.2</v>
      </c>
      <c r="M345" s="38">
        <f>SUMIF('Detalle por artículo'!$K$8:$K$592,$D345,'Detalle por artículo'!$I$8:$I$592)</f>
        <v>636</v>
      </c>
      <c r="N345" s="38">
        <f>SUMIF('Detalle por artículo'!$K$8:$K$592,$D345,'Detalle por artículo'!$M$8:$M$592)</f>
        <v>19</v>
      </c>
      <c r="O345" s="39">
        <f t="shared" si="202"/>
        <v>2.2943396226415094</v>
      </c>
      <c r="P345" s="40">
        <f t="shared" si="203"/>
        <v>578.93081761006283</v>
      </c>
      <c r="Q345" s="41">
        <f t="shared" si="204"/>
        <v>0.1</v>
      </c>
      <c r="R345" s="40">
        <f t="shared" si="205"/>
        <v>1.6051200000000001</v>
      </c>
      <c r="S345" s="42">
        <f>IFERROR(SUM($G$8:G345)/$G$6,0)</f>
        <v>0.96328816296989395</v>
      </c>
      <c r="T345" s="43" t="str">
        <f t="shared" si="206"/>
        <v>C</v>
      </c>
      <c r="U345" s="44">
        <v>636</v>
      </c>
      <c r="V345" s="45">
        <f t="shared" si="187"/>
        <v>0</v>
      </c>
      <c r="W345" s="46">
        <v>46188</v>
      </c>
      <c r="X345" s="46">
        <v>46188</v>
      </c>
      <c r="Y345" s="47">
        <v>0</v>
      </c>
      <c r="Z345" s="48">
        <f t="shared" si="207"/>
        <v>0</v>
      </c>
      <c r="AA345" s="49">
        <f t="shared" si="208"/>
        <v>0</v>
      </c>
      <c r="AB345" s="44">
        <v>550</v>
      </c>
      <c r="AC345" s="44">
        <f t="shared" si="209"/>
        <v>382</v>
      </c>
      <c r="AD345" s="44">
        <f t="shared" si="210"/>
        <v>160</v>
      </c>
      <c r="AE345" s="50">
        <f t="shared" si="211"/>
        <v>43</v>
      </c>
      <c r="AF345" s="41">
        <f t="shared" si="212"/>
        <v>0.86</v>
      </c>
      <c r="AG345" s="44">
        <v>0</v>
      </c>
      <c r="AH345" s="44">
        <v>8</v>
      </c>
      <c r="AI345" s="42">
        <f t="shared" si="188"/>
        <v>0.60062893081761004</v>
      </c>
      <c r="AJ345" s="42">
        <f t="shared" si="189"/>
        <v>0.25157232704402516</v>
      </c>
      <c r="AK345" s="40">
        <f t="shared" si="213"/>
        <v>0.8764377358490566</v>
      </c>
      <c r="AL345" s="51">
        <v>86</v>
      </c>
      <c r="AM345" s="52">
        <f t="shared" si="214"/>
        <v>0.1973132075471698</v>
      </c>
      <c r="AN345" s="42">
        <f t="shared" si="190"/>
        <v>0.13522012578616352</v>
      </c>
      <c r="AO345" s="53">
        <f t="shared" si="191"/>
        <v>86</v>
      </c>
      <c r="AP345" s="52">
        <f t="shared" si="192"/>
        <v>0.1973132075471698</v>
      </c>
      <c r="AQ345" s="42">
        <f t="shared" si="193"/>
        <v>0.85220125786163525</v>
      </c>
      <c r="AR345" s="46">
        <v>46219</v>
      </c>
      <c r="AS345" s="46">
        <v>46219</v>
      </c>
      <c r="AT345" s="50">
        <f t="shared" si="194"/>
        <v>31</v>
      </c>
      <c r="AU345" s="50">
        <f t="shared" si="215"/>
        <v>369</v>
      </c>
      <c r="AV345" s="50">
        <f t="shared" si="195"/>
        <v>238</v>
      </c>
      <c r="AW345" s="54">
        <f t="shared" si="196"/>
        <v>131</v>
      </c>
    </row>
    <row r="346" spans="1:49" x14ac:dyDescent="0.25">
      <c r="A346" s="33" t="s">
        <v>55</v>
      </c>
      <c r="B346" s="33" t="s">
        <v>255</v>
      </c>
      <c r="C346" s="33" t="s">
        <v>132</v>
      </c>
      <c r="D346" s="33" t="s">
        <v>451</v>
      </c>
      <c r="E346" s="34">
        <f>COUNTIF('Detalle por artículo'!$K$8:$K$592,D346)</f>
        <v>1</v>
      </c>
      <c r="F346" s="35">
        <f t="shared" si="197"/>
        <v>254.52302631578945</v>
      </c>
      <c r="G346" s="36">
        <f>SUMIF('Detalle por artículo'!$K$8:$K$592,$D346,'Detalle por artículo'!$E$8:$E$592)</f>
        <v>1.4592000000000001</v>
      </c>
      <c r="H346" s="35">
        <f t="shared" si="198"/>
        <v>1</v>
      </c>
      <c r="I346" s="35">
        <f t="shared" si="199"/>
        <v>2</v>
      </c>
      <c r="J346" s="35">
        <f t="shared" si="200"/>
        <v>4</v>
      </c>
      <c r="K346" s="37">
        <f t="shared" si="201"/>
        <v>5.2114285714285717E-2</v>
      </c>
      <c r="L346" s="36">
        <f>SUMIF('Detalle por artículo'!$K$8:$K$592,$D346,'Detalle por artículo'!$O$8:$O$592)</f>
        <v>371.4</v>
      </c>
      <c r="M346" s="38">
        <f>SUMIF('Detalle por artículo'!$K$8:$K$592,$D346,'Detalle por artículo'!$I$8:$I$592)</f>
        <v>624</v>
      </c>
      <c r="N346" s="38">
        <f>SUMIF('Detalle por artículo'!$K$8:$K$592,$D346,'Detalle por artículo'!$M$8:$M$592)</f>
        <v>19</v>
      </c>
      <c r="O346" s="39">
        <f t="shared" si="202"/>
        <v>2.3384615384615386</v>
      </c>
      <c r="P346" s="40">
        <f t="shared" si="203"/>
        <v>595.19230769230774</v>
      </c>
      <c r="Q346" s="41">
        <f t="shared" si="204"/>
        <v>0.1</v>
      </c>
      <c r="R346" s="40">
        <f t="shared" si="205"/>
        <v>1.6051200000000001</v>
      </c>
      <c r="S346" s="42">
        <f>IFERROR(SUM($G$8:G346)/$G$6,0)</f>
        <v>0.96382436612680467</v>
      </c>
      <c r="T346" s="43" t="str">
        <f t="shared" si="206"/>
        <v>C</v>
      </c>
      <c r="U346" s="44">
        <v>624</v>
      </c>
      <c r="V346" s="45">
        <f t="shared" si="187"/>
        <v>0</v>
      </c>
      <c r="W346" s="46">
        <v>46188</v>
      </c>
      <c r="X346" s="46">
        <v>46188</v>
      </c>
      <c r="Y346" s="47">
        <v>0</v>
      </c>
      <c r="Z346" s="48">
        <f t="shared" si="207"/>
        <v>0</v>
      </c>
      <c r="AA346" s="49">
        <f t="shared" si="208"/>
        <v>0</v>
      </c>
      <c r="AB346" s="44">
        <v>581</v>
      </c>
      <c r="AC346" s="44">
        <f t="shared" si="209"/>
        <v>412</v>
      </c>
      <c r="AD346" s="44">
        <f t="shared" si="210"/>
        <v>164</v>
      </c>
      <c r="AE346" s="50">
        <f t="shared" si="211"/>
        <v>48</v>
      </c>
      <c r="AF346" s="41">
        <f t="shared" si="212"/>
        <v>0.96</v>
      </c>
      <c r="AG346" s="44">
        <v>5</v>
      </c>
      <c r="AH346" s="44">
        <v>0</v>
      </c>
      <c r="AI346" s="42">
        <f t="shared" si="188"/>
        <v>0.66025641025641024</v>
      </c>
      <c r="AJ346" s="42">
        <f t="shared" si="189"/>
        <v>0.26282051282051283</v>
      </c>
      <c r="AK346" s="40">
        <f t="shared" si="213"/>
        <v>0.96344615384615395</v>
      </c>
      <c r="AL346" s="51">
        <v>43</v>
      </c>
      <c r="AM346" s="52">
        <f t="shared" si="214"/>
        <v>0.10055384615384616</v>
      </c>
      <c r="AN346" s="42">
        <f t="shared" si="190"/>
        <v>6.8910256410256415E-2</v>
      </c>
      <c r="AO346" s="53">
        <f t="shared" si="191"/>
        <v>43</v>
      </c>
      <c r="AP346" s="52">
        <f t="shared" si="192"/>
        <v>0.10055384615384616</v>
      </c>
      <c r="AQ346" s="42">
        <f t="shared" si="193"/>
        <v>0.92307692307692313</v>
      </c>
      <c r="AR346" s="46">
        <v>46219</v>
      </c>
      <c r="AS346" s="46">
        <v>46219</v>
      </c>
      <c r="AT346" s="50">
        <f t="shared" si="194"/>
        <v>31</v>
      </c>
      <c r="AU346" s="50">
        <f t="shared" si="215"/>
        <v>380</v>
      </c>
      <c r="AV346" s="50">
        <f t="shared" si="195"/>
        <v>215</v>
      </c>
      <c r="AW346" s="54">
        <f t="shared" si="196"/>
        <v>165</v>
      </c>
    </row>
    <row r="347" spans="1:49" x14ac:dyDescent="0.25">
      <c r="A347" s="33" t="s">
        <v>63</v>
      </c>
      <c r="B347" s="33" t="s">
        <v>84</v>
      </c>
      <c r="C347" s="33" t="s">
        <v>87</v>
      </c>
      <c r="D347" s="33" t="s">
        <v>452</v>
      </c>
      <c r="E347" s="34">
        <f>COUNTIF('Detalle por artículo'!$K$8:$K$592,D347)</f>
        <v>1</v>
      </c>
      <c r="F347" s="35">
        <f t="shared" si="197"/>
        <v>180.094130675526</v>
      </c>
      <c r="G347" s="36">
        <f>SUMIF('Detalle por artículo'!$K$8:$K$592,$D347,'Detalle por artículo'!$E$8:$E$592)</f>
        <v>1.4448000000000001</v>
      </c>
      <c r="H347" s="35">
        <f t="shared" si="198"/>
        <v>1</v>
      </c>
      <c r="I347" s="35">
        <f t="shared" si="199"/>
        <v>2</v>
      </c>
      <c r="J347" s="35">
        <f t="shared" si="200"/>
        <v>4</v>
      </c>
      <c r="K347" s="37">
        <f t="shared" si="201"/>
        <v>5.16E-2</v>
      </c>
      <c r="L347" s="36">
        <f>SUMIF('Detalle por artículo'!$K$8:$K$592,$D347,'Detalle por artículo'!$O$8:$O$592)</f>
        <v>260.2</v>
      </c>
      <c r="M347" s="38">
        <f>SUMIF('Detalle por artículo'!$K$8:$K$592,$D347,'Detalle por artículo'!$I$8:$I$592)</f>
        <v>498</v>
      </c>
      <c r="N347" s="38">
        <f>SUMIF('Detalle por artículo'!$K$8:$K$592,$D347,'Detalle por artículo'!$M$8:$M$592)</f>
        <v>14</v>
      </c>
      <c r="O347" s="39">
        <f t="shared" si="202"/>
        <v>2.9012048192771087</v>
      </c>
      <c r="P347" s="40">
        <f t="shared" si="203"/>
        <v>522.48995983935743</v>
      </c>
      <c r="Q347" s="41">
        <f t="shared" si="204"/>
        <v>0.15</v>
      </c>
      <c r="R347" s="40">
        <f t="shared" si="205"/>
        <v>1.6615199999999999</v>
      </c>
      <c r="S347" s="42">
        <f>IFERROR(SUM($G$8:G347)/$G$6,0)</f>
        <v>0.96435527780519337</v>
      </c>
      <c r="T347" s="43" t="str">
        <f t="shared" si="206"/>
        <v>C</v>
      </c>
      <c r="U347" s="44">
        <v>0</v>
      </c>
      <c r="V347" s="45">
        <f t="shared" si="187"/>
        <v>-498</v>
      </c>
      <c r="W347" s="46"/>
      <c r="X347" s="46"/>
      <c r="Y347" s="47">
        <v>498</v>
      </c>
      <c r="Z347" s="48">
        <f t="shared" si="207"/>
        <v>1.4448000000000001</v>
      </c>
      <c r="AA347" s="49">
        <f t="shared" si="208"/>
        <v>5.16E-2</v>
      </c>
      <c r="AB347" s="44">
        <v>0</v>
      </c>
      <c r="AC347" s="44">
        <f t="shared" si="209"/>
        <v>0</v>
      </c>
      <c r="AD347" s="44">
        <f t="shared" si="210"/>
        <v>0</v>
      </c>
      <c r="AE347" s="50">
        <f t="shared" si="211"/>
        <v>0</v>
      </c>
      <c r="AF347" s="41">
        <f t="shared" si="212"/>
        <v>0</v>
      </c>
      <c r="AG347" s="44">
        <v>0</v>
      </c>
      <c r="AH347" s="44">
        <v>0</v>
      </c>
      <c r="AI347" s="42">
        <f t="shared" si="188"/>
        <v>0</v>
      </c>
      <c r="AJ347" s="42">
        <f t="shared" si="189"/>
        <v>0</v>
      </c>
      <c r="AK347" s="40">
        <f t="shared" si="213"/>
        <v>0</v>
      </c>
      <c r="AL347" s="51">
        <v>0</v>
      </c>
      <c r="AM347" s="52">
        <f t="shared" si="214"/>
        <v>0</v>
      </c>
      <c r="AN347" s="42">
        <f t="shared" si="190"/>
        <v>0</v>
      </c>
      <c r="AO347" s="53">
        <f t="shared" si="191"/>
        <v>498</v>
      </c>
      <c r="AP347" s="52">
        <f t="shared" si="192"/>
        <v>1.4448000000000001</v>
      </c>
      <c r="AQ347" s="42">
        <f t="shared" si="193"/>
        <v>0</v>
      </c>
      <c r="AR347" s="46"/>
      <c r="AS347" s="46"/>
      <c r="AT347" s="50" t="str">
        <f t="shared" si="194"/>
        <v/>
      </c>
      <c r="AU347" s="50">
        <f t="shared" si="215"/>
        <v>430</v>
      </c>
      <c r="AV347" s="50" t="str">
        <f t="shared" si="195"/>
        <v/>
      </c>
      <c r="AW347" s="54" t="str">
        <f t="shared" si="196"/>
        <v/>
      </c>
    </row>
    <row r="348" spans="1:49" x14ac:dyDescent="0.25">
      <c r="A348" s="33" t="s">
        <v>55</v>
      </c>
      <c r="B348" s="33" t="s">
        <v>255</v>
      </c>
      <c r="C348" s="33" t="s">
        <v>132</v>
      </c>
      <c r="D348" s="33" t="s">
        <v>453</v>
      </c>
      <c r="E348" s="34">
        <f>COUNTIF('Detalle por artículo'!$K$8:$K$592,D348)</f>
        <v>1</v>
      </c>
      <c r="F348" s="35">
        <f t="shared" si="197"/>
        <v>254.72222222222223</v>
      </c>
      <c r="G348" s="36">
        <f>SUMIF('Detalle por artículo'!$K$8:$K$592,$D348,'Detalle por artículo'!$E$8:$E$592)</f>
        <v>1.44</v>
      </c>
      <c r="H348" s="35">
        <f t="shared" si="198"/>
        <v>1</v>
      </c>
      <c r="I348" s="35">
        <f t="shared" si="199"/>
        <v>2</v>
      </c>
      <c r="J348" s="35">
        <f t="shared" si="200"/>
        <v>4</v>
      </c>
      <c r="K348" s="37">
        <f t="shared" si="201"/>
        <v>5.1428571428571428E-2</v>
      </c>
      <c r="L348" s="36">
        <f>SUMIF('Detalle por artículo'!$K$8:$K$592,$D348,'Detalle por artículo'!$O$8:$O$592)</f>
        <v>366.8</v>
      </c>
      <c r="M348" s="38">
        <f>SUMIF('Detalle por artículo'!$K$8:$K$592,$D348,'Detalle por artículo'!$I$8:$I$592)</f>
        <v>688</v>
      </c>
      <c r="N348" s="38">
        <f>SUMIF('Detalle por artículo'!$K$8:$K$592,$D348,'Detalle por artículo'!$M$8:$M$592)</f>
        <v>20</v>
      </c>
      <c r="O348" s="39">
        <f t="shared" si="202"/>
        <v>2.0930232558139532</v>
      </c>
      <c r="P348" s="40">
        <f t="shared" si="203"/>
        <v>533.1395348837209</v>
      </c>
      <c r="Q348" s="41">
        <f t="shared" si="204"/>
        <v>0.1</v>
      </c>
      <c r="R348" s="40">
        <f t="shared" si="205"/>
        <v>1.5840000000000001</v>
      </c>
      <c r="S348" s="42">
        <f>IFERROR(SUM($G$8:G348)/$G$6,0)</f>
        <v>0.96488442565740795</v>
      </c>
      <c r="T348" s="43" t="str">
        <f t="shared" si="206"/>
        <v>C</v>
      </c>
      <c r="U348" s="44">
        <v>688</v>
      </c>
      <c r="V348" s="45">
        <f t="shared" si="187"/>
        <v>0</v>
      </c>
      <c r="W348" s="46">
        <v>46218</v>
      </c>
      <c r="X348" s="46">
        <v>46218</v>
      </c>
      <c r="Y348" s="47">
        <v>0</v>
      </c>
      <c r="Z348" s="48">
        <f t="shared" si="207"/>
        <v>0</v>
      </c>
      <c r="AA348" s="49">
        <f t="shared" si="208"/>
        <v>0</v>
      </c>
      <c r="AB348" s="44">
        <v>680</v>
      </c>
      <c r="AC348" s="44">
        <f t="shared" si="209"/>
        <v>493</v>
      </c>
      <c r="AD348" s="44">
        <f t="shared" si="210"/>
        <v>185</v>
      </c>
      <c r="AE348" s="50">
        <f t="shared" si="211"/>
        <v>49</v>
      </c>
      <c r="AF348" s="41">
        <f t="shared" si="212"/>
        <v>0.98</v>
      </c>
      <c r="AG348" s="44">
        <v>1</v>
      </c>
      <c r="AH348" s="44">
        <v>1</v>
      </c>
      <c r="AI348" s="42">
        <f t="shared" si="188"/>
        <v>0.71656976744186052</v>
      </c>
      <c r="AJ348" s="42">
        <f t="shared" si="189"/>
        <v>0.26889534883720928</v>
      </c>
      <c r="AK348" s="40">
        <f t="shared" si="213"/>
        <v>1.0318604651162788</v>
      </c>
      <c r="AL348" s="51">
        <v>8</v>
      </c>
      <c r="AM348" s="52">
        <f t="shared" si="214"/>
        <v>1.6744186046511626E-2</v>
      </c>
      <c r="AN348" s="42">
        <f t="shared" si="190"/>
        <v>1.1627906976744186E-2</v>
      </c>
      <c r="AO348" s="53">
        <f t="shared" si="191"/>
        <v>8</v>
      </c>
      <c r="AP348" s="52">
        <f t="shared" si="192"/>
        <v>1.6744186046511626E-2</v>
      </c>
      <c r="AQ348" s="42">
        <f t="shared" si="193"/>
        <v>0.98546511627906974</v>
      </c>
      <c r="AR348" s="46">
        <v>46225</v>
      </c>
      <c r="AS348" s="46">
        <v>46225</v>
      </c>
      <c r="AT348" s="50">
        <f t="shared" si="194"/>
        <v>7</v>
      </c>
      <c r="AU348" s="50">
        <f t="shared" si="215"/>
        <v>326</v>
      </c>
      <c r="AV348" s="50">
        <f t="shared" si="195"/>
        <v>132</v>
      </c>
      <c r="AW348" s="54">
        <f t="shared" si="196"/>
        <v>194</v>
      </c>
    </row>
    <row r="349" spans="1:49" x14ac:dyDescent="0.25">
      <c r="A349" s="33" t="s">
        <v>55</v>
      </c>
      <c r="B349" s="33" t="s">
        <v>255</v>
      </c>
      <c r="C349" s="33" t="s">
        <v>132</v>
      </c>
      <c r="D349" s="33" t="s">
        <v>454</v>
      </c>
      <c r="E349" s="34">
        <f>COUNTIF('Detalle por artículo'!$K$8:$K$592,D349)</f>
        <v>1</v>
      </c>
      <c r="F349" s="35">
        <f t="shared" si="197"/>
        <v>253.54166666666669</v>
      </c>
      <c r="G349" s="36">
        <f>SUMIF('Detalle por artículo'!$K$8:$K$592,$D349,'Detalle por artículo'!$E$8:$E$592)</f>
        <v>1.44</v>
      </c>
      <c r="H349" s="35">
        <f t="shared" si="198"/>
        <v>1</v>
      </c>
      <c r="I349" s="35">
        <f t="shared" si="199"/>
        <v>2</v>
      </c>
      <c r="J349" s="35">
        <f t="shared" si="200"/>
        <v>4</v>
      </c>
      <c r="K349" s="37">
        <f t="shared" si="201"/>
        <v>5.1428571428571428E-2</v>
      </c>
      <c r="L349" s="36">
        <f>SUMIF('Detalle por artículo'!$K$8:$K$592,$D349,'Detalle por artículo'!$O$8:$O$592)</f>
        <v>365.1</v>
      </c>
      <c r="M349" s="38">
        <f>SUMIF('Detalle por artículo'!$K$8:$K$592,$D349,'Detalle por artículo'!$I$8:$I$592)</f>
        <v>550</v>
      </c>
      <c r="N349" s="38">
        <f>SUMIF('Detalle por artículo'!$K$8:$K$592,$D349,'Detalle por artículo'!$M$8:$M$592)</f>
        <v>20</v>
      </c>
      <c r="O349" s="39">
        <f t="shared" si="202"/>
        <v>2.6181818181818182</v>
      </c>
      <c r="P349" s="40">
        <f t="shared" si="203"/>
        <v>663.81818181818187</v>
      </c>
      <c r="Q349" s="41">
        <f t="shared" si="204"/>
        <v>0.1</v>
      </c>
      <c r="R349" s="40">
        <f t="shared" si="205"/>
        <v>1.5840000000000001</v>
      </c>
      <c r="S349" s="42">
        <f>IFERROR(SUM($G$8:G349)/$G$6,0)</f>
        <v>0.96541357350962265</v>
      </c>
      <c r="T349" s="43" t="str">
        <f t="shared" si="206"/>
        <v>C</v>
      </c>
      <c r="U349" s="44">
        <v>550</v>
      </c>
      <c r="V349" s="45">
        <f t="shared" si="187"/>
        <v>0</v>
      </c>
      <c r="W349" s="46">
        <v>46218</v>
      </c>
      <c r="X349" s="46">
        <v>46218</v>
      </c>
      <c r="Y349" s="47">
        <v>0</v>
      </c>
      <c r="Z349" s="48">
        <f t="shared" si="207"/>
        <v>0</v>
      </c>
      <c r="AA349" s="49">
        <f t="shared" si="208"/>
        <v>0</v>
      </c>
      <c r="AB349" s="44">
        <v>549</v>
      </c>
      <c r="AC349" s="44">
        <f t="shared" si="209"/>
        <v>454</v>
      </c>
      <c r="AD349" s="44">
        <f t="shared" si="210"/>
        <v>94</v>
      </c>
      <c r="AE349" s="50">
        <f t="shared" si="211"/>
        <v>48</v>
      </c>
      <c r="AF349" s="41">
        <f t="shared" si="212"/>
        <v>0.96</v>
      </c>
      <c r="AG349" s="44">
        <v>1</v>
      </c>
      <c r="AH349" s="44">
        <v>0</v>
      </c>
      <c r="AI349" s="42">
        <f t="shared" si="188"/>
        <v>0.82545454545454544</v>
      </c>
      <c r="AJ349" s="42">
        <f t="shared" si="189"/>
        <v>0.1709090909090909</v>
      </c>
      <c r="AK349" s="40">
        <f t="shared" si="213"/>
        <v>1.1886545454545456</v>
      </c>
      <c r="AL349" s="51">
        <v>0</v>
      </c>
      <c r="AM349" s="52">
        <f t="shared" si="214"/>
        <v>0</v>
      </c>
      <c r="AN349" s="42">
        <f t="shared" si="190"/>
        <v>0</v>
      </c>
      <c r="AO349" s="53">
        <f t="shared" si="191"/>
        <v>1</v>
      </c>
      <c r="AP349" s="52">
        <f t="shared" si="192"/>
        <v>2.6181818181818181E-3</v>
      </c>
      <c r="AQ349" s="42">
        <f t="shared" si="193"/>
        <v>0.99636363636363634</v>
      </c>
      <c r="AR349" s="46">
        <v>46225</v>
      </c>
      <c r="AS349" s="46">
        <v>46225</v>
      </c>
      <c r="AT349" s="50">
        <f t="shared" si="194"/>
        <v>7</v>
      </c>
      <c r="AU349" s="50">
        <f t="shared" si="215"/>
        <v>416</v>
      </c>
      <c r="AV349" s="50">
        <f t="shared" si="195"/>
        <v>240</v>
      </c>
      <c r="AW349" s="54">
        <f t="shared" si="196"/>
        <v>176</v>
      </c>
    </row>
    <row r="350" spans="1:49" x14ac:dyDescent="0.25">
      <c r="A350" s="33" t="s">
        <v>63</v>
      </c>
      <c r="B350" s="33" t="s">
        <v>263</v>
      </c>
      <c r="C350" s="33" t="s">
        <v>264</v>
      </c>
      <c r="D350" s="33" t="s">
        <v>455</v>
      </c>
      <c r="E350" s="34">
        <f>COUNTIF('Detalle por artículo'!$K$8:$K$592,D350)</f>
        <v>1</v>
      </c>
      <c r="F350" s="35">
        <f t="shared" si="197"/>
        <v>134.30555555555557</v>
      </c>
      <c r="G350" s="36">
        <f>SUMIF('Detalle por artículo'!$K$8:$K$592,$D350,'Detalle por artículo'!$E$8:$E$592)</f>
        <v>1.44</v>
      </c>
      <c r="H350" s="35">
        <f t="shared" si="198"/>
        <v>1</v>
      </c>
      <c r="I350" s="35">
        <f t="shared" si="199"/>
        <v>2</v>
      </c>
      <c r="J350" s="35">
        <f t="shared" si="200"/>
        <v>4</v>
      </c>
      <c r="K350" s="37">
        <f t="shared" si="201"/>
        <v>5.1428571428571428E-2</v>
      </c>
      <c r="L350" s="36">
        <f>SUMIF('Detalle por artículo'!$K$8:$K$592,$D350,'Detalle por artículo'!$O$8:$O$592)</f>
        <v>193.4</v>
      </c>
      <c r="M350" s="38">
        <f>SUMIF('Detalle por artículo'!$K$8:$K$592,$D350,'Detalle por artículo'!$I$8:$I$592)</f>
        <v>758</v>
      </c>
      <c r="N350" s="38">
        <f>SUMIF('Detalle por artículo'!$K$8:$K$592,$D350,'Detalle por artículo'!$M$8:$M$592)</f>
        <v>15</v>
      </c>
      <c r="O350" s="39">
        <f t="shared" si="202"/>
        <v>1.8997361477572559</v>
      </c>
      <c r="P350" s="40">
        <f t="shared" si="203"/>
        <v>255.14511873350926</v>
      </c>
      <c r="Q350" s="41">
        <f t="shared" si="204"/>
        <v>0.15</v>
      </c>
      <c r="R350" s="40">
        <f t="shared" si="205"/>
        <v>1.6559999999999999</v>
      </c>
      <c r="S350" s="42">
        <f>IFERROR(SUM($G$8:G350)/$G$6,0)</f>
        <v>0.96594272136183723</v>
      </c>
      <c r="T350" s="43" t="str">
        <f t="shared" si="206"/>
        <v>C</v>
      </c>
      <c r="U350" s="44">
        <v>751</v>
      </c>
      <c r="V350" s="45">
        <f t="shared" si="187"/>
        <v>-7</v>
      </c>
      <c r="W350" s="46">
        <v>46248</v>
      </c>
      <c r="X350" s="46">
        <v>46248</v>
      </c>
      <c r="Y350" s="47">
        <v>7</v>
      </c>
      <c r="Z350" s="48">
        <f t="shared" si="207"/>
        <v>1.3298153034300791E-2</v>
      </c>
      <c r="AA350" s="49">
        <f t="shared" si="208"/>
        <v>4.7493403693931396E-4</v>
      </c>
      <c r="AB350" s="44">
        <v>603</v>
      </c>
      <c r="AC350" s="44">
        <f t="shared" si="209"/>
        <v>491</v>
      </c>
      <c r="AD350" s="44">
        <f t="shared" si="210"/>
        <v>88</v>
      </c>
      <c r="AE350" s="50">
        <f t="shared" si="211"/>
        <v>48</v>
      </c>
      <c r="AF350" s="41">
        <f t="shared" si="212"/>
        <v>0.96</v>
      </c>
      <c r="AG350" s="44">
        <v>1</v>
      </c>
      <c r="AH350" s="44">
        <v>23</v>
      </c>
      <c r="AI350" s="42">
        <f t="shared" si="188"/>
        <v>0.64775725593667544</v>
      </c>
      <c r="AJ350" s="42">
        <f t="shared" si="189"/>
        <v>0.11609498680738786</v>
      </c>
      <c r="AK350" s="40">
        <f t="shared" si="213"/>
        <v>0.93277044854881264</v>
      </c>
      <c r="AL350" s="51">
        <v>147</v>
      </c>
      <c r="AM350" s="52">
        <f t="shared" si="214"/>
        <v>0.27926121372031659</v>
      </c>
      <c r="AN350" s="42">
        <f t="shared" si="190"/>
        <v>0.19573901464713714</v>
      </c>
      <c r="AO350" s="53">
        <f t="shared" si="191"/>
        <v>155</v>
      </c>
      <c r="AP350" s="52">
        <f t="shared" si="192"/>
        <v>0.29445910290237465</v>
      </c>
      <c r="AQ350" s="42">
        <f t="shared" si="193"/>
        <v>0.76385224274406327</v>
      </c>
      <c r="AR350" s="46">
        <v>46254</v>
      </c>
      <c r="AS350" s="46">
        <v>46255</v>
      </c>
      <c r="AT350" s="50">
        <f t="shared" si="194"/>
        <v>7</v>
      </c>
      <c r="AU350" s="50">
        <f t="shared" si="215"/>
        <v>273</v>
      </c>
      <c r="AV350" s="50">
        <f t="shared" si="195"/>
        <v>187</v>
      </c>
      <c r="AW350" s="54">
        <f t="shared" si="196"/>
        <v>86</v>
      </c>
    </row>
    <row r="351" spans="1:49" x14ac:dyDescent="0.25">
      <c r="A351" s="33" t="s">
        <v>63</v>
      </c>
      <c r="B351" s="33" t="s">
        <v>171</v>
      </c>
      <c r="C351" s="33" t="s">
        <v>363</v>
      </c>
      <c r="D351" s="33" t="s">
        <v>456</v>
      </c>
      <c r="E351" s="34">
        <f>COUNTIF('Detalle por artículo'!$K$8:$K$592,D351)</f>
        <v>1</v>
      </c>
      <c r="F351" s="35">
        <f t="shared" si="197"/>
        <v>170.27777777777777</v>
      </c>
      <c r="G351" s="36">
        <f>SUMIF('Detalle por artículo'!$K$8:$K$592,$D351,'Detalle por artículo'!$E$8:$E$592)</f>
        <v>1.44</v>
      </c>
      <c r="H351" s="35">
        <f t="shared" si="198"/>
        <v>1</v>
      </c>
      <c r="I351" s="35">
        <f t="shared" si="199"/>
        <v>2</v>
      </c>
      <c r="J351" s="35">
        <f t="shared" si="200"/>
        <v>4</v>
      </c>
      <c r="K351" s="37">
        <f t="shared" si="201"/>
        <v>5.1428571428571428E-2</v>
      </c>
      <c r="L351" s="36">
        <f>SUMIF('Detalle por artículo'!$K$8:$K$592,$D351,'Detalle por artículo'!$O$8:$O$592)</f>
        <v>245.2</v>
      </c>
      <c r="M351" s="38">
        <f>SUMIF('Detalle por artículo'!$K$8:$K$592,$D351,'Detalle por artículo'!$I$8:$I$592)</f>
        <v>709</v>
      </c>
      <c r="N351" s="38">
        <f>SUMIF('Detalle por artículo'!$K$8:$K$592,$D351,'Detalle por artículo'!$M$8:$M$592)</f>
        <v>15</v>
      </c>
      <c r="O351" s="39">
        <f t="shared" si="202"/>
        <v>2.0310296191819464</v>
      </c>
      <c r="P351" s="40">
        <f t="shared" si="203"/>
        <v>345.83921015514807</v>
      </c>
      <c r="Q351" s="41">
        <f t="shared" si="204"/>
        <v>0.15</v>
      </c>
      <c r="R351" s="40">
        <f t="shared" si="205"/>
        <v>1.6559999999999999</v>
      </c>
      <c r="S351" s="42">
        <f>IFERROR(SUM($G$8:G351)/$G$6,0)</f>
        <v>0.96647186921405182</v>
      </c>
      <c r="T351" s="43" t="str">
        <f t="shared" si="206"/>
        <v>C</v>
      </c>
      <c r="U351" s="44">
        <v>708</v>
      </c>
      <c r="V351" s="45">
        <f t="shared" si="187"/>
        <v>-1</v>
      </c>
      <c r="W351" s="46">
        <v>46261</v>
      </c>
      <c r="X351" s="46">
        <v>46261</v>
      </c>
      <c r="Y351" s="47">
        <v>1</v>
      </c>
      <c r="Z351" s="48">
        <f t="shared" si="207"/>
        <v>2.0310296191819463E-3</v>
      </c>
      <c r="AA351" s="49">
        <f t="shared" si="208"/>
        <v>7.2536772113640939E-5</v>
      </c>
      <c r="AB351" s="44">
        <v>496</v>
      </c>
      <c r="AC351" s="44">
        <f t="shared" si="209"/>
        <v>456</v>
      </c>
      <c r="AD351" s="44">
        <f t="shared" si="210"/>
        <v>31</v>
      </c>
      <c r="AE351" s="50">
        <f t="shared" si="211"/>
        <v>48</v>
      </c>
      <c r="AF351" s="41">
        <f t="shared" si="212"/>
        <v>0.96</v>
      </c>
      <c r="AG351" s="44">
        <v>0</v>
      </c>
      <c r="AH351" s="44">
        <v>9</v>
      </c>
      <c r="AI351" s="42">
        <f t="shared" si="188"/>
        <v>0.64315937940761636</v>
      </c>
      <c r="AJ351" s="42">
        <f t="shared" si="189"/>
        <v>4.372355430183357E-2</v>
      </c>
      <c r="AK351" s="40">
        <f t="shared" si="213"/>
        <v>0.92614950634696758</v>
      </c>
      <c r="AL351" s="51">
        <v>212</v>
      </c>
      <c r="AM351" s="52">
        <f t="shared" si="214"/>
        <v>0.43057827926657261</v>
      </c>
      <c r="AN351" s="42">
        <f t="shared" si="190"/>
        <v>0.29943502824858759</v>
      </c>
      <c r="AO351" s="53">
        <f t="shared" si="191"/>
        <v>213</v>
      </c>
      <c r="AP351" s="52">
        <f t="shared" si="192"/>
        <v>0.43260930888575455</v>
      </c>
      <c r="AQ351" s="42">
        <f t="shared" si="193"/>
        <v>0.68688293370944997</v>
      </c>
      <c r="AR351" s="46">
        <v>46268</v>
      </c>
      <c r="AS351" s="46">
        <v>46268</v>
      </c>
      <c r="AT351" s="50">
        <f t="shared" si="194"/>
        <v>7</v>
      </c>
      <c r="AU351" s="50">
        <f t="shared" si="215"/>
        <v>309</v>
      </c>
      <c r="AV351" s="50">
        <f t="shared" si="195"/>
        <v>275</v>
      </c>
      <c r="AW351" s="54">
        <f t="shared" si="196"/>
        <v>34</v>
      </c>
    </row>
    <row r="352" spans="1:49" x14ac:dyDescent="0.25">
      <c r="A352" s="33" t="s">
        <v>63</v>
      </c>
      <c r="B352" s="33" t="s">
        <v>263</v>
      </c>
      <c r="C352" s="33" t="s">
        <v>264</v>
      </c>
      <c r="D352" s="33" t="s">
        <v>457</v>
      </c>
      <c r="E352" s="34">
        <f>COUNTIF('Detalle por artículo'!$K$8:$K$592,D352)</f>
        <v>1</v>
      </c>
      <c r="F352" s="35">
        <f t="shared" si="197"/>
        <v>159.30059523809521</v>
      </c>
      <c r="G352" s="36">
        <f>SUMIF('Detalle por artículo'!$K$8:$K$592,$D352,'Detalle por artículo'!$E$8:$E$592)</f>
        <v>1.3440000000000001</v>
      </c>
      <c r="H352" s="35">
        <f t="shared" si="198"/>
        <v>1</v>
      </c>
      <c r="I352" s="35">
        <f t="shared" si="199"/>
        <v>2</v>
      </c>
      <c r="J352" s="35">
        <f t="shared" si="200"/>
        <v>4</v>
      </c>
      <c r="K352" s="37">
        <f t="shared" si="201"/>
        <v>4.8000000000000001E-2</v>
      </c>
      <c r="L352" s="36">
        <f>SUMIF('Detalle por artículo'!$K$8:$K$592,$D352,'Detalle por artículo'!$O$8:$O$592)</f>
        <v>214.1</v>
      </c>
      <c r="M352" s="38">
        <f>SUMIF('Detalle por artículo'!$K$8:$K$592,$D352,'Detalle por artículo'!$I$8:$I$592)</f>
        <v>732</v>
      </c>
      <c r="N352" s="38">
        <f>SUMIF('Detalle por artículo'!$K$8:$K$592,$D352,'Detalle por artículo'!$M$8:$M$592)</f>
        <v>14</v>
      </c>
      <c r="O352" s="39">
        <f t="shared" si="202"/>
        <v>1.8360655737704918</v>
      </c>
      <c r="P352" s="40">
        <f t="shared" si="203"/>
        <v>292.4863387978142</v>
      </c>
      <c r="Q352" s="41">
        <f t="shared" si="204"/>
        <v>0.15</v>
      </c>
      <c r="R352" s="40">
        <f t="shared" si="205"/>
        <v>1.5456000000000001</v>
      </c>
      <c r="S352" s="42">
        <f>IFERROR(SUM($G$8:G352)/$G$6,0)</f>
        <v>0.9669657405427855</v>
      </c>
      <c r="T352" s="43" t="str">
        <f t="shared" si="206"/>
        <v>C</v>
      </c>
      <c r="U352" s="44">
        <v>739</v>
      </c>
      <c r="V352" s="45">
        <f t="shared" si="187"/>
        <v>7</v>
      </c>
      <c r="W352" s="46">
        <v>46247</v>
      </c>
      <c r="X352" s="46">
        <v>46248</v>
      </c>
      <c r="Y352" s="47">
        <v>0</v>
      </c>
      <c r="Z352" s="48">
        <f t="shared" si="207"/>
        <v>0</v>
      </c>
      <c r="AA352" s="49">
        <f t="shared" si="208"/>
        <v>0</v>
      </c>
      <c r="AB352" s="44">
        <v>737</v>
      </c>
      <c r="AC352" s="44">
        <f t="shared" si="209"/>
        <v>429</v>
      </c>
      <c r="AD352" s="44">
        <f t="shared" si="210"/>
        <v>291</v>
      </c>
      <c r="AE352" s="50">
        <f t="shared" si="211"/>
        <v>48</v>
      </c>
      <c r="AF352" s="41">
        <f t="shared" si="212"/>
        <v>0.96</v>
      </c>
      <c r="AG352" s="44">
        <v>2</v>
      </c>
      <c r="AH352" s="44">
        <v>15</v>
      </c>
      <c r="AI352" s="42">
        <f t="shared" si="188"/>
        <v>0.58606557377049184</v>
      </c>
      <c r="AJ352" s="42">
        <f t="shared" si="189"/>
        <v>0.39754098360655737</v>
      </c>
      <c r="AK352" s="40">
        <f t="shared" si="213"/>
        <v>0.78767213114754098</v>
      </c>
      <c r="AL352" s="51">
        <v>0</v>
      </c>
      <c r="AM352" s="52">
        <f t="shared" si="214"/>
        <v>0</v>
      </c>
      <c r="AN352" s="42">
        <f t="shared" si="190"/>
        <v>0</v>
      </c>
      <c r="AO352" s="53">
        <f t="shared" si="191"/>
        <v>-5</v>
      </c>
      <c r="AP352" s="52">
        <f t="shared" si="192"/>
        <v>-9.180327868852459E-3</v>
      </c>
      <c r="AQ352" s="42">
        <f t="shared" si="193"/>
        <v>0.98360655737704916</v>
      </c>
      <c r="AR352" s="46">
        <v>46247</v>
      </c>
      <c r="AS352" s="46">
        <v>46248</v>
      </c>
      <c r="AT352" s="50">
        <f t="shared" si="194"/>
        <v>1</v>
      </c>
      <c r="AU352" s="50">
        <f t="shared" si="215"/>
        <v>294</v>
      </c>
      <c r="AV352" s="50">
        <f t="shared" si="195"/>
        <v>112</v>
      </c>
      <c r="AW352" s="54">
        <f t="shared" si="196"/>
        <v>182</v>
      </c>
    </row>
    <row r="353" spans="1:49" x14ac:dyDescent="0.25">
      <c r="A353" s="33" t="s">
        <v>63</v>
      </c>
      <c r="B353" s="33" t="s">
        <v>288</v>
      </c>
      <c r="C353" s="33" t="s">
        <v>289</v>
      </c>
      <c r="D353" s="33" t="s">
        <v>458</v>
      </c>
      <c r="E353" s="34">
        <f>COUNTIF('Detalle por artículo'!$K$8:$K$592,D353)</f>
        <v>1</v>
      </c>
      <c r="F353" s="35">
        <f t="shared" si="197"/>
        <v>187.5</v>
      </c>
      <c r="G353" s="36">
        <f>SUMIF('Detalle por artículo'!$K$8:$K$592,$D353,'Detalle por artículo'!$E$8:$E$592)</f>
        <v>1.3440000000000001</v>
      </c>
      <c r="H353" s="35">
        <f t="shared" si="198"/>
        <v>1</v>
      </c>
      <c r="I353" s="35">
        <f t="shared" si="199"/>
        <v>2</v>
      </c>
      <c r="J353" s="35">
        <f t="shared" si="200"/>
        <v>4</v>
      </c>
      <c r="K353" s="37">
        <f t="shared" si="201"/>
        <v>4.8000000000000001E-2</v>
      </c>
      <c r="L353" s="36">
        <f>SUMIF('Detalle por artículo'!$K$8:$K$592,$D353,'Detalle por artículo'!$O$8:$O$592)</f>
        <v>252</v>
      </c>
      <c r="M353" s="38">
        <f>SUMIF('Detalle por artículo'!$K$8:$K$592,$D353,'Detalle por artículo'!$I$8:$I$592)</f>
        <v>683</v>
      </c>
      <c r="N353" s="38">
        <f>SUMIF('Detalle por artículo'!$K$8:$K$592,$D353,'Detalle por artículo'!$M$8:$M$592)</f>
        <v>14</v>
      </c>
      <c r="O353" s="39">
        <f t="shared" si="202"/>
        <v>1.9677891654465594</v>
      </c>
      <c r="P353" s="40">
        <f t="shared" si="203"/>
        <v>368.96046852122987</v>
      </c>
      <c r="Q353" s="41">
        <f t="shared" si="204"/>
        <v>0.15</v>
      </c>
      <c r="R353" s="40">
        <f t="shared" si="205"/>
        <v>1.5456000000000001</v>
      </c>
      <c r="S353" s="42">
        <f>IFERROR(SUM($G$8:G353)/$G$6,0)</f>
        <v>0.96745961187151908</v>
      </c>
      <c r="T353" s="43" t="str">
        <f t="shared" si="206"/>
        <v>C</v>
      </c>
      <c r="U353" s="44">
        <v>683</v>
      </c>
      <c r="V353" s="45">
        <f t="shared" si="187"/>
        <v>0</v>
      </c>
      <c r="W353" s="46">
        <v>46217</v>
      </c>
      <c r="X353" s="46">
        <v>46217</v>
      </c>
      <c r="Y353" s="47">
        <v>0</v>
      </c>
      <c r="Z353" s="48">
        <f t="shared" si="207"/>
        <v>0</v>
      </c>
      <c r="AA353" s="49">
        <f t="shared" si="208"/>
        <v>0</v>
      </c>
      <c r="AB353" s="44">
        <v>679</v>
      </c>
      <c r="AC353" s="44">
        <f t="shared" si="209"/>
        <v>519</v>
      </c>
      <c r="AD353" s="44">
        <f t="shared" si="210"/>
        <v>149</v>
      </c>
      <c r="AE353" s="50">
        <f t="shared" si="211"/>
        <v>48</v>
      </c>
      <c r="AF353" s="41">
        <f t="shared" si="212"/>
        <v>0.96</v>
      </c>
      <c r="AG353" s="44">
        <v>1</v>
      </c>
      <c r="AH353" s="44">
        <v>10</v>
      </c>
      <c r="AI353" s="42">
        <f t="shared" si="188"/>
        <v>0.75988286969253294</v>
      </c>
      <c r="AJ353" s="42">
        <f t="shared" si="189"/>
        <v>0.21815519765739386</v>
      </c>
      <c r="AK353" s="40">
        <f t="shared" si="213"/>
        <v>1.0212825768667644</v>
      </c>
      <c r="AL353" s="51">
        <v>0</v>
      </c>
      <c r="AM353" s="52">
        <f t="shared" si="214"/>
        <v>0</v>
      </c>
      <c r="AN353" s="42">
        <f t="shared" si="190"/>
        <v>0</v>
      </c>
      <c r="AO353" s="53">
        <f t="shared" si="191"/>
        <v>4</v>
      </c>
      <c r="AP353" s="52">
        <f t="shared" si="192"/>
        <v>7.8711566617862376E-3</v>
      </c>
      <c r="AQ353" s="42">
        <f t="shared" si="193"/>
        <v>0.97803806734992682</v>
      </c>
      <c r="AR353" s="46">
        <v>46233</v>
      </c>
      <c r="AS353" s="46">
        <v>46234</v>
      </c>
      <c r="AT353" s="50">
        <f t="shared" si="194"/>
        <v>17</v>
      </c>
      <c r="AU353" s="50">
        <f t="shared" si="215"/>
        <v>332</v>
      </c>
      <c r="AV353" s="50">
        <f t="shared" si="195"/>
        <v>133</v>
      </c>
      <c r="AW353" s="54">
        <f t="shared" si="196"/>
        <v>199</v>
      </c>
    </row>
    <row r="354" spans="1:49" x14ac:dyDescent="0.25">
      <c r="A354" s="33" t="s">
        <v>55</v>
      </c>
      <c r="B354" s="33" t="s">
        <v>255</v>
      </c>
      <c r="C354" s="33" t="s">
        <v>132</v>
      </c>
      <c r="D354" s="33" t="s">
        <v>459</v>
      </c>
      <c r="E354" s="34">
        <f>COUNTIF('Detalle por artículo'!$K$8:$K$592,D354)</f>
        <v>1</v>
      </c>
      <c r="F354" s="35">
        <f t="shared" si="197"/>
        <v>230.0595238095238</v>
      </c>
      <c r="G354" s="36">
        <f>SUMIF('Detalle por artículo'!$K$8:$K$592,$D354,'Detalle por artículo'!$E$8:$E$592)</f>
        <v>1.3440000000000001</v>
      </c>
      <c r="H354" s="35">
        <f t="shared" si="198"/>
        <v>1</v>
      </c>
      <c r="I354" s="35">
        <f t="shared" si="199"/>
        <v>2</v>
      </c>
      <c r="J354" s="35">
        <f t="shared" si="200"/>
        <v>4</v>
      </c>
      <c r="K354" s="37">
        <f t="shared" si="201"/>
        <v>4.8000000000000001E-2</v>
      </c>
      <c r="L354" s="36">
        <f>SUMIF('Detalle por artículo'!$K$8:$K$592,$D354,'Detalle por artículo'!$O$8:$O$592)</f>
        <v>309.2</v>
      </c>
      <c r="M354" s="38">
        <f>SUMIF('Detalle por artículo'!$K$8:$K$592,$D354,'Detalle por artículo'!$I$8:$I$592)</f>
        <v>636</v>
      </c>
      <c r="N354" s="38">
        <f>SUMIF('Detalle por artículo'!$K$8:$K$592,$D354,'Detalle por artículo'!$M$8:$M$592)</f>
        <v>14</v>
      </c>
      <c r="O354" s="39">
        <f t="shared" si="202"/>
        <v>2.1132075471698113</v>
      </c>
      <c r="P354" s="40">
        <f t="shared" si="203"/>
        <v>486.1635220125786</v>
      </c>
      <c r="Q354" s="41">
        <f t="shared" si="204"/>
        <v>0.1</v>
      </c>
      <c r="R354" s="40">
        <f t="shared" si="205"/>
        <v>1.4784000000000002</v>
      </c>
      <c r="S354" s="42">
        <f>IFERROR(SUM($G$8:G354)/$G$6,0)</f>
        <v>0.96795348320025276</v>
      </c>
      <c r="T354" s="43" t="str">
        <f t="shared" si="206"/>
        <v>C</v>
      </c>
      <c r="U354" s="44">
        <v>636</v>
      </c>
      <c r="V354" s="45">
        <f t="shared" si="187"/>
        <v>0</v>
      </c>
      <c r="W354" s="46">
        <v>46218</v>
      </c>
      <c r="X354" s="46">
        <v>46218</v>
      </c>
      <c r="Y354" s="47">
        <v>0</v>
      </c>
      <c r="Z354" s="48">
        <f t="shared" si="207"/>
        <v>0</v>
      </c>
      <c r="AA354" s="49">
        <f t="shared" si="208"/>
        <v>0</v>
      </c>
      <c r="AB354" s="44">
        <v>540</v>
      </c>
      <c r="AC354" s="44">
        <f t="shared" si="209"/>
        <v>435</v>
      </c>
      <c r="AD354" s="44">
        <f t="shared" si="210"/>
        <v>91</v>
      </c>
      <c r="AE354" s="50">
        <f t="shared" si="211"/>
        <v>47</v>
      </c>
      <c r="AF354" s="41">
        <f t="shared" si="212"/>
        <v>0.94</v>
      </c>
      <c r="AG354" s="44">
        <v>5</v>
      </c>
      <c r="AH354" s="44">
        <v>9</v>
      </c>
      <c r="AI354" s="42">
        <f t="shared" si="188"/>
        <v>0.68396226415094341</v>
      </c>
      <c r="AJ354" s="42">
        <f t="shared" si="189"/>
        <v>0.1430817610062893</v>
      </c>
      <c r="AK354" s="40">
        <f t="shared" si="213"/>
        <v>0.91924528301886788</v>
      </c>
      <c r="AL354" s="51">
        <v>95</v>
      </c>
      <c r="AM354" s="52">
        <f t="shared" si="214"/>
        <v>0.20075471698113206</v>
      </c>
      <c r="AN354" s="42">
        <f t="shared" si="190"/>
        <v>0.14937106918238993</v>
      </c>
      <c r="AO354" s="53">
        <f t="shared" si="191"/>
        <v>96</v>
      </c>
      <c r="AP354" s="52">
        <f t="shared" si="192"/>
        <v>0.20286792452830191</v>
      </c>
      <c r="AQ354" s="42">
        <f t="shared" si="193"/>
        <v>0.82704402515723274</v>
      </c>
      <c r="AR354" s="46">
        <v>46225</v>
      </c>
      <c r="AS354" s="46">
        <v>46225</v>
      </c>
      <c r="AT354" s="50">
        <f t="shared" si="194"/>
        <v>7</v>
      </c>
      <c r="AU354" s="50">
        <f t="shared" si="215"/>
        <v>369</v>
      </c>
      <c r="AV354" s="50">
        <f t="shared" si="195"/>
        <v>242</v>
      </c>
      <c r="AW354" s="54">
        <f t="shared" si="196"/>
        <v>127</v>
      </c>
    </row>
    <row r="355" spans="1:49" x14ac:dyDescent="0.25">
      <c r="A355" s="33" t="s">
        <v>55</v>
      </c>
      <c r="B355" s="33" t="s">
        <v>255</v>
      </c>
      <c r="C355" s="33" t="s">
        <v>132</v>
      </c>
      <c r="D355" s="33" t="s">
        <v>460</v>
      </c>
      <c r="E355" s="34">
        <f>COUNTIF('Detalle por artículo'!$K$8:$K$592,D355)</f>
        <v>1</v>
      </c>
      <c r="F355" s="35">
        <f t="shared" si="197"/>
        <v>283.63095238095235</v>
      </c>
      <c r="G355" s="36">
        <f>SUMIF('Detalle por artículo'!$K$8:$K$592,$D355,'Detalle por artículo'!$E$8:$E$592)</f>
        <v>1.3440000000000001</v>
      </c>
      <c r="H355" s="35">
        <f t="shared" si="198"/>
        <v>1</v>
      </c>
      <c r="I355" s="35">
        <f t="shared" si="199"/>
        <v>2</v>
      </c>
      <c r="J355" s="35">
        <f t="shared" si="200"/>
        <v>4</v>
      </c>
      <c r="K355" s="37">
        <f t="shared" si="201"/>
        <v>4.8000000000000001E-2</v>
      </c>
      <c r="L355" s="36">
        <f>SUMIF('Detalle por artículo'!$K$8:$K$592,$D355,'Detalle por artículo'!$O$8:$O$592)</f>
        <v>381.2</v>
      </c>
      <c r="M355" s="38">
        <f>SUMIF('Detalle por artículo'!$K$8:$K$592,$D355,'Detalle por artículo'!$I$8:$I$592)</f>
        <v>612</v>
      </c>
      <c r="N355" s="38">
        <f>SUMIF('Detalle por artículo'!$K$8:$K$592,$D355,'Detalle por artículo'!$M$8:$M$592)</f>
        <v>14</v>
      </c>
      <c r="O355" s="39">
        <f t="shared" si="202"/>
        <v>2.1960784313725488</v>
      </c>
      <c r="P355" s="40">
        <f t="shared" si="203"/>
        <v>622.87581699346401</v>
      </c>
      <c r="Q355" s="41">
        <f t="shared" si="204"/>
        <v>0.1</v>
      </c>
      <c r="R355" s="40">
        <f t="shared" si="205"/>
        <v>1.4784000000000002</v>
      </c>
      <c r="S355" s="42">
        <f>IFERROR(SUM($G$8:G355)/$G$6,0)</f>
        <v>0.96844735452898634</v>
      </c>
      <c r="T355" s="43" t="str">
        <f t="shared" si="206"/>
        <v>C</v>
      </c>
      <c r="U355" s="44">
        <v>612</v>
      </c>
      <c r="V355" s="45">
        <f t="shared" si="187"/>
        <v>0</v>
      </c>
      <c r="W355" s="46">
        <v>46218</v>
      </c>
      <c r="X355" s="46">
        <v>46218</v>
      </c>
      <c r="Y355" s="47">
        <v>0</v>
      </c>
      <c r="Z355" s="48">
        <f t="shared" si="207"/>
        <v>0</v>
      </c>
      <c r="AA355" s="49">
        <f t="shared" si="208"/>
        <v>0</v>
      </c>
      <c r="AB355" s="44">
        <v>605</v>
      </c>
      <c r="AC355" s="44">
        <f t="shared" si="209"/>
        <v>412</v>
      </c>
      <c r="AD355" s="44">
        <f t="shared" si="210"/>
        <v>189</v>
      </c>
      <c r="AE355" s="50">
        <f t="shared" si="211"/>
        <v>48</v>
      </c>
      <c r="AF355" s="41">
        <f t="shared" si="212"/>
        <v>0.96</v>
      </c>
      <c r="AG355" s="44">
        <v>0</v>
      </c>
      <c r="AH355" s="44">
        <v>4</v>
      </c>
      <c r="AI355" s="42">
        <f t="shared" si="188"/>
        <v>0.67320261437908502</v>
      </c>
      <c r="AJ355" s="42">
        <f t="shared" si="189"/>
        <v>0.30882352941176472</v>
      </c>
      <c r="AK355" s="40">
        <f t="shared" si="213"/>
        <v>0.90478431372549006</v>
      </c>
      <c r="AL355" s="51">
        <v>7</v>
      </c>
      <c r="AM355" s="52">
        <f t="shared" si="214"/>
        <v>1.5372549019607842E-2</v>
      </c>
      <c r="AN355" s="42">
        <f t="shared" si="190"/>
        <v>1.1437908496732025E-2</v>
      </c>
      <c r="AO355" s="53">
        <f t="shared" si="191"/>
        <v>7</v>
      </c>
      <c r="AP355" s="52">
        <f t="shared" si="192"/>
        <v>1.5372549019607842E-2</v>
      </c>
      <c r="AQ355" s="42">
        <f t="shared" si="193"/>
        <v>0.98202614379084963</v>
      </c>
      <c r="AR355" s="46">
        <v>46225</v>
      </c>
      <c r="AS355" s="46">
        <v>46225</v>
      </c>
      <c r="AT355" s="50">
        <f t="shared" si="194"/>
        <v>7</v>
      </c>
      <c r="AU355" s="50">
        <f t="shared" si="215"/>
        <v>393</v>
      </c>
      <c r="AV355" s="50">
        <f t="shared" si="195"/>
        <v>185</v>
      </c>
      <c r="AW355" s="54">
        <f t="shared" si="196"/>
        <v>208</v>
      </c>
    </row>
    <row r="356" spans="1:49" x14ac:dyDescent="0.25">
      <c r="A356" s="33" t="s">
        <v>55</v>
      </c>
      <c r="B356" s="33" t="s">
        <v>302</v>
      </c>
      <c r="C356" s="33" t="s">
        <v>303</v>
      </c>
      <c r="D356" s="33" t="s">
        <v>461</v>
      </c>
      <c r="E356" s="34">
        <f>COUNTIF('Detalle por artículo'!$K$8:$K$592,D356)</f>
        <v>1</v>
      </c>
      <c r="F356" s="35">
        <f t="shared" si="197"/>
        <v>197.38805970149252</v>
      </c>
      <c r="G356" s="36">
        <f>SUMIF('Detalle por artículo'!$K$8:$K$592,$D356,'Detalle por artículo'!$E$8:$E$592)</f>
        <v>1.34</v>
      </c>
      <c r="H356" s="35">
        <f t="shared" si="198"/>
        <v>1</v>
      </c>
      <c r="I356" s="35">
        <f t="shared" si="199"/>
        <v>2</v>
      </c>
      <c r="J356" s="35">
        <f t="shared" si="200"/>
        <v>4</v>
      </c>
      <c r="K356" s="37">
        <f t="shared" si="201"/>
        <v>4.7857142857142862E-2</v>
      </c>
      <c r="L356" s="36">
        <f>SUMIF('Detalle por artículo'!$K$8:$K$592,$D356,'Detalle por artículo'!$O$8:$O$592)</f>
        <v>264.5</v>
      </c>
      <c r="M356" s="38">
        <f>SUMIF('Detalle por artículo'!$K$8:$K$592,$D356,'Detalle por artículo'!$I$8:$I$592)</f>
        <v>594</v>
      </c>
      <c r="N356" s="38">
        <f>SUMIF('Detalle por artículo'!$K$8:$K$592,$D356,'Detalle por artículo'!$M$8:$M$592)</f>
        <v>14</v>
      </c>
      <c r="O356" s="39">
        <f t="shared" si="202"/>
        <v>2.2558922558922561</v>
      </c>
      <c r="P356" s="40">
        <f t="shared" si="203"/>
        <v>445.28619528619527</v>
      </c>
      <c r="Q356" s="41">
        <f t="shared" si="204"/>
        <v>0.15</v>
      </c>
      <c r="R356" s="40">
        <f t="shared" si="205"/>
        <v>1.5409999999999999</v>
      </c>
      <c r="S356" s="42">
        <f>IFERROR(SUM($G$8:G356)/$G$6,0)</f>
        <v>0.96893975600257498</v>
      </c>
      <c r="T356" s="43" t="str">
        <f t="shared" si="206"/>
        <v>C</v>
      </c>
      <c r="U356" s="44">
        <v>607</v>
      </c>
      <c r="V356" s="45">
        <f t="shared" si="187"/>
        <v>13</v>
      </c>
      <c r="W356" s="46">
        <v>46246</v>
      </c>
      <c r="X356" s="46">
        <v>46246</v>
      </c>
      <c r="Y356" s="47">
        <v>0</v>
      </c>
      <c r="Z356" s="48">
        <f t="shared" si="207"/>
        <v>0</v>
      </c>
      <c r="AA356" s="49">
        <f t="shared" si="208"/>
        <v>0</v>
      </c>
      <c r="AB356" s="44">
        <v>595</v>
      </c>
      <c r="AC356" s="44">
        <f t="shared" si="209"/>
        <v>454</v>
      </c>
      <c r="AD356" s="44">
        <f t="shared" si="210"/>
        <v>127</v>
      </c>
      <c r="AE356" s="50">
        <f t="shared" si="211"/>
        <v>48</v>
      </c>
      <c r="AF356" s="41">
        <f t="shared" si="212"/>
        <v>0.96</v>
      </c>
      <c r="AG356" s="44">
        <v>6</v>
      </c>
      <c r="AH356" s="44">
        <v>8</v>
      </c>
      <c r="AI356" s="42">
        <f t="shared" si="188"/>
        <v>0.76430976430976427</v>
      </c>
      <c r="AJ356" s="42">
        <f t="shared" si="189"/>
        <v>0.2138047138047138</v>
      </c>
      <c r="AK356" s="40">
        <f t="shared" si="213"/>
        <v>1.0241750841750843</v>
      </c>
      <c r="AL356" s="51">
        <v>-2</v>
      </c>
      <c r="AM356" s="52">
        <f t="shared" si="214"/>
        <v>-4.5117845117845119E-3</v>
      </c>
      <c r="AN356" s="42">
        <f t="shared" si="190"/>
        <v>-3.2948929159802307E-3</v>
      </c>
      <c r="AO356" s="53">
        <f t="shared" si="191"/>
        <v>-1</v>
      </c>
      <c r="AP356" s="52">
        <f t="shared" si="192"/>
        <v>-2.255892255892256E-3</v>
      </c>
      <c r="AQ356" s="42">
        <f t="shared" si="193"/>
        <v>0.97811447811447816</v>
      </c>
      <c r="AR356" s="46">
        <v>46254</v>
      </c>
      <c r="AS356" s="46">
        <v>46254</v>
      </c>
      <c r="AT356" s="50">
        <f t="shared" si="194"/>
        <v>8</v>
      </c>
      <c r="AU356" s="50">
        <f t="shared" si="215"/>
        <v>402</v>
      </c>
      <c r="AV356" s="50">
        <f t="shared" si="195"/>
        <v>196</v>
      </c>
      <c r="AW356" s="54">
        <f t="shared" si="196"/>
        <v>206</v>
      </c>
    </row>
    <row r="357" spans="1:49" x14ac:dyDescent="0.25">
      <c r="A357" s="33" t="s">
        <v>55</v>
      </c>
      <c r="B357" s="33" t="s">
        <v>314</v>
      </c>
      <c r="C357" s="33" t="s">
        <v>315</v>
      </c>
      <c r="D357" s="33" t="s">
        <v>462</v>
      </c>
      <c r="E357" s="34">
        <f>COUNTIF('Detalle por artículo'!$K$8:$K$592,D357)</f>
        <v>1</v>
      </c>
      <c r="F357" s="35">
        <f t="shared" si="197"/>
        <v>153.23076923076923</v>
      </c>
      <c r="G357" s="36">
        <f>SUMIF('Detalle por artículo'!$K$8:$K$592,$D357,'Detalle por artículo'!$E$8:$E$592)</f>
        <v>1.3</v>
      </c>
      <c r="H357" s="35">
        <f t="shared" si="198"/>
        <v>1</v>
      </c>
      <c r="I357" s="35">
        <f t="shared" si="199"/>
        <v>2</v>
      </c>
      <c r="J357" s="35">
        <f t="shared" si="200"/>
        <v>4</v>
      </c>
      <c r="K357" s="37">
        <f t="shared" si="201"/>
        <v>4.642857142857143E-2</v>
      </c>
      <c r="L357" s="36">
        <f>SUMIF('Detalle por artículo'!$K$8:$K$592,$D357,'Detalle por artículo'!$O$8:$O$592)</f>
        <v>199.20000000000002</v>
      </c>
      <c r="M357" s="38">
        <f>SUMIF('Detalle por artículo'!$K$8:$K$592,$D357,'Detalle por artículo'!$I$8:$I$592)</f>
        <v>885</v>
      </c>
      <c r="N357" s="38">
        <f>SUMIF('Detalle por artículo'!$K$8:$K$592,$D357,'Detalle por artículo'!$M$8:$M$592)</f>
        <v>13</v>
      </c>
      <c r="O357" s="39">
        <f t="shared" si="202"/>
        <v>1.4689265536723164</v>
      </c>
      <c r="P357" s="40">
        <f t="shared" si="203"/>
        <v>225.08474576271189</v>
      </c>
      <c r="Q357" s="41">
        <f t="shared" si="204"/>
        <v>0.15</v>
      </c>
      <c r="R357" s="40">
        <f t="shared" si="205"/>
        <v>1.4949999999999999</v>
      </c>
      <c r="S357" s="42">
        <f>IFERROR(SUM($G$8:G357)/$G$6,0)</f>
        <v>0.9694174589247132</v>
      </c>
      <c r="T357" s="43" t="str">
        <f t="shared" si="206"/>
        <v>C</v>
      </c>
      <c r="U357" s="44">
        <v>885</v>
      </c>
      <c r="V357" s="45">
        <f t="shared" si="187"/>
        <v>0</v>
      </c>
      <c r="W357" s="46">
        <v>46252</v>
      </c>
      <c r="X357" s="46">
        <v>46252</v>
      </c>
      <c r="Y357" s="47">
        <v>0</v>
      </c>
      <c r="Z357" s="48">
        <f t="shared" si="207"/>
        <v>0</v>
      </c>
      <c r="AA357" s="49">
        <f t="shared" si="208"/>
        <v>0</v>
      </c>
      <c r="AB357" s="44">
        <v>691</v>
      </c>
      <c r="AC357" s="44">
        <f t="shared" si="209"/>
        <v>483</v>
      </c>
      <c r="AD357" s="44">
        <f t="shared" si="210"/>
        <v>180</v>
      </c>
      <c r="AE357" s="50">
        <f t="shared" si="211"/>
        <v>49</v>
      </c>
      <c r="AF357" s="41">
        <f t="shared" si="212"/>
        <v>0.98</v>
      </c>
      <c r="AG357" s="44">
        <v>6</v>
      </c>
      <c r="AH357" s="44">
        <v>22</v>
      </c>
      <c r="AI357" s="42">
        <f t="shared" si="188"/>
        <v>0.54576271186440672</v>
      </c>
      <c r="AJ357" s="42">
        <f t="shared" si="189"/>
        <v>0.20338983050847459</v>
      </c>
      <c r="AK357" s="40">
        <f t="shared" si="213"/>
        <v>0.70949152542372884</v>
      </c>
      <c r="AL357" s="51">
        <v>194</v>
      </c>
      <c r="AM357" s="52">
        <f t="shared" si="214"/>
        <v>0.28497175141242942</v>
      </c>
      <c r="AN357" s="42">
        <f t="shared" si="190"/>
        <v>0.21920903954802259</v>
      </c>
      <c r="AO357" s="53">
        <f t="shared" si="191"/>
        <v>194</v>
      </c>
      <c r="AP357" s="52">
        <f t="shared" si="192"/>
        <v>0.28497175141242942</v>
      </c>
      <c r="AQ357" s="42">
        <f t="shared" si="193"/>
        <v>0.74915254237288131</v>
      </c>
      <c r="AR357" s="46">
        <v>46254</v>
      </c>
      <c r="AS357" s="46">
        <v>46255</v>
      </c>
      <c r="AT357" s="50">
        <f t="shared" si="194"/>
        <v>3</v>
      </c>
      <c r="AU357" s="50">
        <f t="shared" si="215"/>
        <v>201</v>
      </c>
      <c r="AV357" s="50">
        <f t="shared" si="195"/>
        <v>125</v>
      </c>
      <c r="AW357" s="54">
        <f t="shared" si="196"/>
        <v>76</v>
      </c>
    </row>
    <row r="358" spans="1:49" x14ac:dyDescent="0.25">
      <c r="A358" s="33" t="s">
        <v>55</v>
      </c>
      <c r="B358" s="33" t="s">
        <v>255</v>
      </c>
      <c r="C358" s="33" t="s">
        <v>132</v>
      </c>
      <c r="D358" s="33" t="s">
        <v>463</v>
      </c>
      <c r="E358" s="34">
        <f>COUNTIF('Detalle por artículo'!$K$8:$K$592,D358)</f>
        <v>1</v>
      </c>
      <c r="F358" s="35">
        <f t="shared" si="197"/>
        <v>228.84615384615384</v>
      </c>
      <c r="G358" s="36">
        <f>SUMIF('Detalle por artículo'!$K$8:$K$592,$D358,'Detalle por artículo'!$E$8:$E$592)</f>
        <v>1.3</v>
      </c>
      <c r="H358" s="35">
        <f t="shared" si="198"/>
        <v>1</v>
      </c>
      <c r="I358" s="35">
        <f t="shared" si="199"/>
        <v>2</v>
      </c>
      <c r="J358" s="35">
        <f t="shared" si="200"/>
        <v>4</v>
      </c>
      <c r="K358" s="37">
        <f t="shared" si="201"/>
        <v>4.642857142857143E-2</v>
      </c>
      <c r="L358" s="36">
        <f>SUMIF('Detalle por artículo'!$K$8:$K$592,$D358,'Detalle por artículo'!$O$8:$O$592)</f>
        <v>297.5</v>
      </c>
      <c r="M358" s="38">
        <f>SUMIF('Detalle por artículo'!$K$8:$K$592,$D358,'Detalle por artículo'!$I$8:$I$592)</f>
        <v>684</v>
      </c>
      <c r="N358" s="38">
        <f>SUMIF('Detalle por artículo'!$K$8:$K$592,$D358,'Detalle por artículo'!$M$8:$M$592)</f>
        <v>18</v>
      </c>
      <c r="O358" s="39">
        <f t="shared" si="202"/>
        <v>1.9005847953216375</v>
      </c>
      <c r="P358" s="40">
        <f t="shared" si="203"/>
        <v>434.94152046783626</v>
      </c>
      <c r="Q358" s="41">
        <f t="shared" si="204"/>
        <v>0.1</v>
      </c>
      <c r="R358" s="40">
        <f t="shared" si="205"/>
        <v>1.4300000000000002</v>
      </c>
      <c r="S358" s="42">
        <f>IFERROR(SUM($G$8:G358)/$G$6,0)</f>
        <v>0.96989516184685143</v>
      </c>
      <c r="T358" s="43" t="str">
        <f t="shared" si="206"/>
        <v>C</v>
      </c>
      <c r="U358" s="44">
        <v>684</v>
      </c>
      <c r="V358" s="45">
        <f t="shared" si="187"/>
        <v>0</v>
      </c>
      <c r="W358" s="46">
        <v>46218</v>
      </c>
      <c r="X358" s="46">
        <v>46218</v>
      </c>
      <c r="Y358" s="47">
        <v>0</v>
      </c>
      <c r="Z358" s="48">
        <f t="shared" si="207"/>
        <v>0</v>
      </c>
      <c r="AA358" s="49">
        <f t="shared" si="208"/>
        <v>0</v>
      </c>
      <c r="AB358" s="44">
        <v>579</v>
      </c>
      <c r="AC358" s="44">
        <f t="shared" si="209"/>
        <v>398</v>
      </c>
      <c r="AD358" s="44">
        <f t="shared" si="210"/>
        <v>168</v>
      </c>
      <c r="AE358" s="50">
        <f t="shared" si="211"/>
        <v>47</v>
      </c>
      <c r="AF358" s="41">
        <f t="shared" si="212"/>
        <v>0.94</v>
      </c>
      <c r="AG358" s="44">
        <v>5</v>
      </c>
      <c r="AH358" s="44">
        <v>8</v>
      </c>
      <c r="AI358" s="42">
        <f t="shared" si="188"/>
        <v>0.58187134502923976</v>
      </c>
      <c r="AJ358" s="42">
        <f t="shared" si="189"/>
        <v>0.24561403508771928</v>
      </c>
      <c r="AK358" s="40">
        <f t="shared" si="213"/>
        <v>0.75643274853801179</v>
      </c>
      <c r="AL358" s="51">
        <v>105</v>
      </c>
      <c r="AM358" s="52">
        <f t="shared" si="214"/>
        <v>0.19956140350877194</v>
      </c>
      <c r="AN358" s="42">
        <f t="shared" si="190"/>
        <v>0.15350877192982457</v>
      </c>
      <c r="AO358" s="53">
        <f t="shared" si="191"/>
        <v>105</v>
      </c>
      <c r="AP358" s="52">
        <f t="shared" si="192"/>
        <v>0.19956140350877194</v>
      </c>
      <c r="AQ358" s="42">
        <f t="shared" si="193"/>
        <v>0.82748538011695905</v>
      </c>
      <c r="AR358" s="46">
        <v>46225</v>
      </c>
      <c r="AS358" s="46">
        <v>46225</v>
      </c>
      <c r="AT358" s="50">
        <f t="shared" si="194"/>
        <v>7</v>
      </c>
      <c r="AU358" s="50">
        <f t="shared" si="215"/>
        <v>330</v>
      </c>
      <c r="AV358" s="50">
        <f t="shared" si="195"/>
        <v>217</v>
      </c>
      <c r="AW358" s="54">
        <f t="shared" si="196"/>
        <v>113</v>
      </c>
    </row>
    <row r="359" spans="1:49" x14ac:dyDescent="0.25">
      <c r="A359" s="33" t="s">
        <v>55</v>
      </c>
      <c r="B359" s="33" t="s">
        <v>329</v>
      </c>
      <c r="C359" s="33" t="s">
        <v>445</v>
      </c>
      <c r="D359" s="33" t="s">
        <v>464</v>
      </c>
      <c r="E359" s="34">
        <f>COUNTIF('Detalle por artículo'!$K$8:$K$592,D359)</f>
        <v>1</v>
      </c>
      <c r="F359" s="35">
        <f t="shared" si="197"/>
        <v>253.43999999999997</v>
      </c>
      <c r="G359" s="36">
        <f>SUMIF('Detalle por artículo'!$K$8:$K$592,$D359,'Detalle por artículo'!$E$8:$E$592)</f>
        <v>1.25</v>
      </c>
      <c r="H359" s="35">
        <f t="shared" si="198"/>
        <v>1</v>
      </c>
      <c r="I359" s="35">
        <f t="shared" si="199"/>
        <v>2</v>
      </c>
      <c r="J359" s="35">
        <f t="shared" si="200"/>
        <v>4</v>
      </c>
      <c r="K359" s="37">
        <f t="shared" si="201"/>
        <v>4.4642857142857144E-2</v>
      </c>
      <c r="L359" s="36">
        <f>SUMIF('Detalle por artículo'!$K$8:$K$592,$D359,'Detalle por artículo'!$O$8:$O$592)</f>
        <v>316.79999999999995</v>
      </c>
      <c r="M359" s="38">
        <f>SUMIF('Detalle por artículo'!$K$8:$K$592,$D359,'Detalle por artículo'!$I$8:$I$592)</f>
        <v>664</v>
      </c>
      <c r="N359" s="38">
        <f>SUMIF('Detalle por artículo'!$K$8:$K$592,$D359,'Detalle por artículo'!$M$8:$M$592)</f>
        <v>13</v>
      </c>
      <c r="O359" s="39">
        <f t="shared" si="202"/>
        <v>1.8825301204819278</v>
      </c>
      <c r="P359" s="40">
        <f t="shared" si="203"/>
        <v>477.10843373493964</v>
      </c>
      <c r="Q359" s="41">
        <f t="shared" si="204"/>
        <v>0.1</v>
      </c>
      <c r="R359" s="40">
        <f t="shared" si="205"/>
        <v>1.375</v>
      </c>
      <c r="S359" s="42">
        <f>IFERROR(SUM($G$8:G359)/$G$6,0)</f>
        <v>0.97035449157967657</v>
      </c>
      <c r="T359" s="43" t="str">
        <f t="shared" si="206"/>
        <v>C</v>
      </c>
      <c r="U359" s="44">
        <v>664</v>
      </c>
      <c r="V359" s="45">
        <f t="shared" si="187"/>
        <v>0</v>
      </c>
      <c r="W359" s="46">
        <v>46289</v>
      </c>
      <c r="X359" s="46">
        <v>46289</v>
      </c>
      <c r="Y359" s="47">
        <v>0</v>
      </c>
      <c r="Z359" s="48">
        <f t="shared" si="207"/>
        <v>0</v>
      </c>
      <c r="AA359" s="49">
        <f t="shared" si="208"/>
        <v>0</v>
      </c>
      <c r="AB359" s="44">
        <v>341</v>
      </c>
      <c r="AC359" s="44">
        <f t="shared" si="209"/>
        <v>327</v>
      </c>
      <c r="AD359" s="44">
        <f t="shared" si="210"/>
        <v>12</v>
      </c>
      <c r="AE359" s="50">
        <f t="shared" si="211"/>
        <v>43</v>
      </c>
      <c r="AF359" s="41">
        <f t="shared" si="212"/>
        <v>0.86</v>
      </c>
      <c r="AG359" s="44">
        <v>2</v>
      </c>
      <c r="AH359" s="44">
        <v>0</v>
      </c>
      <c r="AI359" s="42">
        <f t="shared" si="188"/>
        <v>0.49246987951807231</v>
      </c>
      <c r="AJ359" s="42">
        <f t="shared" si="189"/>
        <v>1.8072289156626505E-2</v>
      </c>
      <c r="AK359" s="40">
        <f t="shared" si="213"/>
        <v>0.61558734939759041</v>
      </c>
      <c r="AL359" s="51">
        <v>323</v>
      </c>
      <c r="AM359" s="52">
        <f t="shared" si="214"/>
        <v>0.60805722891566272</v>
      </c>
      <c r="AN359" s="42">
        <f t="shared" si="190"/>
        <v>0.48644578313253012</v>
      </c>
      <c r="AO359" s="53">
        <f t="shared" si="191"/>
        <v>323</v>
      </c>
      <c r="AP359" s="52">
        <f t="shared" si="192"/>
        <v>0.60805722891566272</v>
      </c>
      <c r="AQ359" s="42">
        <f t="shared" si="193"/>
        <v>0.51054216867469882</v>
      </c>
      <c r="AR359" s="46">
        <v>46292</v>
      </c>
      <c r="AS359" s="46">
        <v>46293</v>
      </c>
      <c r="AT359" s="50">
        <f t="shared" si="194"/>
        <v>4</v>
      </c>
      <c r="AU359" s="50">
        <f t="shared" si="215"/>
        <v>348</v>
      </c>
      <c r="AV359" s="50">
        <f t="shared" si="195"/>
        <v>334</v>
      </c>
      <c r="AW359" s="54">
        <f t="shared" si="196"/>
        <v>14</v>
      </c>
    </row>
    <row r="360" spans="1:49" x14ac:dyDescent="0.25">
      <c r="A360" s="33" t="s">
        <v>55</v>
      </c>
      <c r="B360" s="33" t="s">
        <v>329</v>
      </c>
      <c r="C360" s="33" t="s">
        <v>445</v>
      </c>
      <c r="D360" s="33" t="s">
        <v>465</v>
      </c>
      <c r="E360" s="34">
        <f>COUNTIF('Detalle por artículo'!$K$8:$K$592,D360)</f>
        <v>1</v>
      </c>
      <c r="F360" s="35">
        <f t="shared" si="197"/>
        <v>155.20833333333334</v>
      </c>
      <c r="G360" s="36">
        <f>SUMIF('Detalle por artículo'!$K$8:$K$592,$D360,'Detalle por artículo'!$E$8:$E$592)</f>
        <v>1.248</v>
      </c>
      <c r="H360" s="35">
        <f t="shared" si="198"/>
        <v>1</v>
      </c>
      <c r="I360" s="35">
        <f t="shared" si="199"/>
        <v>2</v>
      </c>
      <c r="J360" s="35">
        <f t="shared" si="200"/>
        <v>4</v>
      </c>
      <c r="K360" s="37">
        <f t="shared" si="201"/>
        <v>4.4571428571428574E-2</v>
      </c>
      <c r="L360" s="36">
        <f>SUMIF('Detalle por artículo'!$K$8:$K$592,$D360,'Detalle por artículo'!$O$8:$O$592)</f>
        <v>193.70000000000002</v>
      </c>
      <c r="M360" s="38">
        <f>SUMIF('Detalle por artículo'!$K$8:$K$592,$D360,'Detalle por artículo'!$I$8:$I$592)</f>
        <v>777</v>
      </c>
      <c r="N360" s="38">
        <f>SUMIF('Detalle por artículo'!$K$8:$K$592,$D360,'Detalle por artículo'!$M$8:$M$592)</f>
        <v>13</v>
      </c>
      <c r="O360" s="39">
        <f t="shared" si="202"/>
        <v>1.6061776061776063</v>
      </c>
      <c r="P360" s="40">
        <f t="shared" si="203"/>
        <v>249.29214929214933</v>
      </c>
      <c r="Q360" s="41">
        <f t="shared" si="204"/>
        <v>0.15</v>
      </c>
      <c r="R360" s="40">
        <f t="shared" si="205"/>
        <v>1.4351999999999998</v>
      </c>
      <c r="S360" s="42">
        <f>IFERROR(SUM($G$8:G360)/$G$6,0)</f>
        <v>0.97081308638492925</v>
      </c>
      <c r="T360" s="43" t="str">
        <f t="shared" si="206"/>
        <v>C</v>
      </c>
      <c r="U360" s="44">
        <v>777</v>
      </c>
      <c r="V360" s="45">
        <f t="shared" si="187"/>
        <v>0</v>
      </c>
      <c r="W360" s="46">
        <v>46219</v>
      </c>
      <c r="X360" s="46">
        <v>46219</v>
      </c>
      <c r="Y360" s="47">
        <v>0</v>
      </c>
      <c r="Z360" s="48">
        <f t="shared" si="207"/>
        <v>0</v>
      </c>
      <c r="AA360" s="49">
        <f t="shared" si="208"/>
        <v>0</v>
      </c>
      <c r="AB360" s="44">
        <v>533</v>
      </c>
      <c r="AC360" s="44">
        <f t="shared" si="209"/>
        <v>390</v>
      </c>
      <c r="AD360" s="44">
        <f t="shared" si="210"/>
        <v>132</v>
      </c>
      <c r="AE360" s="50">
        <f t="shared" si="211"/>
        <v>47</v>
      </c>
      <c r="AF360" s="41">
        <f t="shared" si="212"/>
        <v>0.94</v>
      </c>
      <c r="AG360" s="44">
        <v>3</v>
      </c>
      <c r="AH360" s="44">
        <v>8</v>
      </c>
      <c r="AI360" s="42">
        <f t="shared" si="188"/>
        <v>0.50193050193050193</v>
      </c>
      <c r="AJ360" s="42">
        <f t="shared" si="189"/>
        <v>0.16988416988416988</v>
      </c>
      <c r="AK360" s="40">
        <f t="shared" si="213"/>
        <v>0.62640926640926653</v>
      </c>
      <c r="AL360" s="51">
        <v>244</v>
      </c>
      <c r="AM360" s="52">
        <f t="shared" si="214"/>
        <v>0.39190733590733595</v>
      </c>
      <c r="AN360" s="42">
        <f t="shared" si="190"/>
        <v>0.31402831402831405</v>
      </c>
      <c r="AO360" s="53">
        <f t="shared" si="191"/>
        <v>244</v>
      </c>
      <c r="AP360" s="52">
        <f t="shared" si="192"/>
        <v>0.39190733590733595</v>
      </c>
      <c r="AQ360" s="42">
        <f t="shared" si="193"/>
        <v>0.6718146718146718</v>
      </c>
      <c r="AR360" s="46">
        <v>46225</v>
      </c>
      <c r="AS360" s="46">
        <v>46225</v>
      </c>
      <c r="AT360" s="50">
        <f t="shared" si="194"/>
        <v>6</v>
      </c>
      <c r="AU360" s="50">
        <f t="shared" si="215"/>
        <v>258</v>
      </c>
      <c r="AV360" s="50">
        <f t="shared" si="195"/>
        <v>250</v>
      </c>
      <c r="AW360" s="54">
        <f t="shared" si="196"/>
        <v>8</v>
      </c>
    </row>
    <row r="361" spans="1:49" x14ac:dyDescent="0.25">
      <c r="A361" s="33" t="s">
        <v>63</v>
      </c>
      <c r="B361" s="33" t="s">
        <v>263</v>
      </c>
      <c r="C361" s="33" t="s">
        <v>264</v>
      </c>
      <c r="D361" s="33" t="s">
        <v>466</v>
      </c>
      <c r="E361" s="34">
        <f>COUNTIF('Detalle por artículo'!$K$8:$K$592,D361)</f>
        <v>1</v>
      </c>
      <c r="F361" s="35">
        <f t="shared" si="197"/>
        <v>226.36217948717947</v>
      </c>
      <c r="G361" s="36">
        <f>SUMIF('Detalle por artículo'!$K$8:$K$592,$D361,'Detalle por artículo'!$E$8:$E$592)</f>
        <v>1.248</v>
      </c>
      <c r="H361" s="35">
        <f t="shared" si="198"/>
        <v>1</v>
      </c>
      <c r="I361" s="35">
        <f t="shared" si="199"/>
        <v>2</v>
      </c>
      <c r="J361" s="35">
        <f t="shared" si="200"/>
        <v>4</v>
      </c>
      <c r="K361" s="37">
        <f t="shared" si="201"/>
        <v>4.4571428571428574E-2</v>
      </c>
      <c r="L361" s="36">
        <f>SUMIF('Detalle por artículo'!$K$8:$K$592,$D361,'Detalle por artículo'!$O$8:$O$592)</f>
        <v>282.5</v>
      </c>
      <c r="M361" s="38">
        <f>SUMIF('Detalle por artículo'!$K$8:$K$592,$D361,'Detalle por artículo'!$I$8:$I$592)</f>
        <v>917</v>
      </c>
      <c r="N361" s="38">
        <f>SUMIF('Detalle por artículo'!$K$8:$K$592,$D361,'Detalle por artículo'!$M$8:$M$592)</f>
        <v>13</v>
      </c>
      <c r="O361" s="39">
        <f t="shared" si="202"/>
        <v>1.3609596510359869</v>
      </c>
      <c r="P361" s="40">
        <f t="shared" si="203"/>
        <v>308.0697928026172</v>
      </c>
      <c r="Q361" s="41">
        <f t="shared" si="204"/>
        <v>0.1</v>
      </c>
      <c r="R361" s="40">
        <f t="shared" si="205"/>
        <v>1.3728</v>
      </c>
      <c r="S361" s="42">
        <f>IFERROR(SUM($G$8:G361)/$G$6,0)</f>
        <v>0.97127168119018192</v>
      </c>
      <c r="T361" s="43" t="str">
        <f t="shared" si="206"/>
        <v>C</v>
      </c>
      <c r="U361" s="44">
        <v>917</v>
      </c>
      <c r="V361" s="45">
        <f t="shared" si="187"/>
        <v>0</v>
      </c>
      <c r="W361" s="46">
        <v>46233</v>
      </c>
      <c r="X361" s="46">
        <v>46233</v>
      </c>
      <c r="Y361" s="47">
        <v>0</v>
      </c>
      <c r="Z361" s="48">
        <f t="shared" si="207"/>
        <v>0</v>
      </c>
      <c r="AA361" s="49">
        <f t="shared" si="208"/>
        <v>0</v>
      </c>
      <c r="AB361" s="44">
        <v>787</v>
      </c>
      <c r="AC361" s="44">
        <f t="shared" si="209"/>
        <v>596</v>
      </c>
      <c r="AD361" s="44">
        <f t="shared" si="210"/>
        <v>177</v>
      </c>
      <c r="AE361" s="50">
        <f t="shared" si="211"/>
        <v>48</v>
      </c>
      <c r="AF361" s="41">
        <f t="shared" si="212"/>
        <v>0.96</v>
      </c>
      <c r="AG361" s="44">
        <v>3</v>
      </c>
      <c r="AH361" s="44">
        <v>11</v>
      </c>
      <c r="AI361" s="42">
        <f t="shared" si="188"/>
        <v>0.64994547437295525</v>
      </c>
      <c r="AJ361" s="42">
        <f t="shared" si="189"/>
        <v>0.193020719738277</v>
      </c>
      <c r="AK361" s="40">
        <f t="shared" si="213"/>
        <v>0.81113195201744814</v>
      </c>
      <c r="AL361" s="51">
        <v>130</v>
      </c>
      <c r="AM361" s="52">
        <f t="shared" si="214"/>
        <v>0.1769247546346783</v>
      </c>
      <c r="AN361" s="42">
        <f t="shared" si="190"/>
        <v>0.14176663031624864</v>
      </c>
      <c r="AO361" s="53">
        <f t="shared" si="191"/>
        <v>130</v>
      </c>
      <c r="AP361" s="52">
        <f t="shared" si="192"/>
        <v>0.1769247546346783</v>
      </c>
      <c r="AQ361" s="42">
        <f t="shared" si="193"/>
        <v>0.8429661941112323</v>
      </c>
      <c r="AR361" s="46">
        <v>46238</v>
      </c>
      <c r="AS361" s="46">
        <v>46238</v>
      </c>
      <c r="AT361" s="50">
        <f t="shared" si="194"/>
        <v>5</v>
      </c>
      <c r="AU361" s="50">
        <f t="shared" si="215"/>
        <v>192</v>
      </c>
      <c r="AV361" s="50">
        <f t="shared" si="195"/>
        <v>99</v>
      </c>
      <c r="AW361" s="54">
        <f t="shared" si="196"/>
        <v>93</v>
      </c>
    </row>
    <row r="362" spans="1:49" x14ac:dyDescent="0.25">
      <c r="A362" s="33" t="s">
        <v>63</v>
      </c>
      <c r="B362" s="33" t="s">
        <v>263</v>
      </c>
      <c r="C362" s="33" t="s">
        <v>264</v>
      </c>
      <c r="D362" s="33" t="s">
        <v>467</v>
      </c>
      <c r="E362" s="34">
        <f>COUNTIF('Detalle por artículo'!$K$8:$K$592,D362)</f>
        <v>1</v>
      </c>
      <c r="F362" s="35">
        <f t="shared" si="197"/>
        <v>209.85576923076923</v>
      </c>
      <c r="G362" s="36">
        <f>SUMIF('Detalle por artículo'!$K$8:$K$592,$D362,'Detalle por artículo'!$E$8:$E$592)</f>
        <v>1.248</v>
      </c>
      <c r="H362" s="35">
        <f t="shared" si="198"/>
        <v>1</v>
      </c>
      <c r="I362" s="35">
        <f t="shared" si="199"/>
        <v>2</v>
      </c>
      <c r="J362" s="35">
        <f t="shared" si="200"/>
        <v>4</v>
      </c>
      <c r="K362" s="37">
        <f t="shared" si="201"/>
        <v>4.4571428571428574E-2</v>
      </c>
      <c r="L362" s="36">
        <f>SUMIF('Detalle por artículo'!$K$8:$K$592,$D362,'Detalle por artículo'!$O$8:$O$592)</f>
        <v>261.89999999999998</v>
      </c>
      <c r="M362" s="38">
        <f>SUMIF('Detalle por artículo'!$K$8:$K$592,$D362,'Detalle por artículo'!$I$8:$I$592)</f>
        <v>871</v>
      </c>
      <c r="N362" s="38">
        <f>SUMIF('Detalle por artículo'!$K$8:$K$592,$D362,'Detalle por artículo'!$M$8:$M$592)</f>
        <v>13</v>
      </c>
      <c r="O362" s="39">
        <f t="shared" si="202"/>
        <v>1.4328358208955225</v>
      </c>
      <c r="P362" s="40">
        <f t="shared" si="203"/>
        <v>300.68886337543051</v>
      </c>
      <c r="Q362" s="41">
        <f t="shared" si="204"/>
        <v>0.1</v>
      </c>
      <c r="R362" s="40">
        <f t="shared" si="205"/>
        <v>1.3728</v>
      </c>
      <c r="S362" s="42">
        <f>IFERROR(SUM($G$8:G362)/$G$6,0)</f>
        <v>0.9717302759954346</v>
      </c>
      <c r="T362" s="43" t="str">
        <f t="shared" si="206"/>
        <v>C</v>
      </c>
      <c r="U362" s="44">
        <v>871</v>
      </c>
      <c r="V362" s="45">
        <f t="shared" si="187"/>
        <v>0</v>
      </c>
      <c r="W362" s="46">
        <v>46233</v>
      </c>
      <c r="X362" s="46">
        <v>46233</v>
      </c>
      <c r="Y362" s="47">
        <v>0</v>
      </c>
      <c r="Z362" s="48">
        <f t="shared" si="207"/>
        <v>0</v>
      </c>
      <c r="AA362" s="49">
        <f t="shared" si="208"/>
        <v>0</v>
      </c>
      <c r="AB362" s="44">
        <v>820</v>
      </c>
      <c r="AC362" s="44">
        <f t="shared" si="209"/>
        <v>601</v>
      </c>
      <c r="AD362" s="44">
        <f t="shared" si="210"/>
        <v>202</v>
      </c>
      <c r="AE362" s="50">
        <f t="shared" si="211"/>
        <v>49</v>
      </c>
      <c r="AF362" s="41">
        <f t="shared" si="212"/>
        <v>0.98</v>
      </c>
      <c r="AG362" s="44">
        <v>6</v>
      </c>
      <c r="AH362" s="44">
        <v>11</v>
      </c>
      <c r="AI362" s="42">
        <f t="shared" si="188"/>
        <v>0.6900114810562572</v>
      </c>
      <c r="AJ362" s="42">
        <f t="shared" si="189"/>
        <v>0.23191733639494833</v>
      </c>
      <c r="AK362" s="40">
        <f t="shared" si="213"/>
        <v>0.86113432835820902</v>
      </c>
      <c r="AL362" s="51">
        <v>50</v>
      </c>
      <c r="AM362" s="52">
        <f t="shared" si="214"/>
        <v>7.1641791044776124E-2</v>
      </c>
      <c r="AN362" s="42">
        <f t="shared" si="190"/>
        <v>5.7405281285878303E-2</v>
      </c>
      <c r="AO362" s="53">
        <f t="shared" si="191"/>
        <v>51</v>
      </c>
      <c r="AP362" s="52">
        <f t="shared" si="192"/>
        <v>7.3074626865671649E-2</v>
      </c>
      <c r="AQ362" s="42">
        <f t="shared" si="193"/>
        <v>0.92192881745120547</v>
      </c>
      <c r="AR362" s="46">
        <v>46238</v>
      </c>
      <c r="AS362" s="46">
        <v>46238</v>
      </c>
      <c r="AT362" s="50">
        <f t="shared" si="194"/>
        <v>5</v>
      </c>
      <c r="AU362" s="50">
        <f t="shared" si="215"/>
        <v>206</v>
      </c>
      <c r="AV362" s="50">
        <f t="shared" si="195"/>
        <v>92</v>
      </c>
      <c r="AW362" s="54">
        <f t="shared" si="196"/>
        <v>114</v>
      </c>
    </row>
    <row r="363" spans="1:49" x14ac:dyDescent="0.25">
      <c r="A363" s="33" t="s">
        <v>55</v>
      </c>
      <c r="B363" s="33" t="s">
        <v>314</v>
      </c>
      <c r="C363" s="33" t="s">
        <v>315</v>
      </c>
      <c r="D363" s="33" t="s">
        <v>468</v>
      </c>
      <c r="E363" s="34">
        <f>COUNTIF('Detalle por artículo'!$K$8:$K$592,D363)</f>
        <v>1</v>
      </c>
      <c r="F363" s="35">
        <f t="shared" si="197"/>
        <v>170.50653594771242</v>
      </c>
      <c r="G363" s="36">
        <f>SUMIF('Detalle por artículo'!$K$8:$K$592,$D363,'Detalle por artículo'!$E$8:$E$592)</f>
        <v>1.224</v>
      </c>
      <c r="H363" s="35">
        <f t="shared" si="198"/>
        <v>1</v>
      </c>
      <c r="I363" s="35">
        <f t="shared" si="199"/>
        <v>2</v>
      </c>
      <c r="J363" s="35">
        <f t="shared" si="200"/>
        <v>4</v>
      </c>
      <c r="K363" s="37">
        <f t="shared" si="201"/>
        <v>4.3714285714285712E-2</v>
      </c>
      <c r="L363" s="36">
        <f>SUMIF('Detalle por artículo'!$K$8:$K$592,$D363,'Detalle por artículo'!$O$8:$O$592)</f>
        <v>208.7</v>
      </c>
      <c r="M363" s="38">
        <f>SUMIF('Detalle por artículo'!$K$8:$K$592,$D363,'Detalle por artículo'!$I$8:$I$592)</f>
        <v>935</v>
      </c>
      <c r="N363" s="38">
        <f>SUMIF('Detalle por artículo'!$K$8:$K$592,$D363,'Detalle por artículo'!$M$8:$M$592)</f>
        <v>17</v>
      </c>
      <c r="O363" s="39">
        <f t="shared" si="202"/>
        <v>1.3090909090909091</v>
      </c>
      <c r="P363" s="40">
        <f t="shared" si="203"/>
        <v>223.20855614973263</v>
      </c>
      <c r="Q363" s="41">
        <f t="shared" si="204"/>
        <v>0.15</v>
      </c>
      <c r="R363" s="40">
        <f t="shared" si="205"/>
        <v>1.4076</v>
      </c>
      <c r="S363" s="42">
        <f>IFERROR(SUM($G$8:G363)/$G$6,0)</f>
        <v>0.97218005166981702</v>
      </c>
      <c r="T363" s="43" t="str">
        <f t="shared" si="206"/>
        <v>C</v>
      </c>
      <c r="U363" s="44">
        <v>934</v>
      </c>
      <c r="V363" s="45">
        <f t="shared" si="187"/>
        <v>-1</v>
      </c>
      <c r="W363" s="46">
        <v>46244</v>
      </c>
      <c r="X363" s="46">
        <v>46244</v>
      </c>
      <c r="Y363" s="47">
        <v>2</v>
      </c>
      <c r="Z363" s="48">
        <f t="shared" si="207"/>
        <v>2.6181818181818181E-3</v>
      </c>
      <c r="AA363" s="49">
        <f t="shared" si="208"/>
        <v>9.3506493506493506E-5</v>
      </c>
      <c r="AB363" s="44">
        <v>580</v>
      </c>
      <c r="AC363" s="44">
        <f t="shared" si="209"/>
        <v>457</v>
      </c>
      <c r="AD363" s="44">
        <f t="shared" si="210"/>
        <v>113</v>
      </c>
      <c r="AE363" s="50">
        <f t="shared" si="211"/>
        <v>49</v>
      </c>
      <c r="AF363" s="41">
        <f t="shared" si="212"/>
        <v>0.98</v>
      </c>
      <c r="AG363" s="44">
        <v>2</v>
      </c>
      <c r="AH363" s="44">
        <v>8</v>
      </c>
      <c r="AI363" s="42">
        <f t="shared" si="188"/>
        <v>0.48877005347593583</v>
      </c>
      <c r="AJ363" s="42">
        <f t="shared" si="189"/>
        <v>0.12085561497326203</v>
      </c>
      <c r="AK363" s="40">
        <f t="shared" si="213"/>
        <v>0.59825454545454548</v>
      </c>
      <c r="AL363" s="51">
        <v>352</v>
      </c>
      <c r="AM363" s="52">
        <f t="shared" si="214"/>
        <v>0.46079999999999999</v>
      </c>
      <c r="AN363" s="42">
        <f t="shared" si="190"/>
        <v>0.37687366167023556</v>
      </c>
      <c r="AO363" s="53">
        <f t="shared" si="191"/>
        <v>355</v>
      </c>
      <c r="AP363" s="52">
        <f t="shared" si="192"/>
        <v>0.46472727272727277</v>
      </c>
      <c r="AQ363" s="42">
        <f t="shared" si="193"/>
        <v>0.60962566844919786</v>
      </c>
      <c r="AR363" s="46">
        <v>46254</v>
      </c>
      <c r="AS363" s="46">
        <v>46255</v>
      </c>
      <c r="AT363" s="50">
        <f t="shared" si="194"/>
        <v>11</v>
      </c>
      <c r="AU363" s="50">
        <f t="shared" si="215"/>
        <v>185</v>
      </c>
      <c r="AV363" s="50">
        <f t="shared" si="195"/>
        <v>216</v>
      </c>
      <c r="AW363" s="54">
        <f t="shared" si="196"/>
        <v>-31</v>
      </c>
    </row>
    <row r="364" spans="1:49" x14ac:dyDescent="0.25">
      <c r="A364" s="33" t="s">
        <v>55</v>
      </c>
      <c r="B364" s="33" t="s">
        <v>255</v>
      </c>
      <c r="C364" s="33" t="s">
        <v>347</v>
      </c>
      <c r="D364" s="33" t="s">
        <v>469</v>
      </c>
      <c r="E364" s="34">
        <f>COUNTIF('Detalle por artículo'!$K$8:$K$592,D364)</f>
        <v>1</v>
      </c>
      <c r="F364" s="35">
        <f t="shared" si="197"/>
        <v>257.70491803278691</v>
      </c>
      <c r="G364" s="36">
        <f>SUMIF('Detalle por artículo'!$K$8:$K$592,$D364,'Detalle por artículo'!$E$8:$E$592)</f>
        <v>1.22</v>
      </c>
      <c r="H364" s="35">
        <f t="shared" si="198"/>
        <v>1</v>
      </c>
      <c r="I364" s="35">
        <f t="shared" si="199"/>
        <v>2</v>
      </c>
      <c r="J364" s="35">
        <f t="shared" si="200"/>
        <v>4</v>
      </c>
      <c r="K364" s="37">
        <f t="shared" si="201"/>
        <v>4.3571428571428573E-2</v>
      </c>
      <c r="L364" s="36">
        <f>SUMIF('Detalle por artículo'!$K$8:$K$592,$D364,'Detalle por artículo'!$O$8:$O$592)</f>
        <v>314.40000000000003</v>
      </c>
      <c r="M364" s="38">
        <f>SUMIF('Detalle por artículo'!$K$8:$K$592,$D364,'Detalle por artículo'!$I$8:$I$592)</f>
        <v>822</v>
      </c>
      <c r="N364" s="38">
        <f>SUMIF('Detalle por artículo'!$K$8:$K$592,$D364,'Detalle por artículo'!$M$8:$M$592)</f>
        <v>17</v>
      </c>
      <c r="O364" s="39">
        <f t="shared" si="202"/>
        <v>1.4841849148418491</v>
      </c>
      <c r="P364" s="40">
        <f t="shared" si="203"/>
        <v>382.48175182481759</v>
      </c>
      <c r="Q364" s="41">
        <f t="shared" si="204"/>
        <v>0.1</v>
      </c>
      <c r="R364" s="40">
        <f t="shared" si="205"/>
        <v>1.3420000000000001</v>
      </c>
      <c r="S364" s="42">
        <f>IFERROR(SUM($G$8:G364)/$G$6,0)</f>
        <v>0.9726283574890543</v>
      </c>
      <c r="T364" s="43" t="str">
        <f t="shared" si="206"/>
        <v>C</v>
      </c>
      <c r="U364" s="44">
        <v>822</v>
      </c>
      <c r="V364" s="45">
        <f t="shared" si="187"/>
        <v>0</v>
      </c>
      <c r="W364" s="46">
        <v>46218</v>
      </c>
      <c r="X364" s="46">
        <v>46218</v>
      </c>
      <c r="Y364" s="47">
        <v>3</v>
      </c>
      <c r="Z364" s="48">
        <f t="shared" si="207"/>
        <v>4.4525547445255472E-3</v>
      </c>
      <c r="AA364" s="49">
        <f t="shared" si="208"/>
        <v>1.5901981230448384E-4</v>
      </c>
      <c r="AB364" s="44">
        <v>497</v>
      </c>
      <c r="AC364" s="44">
        <f t="shared" si="209"/>
        <v>379</v>
      </c>
      <c r="AD364" s="44">
        <f t="shared" si="210"/>
        <v>94</v>
      </c>
      <c r="AE364" s="50">
        <f t="shared" si="211"/>
        <v>44</v>
      </c>
      <c r="AF364" s="41">
        <f t="shared" si="212"/>
        <v>0.88</v>
      </c>
      <c r="AG364" s="44">
        <v>16</v>
      </c>
      <c r="AH364" s="44">
        <v>8</v>
      </c>
      <c r="AI364" s="42">
        <f t="shared" si="188"/>
        <v>0.46107055961070559</v>
      </c>
      <c r="AJ364" s="42">
        <f t="shared" si="189"/>
        <v>0.11435523114355231</v>
      </c>
      <c r="AK364" s="40">
        <f t="shared" si="213"/>
        <v>0.56250608272506075</v>
      </c>
      <c r="AL364" s="51">
        <v>325</v>
      </c>
      <c r="AM364" s="52">
        <f t="shared" si="214"/>
        <v>0.48236009732360097</v>
      </c>
      <c r="AN364" s="42">
        <f t="shared" si="190"/>
        <v>0.39537712895377131</v>
      </c>
      <c r="AO364" s="53">
        <f t="shared" si="191"/>
        <v>325</v>
      </c>
      <c r="AP364" s="52">
        <f t="shared" si="192"/>
        <v>0.48236009732360097</v>
      </c>
      <c r="AQ364" s="42">
        <f t="shared" si="193"/>
        <v>0.57542579075425793</v>
      </c>
      <c r="AR364" s="46">
        <v>46225</v>
      </c>
      <c r="AS364" s="46">
        <v>46225</v>
      </c>
      <c r="AT364" s="50">
        <f t="shared" si="194"/>
        <v>7</v>
      </c>
      <c r="AU364" s="50">
        <f t="shared" si="215"/>
        <v>226</v>
      </c>
      <c r="AV364" s="50">
        <f t="shared" si="195"/>
        <v>274</v>
      </c>
      <c r="AW364" s="54">
        <f t="shared" si="196"/>
        <v>-48</v>
      </c>
    </row>
    <row r="365" spans="1:49" x14ac:dyDescent="0.25">
      <c r="A365" s="33" t="s">
        <v>120</v>
      </c>
      <c r="B365" s="33" t="s">
        <v>470</v>
      </c>
      <c r="C365" s="33" t="s">
        <v>427</v>
      </c>
      <c r="D365" s="33" t="s">
        <v>471</v>
      </c>
      <c r="E365" s="34">
        <f>COUNTIF('Detalle por artículo'!$K$8:$K$592,D365)</f>
        <v>1</v>
      </c>
      <c r="F365" s="35">
        <f t="shared" si="197"/>
        <v>228.20292347377469</v>
      </c>
      <c r="G365" s="36">
        <f>SUMIF('Detalle por artículo'!$K$8:$K$592,$D365,'Detalle por artículo'!$E$8:$E$592)</f>
        <v>1.163</v>
      </c>
      <c r="H365" s="35">
        <f t="shared" si="198"/>
        <v>1</v>
      </c>
      <c r="I365" s="35">
        <f t="shared" si="199"/>
        <v>2</v>
      </c>
      <c r="J365" s="35">
        <f t="shared" si="200"/>
        <v>4</v>
      </c>
      <c r="K365" s="37">
        <f t="shared" si="201"/>
        <v>4.1535714285714287E-2</v>
      </c>
      <c r="L365" s="36">
        <f>SUMIF('Detalle por artículo'!$K$8:$K$592,$D365,'Detalle por artículo'!$O$8:$O$592)</f>
        <v>265.39999999999998</v>
      </c>
      <c r="M365" s="38">
        <f>SUMIF('Detalle por artículo'!$K$8:$K$592,$D365,'Detalle por artículo'!$I$8:$I$592)</f>
        <v>451</v>
      </c>
      <c r="N365" s="38">
        <f>SUMIF('Detalle por artículo'!$K$8:$K$592,$D365,'Detalle por artículo'!$M$8:$M$592)</f>
        <v>15</v>
      </c>
      <c r="O365" s="39">
        <f t="shared" si="202"/>
        <v>2.5787139689578717</v>
      </c>
      <c r="P365" s="40">
        <f t="shared" si="203"/>
        <v>588.47006651884692</v>
      </c>
      <c r="Q365" s="41">
        <f t="shared" si="204"/>
        <v>0.1</v>
      </c>
      <c r="R365" s="40">
        <f t="shared" si="205"/>
        <v>1.2793000000000001</v>
      </c>
      <c r="S365" s="42">
        <f>IFERROR(SUM($G$8:G365)/$G$6,0)</f>
        <v>0.97305571787247491</v>
      </c>
      <c r="T365" s="43" t="str">
        <f t="shared" si="206"/>
        <v>C</v>
      </c>
      <c r="U365" s="44">
        <v>458</v>
      </c>
      <c r="V365" s="45">
        <f t="shared" si="187"/>
        <v>7</v>
      </c>
      <c r="W365" s="46">
        <v>46281</v>
      </c>
      <c r="X365" s="46">
        <v>46300</v>
      </c>
      <c r="Y365" s="47">
        <v>0</v>
      </c>
      <c r="Z365" s="48">
        <f t="shared" si="207"/>
        <v>0</v>
      </c>
      <c r="AA365" s="49">
        <f t="shared" si="208"/>
        <v>0</v>
      </c>
      <c r="AB365" s="44">
        <v>289</v>
      </c>
      <c r="AC365" s="44">
        <f t="shared" si="209"/>
        <v>252</v>
      </c>
      <c r="AD365" s="44">
        <f t="shared" si="210"/>
        <v>36</v>
      </c>
      <c r="AE365" s="50">
        <f t="shared" si="211"/>
        <v>34</v>
      </c>
      <c r="AF365" s="41">
        <f t="shared" si="212"/>
        <v>0.68</v>
      </c>
      <c r="AG365" s="44">
        <v>1</v>
      </c>
      <c r="AH365" s="44">
        <v>0</v>
      </c>
      <c r="AI365" s="42">
        <f t="shared" si="188"/>
        <v>0.55875831485587579</v>
      </c>
      <c r="AJ365" s="42">
        <f t="shared" si="189"/>
        <v>7.9822616407982258E-2</v>
      </c>
      <c r="AK365" s="40">
        <f t="shared" si="213"/>
        <v>0.64983592017738367</v>
      </c>
      <c r="AL365" s="51">
        <v>169</v>
      </c>
      <c r="AM365" s="52">
        <f t="shared" si="214"/>
        <v>0.43580266075388036</v>
      </c>
      <c r="AN365" s="42">
        <f t="shared" si="190"/>
        <v>0.36899563318777295</v>
      </c>
      <c r="AO365" s="53">
        <f t="shared" si="191"/>
        <v>162</v>
      </c>
      <c r="AP365" s="52">
        <f t="shared" si="192"/>
        <v>0.41775166297117522</v>
      </c>
      <c r="AQ365" s="42">
        <f t="shared" si="193"/>
        <v>0.63858093126385806</v>
      </c>
      <c r="AR365" s="46">
        <v>46285</v>
      </c>
      <c r="AS365" s="46">
        <v>46287</v>
      </c>
      <c r="AT365" s="50">
        <f t="shared" si="194"/>
        <v>6</v>
      </c>
      <c r="AU365" s="50">
        <f t="shared" si="215"/>
        <v>440</v>
      </c>
      <c r="AV365" s="50">
        <f t="shared" si="195"/>
        <v>348</v>
      </c>
      <c r="AW365" s="54">
        <f t="shared" si="196"/>
        <v>92</v>
      </c>
    </row>
    <row r="366" spans="1:49" x14ac:dyDescent="0.25">
      <c r="A366" s="33" t="s">
        <v>55</v>
      </c>
      <c r="B366" s="33" t="s">
        <v>302</v>
      </c>
      <c r="C366" s="33" t="s">
        <v>303</v>
      </c>
      <c r="D366" s="33" t="s">
        <v>472</v>
      </c>
      <c r="E366" s="34">
        <f>COUNTIF('Detalle por artículo'!$K$8:$K$592,D366)</f>
        <v>1</v>
      </c>
      <c r="F366" s="35">
        <f t="shared" si="197"/>
        <v>129.25347222222223</v>
      </c>
      <c r="G366" s="36">
        <f>SUMIF('Detalle por artículo'!$K$8:$K$592,$D366,'Detalle por artículo'!$E$8:$E$592)</f>
        <v>1.1519999999999999</v>
      </c>
      <c r="H366" s="35">
        <f t="shared" si="198"/>
        <v>1</v>
      </c>
      <c r="I366" s="35">
        <f t="shared" si="199"/>
        <v>2</v>
      </c>
      <c r="J366" s="35">
        <f t="shared" si="200"/>
        <v>3</v>
      </c>
      <c r="K366" s="37">
        <f t="shared" si="201"/>
        <v>4.1142857142857141E-2</v>
      </c>
      <c r="L366" s="36">
        <f>SUMIF('Detalle por artículo'!$K$8:$K$592,$D366,'Detalle por artículo'!$O$8:$O$592)</f>
        <v>148.9</v>
      </c>
      <c r="M366" s="38">
        <f>SUMIF('Detalle por artículo'!$K$8:$K$592,$D366,'Detalle por artículo'!$I$8:$I$592)</f>
        <v>619</v>
      </c>
      <c r="N366" s="38">
        <f>SUMIF('Detalle por artículo'!$K$8:$K$592,$D366,'Detalle por artículo'!$M$8:$M$592)</f>
        <v>12</v>
      </c>
      <c r="O366" s="39">
        <f t="shared" si="202"/>
        <v>1.8610662358642971</v>
      </c>
      <c r="P366" s="40">
        <f t="shared" si="203"/>
        <v>240.54927302100162</v>
      </c>
      <c r="Q366" s="41">
        <f t="shared" si="204"/>
        <v>0.15</v>
      </c>
      <c r="R366" s="40">
        <f t="shared" si="205"/>
        <v>1.3247999999999998</v>
      </c>
      <c r="S366" s="42">
        <f>IFERROR(SUM($G$8:G366)/$G$6,0)</f>
        <v>0.97347903615424658</v>
      </c>
      <c r="T366" s="43" t="str">
        <f t="shared" si="206"/>
        <v>C</v>
      </c>
      <c r="U366" s="44">
        <v>619</v>
      </c>
      <c r="V366" s="45">
        <f t="shared" si="187"/>
        <v>0</v>
      </c>
      <c r="W366" s="46">
        <v>46247</v>
      </c>
      <c r="X366" s="46">
        <v>46247</v>
      </c>
      <c r="Y366" s="47">
        <v>0</v>
      </c>
      <c r="Z366" s="48">
        <f t="shared" si="207"/>
        <v>0</v>
      </c>
      <c r="AA366" s="49">
        <f t="shared" si="208"/>
        <v>0</v>
      </c>
      <c r="AB366" s="44">
        <v>593</v>
      </c>
      <c r="AC366" s="44">
        <f t="shared" si="209"/>
        <v>405</v>
      </c>
      <c r="AD366" s="44">
        <f t="shared" si="210"/>
        <v>152</v>
      </c>
      <c r="AE366" s="50">
        <f t="shared" si="211"/>
        <v>48</v>
      </c>
      <c r="AF366" s="41">
        <f t="shared" si="212"/>
        <v>0.96</v>
      </c>
      <c r="AG366" s="44">
        <v>14</v>
      </c>
      <c r="AH366" s="44">
        <v>22</v>
      </c>
      <c r="AI366" s="42">
        <f t="shared" si="188"/>
        <v>0.65428109854604199</v>
      </c>
      <c r="AJ366" s="42">
        <f t="shared" si="189"/>
        <v>0.2455573505654281</v>
      </c>
      <c r="AK366" s="40">
        <f t="shared" si="213"/>
        <v>0.75373182552504037</v>
      </c>
      <c r="AL366" s="51">
        <v>24</v>
      </c>
      <c r="AM366" s="52">
        <f t="shared" si="214"/>
        <v>4.4665589660743132E-2</v>
      </c>
      <c r="AN366" s="42">
        <f t="shared" si="190"/>
        <v>3.8772213247172858E-2</v>
      </c>
      <c r="AO366" s="53">
        <f t="shared" si="191"/>
        <v>26</v>
      </c>
      <c r="AP366" s="52">
        <f t="shared" si="192"/>
        <v>4.8387722132471722E-2</v>
      </c>
      <c r="AQ366" s="42">
        <f t="shared" si="193"/>
        <v>0.89983844911147015</v>
      </c>
      <c r="AR366" s="46">
        <v>46254</v>
      </c>
      <c r="AS366" s="46">
        <v>46255</v>
      </c>
      <c r="AT366" s="50">
        <f t="shared" si="194"/>
        <v>8</v>
      </c>
      <c r="AU366" s="50">
        <f t="shared" si="215"/>
        <v>386</v>
      </c>
      <c r="AV366" s="50">
        <f t="shared" si="195"/>
        <v>199</v>
      </c>
      <c r="AW366" s="54">
        <f t="shared" si="196"/>
        <v>187</v>
      </c>
    </row>
    <row r="367" spans="1:49" x14ac:dyDescent="0.25">
      <c r="A367" s="33" t="s">
        <v>63</v>
      </c>
      <c r="B367" s="33" t="s">
        <v>288</v>
      </c>
      <c r="C367" s="33" t="s">
        <v>289</v>
      </c>
      <c r="D367" s="33" t="s">
        <v>473</v>
      </c>
      <c r="E367" s="34">
        <f>COUNTIF('Detalle por artículo'!$K$8:$K$592,D367)</f>
        <v>1</v>
      </c>
      <c r="F367" s="35">
        <f t="shared" si="197"/>
        <v>170.83333333333334</v>
      </c>
      <c r="G367" s="36">
        <f>SUMIF('Detalle por artículo'!$K$8:$K$592,$D367,'Detalle por artículo'!$E$8:$E$592)</f>
        <v>1.1519999999999999</v>
      </c>
      <c r="H367" s="35">
        <f t="shared" si="198"/>
        <v>1</v>
      </c>
      <c r="I367" s="35">
        <f t="shared" si="199"/>
        <v>2</v>
      </c>
      <c r="J367" s="35">
        <f t="shared" si="200"/>
        <v>3</v>
      </c>
      <c r="K367" s="37">
        <f t="shared" si="201"/>
        <v>4.1142857142857141E-2</v>
      </c>
      <c r="L367" s="36">
        <f>SUMIF('Detalle por artículo'!$K$8:$K$592,$D367,'Detalle por artículo'!$O$8:$O$592)</f>
        <v>196.79999999999998</v>
      </c>
      <c r="M367" s="38">
        <f>SUMIF('Detalle por artículo'!$K$8:$K$592,$D367,'Detalle por artículo'!$I$8:$I$592)</f>
        <v>614</v>
      </c>
      <c r="N367" s="38">
        <f>SUMIF('Detalle por artículo'!$K$8:$K$592,$D367,'Detalle por artículo'!$M$8:$M$592)</f>
        <v>12</v>
      </c>
      <c r="O367" s="39">
        <f t="shared" si="202"/>
        <v>1.8762214983713352</v>
      </c>
      <c r="P367" s="40">
        <f t="shared" si="203"/>
        <v>320.52117263843644</v>
      </c>
      <c r="Q367" s="41">
        <f t="shared" si="204"/>
        <v>0.15</v>
      </c>
      <c r="R367" s="40">
        <f t="shared" si="205"/>
        <v>1.3247999999999998</v>
      </c>
      <c r="S367" s="42">
        <f>IFERROR(SUM($G$8:G367)/$G$6,0)</f>
        <v>0.97390235443601825</v>
      </c>
      <c r="T367" s="43" t="str">
        <f t="shared" si="206"/>
        <v>C</v>
      </c>
      <c r="U367" s="44">
        <v>614</v>
      </c>
      <c r="V367" s="45">
        <f t="shared" si="187"/>
        <v>0</v>
      </c>
      <c r="W367" s="46">
        <v>46217</v>
      </c>
      <c r="X367" s="46">
        <v>46217</v>
      </c>
      <c r="Y367" s="47">
        <v>0</v>
      </c>
      <c r="Z367" s="48">
        <f t="shared" si="207"/>
        <v>0</v>
      </c>
      <c r="AA367" s="49">
        <f t="shared" si="208"/>
        <v>0</v>
      </c>
      <c r="AB367" s="44">
        <v>539</v>
      </c>
      <c r="AC367" s="44">
        <f t="shared" si="209"/>
        <v>392</v>
      </c>
      <c r="AD367" s="44">
        <f t="shared" si="210"/>
        <v>123</v>
      </c>
      <c r="AE367" s="50">
        <f t="shared" si="211"/>
        <v>48</v>
      </c>
      <c r="AF367" s="41">
        <f t="shared" si="212"/>
        <v>0.96</v>
      </c>
      <c r="AG367" s="44">
        <v>2</v>
      </c>
      <c r="AH367" s="44">
        <v>22</v>
      </c>
      <c r="AI367" s="42">
        <f t="shared" si="188"/>
        <v>0.6384364820846905</v>
      </c>
      <c r="AJ367" s="42">
        <f t="shared" si="189"/>
        <v>0.20032573289902281</v>
      </c>
      <c r="AK367" s="40">
        <f t="shared" si="213"/>
        <v>0.73547882736156334</v>
      </c>
      <c r="AL367" s="51">
        <v>75</v>
      </c>
      <c r="AM367" s="52">
        <f t="shared" si="214"/>
        <v>0.14071661237785013</v>
      </c>
      <c r="AN367" s="42">
        <f t="shared" si="190"/>
        <v>0.12214983713355049</v>
      </c>
      <c r="AO367" s="53">
        <f t="shared" si="191"/>
        <v>75</v>
      </c>
      <c r="AP367" s="52">
        <f t="shared" si="192"/>
        <v>0.14071661237785013</v>
      </c>
      <c r="AQ367" s="42">
        <f t="shared" si="193"/>
        <v>0.83876221498371339</v>
      </c>
      <c r="AR367" s="46">
        <v>46233</v>
      </c>
      <c r="AS367" s="46">
        <v>46234</v>
      </c>
      <c r="AT367" s="50">
        <f t="shared" si="194"/>
        <v>17</v>
      </c>
      <c r="AU367" s="50">
        <f t="shared" si="215"/>
        <v>391</v>
      </c>
      <c r="AV367" s="50">
        <f t="shared" si="195"/>
        <v>243</v>
      </c>
      <c r="AW367" s="54">
        <f t="shared" si="196"/>
        <v>148</v>
      </c>
    </row>
    <row r="368" spans="1:49" x14ac:dyDescent="0.25">
      <c r="A368" s="33" t="s">
        <v>55</v>
      </c>
      <c r="B368" s="33" t="s">
        <v>314</v>
      </c>
      <c r="C368" s="33" t="s">
        <v>315</v>
      </c>
      <c r="D368" s="33" t="s">
        <v>474</v>
      </c>
      <c r="E368" s="34">
        <f>COUNTIF('Detalle por artículo'!$K$8:$K$592,D368)</f>
        <v>1</v>
      </c>
      <c r="F368" s="35">
        <f t="shared" si="197"/>
        <v>125.08680555555559</v>
      </c>
      <c r="G368" s="36">
        <f>SUMIF('Detalle por artículo'!$K$8:$K$592,$D368,'Detalle por artículo'!$E$8:$E$592)</f>
        <v>1.1519999999999999</v>
      </c>
      <c r="H368" s="35">
        <f t="shared" si="198"/>
        <v>1</v>
      </c>
      <c r="I368" s="35">
        <f t="shared" si="199"/>
        <v>2</v>
      </c>
      <c r="J368" s="35">
        <f t="shared" si="200"/>
        <v>3</v>
      </c>
      <c r="K368" s="37">
        <f t="shared" si="201"/>
        <v>4.1142857142857141E-2</v>
      </c>
      <c r="L368" s="36">
        <f>SUMIF('Detalle por artículo'!$K$8:$K$592,$D368,'Detalle por artículo'!$O$8:$O$592)</f>
        <v>144.10000000000002</v>
      </c>
      <c r="M368" s="38">
        <f>SUMIF('Detalle por artículo'!$K$8:$K$592,$D368,'Detalle por artículo'!$I$8:$I$592)</f>
        <v>554</v>
      </c>
      <c r="N368" s="38">
        <f>SUMIF('Detalle por artículo'!$K$8:$K$592,$D368,'Detalle por artículo'!$M$8:$M$592)</f>
        <v>16</v>
      </c>
      <c r="O368" s="39">
        <f t="shared" si="202"/>
        <v>2.0794223826714799</v>
      </c>
      <c r="P368" s="40">
        <f t="shared" si="203"/>
        <v>260.1083032490975</v>
      </c>
      <c r="Q368" s="41">
        <f t="shared" si="204"/>
        <v>0.15</v>
      </c>
      <c r="R368" s="40">
        <f t="shared" si="205"/>
        <v>1.3247999999999998</v>
      </c>
      <c r="S368" s="42">
        <f>IFERROR(SUM($G$8:G368)/$G$6,0)</f>
        <v>0.97432567271778991</v>
      </c>
      <c r="T368" s="43" t="str">
        <f t="shared" si="206"/>
        <v>C</v>
      </c>
      <c r="U368" s="44">
        <v>554</v>
      </c>
      <c r="V368" s="45">
        <f t="shared" si="187"/>
        <v>0</v>
      </c>
      <c r="W368" s="46">
        <v>46247</v>
      </c>
      <c r="X368" s="46">
        <v>46247</v>
      </c>
      <c r="Y368" s="47">
        <v>0</v>
      </c>
      <c r="Z368" s="48">
        <f t="shared" si="207"/>
        <v>0</v>
      </c>
      <c r="AA368" s="49">
        <f t="shared" si="208"/>
        <v>0</v>
      </c>
      <c r="AB368" s="44">
        <v>485</v>
      </c>
      <c r="AC368" s="44">
        <f t="shared" si="209"/>
        <v>410</v>
      </c>
      <c r="AD368" s="44">
        <f t="shared" si="210"/>
        <v>67</v>
      </c>
      <c r="AE368" s="50">
        <f t="shared" si="211"/>
        <v>48</v>
      </c>
      <c r="AF368" s="41">
        <f t="shared" si="212"/>
        <v>0.96</v>
      </c>
      <c r="AG368" s="44">
        <v>0</v>
      </c>
      <c r="AH368" s="44">
        <v>8</v>
      </c>
      <c r="AI368" s="42">
        <f t="shared" si="188"/>
        <v>0.74007220216606495</v>
      </c>
      <c r="AJ368" s="42">
        <f t="shared" si="189"/>
        <v>0.12093862815884476</v>
      </c>
      <c r="AK368" s="40">
        <f t="shared" si="213"/>
        <v>0.85256317689530681</v>
      </c>
      <c r="AL368" s="51">
        <v>67</v>
      </c>
      <c r="AM368" s="52">
        <f t="shared" si="214"/>
        <v>0.13932129963898915</v>
      </c>
      <c r="AN368" s="42">
        <f t="shared" si="190"/>
        <v>0.12093862815884476</v>
      </c>
      <c r="AO368" s="53">
        <f t="shared" si="191"/>
        <v>69</v>
      </c>
      <c r="AP368" s="52">
        <f t="shared" si="192"/>
        <v>0.14348014440433213</v>
      </c>
      <c r="AQ368" s="42">
        <f t="shared" si="193"/>
        <v>0.86101083032490977</v>
      </c>
      <c r="AR368" s="46">
        <v>46268</v>
      </c>
      <c r="AS368" s="46">
        <v>46268</v>
      </c>
      <c r="AT368" s="50">
        <f t="shared" si="194"/>
        <v>21</v>
      </c>
      <c r="AU368" s="50">
        <f t="shared" si="215"/>
        <v>412</v>
      </c>
      <c r="AV368" s="50">
        <f t="shared" si="195"/>
        <v>280</v>
      </c>
      <c r="AW368" s="54">
        <f t="shared" si="196"/>
        <v>132</v>
      </c>
    </row>
    <row r="369" spans="1:49" x14ac:dyDescent="0.25">
      <c r="A369" s="33" t="s">
        <v>55</v>
      </c>
      <c r="B369" s="33" t="s">
        <v>314</v>
      </c>
      <c r="C369" s="33" t="s">
        <v>315</v>
      </c>
      <c r="D369" s="33" t="s">
        <v>475</v>
      </c>
      <c r="E369" s="34">
        <f>COUNTIF('Detalle por artículo'!$K$8:$K$592,D369)</f>
        <v>1</v>
      </c>
      <c r="F369" s="35">
        <f t="shared" si="197"/>
        <v>210.5902777777778</v>
      </c>
      <c r="G369" s="36">
        <f>SUMIF('Detalle por artículo'!$K$8:$K$592,$D369,'Detalle por artículo'!$E$8:$E$592)</f>
        <v>1.1519999999999999</v>
      </c>
      <c r="H369" s="35">
        <f t="shared" si="198"/>
        <v>1</v>
      </c>
      <c r="I369" s="35">
        <f t="shared" si="199"/>
        <v>2</v>
      </c>
      <c r="J369" s="35">
        <f t="shared" si="200"/>
        <v>3</v>
      </c>
      <c r="K369" s="37">
        <f t="shared" si="201"/>
        <v>4.1142857142857141E-2</v>
      </c>
      <c r="L369" s="36">
        <f>SUMIF('Detalle por artículo'!$K$8:$K$592,$D369,'Detalle por artículo'!$O$8:$O$592)</f>
        <v>242.6</v>
      </c>
      <c r="M369" s="38">
        <f>SUMIF('Detalle por artículo'!$K$8:$K$592,$D369,'Detalle por artículo'!$I$8:$I$592)</f>
        <v>652</v>
      </c>
      <c r="N369" s="38">
        <f>SUMIF('Detalle por artículo'!$K$8:$K$592,$D369,'Detalle por artículo'!$M$8:$M$592)</f>
        <v>12</v>
      </c>
      <c r="O369" s="39">
        <f t="shared" si="202"/>
        <v>1.7668711656441718</v>
      </c>
      <c r="P369" s="40">
        <f t="shared" si="203"/>
        <v>372.08588957055218</v>
      </c>
      <c r="Q369" s="41">
        <f t="shared" si="204"/>
        <v>0.1</v>
      </c>
      <c r="R369" s="40">
        <f t="shared" si="205"/>
        <v>1.2672000000000001</v>
      </c>
      <c r="S369" s="42">
        <f>IFERROR(SUM($G$8:G369)/$G$6,0)</f>
        <v>0.97474899099956158</v>
      </c>
      <c r="T369" s="43" t="str">
        <f t="shared" si="206"/>
        <v>C</v>
      </c>
      <c r="U369" s="44">
        <v>652</v>
      </c>
      <c r="V369" s="45">
        <f t="shared" si="187"/>
        <v>0</v>
      </c>
      <c r="W369" s="46">
        <v>46247</v>
      </c>
      <c r="X369" s="46">
        <v>46247</v>
      </c>
      <c r="Y369" s="47">
        <v>0</v>
      </c>
      <c r="Z369" s="48">
        <f t="shared" si="207"/>
        <v>0</v>
      </c>
      <c r="AA369" s="49">
        <f t="shared" si="208"/>
        <v>0</v>
      </c>
      <c r="AB369" s="44">
        <v>574</v>
      </c>
      <c r="AC369" s="44">
        <f t="shared" si="209"/>
        <v>513</v>
      </c>
      <c r="AD369" s="44">
        <f t="shared" si="210"/>
        <v>40</v>
      </c>
      <c r="AE369" s="50">
        <f t="shared" si="211"/>
        <v>47</v>
      </c>
      <c r="AF369" s="41">
        <f t="shared" si="212"/>
        <v>0.94</v>
      </c>
      <c r="AG369" s="44">
        <v>2</v>
      </c>
      <c r="AH369" s="44">
        <v>19</v>
      </c>
      <c r="AI369" s="42">
        <f t="shared" si="188"/>
        <v>0.78680981595092025</v>
      </c>
      <c r="AJ369" s="42">
        <f t="shared" si="189"/>
        <v>6.1349693251533742E-2</v>
      </c>
      <c r="AK369" s="40">
        <f t="shared" si="213"/>
        <v>0.90640490797546014</v>
      </c>
      <c r="AL369" s="51">
        <v>78</v>
      </c>
      <c r="AM369" s="52">
        <f t="shared" si="214"/>
        <v>0.1378159509202454</v>
      </c>
      <c r="AN369" s="42">
        <f t="shared" si="190"/>
        <v>0.1196319018404908</v>
      </c>
      <c r="AO369" s="53">
        <f t="shared" si="191"/>
        <v>78</v>
      </c>
      <c r="AP369" s="52">
        <f t="shared" si="192"/>
        <v>0.1378159509202454</v>
      </c>
      <c r="AQ369" s="42">
        <f t="shared" si="193"/>
        <v>0.84815950920245398</v>
      </c>
      <c r="AR369" s="46">
        <v>46254</v>
      </c>
      <c r="AS369" s="46">
        <v>46255</v>
      </c>
      <c r="AT369" s="50">
        <f t="shared" si="194"/>
        <v>8</v>
      </c>
      <c r="AU369" s="50">
        <f t="shared" si="215"/>
        <v>357</v>
      </c>
      <c r="AV369" s="50">
        <f t="shared" si="195"/>
        <v>224</v>
      </c>
      <c r="AW369" s="54">
        <f t="shared" si="196"/>
        <v>133</v>
      </c>
    </row>
    <row r="370" spans="1:49" x14ac:dyDescent="0.25">
      <c r="A370" s="33" t="s">
        <v>55</v>
      </c>
      <c r="B370" s="33" t="s">
        <v>302</v>
      </c>
      <c r="C370" s="33" t="s">
        <v>303</v>
      </c>
      <c r="D370" s="33" t="s">
        <v>476</v>
      </c>
      <c r="E370" s="34">
        <f>COUNTIF('Detalle por artículo'!$K$8:$K$592,D370)</f>
        <v>1</v>
      </c>
      <c r="F370" s="35">
        <f t="shared" si="197"/>
        <v>226.21527777777783</v>
      </c>
      <c r="G370" s="36">
        <f>SUMIF('Detalle por artículo'!$K$8:$K$592,$D370,'Detalle por artículo'!$E$8:$E$592)</f>
        <v>1.1519999999999999</v>
      </c>
      <c r="H370" s="35">
        <f t="shared" si="198"/>
        <v>1</v>
      </c>
      <c r="I370" s="35">
        <f t="shared" si="199"/>
        <v>2</v>
      </c>
      <c r="J370" s="35">
        <f t="shared" si="200"/>
        <v>3</v>
      </c>
      <c r="K370" s="37">
        <f t="shared" si="201"/>
        <v>4.1142857142857141E-2</v>
      </c>
      <c r="L370" s="36">
        <f>SUMIF('Detalle por artículo'!$K$8:$K$592,$D370,'Detalle por artículo'!$O$8:$O$592)</f>
        <v>260.60000000000002</v>
      </c>
      <c r="M370" s="38">
        <f>SUMIF('Detalle por artículo'!$K$8:$K$592,$D370,'Detalle por artículo'!$I$8:$I$592)</f>
        <v>640</v>
      </c>
      <c r="N370" s="38">
        <f>SUMIF('Detalle por artículo'!$K$8:$K$592,$D370,'Detalle por artículo'!$M$8:$M$592)</f>
        <v>12</v>
      </c>
      <c r="O370" s="39">
        <f t="shared" si="202"/>
        <v>1.8</v>
      </c>
      <c r="P370" s="40">
        <f t="shared" si="203"/>
        <v>407.18750000000006</v>
      </c>
      <c r="Q370" s="41">
        <f t="shared" si="204"/>
        <v>0.1</v>
      </c>
      <c r="R370" s="40">
        <f t="shared" si="205"/>
        <v>1.2672000000000001</v>
      </c>
      <c r="S370" s="42">
        <f>IFERROR(SUM($G$8:G370)/$G$6,0)</f>
        <v>0.97517230928133336</v>
      </c>
      <c r="T370" s="43" t="str">
        <f t="shared" si="206"/>
        <v>C</v>
      </c>
      <c r="U370" s="44">
        <v>640</v>
      </c>
      <c r="V370" s="45">
        <f t="shared" si="187"/>
        <v>0</v>
      </c>
      <c r="W370" s="46">
        <v>46247</v>
      </c>
      <c r="X370" s="46">
        <v>46247</v>
      </c>
      <c r="Y370" s="47">
        <v>0</v>
      </c>
      <c r="Z370" s="48">
        <f t="shared" si="207"/>
        <v>0</v>
      </c>
      <c r="AA370" s="49">
        <f t="shared" si="208"/>
        <v>0</v>
      </c>
      <c r="AB370" s="44">
        <v>575</v>
      </c>
      <c r="AC370" s="44">
        <f t="shared" si="209"/>
        <v>393</v>
      </c>
      <c r="AD370" s="44">
        <f t="shared" si="210"/>
        <v>162</v>
      </c>
      <c r="AE370" s="50">
        <f t="shared" si="211"/>
        <v>48</v>
      </c>
      <c r="AF370" s="41">
        <f t="shared" si="212"/>
        <v>0.96</v>
      </c>
      <c r="AG370" s="44">
        <v>12</v>
      </c>
      <c r="AH370" s="44">
        <v>8</v>
      </c>
      <c r="AI370" s="42">
        <f t="shared" si="188"/>
        <v>0.61406249999999996</v>
      </c>
      <c r="AJ370" s="42">
        <f t="shared" si="189"/>
        <v>0.25312499999999999</v>
      </c>
      <c r="AK370" s="40">
        <f t="shared" si="213"/>
        <v>0.70740000000000003</v>
      </c>
      <c r="AL370" s="51">
        <v>63</v>
      </c>
      <c r="AM370" s="52">
        <f t="shared" si="214"/>
        <v>0.1134</v>
      </c>
      <c r="AN370" s="42">
        <f t="shared" si="190"/>
        <v>9.8437499999999997E-2</v>
      </c>
      <c r="AO370" s="53">
        <f t="shared" si="191"/>
        <v>65</v>
      </c>
      <c r="AP370" s="52">
        <f t="shared" si="192"/>
        <v>0.11700000000000001</v>
      </c>
      <c r="AQ370" s="42">
        <f t="shared" si="193"/>
        <v>0.8671875</v>
      </c>
      <c r="AR370" s="46">
        <v>46247</v>
      </c>
      <c r="AS370" s="46">
        <v>46248</v>
      </c>
      <c r="AT370" s="50">
        <f t="shared" si="194"/>
        <v>1</v>
      </c>
      <c r="AU370" s="50">
        <f t="shared" si="215"/>
        <v>366</v>
      </c>
      <c r="AV370" s="50">
        <f t="shared" si="195"/>
        <v>223</v>
      </c>
      <c r="AW370" s="54">
        <f t="shared" si="196"/>
        <v>143</v>
      </c>
    </row>
    <row r="371" spans="1:49" x14ac:dyDescent="0.25">
      <c r="A371" s="33" t="s">
        <v>55</v>
      </c>
      <c r="B371" s="33" t="s">
        <v>302</v>
      </c>
      <c r="C371" s="33" t="s">
        <v>303</v>
      </c>
      <c r="D371" s="33" t="s">
        <v>477</v>
      </c>
      <c r="E371" s="34">
        <f>COUNTIF('Detalle por artículo'!$K$8:$K$592,D371)</f>
        <v>1</v>
      </c>
      <c r="F371" s="35">
        <f t="shared" si="197"/>
        <v>229.7743055555556</v>
      </c>
      <c r="G371" s="36">
        <f>SUMIF('Detalle por artículo'!$K$8:$K$592,$D371,'Detalle por artículo'!$E$8:$E$592)</f>
        <v>1.1519999999999999</v>
      </c>
      <c r="H371" s="35">
        <f t="shared" si="198"/>
        <v>1</v>
      </c>
      <c r="I371" s="35">
        <f t="shared" si="199"/>
        <v>2</v>
      </c>
      <c r="J371" s="35">
        <f t="shared" si="200"/>
        <v>3</v>
      </c>
      <c r="K371" s="37">
        <f t="shared" si="201"/>
        <v>4.1142857142857141E-2</v>
      </c>
      <c r="L371" s="36">
        <f>SUMIF('Detalle por artículo'!$K$8:$K$592,$D371,'Detalle por artículo'!$O$8:$O$592)</f>
        <v>264.70000000000005</v>
      </c>
      <c r="M371" s="38">
        <f>SUMIF('Detalle por artículo'!$K$8:$K$592,$D371,'Detalle por artículo'!$I$8:$I$592)</f>
        <v>757</v>
      </c>
      <c r="N371" s="38">
        <f>SUMIF('Detalle por artículo'!$K$8:$K$592,$D371,'Detalle por artículo'!$M$8:$M$592)</f>
        <v>12</v>
      </c>
      <c r="O371" s="39">
        <f t="shared" si="202"/>
        <v>1.5217965653896959</v>
      </c>
      <c r="P371" s="40">
        <f t="shared" si="203"/>
        <v>349.66974900924708</v>
      </c>
      <c r="Q371" s="41">
        <f t="shared" si="204"/>
        <v>0.1</v>
      </c>
      <c r="R371" s="40">
        <f t="shared" si="205"/>
        <v>1.2672000000000001</v>
      </c>
      <c r="S371" s="42">
        <f>IFERROR(SUM($G$8:G371)/$G$6,0)</f>
        <v>0.97559562756310503</v>
      </c>
      <c r="T371" s="43" t="str">
        <f t="shared" si="206"/>
        <v>C</v>
      </c>
      <c r="U371" s="44">
        <v>757</v>
      </c>
      <c r="V371" s="45">
        <f t="shared" si="187"/>
        <v>0</v>
      </c>
      <c r="W371" s="46">
        <v>46247</v>
      </c>
      <c r="X371" s="46">
        <v>46247</v>
      </c>
      <c r="Y371" s="47">
        <v>0</v>
      </c>
      <c r="Z371" s="48">
        <f t="shared" si="207"/>
        <v>0</v>
      </c>
      <c r="AA371" s="49">
        <f t="shared" si="208"/>
        <v>0</v>
      </c>
      <c r="AB371" s="44">
        <v>615</v>
      </c>
      <c r="AC371" s="44">
        <f t="shared" si="209"/>
        <v>398</v>
      </c>
      <c r="AD371" s="44">
        <f t="shared" si="210"/>
        <v>196</v>
      </c>
      <c r="AE371" s="50">
        <f t="shared" si="211"/>
        <v>48</v>
      </c>
      <c r="AF371" s="41">
        <f t="shared" si="212"/>
        <v>0.96</v>
      </c>
      <c r="AG371" s="44">
        <v>13</v>
      </c>
      <c r="AH371" s="44">
        <v>8</v>
      </c>
      <c r="AI371" s="42">
        <f t="shared" si="188"/>
        <v>0.52575957727873179</v>
      </c>
      <c r="AJ371" s="42">
        <f t="shared" si="189"/>
        <v>0.25891677675033026</v>
      </c>
      <c r="AK371" s="40">
        <f t="shared" si="213"/>
        <v>0.60567503302509895</v>
      </c>
      <c r="AL371" s="51">
        <v>140</v>
      </c>
      <c r="AM371" s="52">
        <f t="shared" si="214"/>
        <v>0.21305151915455742</v>
      </c>
      <c r="AN371" s="42">
        <f t="shared" si="190"/>
        <v>0.18494055482166447</v>
      </c>
      <c r="AO371" s="53">
        <f t="shared" si="191"/>
        <v>142</v>
      </c>
      <c r="AP371" s="52">
        <f t="shared" si="192"/>
        <v>0.21609511228533682</v>
      </c>
      <c r="AQ371" s="42">
        <f t="shared" si="193"/>
        <v>0.78467635402906211</v>
      </c>
      <c r="AR371" s="46">
        <v>46247</v>
      </c>
      <c r="AS371" s="46">
        <v>46248</v>
      </c>
      <c r="AT371" s="50">
        <f t="shared" si="194"/>
        <v>1</v>
      </c>
      <c r="AU371" s="50">
        <f t="shared" si="215"/>
        <v>275</v>
      </c>
      <c r="AV371" s="50">
        <f t="shared" si="195"/>
        <v>178</v>
      </c>
      <c r="AW371" s="54">
        <f t="shared" si="196"/>
        <v>97</v>
      </c>
    </row>
    <row r="372" spans="1:49" x14ac:dyDescent="0.25">
      <c r="A372" s="33" t="s">
        <v>63</v>
      </c>
      <c r="B372" s="33" t="s">
        <v>171</v>
      </c>
      <c r="C372" s="33" t="s">
        <v>363</v>
      </c>
      <c r="D372" s="33" t="s">
        <v>478</v>
      </c>
      <c r="E372" s="34">
        <f>COUNTIF('Detalle por artículo'!$K$8:$K$592,D372)</f>
        <v>1</v>
      </c>
      <c r="F372" s="35">
        <f t="shared" si="197"/>
        <v>177.39130434782609</v>
      </c>
      <c r="G372" s="36">
        <f>SUMIF('Detalle por artículo'!$K$8:$K$592,$D372,'Detalle por artículo'!$E$8:$E$592)</f>
        <v>1.1499999999999999</v>
      </c>
      <c r="H372" s="35">
        <f t="shared" si="198"/>
        <v>1</v>
      </c>
      <c r="I372" s="35">
        <f t="shared" si="199"/>
        <v>2</v>
      </c>
      <c r="J372" s="35">
        <f t="shared" si="200"/>
        <v>3</v>
      </c>
      <c r="K372" s="37">
        <f t="shared" si="201"/>
        <v>4.1071428571428571E-2</v>
      </c>
      <c r="L372" s="36">
        <f>SUMIF('Detalle por artículo'!$K$8:$K$592,$D372,'Detalle por artículo'!$O$8:$O$592)</f>
        <v>204</v>
      </c>
      <c r="M372" s="38">
        <f>SUMIF('Detalle por artículo'!$K$8:$K$592,$D372,'Detalle por artículo'!$I$8:$I$592)</f>
        <v>794</v>
      </c>
      <c r="N372" s="38">
        <f>SUMIF('Detalle por artículo'!$K$8:$K$592,$D372,'Detalle por artículo'!$M$8:$M$592)</f>
        <v>12</v>
      </c>
      <c r="O372" s="39">
        <f t="shared" si="202"/>
        <v>1.4483627204030225</v>
      </c>
      <c r="P372" s="40">
        <f t="shared" si="203"/>
        <v>256.92695214105794</v>
      </c>
      <c r="Q372" s="41">
        <f t="shared" si="204"/>
        <v>0.15</v>
      </c>
      <c r="R372" s="40">
        <f t="shared" si="205"/>
        <v>1.3224999999999998</v>
      </c>
      <c r="S372" s="42">
        <f>IFERROR(SUM($G$8:G372)/$G$6,0)</f>
        <v>0.97601821091730412</v>
      </c>
      <c r="T372" s="43" t="str">
        <f t="shared" si="206"/>
        <v>C</v>
      </c>
      <c r="U372" s="44">
        <v>794</v>
      </c>
      <c r="V372" s="45">
        <f t="shared" si="187"/>
        <v>0</v>
      </c>
      <c r="W372" s="46">
        <v>46261</v>
      </c>
      <c r="X372" s="46">
        <v>46261</v>
      </c>
      <c r="Y372" s="47">
        <v>0</v>
      </c>
      <c r="Z372" s="48">
        <f t="shared" si="207"/>
        <v>0</v>
      </c>
      <c r="AA372" s="49">
        <f t="shared" si="208"/>
        <v>0</v>
      </c>
      <c r="AB372" s="44">
        <v>672</v>
      </c>
      <c r="AC372" s="44">
        <f t="shared" si="209"/>
        <v>464</v>
      </c>
      <c r="AD372" s="44">
        <f t="shared" si="210"/>
        <v>190</v>
      </c>
      <c r="AE372" s="50">
        <f t="shared" si="211"/>
        <v>48</v>
      </c>
      <c r="AF372" s="41">
        <f t="shared" si="212"/>
        <v>0.96</v>
      </c>
      <c r="AG372" s="44">
        <v>9</v>
      </c>
      <c r="AH372" s="44">
        <v>9</v>
      </c>
      <c r="AI372" s="42">
        <f t="shared" si="188"/>
        <v>0.58438287153652391</v>
      </c>
      <c r="AJ372" s="42">
        <f t="shared" si="189"/>
        <v>0.23929471032745592</v>
      </c>
      <c r="AK372" s="40">
        <f t="shared" si="213"/>
        <v>0.6720403022670024</v>
      </c>
      <c r="AL372" s="51">
        <v>121</v>
      </c>
      <c r="AM372" s="52">
        <f t="shared" si="214"/>
        <v>0.17525188916876572</v>
      </c>
      <c r="AN372" s="42">
        <f t="shared" si="190"/>
        <v>0.15239294710327456</v>
      </c>
      <c r="AO372" s="53">
        <f t="shared" si="191"/>
        <v>122</v>
      </c>
      <c r="AP372" s="52">
        <f t="shared" si="192"/>
        <v>0.17670025188916874</v>
      </c>
      <c r="AQ372" s="42">
        <f t="shared" si="193"/>
        <v>0.82367758186397988</v>
      </c>
      <c r="AR372" s="46">
        <v>46265</v>
      </c>
      <c r="AS372" s="46">
        <v>46266</v>
      </c>
      <c r="AT372" s="50">
        <f t="shared" si="194"/>
        <v>5</v>
      </c>
      <c r="AU372" s="50">
        <f t="shared" si="215"/>
        <v>246</v>
      </c>
      <c r="AV372" s="50">
        <f t="shared" si="195"/>
        <v>139</v>
      </c>
      <c r="AW372" s="54">
        <f t="shared" si="196"/>
        <v>107</v>
      </c>
    </row>
    <row r="373" spans="1:49" x14ac:dyDescent="0.25">
      <c r="A373" s="33" t="s">
        <v>63</v>
      </c>
      <c r="B373" s="33" t="s">
        <v>171</v>
      </c>
      <c r="C373" s="33" t="s">
        <v>363</v>
      </c>
      <c r="D373" s="33" t="s">
        <v>479</v>
      </c>
      <c r="E373" s="34">
        <f>COUNTIF('Detalle por artículo'!$K$8:$K$592,D373)</f>
        <v>1</v>
      </c>
      <c r="F373" s="35">
        <f t="shared" si="197"/>
        <v>158.05309734513278</v>
      </c>
      <c r="G373" s="36">
        <f>SUMIF('Detalle por artículo'!$K$8:$K$592,$D373,'Detalle por artículo'!$E$8:$E$592)</f>
        <v>1.1299999999999999</v>
      </c>
      <c r="H373" s="35">
        <f t="shared" si="198"/>
        <v>1</v>
      </c>
      <c r="I373" s="35">
        <f t="shared" si="199"/>
        <v>2</v>
      </c>
      <c r="J373" s="35">
        <f t="shared" si="200"/>
        <v>3</v>
      </c>
      <c r="K373" s="37">
        <f t="shared" si="201"/>
        <v>4.0357142857142855E-2</v>
      </c>
      <c r="L373" s="36">
        <f>SUMIF('Detalle por artículo'!$K$8:$K$592,$D373,'Detalle por artículo'!$O$8:$O$592)</f>
        <v>178.60000000000002</v>
      </c>
      <c r="M373" s="38">
        <f>SUMIF('Detalle por artículo'!$K$8:$K$592,$D373,'Detalle por artículo'!$I$8:$I$592)</f>
        <v>572</v>
      </c>
      <c r="N373" s="38">
        <f>SUMIF('Detalle por artículo'!$K$8:$K$592,$D373,'Detalle por artículo'!$M$8:$M$592)</f>
        <v>11</v>
      </c>
      <c r="O373" s="39">
        <f t="shared" si="202"/>
        <v>1.9755244755244754</v>
      </c>
      <c r="P373" s="40">
        <f t="shared" si="203"/>
        <v>312.2377622377623</v>
      </c>
      <c r="Q373" s="41">
        <f t="shared" si="204"/>
        <v>0.15</v>
      </c>
      <c r="R373" s="40">
        <f t="shared" si="205"/>
        <v>1.2994999999999999</v>
      </c>
      <c r="S373" s="42">
        <f>IFERROR(SUM($G$8:G373)/$G$6,0)</f>
        <v>0.97643344499577811</v>
      </c>
      <c r="T373" s="43" t="str">
        <f t="shared" si="206"/>
        <v>C</v>
      </c>
      <c r="U373" s="44">
        <v>578</v>
      </c>
      <c r="V373" s="45">
        <f t="shared" si="187"/>
        <v>6</v>
      </c>
      <c r="W373" s="46">
        <v>46240</v>
      </c>
      <c r="X373" s="46">
        <v>46240</v>
      </c>
      <c r="Y373" s="47">
        <v>0</v>
      </c>
      <c r="Z373" s="48">
        <f t="shared" si="207"/>
        <v>0</v>
      </c>
      <c r="AA373" s="49">
        <f t="shared" si="208"/>
        <v>0</v>
      </c>
      <c r="AB373" s="44">
        <v>550</v>
      </c>
      <c r="AC373" s="44">
        <f t="shared" si="209"/>
        <v>441</v>
      </c>
      <c r="AD373" s="44">
        <f t="shared" si="210"/>
        <v>95</v>
      </c>
      <c r="AE373" s="50">
        <f t="shared" si="211"/>
        <v>48</v>
      </c>
      <c r="AF373" s="41">
        <f t="shared" si="212"/>
        <v>0.96</v>
      </c>
      <c r="AG373" s="44">
        <v>0</v>
      </c>
      <c r="AH373" s="44">
        <v>14</v>
      </c>
      <c r="AI373" s="42">
        <f t="shared" si="188"/>
        <v>0.77097902097902093</v>
      </c>
      <c r="AJ373" s="42">
        <f t="shared" si="189"/>
        <v>0.16608391608391609</v>
      </c>
      <c r="AK373" s="40">
        <f t="shared" si="213"/>
        <v>0.87120629370629366</v>
      </c>
      <c r="AL373" s="51">
        <v>18</v>
      </c>
      <c r="AM373" s="52">
        <f t="shared" si="214"/>
        <v>3.5559440559440561E-2</v>
      </c>
      <c r="AN373" s="42">
        <f t="shared" si="190"/>
        <v>3.1141868512110725E-2</v>
      </c>
      <c r="AO373" s="53">
        <f t="shared" si="191"/>
        <v>22</v>
      </c>
      <c r="AP373" s="52">
        <f t="shared" si="192"/>
        <v>4.3461538461538461E-2</v>
      </c>
      <c r="AQ373" s="42">
        <f t="shared" si="193"/>
        <v>0.93706293706293708</v>
      </c>
      <c r="AR373" s="46">
        <v>46252</v>
      </c>
      <c r="AS373" s="46">
        <v>46252</v>
      </c>
      <c r="AT373" s="50">
        <f t="shared" si="194"/>
        <v>12</v>
      </c>
      <c r="AU373" s="50">
        <f t="shared" si="215"/>
        <v>408</v>
      </c>
      <c r="AV373" s="50">
        <f t="shared" si="195"/>
        <v>238</v>
      </c>
      <c r="AW373" s="54">
        <f t="shared" si="196"/>
        <v>170</v>
      </c>
    </row>
    <row r="374" spans="1:49" x14ac:dyDescent="0.25">
      <c r="A374" s="33" t="s">
        <v>55</v>
      </c>
      <c r="B374" s="33" t="s">
        <v>314</v>
      </c>
      <c r="C374" s="33" t="s">
        <v>480</v>
      </c>
      <c r="D374" s="33" t="s">
        <v>481</v>
      </c>
      <c r="E374" s="34">
        <f>COUNTIF('Detalle por artículo'!$K$8:$K$592,D374)</f>
        <v>1</v>
      </c>
      <c r="F374" s="35">
        <f t="shared" si="197"/>
        <v>164.72727272727272</v>
      </c>
      <c r="G374" s="36">
        <f>SUMIF('Detalle por artículo'!$K$8:$K$592,$D374,'Detalle por artículo'!$E$8:$E$592)</f>
        <v>1.1000000000000001</v>
      </c>
      <c r="H374" s="35">
        <f t="shared" si="198"/>
        <v>1</v>
      </c>
      <c r="I374" s="35">
        <f t="shared" si="199"/>
        <v>2</v>
      </c>
      <c r="J374" s="35">
        <f t="shared" si="200"/>
        <v>3</v>
      </c>
      <c r="K374" s="37">
        <f t="shared" si="201"/>
        <v>3.9285714285714292E-2</v>
      </c>
      <c r="L374" s="36">
        <f>SUMIF('Detalle por artículo'!$K$8:$K$592,$D374,'Detalle por artículo'!$O$8:$O$592)</f>
        <v>181.20000000000002</v>
      </c>
      <c r="M374" s="38">
        <f>SUMIF('Detalle por artículo'!$K$8:$K$592,$D374,'Detalle por artículo'!$I$8:$I$592)</f>
        <v>681</v>
      </c>
      <c r="N374" s="38">
        <f>SUMIF('Detalle por artículo'!$K$8:$K$592,$D374,'Detalle por artículo'!$M$8:$M$592)</f>
        <v>11</v>
      </c>
      <c r="O374" s="39">
        <f t="shared" si="202"/>
        <v>1.6152716593245229</v>
      </c>
      <c r="P374" s="40">
        <f t="shared" si="203"/>
        <v>266.07929515418505</v>
      </c>
      <c r="Q374" s="41">
        <f t="shared" si="204"/>
        <v>0.15</v>
      </c>
      <c r="R374" s="40">
        <f t="shared" si="205"/>
        <v>1.2649999999999999</v>
      </c>
      <c r="S374" s="42">
        <f>IFERROR(SUM($G$8:G374)/$G$6,0)</f>
        <v>0.97683765516066423</v>
      </c>
      <c r="T374" s="43" t="str">
        <f t="shared" si="206"/>
        <v>C</v>
      </c>
      <c r="U374" s="44">
        <v>681</v>
      </c>
      <c r="V374" s="45">
        <f t="shared" si="187"/>
        <v>0</v>
      </c>
      <c r="W374" s="46">
        <v>46252</v>
      </c>
      <c r="X374" s="46">
        <v>46252</v>
      </c>
      <c r="Y374" s="47">
        <v>0</v>
      </c>
      <c r="Z374" s="48">
        <f t="shared" si="207"/>
        <v>0</v>
      </c>
      <c r="AA374" s="49">
        <f t="shared" si="208"/>
        <v>0</v>
      </c>
      <c r="AB374" s="44">
        <v>493</v>
      </c>
      <c r="AC374" s="44">
        <f t="shared" si="209"/>
        <v>392</v>
      </c>
      <c r="AD374" s="44">
        <f t="shared" si="210"/>
        <v>78</v>
      </c>
      <c r="AE374" s="50">
        <f t="shared" si="211"/>
        <v>48</v>
      </c>
      <c r="AF374" s="41">
        <f t="shared" si="212"/>
        <v>0.96</v>
      </c>
      <c r="AG374" s="44">
        <v>2</v>
      </c>
      <c r="AH374" s="44">
        <v>22</v>
      </c>
      <c r="AI374" s="42">
        <f t="shared" si="188"/>
        <v>0.57562408223201178</v>
      </c>
      <c r="AJ374" s="42">
        <f t="shared" si="189"/>
        <v>0.11453744493392071</v>
      </c>
      <c r="AK374" s="40">
        <f t="shared" si="213"/>
        <v>0.63318649045521291</v>
      </c>
      <c r="AL374" s="51">
        <v>188</v>
      </c>
      <c r="AM374" s="52">
        <f t="shared" si="214"/>
        <v>0.3036710719530103</v>
      </c>
      <c r="AN374" s="42">
        <f t="shared" si="190"/>
        <v>0.27606461086637296</v>
      </c>
      <c r="AO374" s="53">
        <f t="shared" si="191"/>
        <v>188</v>
      </c>
      <c r="AP374" s="52">
        <f t="shared" si="192"/>
        <v>0.3036710719530103</v>
      </c>
      <c r="AQ374" s="42">
        <f t="shared" si="193"/>
        <v>0.69016152716593249</v>
      </c>
      <c r="AR374" s="46">
        <v>46254</v>
      </c>
      <c r="AS374" s="46">
        <v>46255</v>
      </c>
      <c r="AT374" s="50">
        <f t="shared" si="194"/>
        <v>3</v>
      </c>
      <c r="AU374" s="50">
        <f t="shared" si="215"/>
        <v>334</v>
      </c>
      <c r="AV374" s="50">
        <f t="shared" si="195"/>
        <v>278</v>
      </c>
      <c r="AW374" s="54">
        <f t="shared" si="196"/>
        <v>56</v>
      </c>
    </row>
    <row r="375" spans="1:49" x14ac:dyDescent="0.25">
      <c r="A375" s="33" t="s">
        <v>55</v>
      </c>
      <c r="B375" s="33" t="s">
        <v>314</v>
      </c>
      <c r="C375" s="33" t="s">
        <v>315</v>
      </c>
      <c r="D375" s="33" t="s">
        <v>482</v>
      </c>
      <c r="E375" s="34">
        <f>COUNTIF('Detalle por artículo'!$K$8:$K$592,D375)</f>
        <v>1</v>
      </c>
      <c r="F375" s="35">
        <f t="shared" si="197"/>
        <v>215.55555555555554</v>
      </c>
      <c r="G375" s="36">
        <f>SUMIF('Detalle por artículo'!$K$8:$K$592,$D375,'Detalle por artículo'!$E$8:$E$592)</f>
        <v>1.08</v>
      </c>
      <c r="H375" s="35">
        <f t="shared" si="198"/>
        <v>1</v>
      </c>
      <c r="I375" s="35">
        <f t="shared" si="199"/>
        <v>2</v>
      </c>
      <c r="J375" s="35">
        <f t="shared" si="200"/>
        <v>3</v>
      </c>
      <c r="K375" s="37">
        <f t="shared" si="201"/>
        <v>3.8571428571428576E-2</v>
      </c>
      <c r="L375" s="36">
        <f>SUMIF('Detalle por artículo'!$K$8:$K$592,$D375,'Detalle por artículo'!$O$8:$O$592)</f>
        <v>232.8</v>
      </c>
      <c r="M375" s="38">
        <f>SUMIF('Detalle por artículo'!$K$8:$K$592,$D375,'Detalle por artículo'!$I$8:$I$592)</f>
        <v>1040</v>
      </c>
      <c r="N375" s="38">
        <f>SUMIF('Detalle por artículo'!$K$8:$K$592,$D375,'Detalle por artículo'!$M$8:$M$592)</f>
        <v>15</v>
      </c>
      <c r="O375" s="39">
        <f t="shared" si="202"/>
        <v>1.0384615384615385</v>
      </c>
      <c r="P375" s="40">
        <f t="shared" si="203"/>
        <v>223.84615384615387</v>
      </c>
      <c r="Q375" s="41">
        <f t="shared" si="204"/>
        <v>0.1</v>
      </c>
      <c r="R375" s="40">
        <f t="shared" si="205"/>
        <v>1.1880000000000002</v>
      </c>
      <c r="S375" s="42">
        <f>IFERROR(SUM($G$8:G375)/$G$6,0)</f>
        <v>0.97723451604982514</v>
      </c>
      <c r="T375" s="43" t="str">
        <f t="shared" si="206"/>
        <v>C</v>
      </c>
      <c r="U375" s="44">
        <v>1040</v>
      </c>
      <c r="V375" s="45">
        <f t="shared" si="187"/>
        <v>0</v>
      </c>
      <c r="W375" s="46">
        <v>46247</v>
      </c>
      <c r="X375" s="46">
        <v>46247</v>
      </c>
      <c r="Y375" s="47">
        <v>0</v>
      </c>
      <c r="Z375" s="48">
        <f t="shared" si="207"/>
        <v>0</v>
      </c>
      <c r="AA375" s="49">
        <f t="shared" si="208"/>
        <v>0</v>
      </c>
      <c r="AB375" s="44">
        <v>781</v>
      </c>
      <c r="AC375" s="44">
        <f t="shared" si="209"/>
        <v>383</v>
      </c>
      <c r="AD375" s="44">
        <f t="shared" si="210"/>
        <v>373</v>
      </c>
      <c r="AE375" s="50">
        <f t="shared" si="211"/>
        <v>49</v>
      </c>
      <c r="AF375" s="41">
        <f t="shared" si="212"/>
        <v>0.98</v>
      </c>
      <c r="AG375" s="44">
        <v>3</v>
      </c>
      <c r="AH375" s="44">
        <v>22</v>
      </c>
      <c r="AI375" s="42">
        <f t="shared" si="188"/>
        <v>0.36826923076923079</v>
      </c>
      <c r="AJ375" s="42">
        <f t="shared" si="189"/>
        <v>0.35865384615384616</v>
      </c>
      <c r="AK375" s="40">
        <f t="shared" si="213"/>
        <v>0.39773076923076928</v>
      </c>
      <c r="AL375" s="51">
        <v>258</v>
      </c>
      <c r="AM375" s="52">
        <f t="shared" si="214"/>
        <v>0.26792307692307699</v>
      </c>
      <c r="AN375" s="42">
        <f t="shared" si="190"/>
        <v>0.24807692307692308</v>
      </c>
      <c r="AO375" s="53">
        <f t="shared" si="191"/>
        <v>259</v>
      </c>
      <c r="AP375" s="52">
        <f t="shared" si="192"/>
        <v>0.26896153846153853</v>
      </c>
      <c r="AQ375" s="42">
        <f t="shared" si="193"/>
        <v>0.72692307692307689</v>
      </c>
      <c r="AR375" s="46">
        <v>46247</v>
      </c>
      <c r="AS375" s="46">
        <v>46248</v>
      </c>
      <c r="AT375" s="50">
        <f t="shared" si="194"/>
        <v>1</v>
      </c>
      <c r="AU375" s="50">
        <f t="shared" si="215"/>
        <v>166</v>
      </c>
      <c r="AV375" s="50">
        <f t="shared" si="195"/>
        <v>101</v>
      </c>
      <c r="AW375" s="54">
        <f t="shared" si="196"/>
        <v>65</v>
      </c>
    </row>
    <row r="376" spans="1:49" x14ac:dyDescent="0.25">
      <c r="A376" s="33" t="s">
        <v>55</v>
      </c>
      <c r="B376" s="33" t="s">
        <v>314</v>
      </c>
      <c r="C376" s="33" t="s">
        <v>315</v>
      </c>
      <c r="D376" s="33" t="s">
        <v>483</v>
      </c>
      <c r="E376" s="34">
        <f>COUNTIF('Detalle por artículo'!$K$8:$K$592,D376)</f>
        <v>1</v>
      </c>
      <c r="F376" s="35">
        <f t="shared" si="197"/>
        <v>167.03703703703704</v>
      </c>
      <c r="G376" s="36">
        <f>SUMIF('Detalle por artículo'!$K$8:$K$592,$D376,'Detalle por artículo'!$E$8:$E$592)</f>
        <v>1.08</v>
      </c>
      <c r="H376" s="35">
        <f t="shared" si="198"/>
        <v>1</v>
      </c>
      <c r="I376" s="35">
        <f t="shared" si="199"/>
        <v>2</v>
      </c>
      <c r="J376" s="35">
        <f t="shared" si="200"/>
        <v>3</v>
      </c>
      <c r="K376" s="37">
        <f t="shared" si="201"/>
        <v>3.8571428571428576E-2</v>
      </c>
      <c r="L376" s="36">
        <f>SUMIF('Detalle por artículo'!$K$8:$K$592,$D376,'Detalle por artículo'!$O$8:$O$592)</f>
        <v>180.4</v>
      </c>
      <c r="M376" s="38">
        <f>SUMIF('Detalle por artículo'!$K$8:$K$592,$D376,'Detalle por artículo'!$I$8:$I$592)</f>
        <v>762</v>
      </c>
      <c r="N376" s="38">
        <f>SUMIF('Detalle por artículo'!$K$8:$K$592,$D376,'Detalle por artículo'!$M$8:$M$592)</f>
        <v>15</v>
      </c>
      <c r="O376" s="39">
        <f t="shared" si="202"/>
        <v>1.4173228346456694</v>
      </c>
      <c r="P376" s="40">
        <f t="shared" si="203"/>
        <v>236.74540682414698</v>
      </c>
      <c r="Q376" s="41">
        <f t="shared" si="204"/>
        <v>0.15</v>
      </c>
      <c r="R376" s="40">
        <f t="shared" si="205"/>
        <v>1.242</v>
      </c>
      <c r="S376" s="42">
        <f>IFERROR(SUM($G$8:G376)/$G$6,0)</f>
        <v>0.97763137693898605</v>
      </c>
      <c r="T376" s="43" t="str">
        <f t="shared" si="206"/>
        <v>C</v>
      </c>
      <c r="U376" s="44">
        <v>762</v>
      </c>
      <c r="V376" s="45">
        <f t="shared" si="187"/>
        <v>0</v>
      </c>
      <c r="W376" s="46">
        <v>46247</v>
      </c>
      <c r="X376" s="46">
        <v>46247</v>
      </c>
      <c r="Y376" s="47">
        <v>0</v>
      </c>
      <c r="Z376" s="48">
        <f t="shared" si="207"/>
        <v>0</v>
      </c>
      <c r="AA376" s="49">
        <f t="shared" si="208"/>
        <v>0</v>
      </c>
      <c r="AB376" s="44">
        <v>466</v>
      </c>
      <c r="AC376" s="44">
        <f t="shared" si="209"/>
        <v>408</v>
      </c>
      <c r="AD376" s="44">
        <f t="shared" si="210"/>
        <v>47</v>
      </c>
      <c r="AE376" s="50">
        <f t="shared" si="211"/>
        <v>47</v>
      </c>
      <c r="AF376" s="41">
        <f t="shared" si="212"/>
        <v>0.94</v>
      </c>
      <c r="AG376" s="44">
        <v>3</v>
      </c>
      <c r="AH376" s="44">
        <v>8</v>
      </c>
      <c r="AI376" s="42">
        <f t="shared" si="188"/>
        <v>0.53543307086614178</v>
      </c>
      <c r="AJ376" s="42">
        <f t="shared" si="189"/>
        <v>6.1679790026246718E-2</v>
      </c>
      <c r="AK376" s="40">
        <f t="shared" si="213"/>
        <v>0.57826771653543307</v>
      </c>
      <c r="AL376" s="51">
        <v>294</v>
      </c>
      <c r="AM376" s="52">
        <f t="shared" si="214"/>
        <v>0.41669291338582687</v>
      </c>
      <c r="AN376" s="42">
        <f t="shared" si="190"/>
        <v>0.38582677165354329</v>
      </c>
      <c r="AO376" s="53">
        <f t="shared" si="191"/>
        <v>296</v>
      </c>
      <c r="AP376" s="52">
        <f t="shared" si="192"/>
        <v>0.41952755905511818</v>
      </c>
      <c r="AQ376" s="42">
        <f t="shared" si="193"/>
        <v>0.59711286089238846</v>
      </c>
      <c r="AR376" s="46">
        <v>46268</v>
      </c>
      <c r="AS376" s="46">
        <v>46268</v>
      </c>
      <c r="AT376" s="50">
        <f t="shared" si="194"/>
        <v>21</v>
      </c>
      <c r="AU376" s="50">
        <f t="shared" si="215"/>
        <v>268</v>
      </c>
      <c r="AV376" s="50">
        <f t="shared" si="195"/>
        <v>294</v>
      </c>
      <c r="AW376" s="54">
        <f t="shared" si="196"/>
        <v>-26</v>
      </c>
    </row>
    <row r="377" spans="1:49" x14ac:dyDescent="0.25">
      <c r="A377" s="33" t="s">
        <v>55</v>
      </c>
      <c r="B377" s="33" t="s">
        <v>314</v>
      </c>
      <c r="C377" s="33" t="s">
        <v>480</v>
      </c>
      <c r="D377" s="33" t="s">
        <v>484</v>
      </c>
      <c r="E377" s="34">
        <f>COUNTIF('Detalle por artículo'!$K$8:$K$592,D377)</f>
        <v>1</v>
      </c>
      <c r="F377" s="35">
        <f t="shared" si="197"/>
        <v>175.92592592592592</v>
      </c>
      <c r="G377" s="36">
        <f>SUMIF('Detalle por artículo'!$K$8:$K$592,$D377,'Detalle por artículo'!$E$8:$E$592)</f>
        <v>1.08</v>
      </c>
      <c r="H377" s="35">
        <f t="shared" si="198"/>
        <v>1</v>
      </c>
      <c r="I377" s="35">
        <f t="shared" si="199"/>
        <v>2</v>
      </c>
      <c r="J377" s="35">
        <f t="shared" si="200"/>
        <v>3</v>
      </c>
      <c r="K377" s="37">
        <f t="shared" si="201"/>
        <v>3.8571428571428576E-2</v>
      </c>
      <c r="L377" s="36">
        <f>SUMIF('Detalle por artículo'!$K$8:$K$592,$D377,'Detalle por artículo'!$O$8:$O$592)</f>
        <v>190</v>
      </c>
      <c r="M377" s="38">
        <f>SUMIF('Detalle por artículo'!$K$8:$K$592,$D377,'Detalle por artículo'!$I$8:$I$592)</f>
        <v>687</v>
      </c>
      <c r="N377" s="38">
        <f>SUMIF('Detalle por artículo'!$K$8:$K$592,$D377,'Detalle por artículo'!$M$8:$M$592)</f>
        <v>15</v>
      </c>
      <c r="O377" s="39">
        <f t="shared" si="202"/>
        <v>1.572052401746725</v>
      </c>
      <c r="P377" s="40">
        <f t="shared" si="203"/>
        <v>276.5647743813683</v>
      </c>
      <c r="Q377" s="41">
        <f t="shared" si="204"/>
        <v>0.15</v>
      </c>
      <c r="R377" s="40">
        <f t="shared" si="205"/>
        <v>1.242</v>
      </c>
      <c r="S377" s="42">
        <f>IFERROR(SUM($G$8:G377)/$G$6,0)</f>
        <v>0.97802823782814696</v>
      </c>
      <c r="T377" s="43" t="str">
        <f t="shared" si="206"/>
        <v>C</v>
      </c>
      <c r="U377" s="44">
        <v>687</v>
      </c>
      <c r="V377" s="45">
        <f t="shared" si="187"/>
        <v>0</v>
      </c>
      <c r="W377" s="46">
        <v>46244</v>
      </c>
      <c r="X377" s="46">
        <v>46244</v>
      </c>
      <c r="Y377" s="47">
        <v>0</v>
      </c>
      <c r="Z377" s="48">
        <f t="shared" si="207"/>
        <v>0</v>
      </c>
      <c r="AA377" s="49">
        <f t="shared" si="208"/>
        <v>0</v>
      </c>
      <c r="AB377" s="44">
        <v>598</v>
      </c>
      <c r="AC377" s="44">
        <f t="shared" si="209"/>
        <v>391</v>
      </c>
      <c r="AD377" s="44">
        <f t="shared" si="210"/>
        <v>184</v>
      </c>
      <c r="AE377" s="50">
        <f t="shared" si="211"/>
        <v>47</v>
      </c>
      <c r="AF377" s="41">
        <f t="shared" si="212"/>
        <v>0.94</v>
      </c>
      <c r="AG377" s="44">
        <v>4</v>
      </c>
      <c r="AH377" s="44">
        <v>21</v>
      </c>
      <c r="AI377" s="42">
        <f t="shared" si="188"/>
        <v>0.5691411935953421</v>
      </c>
      <c r="AJ377" s="42">
        <f t="shared" si="189"/>
        <v>0.26783114992721979</v>
      </c>
      <c r="AK377" s="40">
        <f t="shared" si="213"/>
        <v>0.61467248908296945</v>
      </c>
      <c r="AL377" s="51">
        <v>89</v>
      </c>
      <c r="AM377" s="52">
        <f t="shared" si="214"/>
        <v>0.13991266375545855</v>
      </c>
      <c r="AN377" s="42">
        <f t="shared" si="190"/>
        <v>0.12954876273653565</v>
      </c>
      <c r="AO377" s="53">
        <f t="shared" si="191"/>
        <v>89</v>
      </c>
      <c r="AP377" s="52">
        <f t="shared" si="192"/>
        <v>0.13991266375545855</v>
      </c>
      <c r="AQ377" s="42">
        <f t="shared" si="193"/>
        <v>0.83697234352256189</v>
      </c>
      <c r="AR377" s="46">
        <v>46254</v>
      </c>
      <c r="AS377" s="46">
        <v>46255</v>
      </c>
      <c r="AT377" s="50">
        <f t="shared" si="194"/>
        <v>11</v>
      </c>
      <c r="AU377" s="50">
        <f t="shared" si="215"/>
        <v>327</v>
      </c>
      <c r="AV377" s="50">
        <f t="shared" si="195"/>
        <v>192</v>
      </c>
      <c r="AW377" s="54">
        <f t="shared" si="196"/>
        <v>135</v>
      </c>
    </row>
    <row r="378" spans="1:49" x14ac:dyDescent="0.25">
      <c r="A378" s="33" t="s">
        <v>55</v>
      </c>
      <c r="B378" s="33" t="s">
        <v>302</v>
      </c>
      <c r="C378" s="33" t="s">
        <v>303</v>
      </c>
      <c r="D378" s="33" t="s">
        <v>485</v>
      </c>
      <c r="E378" s="34">
        <f>COUNTIF('Detalle por artículo'!$K$8:$K$592,D378)</f>
        <v>1</v>
      </c>
      <c r="F378" s="35">
        <f t="shared" si="197"/>
        <v>172.12962962962962</v>
      </c>
      <c r="G378" s="36">
        <f>SUMIF('Detalle por artículo'!$K$8:$K$592,$D378,'Detalle por artículo'!$E$8:$E$592)</f>
        <v>1.08</v>
      </c>
      <c r="H378" s="35">
        <f t="shared" si="198"/>
        <v>1</v>
      </c>
      <c r="I378" s="35">
        <f t="shared" si="199"/>
        <v>2</v>
      </c>
      <c r="J378" s="35">
        <f t="shared" si="200"/>
        <v>3</v>
      </c>
      <c r="K378" s="37">
        <f t="shared" si="201"/>
        <v>3.8571428571428576E-2</v>
      </c>
      <c r="L378" s="36">
        <f>SUMIF('Detalle por artículo'!$K$8:$K$592,$D378,'Detalle por artículo'!$O$8:$O$592)</f>
        <v>185.9</v>
      </c>
      <c r="M378" s="38">
        <f>SUMIF('Detalle por artículo'!$K$8:$K$592,$D378,'Detalle por artículo'!$I$8:$I$592)</f>
        <v>539</v>
      </c>
      <c r="N378" s="38">
        <f>SUMIF('Detalle por artículo'!$K$8:$K$592,$D378,'Detalle por artículo'!$M$8:$M$592)</f>
        <v>15</v>
      </c>
      <c r="O378" s="39">
        <f t="shared" si="202"/>
        <v>2.0037105751391464</v>
      </c>
      <c r="P378" s="40">
        <f t="shared" si="203"/>
        <v>344.89795918367349</v>
      </c>
      <c r="Q378" s="41">
        <f t="shared" si="204"/>
        <v>0.15</v>
      </c>
      <c r="R378" s="40">
        <f t="shared" si="205"/>
        <v>1.242</v>
      </c>
      <c r="S378" s="42">
        <f>IFERROR(SUM($G$8:G378)/$G$6,0)</f>
        <v>0.97842509871730787</v>
      </c>
      <c r="T378" s="43" t="str">
        <f t="shared" si="206"/>
        <v>C</v>
      </c>
      <c r="U378" s="44">
        <v>539</v>
      </c>
      <c r="V378" s="45">
        <f t="shared" si="187"/>
        <v>0</v>
      </c>
      <c r="W378" s="46">
        <v>46261</v>
      </c>
      <c r="X378" s="46">
        <v>46261</v>
      </c>
      <c r="Y378" s="47">
        <v>0</v>
      </c>
      <c r="Z378" s="48">
        <f t="shared" si="207"/>
        <v>0</v>
      </c>
      <c r="AA378" s="49">
        <f t="shared" si="208"/>
        <v>0</v>
      </c>
      <c r="AB378" s="44">
        <v>518</v>
      </c>
      <c r="AC378" s="44">
        <f t="shared" si="209"/>
        <v>473</v>
      </c>
      <c r="AD378" s="44">
        <f t="shared" si="210"/>
        <v>31</v>
      </c>
      <c r="AE378" s="50">
        <f t="shared" si="211"/>
        <v>47</v>
      </c>
      <c r="AF378" s="41">
        <f t="shared" si="212"/>
        <v>0.94</v>
      </c>
      <c r="AG378" s="44">
        <v>8</v>
      </c>
      <c r="AH378" s="44">
        <v>6</v>
      </c>
      <c r="AI378" s="42">
        <f t="shared" si="188"/>
        <v>0.87755102040816324</v>
      </c>
      <c r="AJ378" s="42">
        <f t="shared" si="189"/>
        <v>5.7513914656771803E-2</v>
      </c>
      <c r="AK378" s="40">
        <f t="shared" si="213"/>
        <v>0.94775510204081626</v>
      </c>
      <c r="AL378" s="51">
        <v>19</v>
      </c>
      <c r="AM378" s="52">
        <f t="shared" si="214"/>
        <v>3.8070500927643788E-2</v>
      </c>
      <c r="AN378" s="42">
        <f t="shared" si="190"/>
        <v>3.525046382189239E-2</v>
      </c>
      <c r="AO378" s="53">
        <f t="shared" si="191"/>
        <v>21</v>
      </c>
      <c r="AP378" s="52">
        <f t="shared" si="192"/>
        <v>4.2077922077922075E-2</v>
      </c>
      <c r="AQ378" s="42">
        <f t="shared" si="193"/>
        <v>0.93506493506493504</v>
      </c>
      <c r="AR378" s="46">
        <v>46274</v>
      </c>
      <c r="AS378" s="46">
        <v>46279</v>
      </c>
      <c r="AT378" s="50">
        <f t="shared" si="194"/>
        <v>18</v>
      </c>
      <c r="AU378" s="50">
        <f t="shared" si="215"/>
        <v>417</v>
      </c>
      <c r="AV378" s="50">
        <f t="shared" si="195"/>
        <v>262</v>
      </c>
      <c r="AW378" s="54">
        <f t="shared" si="196"/>
        <v>155</v>
      </c>
    </row>
    <row r="379" spans="1:49" x14ac:dyDescent="0.25">
      <c r="A379" s="33" t="s">
        <v>55</v>
      </c>
      <c r="B379" s="33" t="s">
        <v>302</v>
      </c>
      <c r="C379" s="33" t="s">
        <v>303</v>
      </c>
      <c r="D379" s="33" t="s">
        <v>486</v>
      </c>
      <c r="E379" s="34">
        <f>COUNTIF('Detalle por artículo'!$K$8:$K$592,D379)</f>
        <v>1</v>
      </c>
      <c r="F379" s="35">
        <f t="shared" si="197"/>
        <v>229.26136363636365</v>
      </c>
      <c r="G379" s="36">
        <f>SUMIF('Detalle por artículo'!$K$8:$K$592,$D379,'Detalle por artículo'!$E$8:$E$592)</f>
        <v>1.056</v>
      </c>
      <c r="H379" s="35">
        <f t="shared" si="198"/>
        <v>1</v>
      </c>
      <c r="I379" s="35">
        <f t="shared" si="199"/>
        <v>2</v>
      </c>
      <c r="J379" s="35">
        <f t="shared" si="200"/>
        <v>3</v>
      </c>
      <c r="K379" s="37">
        <f t="shared" si="201"/>
        <v>3.7714285714285714E-2</v>
      </c>
      <c r="L379" s="36">
        <f>SUMIF('Detalle por artículo'!$K$8:$K$592,$D379,'Detalle por artículo'!$O$8:$O$592)</f>
        <v>242.10000000000002</v>
      </c>
      <c r="M379" s="38">
        <f>SUMIF('Detalle por artículo'!$K$8:$K$592,$D379,'Detalle por artículo'!$I$8:$I$592)</f>
        <v>616</v>
      </c>
      <c r="N379" s="38">
        <f>SUMIF('Detalle por artículo'!$K$8:$K$592,$D379,'Detalle por artículo'!$M$8:$M$592)</f>
        <v>11</v>
      </c>
      <c r="O379" s="39">
        <f t="shared" si="202"/>
        <v>1.7142857142857144</v>
      </c>
      <c r="P379" s="40">
        <f t="shared" si="203"/>
        <v>393.01948051948057</v>
      </c>
      <c r="Q379" s="41">
        <f t="shared" si="204"/>
        <v>0.1</v>
      </c>
      <c r="R379" s="40">
        <f t="shared" si="205"/>
        <v>1.1616000000000002</v>
      </c>
      <c r="S379" s="42">
        <f>IFERROR(SUM($G$8:G379)/$G$6,0)</f>
        <v>0.97881314047559864</v>
      </c>
      <c r="T379" s="43" t="str">
        <f t="shared" si="206"/>
        <v>C</v>
      </c>
      <c r="U379" s="44">
        <v>616</v>
      </c>
      <c r="V379" s="45">
        <f t="shared" si="187"/>
        <v>0</v>
      </c>
      <c r="W379" s="46">
        <v>46247</v>
      </c>
      <c r="X379" s="46">
        <v>46247</v>
      </c>
      <c r="Y379" s="47">
        <v>0</v>
      </c>
      <c r="Z379" s="48">
        <f t="shared" si="207"/>
        <v>0</v>
      </c>
      <c r="AA379" s="49">
        <f t="shared" si="208"/>
        <v>0</v>
      </c>
      <c r="AB379" s="44">
        <v>536</v>
      </c>
      <c r="AC379" s="44">
        <f t="shared" si="209"/>
        <v>409</v>
      </c>
      <c r="AD379" s="44">
        <f t="shared" si="210"/>
        <v>114</v>
      </c>
      <c r="AE379" s="50">
        <f t="shared" si="211"/>
        <v>48</v>
      </c>
      <c r="AF379" s="41">
        <f t="shared" si="212"/>
        <v>0.96</v>
      </c>
      <c r="AG379" s="44">
        <v>5</v>
      </c>
      <c r="AH379" s="44">
        <v>8</v>
      </c>
      <c r="AI379" s="42">
        <f t="shared" si="188"/>
        <v>0.66396103896103897</v>
      </c>
      <c r="AJ379" s="42">
        <f t="shared" si="189"/>
        <v>0.18506493506493507</v>
      </c>
      <c r="AK379" s="40">
        <f t="shared" si="213"/>
        <v>0.70114285714285718</v>
      </c>
      <c r="AL379" s="51">
        <v>80</v>
      </c>
      <c r="AM379" s="52">
        <f t="shared" si="214"/>
        <v>0.13714285714285718</v>
      </c>
      <c r="AN379" s="42">
        <f t="shared" si="190"/>
        <v>0.12987012987012986</v>
      </c>
      <c r="AO379" s="53">
        <f t="shared" si="191"/>
        <v>80</v>
      </c>
      <c r="AP379" s="52">
        <f t="shared" si="192"/>
        <v>0.13714285714285718</v>
      </c>
      <c r="AQ379" s="42">
        <f t="shared" si="193"/>
        <v>0.84902597402597402</v>
      </c>
      <c r="AR379" s="46">
        <v>46254</v>
      </c>
      <c r="AS379" s="46">
        <v>46255</v>
      </c>
      <c r="AT379" s="50">
        <f t="shared" si="194"/>
        <v>8</v>
      </c>
      <c r="AU379" s="50">
        <f t="shared" si="215"/>
        <v>388</v>
      </c>
      <c r="AV379" s="50">
        <f t="shared" si="195"/>
        <v>246</v>
      </c>
      <c r="AW379" s="54">
        <f t="shared" si="196"/>
        <v>142</v>
      </c>
    </row>
    <row r="380" spans="1:49" x14ac:dyDescent="0.25">
      <c r="A380" s="33" t="s">
        <v>138</v>
      </c>
      <c r="B380" s="33" t="s">
        <v>393</v>
      </c>
      <c r="C380" s="33" t="s">
        <v>122</v>
      </c>
      <c r="D380" s="33" t="s">
        <v>487</v>
      </c>
      <c r="E380" s="34">
        <f>COUNTIF('Detalle por artículo'!$K$8:$K$592,D380)</f>
        <v>1</v>
      </c>
      <c r="F380" s="35">
        <f t="shared" si="197"/>
        <v>192.04545454545456</v>
      </c>
      <c r="G380" s="36">
        <f>SUMIF('Detalle por artículo'!$K$8:$K$592,$D380,'Detalle por artículo'!$E$8:$E$592)</f>
        <v>1.056</v>
      </c>
      <c r="H380" s="35">
        <f t="shared" si="198"/>
        <v>1</v>
      </c>
      <c r="I380" s="35">
        <f t="shared" si="199"/>
        <v>2</v>
      </c>
      <c r="J380" s="35">
        <f t="shared" si="200"/>
        <v>3</v>
      </c>
      <c r="K380" s="37">
        <f t="shared" si="201"/>
        <v>3.7714285714285714E-2</v>
      </c>
      <c r="L380" s="36">
        <f>SUMIF('Detalle por artículo'!$K$8:$K$592,$D380,'Detalle por artículo'!$O$8:$O$592)</f>
        <v>202.8</v>
      </c>
      <c r="M380" s="38">
        <f>SUMIF('Detalle por artículo'!$K$8:$K$592,$D380,'Detalle por artículo'!$I$8:$I$592)</f>
        <v>426</v>
      </c>
      <c r="N380" s="38">
        <f>SUMIF('Detalle por artículo'!$K$8:$K$592,$D380,'Detalle por artículo'!$M$8:$M$592)</f>
        <v>11</v>
      </c>
      <c r="O380" s="39">
        <f t="shared" si="202"/>
        <v>2.47887323943662</v>
      </c>
      <c r="P380" s="40">
        <f t="shared" si="203"/>
        <v>476.05633802816902</v>
      </c>
      <c r="Q380" s="41">
        <f t="shared" si="204"/>
        <v>0.15</v>
      </c>
      <c r="R380" s="40">
        <f t="shared" si="205"/>
        <v>1.2143999999999999</v>
      </c>
      <c r="S380" s="42">
        <f>IFERROR(SUM($G$8:G380)/$G$6,0)</f>
        <v>0.9792011822338893</v>
      </c>
      <c r="T380" s="43" t="str">
        <f t="shared" si="206"/>
        <v>C</v>
      </c>
      <c r="U380" s="44">
        <v>426</v>
      </c>
      <c r="V380" s="45">
        <f t="shared" si="187"/>
        <v>0</v>
      </c>
      <c r="W380" s="46">
        <v>46237</v>
      </c>
      <c r="X380" s="46">
        <v>46237</v>
      </c>
      <c r="Y380" s="47">
        <v>0</v>
      </c>
      <c r="Z380" s="48">
        <f t="shared" si="207"/>
        <v>0</v>
      </c>
      <c r="AA380" s="49">
        <f t="shared" si="208"/>
        <v>0</v>
      </c>
      <c r="AB380" s="44">
        <v>232</v>
      </c>
      <c r="AC380" s="44">
        <f t="shared" si="209"/>
        <v>199</v>
      </c>
      <c r="AD380" s="44">
        <f t="shared" si="210"/>
        <v>27</v>
      </c>
      <c r="AE380" s="50">
        <f t="shared" si="211"/>
        <v>34</v>
      </c>
      <c r="AF380" s="41">
        <f t="shared" si="212"/>
        <v>0.68</v>
      </c>
      <c r="AG380" s="44">
        <v>0</v>
      </c>
      <c r="AH380" s="44">
        <v>6</v>
      </c>
      <c r="AI380" s="42">
        <f t="shared" si="188"/>
        <v>0.46713615023474181</v>
      </c>
      <c r="AJ380" s="42">
        <f t="shared" si="189"/>
        <v>6.3380281690140844E-2</v>
      </c>
      <c r="AK380" s="40">
        <f t="shared" si="213"/>
        <v>0.49329577464788738</v>
      </c>
      <c r="AL380" s="51">
        <v>194</v>
      </c>
      <c r="AM380" s="52">
        <f t="shared" si="214"/>
        <v>0.48090140845070423</v>
      </c>
      <c r="AN380" s="42">
        <f t="shared" si="190"/>
        <v>0.45539906103286387</v>
      </c>
      <c r="AO380" s="53">
        <f t="shared" si="191"/>
        <v>194</v>
      </c>
      <c r="AP380" s="52">
        <f t="shared" si="192"/>
        <v>0.48090140845070423</v>
      </c>
      <c r="AQ380" s="42">
        <f t="shared" si="193"/>
        <v>0.53051643192488263</v>
      </c>
      <c r="AR380" s="46">
        <v>46254</v>
      </c>
      <c r="AS380" s="46">
        <v>46254</v>
      </c>
      <c r="AT380" s="50">
        <f t="shared" si="194"/>
        <v>17</v>
      </c>
      <c r="AU380" s="50">
        <f t="shared" si="215"/>
        <v>442</v>
      </c>
      <c r="AV380" s="50">
        <f t="shared" si="195"/>
        <v>375</v>
      </c>
      <c r="AW380" s="54">
        <f t="shared" si="196"/>
        <v>67</v>
      </c>
    </row>
    <row r="381" spans="1:49" x14ac:dyDescent="0.25">
      <c r="A381" s="33" t="s">
        <v>63</v>
      </c>
      <c r="B381" s="33" t="s">
        <v>263</v>
      </c>
      <c r="C381" s="33" t="s">
        <v>264</v>
      </c>
      <c r="D381" s="33" t="s">
        <v>488</v>
      </c>
      <c r="E381" s="34">
        <f>COUNTIF('Detalle por artículo'!$K$8:$K$592,D381)</f>
        <v>1</v>
      </c>
      <c r="F381" s="35">
        <f t="shared" si="197"/>
        <v>206.53409090909093</v>
      </c>
      <c r="G381" s="36">
        <f>SUMIF('Detalle por artículo'!$K$8:$K$592,$D381,'Detalle por artículo'!$E$8:$E$592)</f>
        <v>1.056</v>
      </c>
      <c r="H381" s="35">
        <f t="shared" si="198"/>
        <v>1</v>
      </c>
      <c r="I381" s="35">
        <f t="shared" si="199"/>
        <v>2</v>
      </c>
      <c r="J381" s="35">
        <f t="shared" si="200"/>
        <v>3</v>
      </c>
      <c r="K381" s="37">
        <f t="shared" si="201"/>
        <v>3.7714285714285714E-2</v>
      </c>
      <c r="L381" s="36">
        <f>SUMIF('Detalle por artículo'!$K$8:$K$592,$D381,'Detalle por artículo'!$O$8:$O$592)</f>
        <v>218.10000000000002</v>
      </c>
      <c r="M381" s="38">
        <f>SUMIF('Detalle por artículo'!$K$8:$K$592,$D381,'Detalle por artículo'!$I$8:$I$592)</f>
        <v>770</v>
      </c>
      <c r="N381" s="38">
        <f>SUMIF('Detalle por artículo'!$K$8:$K$592,$D381,'Detalle por artículo'!$M$8:$M$592)</f>
        <v>11</v>
      </c>
      <c r="O381" s="39">
        <f t="shared" si="202"/>
        <v>1.3714285714285714</v>
      </c>
      <c r="P381" s="40">
        <f t="shared" si="203"/>
        <v>283.24675324675331</v>
      </c>
      <c r="Q381" s="41">
        <f t="shared" si="204"/>
        <v>0.1</v>
      </c>
      <c r="R381" s="40">
        <f t="shared" si="205"/>
        <v>1.1616000000000002</v>
      </c>
      <c r="S381" s="42">
        <f>IFERROR(SUM($G$8:G381)/$G$6,0)</f>
        <v>0.97958922399218007</v>
      </c>
      <c r="T381" s="43" t="str">
        <f t="shared" si="206"/>
        <v>C</v>
      </c>
      <c r="U381" s="44">
        <v>770</v>
      </c>
      <c r="V381" s="45">
        <f t="shared" si="187"/>
        <v>0</v>
      </c>
      <c r="W381" s="46">
        <v>46233</v>
      </c>
      <c r="X381" s="46">
        <v>46233</v>
      </c>
      <c r="Y381" s="47">
        <v>0</v>
      </c>
      <c r="Z381" s="48">
        <f t="shared" si="207"/>
        <v>0</v>
      </c>
      <c r="AA381" s="49">
        <f t="shared" si="208"/>
        <v>0</v>
      </c>
      <c r="AB381" s="44">
        <v>713</v>
      </c>
      <c r="AC381" s="44">
        <f t="shared" si="209"/>
        <v>584</v>
      </c>
      <c r="AD381" s="44">
        <f t="shared" si="210"/>
        <v>118</v>
      </c>
      <c r="AE381" s="50">
        <f t="shared" si="211"/>
        <v>48</v>
      </c>
      <c r="AF381" s="41">
        <f t="shared" si="212"/>
        <v>0.96</v>
      </c>
      <c r="AG381" s="44">
        <v>0</v>
      </c>
      <c r="AH381" s="44">
        <v>11</v>
      </c>
      <c r="AI381" s="42">
        <f t="shared" si="188"/>
        <v>0.75844155844155847</v>
      </c>
      <c r="AJ381" s="42">
        <f t="shared" si="189"/>
        <v>0.15324675324675324</v>
      </c>
      <c r="AK381" s="40">
        <f t="shared" si="213"/>
        <v>0.80091428571428569</v>
      </c>
      <c r="AL381" s="51">
        <v>57</v>
      </c>
      <c r="AM381" s="52">
        <f t="shared" si="214"/>
        <v>7.8171428571428572E-2</v>
      </c>
      <c r="AN381" s="42">
        <f t="shared" si="190"/>
        <v>7.4025974025974023E-2</v>
      </c>
      <c r="AO381" s="53">
        <f t="shared" si="191"/>
        <v>57</v>
      </c>
      <c r="AP381" s="52">
        <f t="shared" si="192"/>
        <v>7.8171428571428572E-2</v>
      </c>
      <c r="AQ381" s="42">
        <f t="shared" si="193"/>
        <v>0.91168831168831166</v>
      </c>
      <c r="AR381" s="46">
        <v>46238</v>
      </c>
      <c r="AS381" s="46">
        <v>46238</v>
      </c>
      <c r="AT381" s="50">
        <f t="shared" si="194"/>
        <v>5</v>
      </c>
      <c r="AU381" s="50">
        <f t="shared" si="215"/>
        <v>262</v>
      </c>
      <c r="AV381" s="50">
        <f t="shared" si="195"/>
        <v>118</v>
      </c>
      <c r="AW381" s="54">
        <f t="shared" si="196"/>
        <v>144</v>
      </c>
    </row>
    <row r="382" spans="1:49" x14ac:dyDescent="0.25">
      <c r="A382" s="33" t="s">
        <v>63</v>
      </c>
      <c r="B382" s="33" t="s">
        <v>171</v>
      </c>
      <c r="C382" s="33" t="s">
        <v>363</v>
      </c>
      <c r="D382" s="33" t="s">
        <v>489</v>
      </c>
      <c r="E382" s="34">
        <f>COUNTIF('Detalle por artículo'!$K$8:$K$592,D382)</f>
        <v>1</v>
      </c>
      <c r="F382" s="35">
        <f t="shared" si="197"/>
        <v>202.17803030303028</v>
      </c>
      <c r="G382" s="36">
        <f>SUMIF('Detalle por artículo'!$K$8:$K$592,$D382,'Detalle por artículo'!$E$8:$E$592)</f>
        <v>1.056</v>
      </c>
      <c r="H382" s="35">
        <f t="shared" si="198"/>
        <v>1</v>
      </c>
      <c r="I382" s="35">
        <f t="shared" si="199"/>
        <v>2</v>
      </c>
      <c r="J382" s="35">
        <f t="shared" si="200"/>
        <v>3</v>
      </c>
      <c r="K382" s="37">
        <f t="shared" si="201"/>
        <v>3.7714285714285714E-2</v>
      </c>
      <c r="L382" s="36">
        <f>SUMIF('Detalle por artículo'!$K$8:$K$592,$D382,'Detalle por artículo'!$O$8:$O$592)</f>
        <v>213.5</v>
      </c>
      <c r="M382" s="38">
        <f>SUMIF('Detalle por artículo'!$K$8:$K$592,$D382,'Detalle por artículo'!$I$8:$I$592)</f>
        <v>647</v>
      </c>
      <c r="N382" s="38">
        <f>SUMIF('Detalle por artículo'!$K$8:$K$592,$D382,'Detalle por artículo'!$M$8:$M$592)</f>
        <v>11</v>
      </c>
      <c r="O382" s="39">
        <f t="shared" si="202"/>
        <v>1.6321483771251932</v>
      </c>
      <c r="P382" s="40">
        <f t="shared" si="203"/>
        <v>329.98454404945903</v>
      </c>
      <c r="Q382" s="41">
        <f t="shared" si="204"/>
        <v>0.1</v>
      </c>
      <c r="R382" s="40">
        <f t="shared" si="205"/>
        <v>1.1616000000000002</v>
      </c>
      <c r="S382" s="42">
        <f>IFERROR(SUM($G$8:G382)/$G$6,0)</f>
        <v>0.97997726575047073</v>
      </c>
      <c r="T382" s="43" t="str">
        <f t="shared" si="206"/>
        <v>C</v>
      </c>
      <c r="U382" s="44">
        <v>647</v>
      </c>
      <c r="V382" s="45">
        <f t="shared" si="187"/>
        <v>0</v>
      </c>
      <c r="W382" s="46">
        <v>46261</v>
      </c>
      <c r="X382" s="46">
        <v>46261</v>
      </c>
      <c r="Y382" s="47">
        <v>0</v>
      </c>
      <c r="Z382" s="48">
        <f t="shared" si="207"/>
        <v>0</v>
      </c>
      <c r="AA382" s="49">
        <f t="shared" si="208"/>
        <v>0</v>
      </c>
      <c r="AB382" s="44">
        <v>494</v>
      </c>
      <c r="AC382" s="44">
        <f t="shared" si="209"/>
        <v>463</v>
      </c>
      <c r="AD382" s="44">
        <f t="shared" si="210"/>
        <v>29</v>
      </c>
      <c r="AE382" s="50">
        <f t="shared" si="211"/>
        <v>48</v>
      </c>
      <c r="AF382" s="41">
        <f t="shared" si="212"/>
        <v>0.96</v>
      </c>
      <c r="AG382" s="44">
        <v>2</v>
      </c>
      <c r="AH382" s="44">
        <v>0</v>
      </c>
      <c r="AI382" s="42">
        <f t="shared" si="188"/>
        <v>0.71561051004636789</v>
      </c>
      <c r="AJ382" s="42">
        <f t="shared" si="189"/>
        <v>4.482225656877898E-2</v>
      </c>
      <c r="AK382" s="40">
        <f t="shared" si="213"/>
        <v>0.75568469860896448</v>
      </c>
      <c r="AL382" s="51">
        <v>153</v>
      </c>
      <c r="AM382" s="52">
        <f t="shared" si="214"/>
        <v>0.24971870170015456</v>
      </c>
      <c r="AN382" s="42">
        <f t="shared" si="190"/>
        <v>0.23647604327666152</v>
      </c>
      <c r="AO382" s="53">
        <f t="shared" si="191"/>
        <v>153</v>
      </c>
      <c r="AP382" s="52">
        <f t="shared" si="192"/>
        <v>0.24971870170015456</v>
      </c>
      <c r="AQ382" s="42">
        <f t="shared" si="193"/>
        <v>0.7604327666151468</v>
      </c>
      <c r="AR382" s="46">
        <v>46292</v>
      </c>
      <c r="AS382" s="46">
        <v>46293</v>
      </c>
      <c r="AT382" s="50">
        <f t="shared" si="194"/>
        <v>32</v>
      </c>
      <c r="AU382" s="50">
        <f t="shared" si="215"/>
        <v>362</v>
      </c>
      <c r="AV382" s="50">
        <f t="shared" si="195"/>
        <v>277</v>
      </c>
      <c r="AW382" s="54">
        <f t="shared" si="196"/>
        <v>85</v>
      </c>
    </row>
    <row r="383" spans="1:49" x14ac:dyDescent="0.25">
      <c r="A383" s="33" t="s">
        <v>55</v>
      </c>
      <c r="B383" s="33" t="s">
        <v>302</v>
      </c>
      <c r="C383" s="33" t="s">
        <v>303</v>
      </c>
      <c r="D383" s="33" t="s">
        <v>490</v>
      </c>
      <c r="E383" s="34">
        <f>COUNTIF('Detalle por artículo'!$K$8:$K$592,D383)</f>
        <v>1</v>
      </c>
      <c r="F383" s="35">
        <f t="shared" si="197"/>
        <v>148.95833333333334</v>
      </c>
      <c r="G383" s="36">
        <f>SUMIF('Detalle por artículo'!$K$8:$K$592,$D383,'Detalle por artículo'!$E$8:$E$592)</f>
        <v>1.056</v>
      </c>
      <c r="H383" s="35">
        <f t="shared" si="198"/>
        <v>1</v>
      </c>
      <c r="I383" s="35">
        <f t="shared" si="199"/>
        <v>2</v>
      </c>
      <c r="J383" s="35">
        <f t="shared" si="200"/>
        <v>3</v>
      </c>
      <c r="K383" s="37">
        <f t="shared" si="201"/>
        <v>3.7714285714285714E-2</v>
      </c>
      <c r="L383" s="36">
        <f>SUMIF('Detalle por artículo'!$K$8:$K$592,$D383,'Detalle por artículo'!$O$8:$O$592)</f>
        <v>157.30000000000001</v>
      </c>
      <c r="M383" s="38">
        <f>SUMIF('Detalle por artículo'!$K$8:$K$592,$D383,'Detalle por artículo'!$I$8:$I$592)</f>
        <v>575</v>
      </c>
      <c r="N383" s="38">
        <f>SUMIF('Detalle por artículo'!$K$8:$K$592,$D383,'Detalle por artículo'!$M$8:$M$592)</f>
        <v>11</v>
      </c>
      <c r="O383" s="39">
        <f t="shared" si="202"/>
        <v>1.8365217391304349</v>
      </c>
      <c r="P383" s="40">
        <f t="shared" si="203"/>
        <v>273.56521739130437</v>
      </c>
      <c r="Q383" s="41">
        <f t="shared" si="204"/>
        <v>0.15</v>
      </c>
      <c r="R383" s="40">
        <f t="shared" si="205"/>
        <v>1.2143999999999999</v>
      </c>
      <c r="S383" s="42">
        <f>IFERROR(SUM($G$8:G383)/$G$6,0)</f>
        <v>0.9803653075087615</v>
      </c>
      <c r="T383" s="43" t="str">
        <f t="shared" si="206"/>
        <v>C</v>
      </c>
      <c r="U383" s="44">
        <v>558</v>
      </c>
      <c r="V383" s="45">
        <f t="shared" si="187"/>
        <v>-17</v>
      </c>
      <c r="W383" s="46">
        <v>46261</v>
      </c>
      <c r="X383" s="46">
        <v>46261</v>
      </c>
      <c r="Y383" s="47">
        <v>19</v>
      </c>
      <c r="Z383" s="48">
        <f t="shared" si="207"/>
        <v>3.4893913043478261E-2</v>
      </c>
      <c r="AA383" s="49">
        <f t="shared" si="208"/>
        <v>1.2462111801242236E-3</v>
      </c>
      <c r="AB383" s="44">
        <v>271</v>
      </c>
      <c r="AC383" s="44">
        <f t="shared" si="209"/>
        <v>331</v>
      </c>
      <c r="AD383" s="44">
        <f t="shared" si="210"/>
        <v>40</v>
      </c>
      <c r="AE383" s="50">
        <f t="shared" si="211"/>
        <v>38</v>
      </c>
      <c r="AF383" s="41">
        <f t="shared" si="212"/>
        <v>0.76</v>
      </c>
      <c r="AG383" s="44">
        <v>2</v>
      </c>
      <c r="AH383" s="44">
        <v>0</v>
      </c>
      <c r="AI383" s="42">
        <f t="shared" si="188"/>
        <v>0.57565217391304346</v>
      </c>
      <c r="AJ383" s="42">
        <f t="shared" si="189"/>
        <v>6.9565217391304349E-2</v>
      </c>
      <c r="AK383" s="40">
        <f t="shared" si="213"/>
        <v>0.60788869565217396</v>
      </c>
      <c r="AL383" s="51">
        <v>287</v>
      </c>
      <c r="AM383" s="52">
        <f t="shared" si="214"/>
        <v>0.52708173913043477</v>
      </c>
      <c r="AN383" s="42">
        <f t="shared" si="190"/>
        <v>0.51433691756272404</v>
      </c>
      <c r="AO383" s="53">
        <f t="shared" si="191"/>
        <v>304</v>
      </c>
      <c r="AP383" s="52">
        <f t="shared" si="192"/>
        <v>0.55830260869565218</v>
      </c>
      <c r="AQ383" s="42">
        <f t="shared" si="193"/>
        <v>0.64521739130434785</v>
      </c>
      <c r="AR383" s="46">
        <v>46292</v>
      </c>
      <c r="AS383" s="46">
        <v>46293</v>
      </c>
      <c r="AT383" s="50">
        <f t="shared" si="194"/>
        <v>32</v>
      </c>
      <c r="AU383" s="50">
        <f t="shared" si="215"/>
        <v>407</v>
      </c>
      <c r="AV383" s="50">
        <f t="shared" si="195"/>
        <v>357</v>
      </c>
      <c r="AW383" s="54">
        <f t="shared" si="196"/>
        <v>50</v>
      </c>
    </row>
    <row r="384" spans="1:49" x14ac:dyDescent="0.25">
      <c r="A384" s="33" t="s">
        <v>138</v>
      </c>
      <c r="B384" s="33" t="s">
        <v>393</v>
      </c>
      <c r="C384" s="33" t="s">
        <v>122</v>
      </c>
      <c r="D384" s="33" t="s">
        <v>491</v>
      </c>
      <c r="E384" s="34">
        <f>COUNTIF('Detalle por artículo'!$K$8:$K$592,D384)</f>
        <v>1</v>
      </c>
      <c r="F384" s="35">
        <f t="shared" si="197"/>
        <v>182.57575757575759</v>
      </c>
      <c r="G384" s="36">
        <f>SUMIF('Detalle por artículo'!$K$8:$K$592,$D384,'Detalle por artículo'!$E$8:$E$592)</f>
        <v>1.056</v>
      </c>
      <c r="H384" s="35">
        <f t="shared" si="198"/>
        <v>1</v>
      </c>
      <c r="I384" s="35">
        <f t="shared" si="199"/>
        <v>2</v>
      </c>
      <c r="J384" s="35">
        <f t="shared" si="200"/>
        <v>3</v>
      </c>
      <c r="K384" s="37">
        <f t="shared" si="201"/>
        <v>3.7714285714285714E-2</v>
      </c>
      <c r="L384" s="36">
        <f>SUMIF('Detalle por artículo'!$K$8:$K$592,$D384,'Detalle por artículo'!$O$8:$O$592)</f>
        <v>192.8</v>
      </c>
      <c r="M384" s="38">
        <f>SUMIF('Detalle por artículo'!$K$8:$K$592,$D384,'Detalle por artículo'!$I$8:$I$592)</f>
        <v>412</v>
      </c>
      <c r="N384" s="38">
        <f>SUMIF('Detalle por artículo'!$K$8:$K$592,$D384,'Detalle por artículo'!$M$8:$M$592)</f>
        <v>11</v>
      </c>
      <c r="O384" s="39">
        <f t="shared" si="202"/>
        <v>2.563106796116505</v>
      </c>
      <c r="P384" s="40">
        <f t="shared" si="203"/>
        <v>467.96116504854376</v>
      </c>
      <c r="Q384" s="41">
        <f t="shared" si="204"/>
        <v>0.15</v>
      </c>
      <c r="R384" s="40">
        <f t="shared" si="205"/>
        <v>1.2143999999999999</v>
      </c>
      <c r="S384" s="42">
        <f>IFERROR(SUM($G$8:G384)/$G$6,0)</f>
        <v>0.98075334926705215</v>
      </c>
      <c r="T384" s="43" t="str">
        <f t="shared" si="206"/>
        <v>C</v>
      </c>
      <c r="U384" s="44">
        <v>412</v>
      </c>
      <c r="V384" s="45">
        <f t="shared" si="187"/>
        <v>0</v>
      </c>
      <c r="W384" s="46">
        <v>46244</v>
      </c>
      <c r="X384" s="46">
        <v>46244</v>
      </c>
      <c r="Y384" s="47">
        <v>0</v>
      </c>
      <c r="Z384" s="48">
        <f t="shared" si="207"/>
        <v>0</v>
      </c>
      <c r="AA384" s="49">
        <f t="shared" si="208"/>
        <v>0</v>
      </c>
      <c r="AB384" s="44">
        <v>252</v>
      </c>
      <c r="AC384" s="44">
        <f t="shared" si="209"/>
        <v>198</v>
      </c>
      <c r="AD384" s="44">
        <f t="shared" si="210"/>
        <v>47</v>
      </c>
      <c r="AE384" s="50">
        <f t="shared" si="211"/>
        <v>33</v>
      </c>
      <c r="AF384" s="41">
        <f t="shared" si="212"/>
        <v>0.66</v>
      </c>
      <c r="AG384" s="44">
        <v>1</v>
      </c>
      <c r="AH384" s="44">
        <v>6</v>
      </c>
      <c r="AI384" s="42">
        <f t="shared" si="188"/>
        <v>0.48058252427184467</v>
      </c>
      <c r="AJ384" s="42">
        <f t="shared" si="189"/>
        <v>0.11407766990291263</v>
      </c>
      <c r="AK384" s="40">
        <f t="shared" si="213"/>
        <v>0.50749514563106801</v>
      </c>
      <c r="AL384" s="51">
        <v>145</v>
      </c>
      <c r="AM384" s="52">
        <f t="shared" si="214"/>
        <v>0.37165048543689322</v>
      </c>
      <c r="AN384" s="42">
        <f t="shared" si="190"/>
        <v>0.35194174757281554</v>
      </c>
      <c r="AO384" s="53">
        <f t="shared" si="191"/>
        <v>160</v>
      </c>
      <c r="AP384" s="52">
        <f t="shared" si="192"/>
        <v>0.41009708737864081</v>
      </c>
      <c r="AQ384" s="42">
        <f t="shared" si="193"/>
        <v>0.59466019417475724</v>
      </c>
      <c r="AR384" s="46">
        <v>46254</v>
      </c>
      <c r="AS384" s="46">
        <v>46254</v>
      </c>
      <c r="AT384" s="50">
        <f t="shared" si="194"/>
        <v>10</v>
      </c>
      <c r="AU384" s="50">
        <f t="shared" si="215"/>
        <v>448</v>
      </c>
      <c r="AV384" s="50">
        <f t="shared" si="195"/>
        <v>368</v>
      </c>
      <c r="AW384" s="54">
        <f t="shared" si="196"/>
        <v>80</v>
      </c>
    </row>
    <row r="385" spans="1:49" x14ac:dyDescent="0.25">
      <c r="A385" s="33" t="s">
        <v>120</v>
      </c>
      <c r="B385" s="33" t="s">
        <v>492</v>
      </c>
      <c r="C385" s="33" t="s">
        <v>427</v>
      </c>
      <c r="D385" s="33" t="s">
        <v>493</v>
      </c>
      <c r="E385" s="34">
        <f>COUNTIF('Detalle por artículo'!$K$8:$K$592,D385)</f>
        <v>1</v>
      </c>
      <c r="F385" s="35">
        <f t="shared" si="197"/>
        <v>124.81060606060606</v>
      </c>
      <c r="G385" s="36">
        <f>SUMIF('Detalle por artículo'!$K$8:$K$592,$D385,'Detalle por artículo'!$E$8:$E$592)</f>
        <v>1.056</v>
      </c>
      <c r="H385" s="35">
        <f t="shared" si="198"/>
        <v>1</v>
      </c>
      <c r="I385" s="35">
        <f t="shared" si="199"/>
        <v>2</v>
      </c>
      <c r="J385" s="35">
        <f t="shared" si="200"/>
        <v>3</v>
      </c>
      <c r="K385" s="37">
        <f t="shared" si="201"/>
        <v>3.7714285714285714E-2</v>
      </c>
      <c r="L385" s="36">
        <f>SUMIF('Detalle por artículo'!$K$8:$K$592,$D385,'Detalle por artículo'!$O$8:$O$592)</f>
        <v>131.80000000000001</v>
      </c>
      <c r="M385" s="38">
        <f>SUMIF('Detalle por artículo'!$K$8:$K$592,$D385,'Detalle por artículo'!$I$8:$I$592)</f>
        <v>461</v>
      </c>
      <c r="N385" s="38">
        <f>SUMIF('Detalle por artículo'!$K$8:$K$592,$D385,'Detalle por artículo'!$M$8:$M$592)</f>
        <v>11</v>
      </c>
      <c r="O385" s="39">
        <f t="shared" si="202"/>
        <v>2.2906724511930587</v>
      </c>
      <c r="P385" s="40">
        <f t="shared" si="203"/>
        <v>285.90021691973971</v>
      </c>
      <c r="Q385" s="41">
        <f t="shared" si="204"/>
        <v>0.15</v>
      </c>
      <c r="R385" s="40">
        <f t="shared" si="205"/>
        <v>1.2143999999999999</v>
      </c>
      <c r="S385" s="42">
        <f>IFERROR(SUM($G$8:G385)/$G$6,0)</f>
        <v>0.98114139102534292</v>
      </c>
      <c r="T385" s="43" t="str">
        <f t="shared" si="206"/>
        <v>C</v>
      </c>
      <c r="U385" s="44">
        <v>461</v>
      </c>
      <c r="V385" s="45">
        <f t="shared" si="187"/>
        <v>0</v>
      </c>
      <c r="W385" s="46">
        <v>46260</v>
      </c>
      <c r="X385" s="46">
        <v>46260</v>
      </c>
      <c r="Y385" s="47">
        <v>1</v>
      </c>
      <c r="Z385" s="48">
        <f t="shared" si="207"/>
        <v>2.2906724511930587E-3</v>
      </c>
      <c r="AA385" s="49">
        <f t="shared" si="208"/>
        <v>8.1809730399752103E-5</v>
      </c>
      <c r="AB385" s="44">
        <v>262</v>
      </c>
      <c r="AC385" s="44">
        <f t="shared" si="209"/>
        <v>246</v>
      </c>
      <c r="AD385" s="44">
        <f t="shared" si="210"/>
        <v>9</v>
      </c>
      <c r="AE385" s="50">
        <f t="shared" si="211"/>
        <v>32</v>
      </c>
      <c r="AF385" s="41">
        <f t="shared" si="212"/>
        <v>0.64</v>
      </c>
      <c r="AG385" s="44">
        <v>0</v>
      </c>
      <c r="AH385" s="44">
        <v>7</v>
      </c>
      <c r="AI385" s="42">
        <f t="shared" si="188"/>
        <v>0.53362255965292837</v>
      </c>
      <c r="AJ385" s="42">
        <f t="shared" si="189"/>
        <v>1.9522776572668113E-2</v>
      </c>
      <c r="AK385" s="40">
        <f t="shared" si="213"/>
        <v>0.56350542299349238</v>
      </c>
      <c r="AL385" s="51">
        <v>199</v>
      </c>
      <c r="AM385" s="52">
        <f t="shared" si="214"/>
        <v>0.45584381778741867</v>
      </c>
      <c r="AN385" s="42">
        <f t="shared" si="190"/>
        <v>0.4316702819956616</v>
      </c>
      <c r="AO385" s="53">
        <f t="shared" si="191"/>
        <v>199</v>
      </c>
      <c r="AP385" s="52">
        <f t="shared" si="192"/>
        <v>0.45584381778741867</v>
      </c>
      <c r="AQ385" s="42">
        <f t="shared" si="193"/>
        <v>0.55314533622559658</v>
      </c>
      <c r="AR385" s="46">
        <v>46287</v>
      </c>
      <c r="AS385" s="46">
        <v>46287</v>
      </c>
      <c r="AT385" s="50">
        <f t="shared" si="194"/>
        <v>27</v>
      </c>
      <c r="AU385" s="50">
        <f t="shared" si="215"/>
        <v>438</v>
      </c>
      <c r="AV385" s="50">
        <f t="shared" si="195"/>
        <v>363</v>
      </c>
      <c r="AW385" s="54">
        <f t="shared" si="196"/>
        <v>75</v>
      </c>
    </row>
    <row r="386" spans="1:49" x14ac:dyDescent="0.25">
      <c r="A386" s="33" t="s">
        <v>63</v>
      </c>
      <c r="B386" s="33" t="s">
        <v>288</v>
      </c>
      <c r="C386" s="33" t="s">
        <v>289</v>
      </c>
      <c r="D386" s="33" t="s">
        <v>494</v>
      </c>
      <c r="E386" s="34">
        <f>COUNTIF('Detalle por artículo'!$K$8:$K$592,D386)</f>
        <v>1</v>
      </c>
      <c r="F386" s="35">
        <f t="shared" si="197"/>
        <v>203.59223300970874</v>
      </c>
      <c r="G386" s="36">
        <f>SUMIF('Detalle por artículo'!$K$8:$K$592,$D386,'Detalle por artículo'!$E$8:$E$592)</f>
        <v>1.03</v>
      </c>
      <c r="H386" s="35">
        <f t="shared" si="198"/>
        <v>1</v>
      </c>
      <c r="I386" s="35">
        <f t="shared" si="199"/>
        <v>2</v>
      </c>
      <c r="J386" s="35">
        <f t="shared" si="200"/>
        <v>3</v>
      </c>
      <c r="K386" s="37">
        <f t="shared" si="201"/>
        <v>3.678571428571429E-2</v>
      </c>
      <c r="L386" s="36">
        <f>SUMIF('Detalle por artículo'!$K$8:$K$592,$D386,'Detalle por artículo'!$O$8:$O$592)</f>
        <v>209.7</v>
      </c>
      <c r="M386" s="38">
        <f>SUMIF('Detalle por artículo'!$K$8:$K$592,$D386,'Detalle por artículo'!$I$8:$I$592)</f>
        <v>590</v>
      </c>
      <c r="N386" s="38">
        <f>SUMIF('Detalle por artículo'!$K$8:$K$592,$D386,'Detalle por artículo'!$M$8:$M$592)</f>
        <v>10</v>
      </c>
      <c r="O386" s="39">
        <f t="shared" si="202"/>
        <v>1.745762711864407</v>
      </c>
      <c r="P386" s="40">
        <f t="shared" si="203"/>
        <v>355.42372881355931</v>
      </c>
      <c r="Q386" s="41">
        <f t="shared" si="204"/>
        <v>0.1</v>
      </c>
      <c r="R386" s="40">
        <f t="shared" si="205"/>
        <v>1.1330000000000002</v>
      </c>
      <c r="S386" s="42">
        <f>IFERROR(SUM($G$8:G386)/$G$6,0)</f>
        <v>0.98151987872519086</v>
      </c>
      <c r="T386" s="43" t="str">
        <f t="shared" si="206"/>
        <v>C</v>
      </c>
      <c r="U386" s="44">
        <v>590</v>
      </c>
      <c r="V386" s="45">
        <f t="shared" si="187"/>
        <v>0</v>
      </c>
      <c r="W386" s="46">
        <v>46240</v>
      </c>
      <c r="X386" s="46">
        <v>46240</v>
      </c>
      <c r="Y386" s="47">
        <v>0</v>
      </c>
      <c r="Z386" s="48">
        <f t="shared" si="207"/>
        <v>0</v>
      </c>
      <c r="AA386" s="49">
        <f t="shared" si="208"/>
        <v>0</v>
      </c>
      <c r="AB386" s="44">
        <v>572</v>
      </c>
      <c r="AC386" s="44">
        <f t="shared" si="209"/>
        <v>424</v>
      </c>
      <c r="AD386" s="44">
        <f t="shared" si="210"/>
        <v>147</v>
      </c>
      <c r="AE386" s="50">
        <f t="shared" si="211"/>
        <v>47</v>
      </c>
      <c r="AF386" s="41">
        <f t="shared" si="212"/>
        <v>0.94</v>
      </c>
      <c r="AG386" s="44">
        <v>1</v>
      </c>
      <c r="AH386" s="44">
        <v>0</v>
      </c>
      <c r="AI386" s="42">
        <f t="shared" si="188"/>
        <v>0.71864406779661016</v>
      </c>
      <c r="AJ386" s="42">
        <f t="shared" si="189"/>
        <v>0.24915254237288137</v>
      </c>
      <c r="AK386" s="40">
        <f t="shared" si="213"/>
        <v>0.7402033898305086</v>
      </c>
      <c r="AL386" s="51">
        <v>18</v>
      </c>
      <c r="AM386" s="52">
        <f t="shared" si="214"/>
        <v>3.1423728813559322E-2</v>
      </c>
      <c r="AN386" s="42">
        <f t="shared" si="190"/>
        <v>3.0508474576271188E-2</v>
      </c>
      <c r="AO386" s="53">
        <f t="shared" si="191"/>
        <v>18</v>
      </c>
      <c r="AP386" s="52">
        <f t="shared" si="192"/>
        <v>3.1423728813559322E-2</v>
      </c>
      <c r="AQ386" s="42">
        <f t="shared" si="193"/>
        <v>0.96779661016949148</v>
      </c>
      <c r="AR386" s="46">
        <v>46246</v>
      </c>
      <c r="AS386" s="46">
        <v>46246</v>
      </c>
      <c r="AT386" s="50">
        <f t="shared" si="194"/>
        <v>6</v>
      </c>
      <c r="AU386" s="50">
        <f t="shared" si="215"/>
        <v>404</v>
      </c>
      <c r="AV386" s="50">
        <f t="shared" si="195"/>
        <v>226</v>
      </c>
      <c r="AW386" s="54">
        <f t="shared" si="196"/>
        <v>178</v>
      </c>
    </row>
    <row r="387" spans="1:49" x14ac:dyDescent="0.25">
      <c r="A387" s="33" t="s">
        <v>63</v>
      </c>
      <c r="B387" s="33" t="s">
        <v>263</v>
      </c>
      <c r="C387" s="33" t="s">
        <v>264</v>
      </c>
      <c r="D387" s="33" t="s">
        <v>495</v>
      </c>
      <c r="E387" s="34">
        <f>COUNTIF('Detalle por artículo'!$K$8:$K$592,D387)</f>
        <v>1</v>
      </c>
      <c r="F387" s="35">
        <f t="shared" si="197"/>
        <v>189.12621359223303</v>
      </c>
      <c r="G387" s="36">
        <f>SUMIF('Detalle por artículo'!$K$8:$K$592,$D387,'Detalle por artículo'!$E$8:$E$592)</f>
        <v>1.03</v>
      </c>
      <c r="H387" s="35">
        <f t="shared" si="198"/>
        <v>1</v>
      </c>
      <c r="I387" s="35">
        <f t="shared" si="199"/>
        <v>2</v>
      </c>
      <c r="J387" s="35">
        <f t="shared" si="200"/>
        <v>3</v>
      </c>
      <c r="K387" s="37">
        <f t="shared" si="201"/>
        <v>3.678571428571429E-2</v>
      </c>
      <c r="L387" s="36">
        <f>SUMIF('Detalle por artículo'!$K$8:$K$592,$D387,'Detalle por artículo'!$O$8:$O$592)</f>
        <v>194.8</v>
      </c>
      <c r="M387" s="38">
        <f>SUMIF('Detalle por artículo'!$K$8:$K$592,$D387,'Detalle por artículo'!$I$8:$I$592)</f>
        <v>715</v>
      </c>
      <c r="N387" s="38">
        <f>SUMIF('Detalle por artículo'!$K$8:$K$592,$D387,'Detalle por artículo'!$M$8:$M$592)</f>
        <v>10</v>
      </c>
      <c r="O387" s="39">
        <f t="shared" si="202"/>
        <v>1.4405594405594406</v>
      </c>
      <c r="P387" s="40">
        <f t="shared" si="203"/>
        <v>272.44755244755248</v>
      </c>
      <c r="Q387" s="41">
        <f t="shared" si="204"/>
        <v>0.15</v>
      </c>
      <c r="R387" s="40">
        <f t="shared" si="205"/>
        <v>1.1844999999999999</v>
      </c>
      <c r="S387" s="42">
        <f>IFERROR(SUM($G$8:G387)/$G$6,0)</f>
        <v>0.98189836642503892</v>
      </c>
      <c r="T387" s="43" t="str">
        <f t="shared" si="206"/>
        <v>C</v>
      </c>
      <c r="U387" s="44">
        <v>715</v>
      </c>
      <c r="V387" s="45">
        <f t="shared" si="187"/>
        <v>0</v>
      </c>
      <c r="W387" s="46">
        <v>46240</v>
      </c>
      <c r="X387" s="46">
        <v>46240</v>
      </c>
      <c r="Y387" s="47">
        <v>0</v>
      </c>
      <c r="Z387" s="48">
        <f t="shared" si="207"/>
        <v>0</v>
      </c>
      <c r="AA387" s="49">
        <f t="shared" si="208"/>
        <v>0</v>
      </c>
      <c r="AB387" s="44">
        <v>655</v>
      </c>
      <c r="AC387" s="44">
        <f t="shared" si="209"/>
        <v>597</v>
      </c>
      <c r="AD387" s="44">
        <f t="shared" si="210"/>
        <v>33</v>
      </c>
      <c r="AE387" s="50">
        <f t="shared" si="211"/>
        <v>47</v>
      </c>
      <c r="AF387" s="41">
        <f t="shared" si="212"/>
        <v>0.94</v>
      </c>
      <c r="AG387" s="44">
        <v>2</v>
      </c>
      <c r="AH387" s="44">
        <v>23</v>
      </c>
      <c r="AI387" s="42">
        <f t="shared" si="188"/>
        <v>0.83496503496503494</v>
      </c>
      <c r="AJ387" s="42">
        <f t="shared" si="189"/>
        <v>4.6153846153846156E-2</v>
      </c>
      <c r="AK387" s="40">
        <f t="shared" si="213"/>
        <v>0.86001398601398604</v>
      </c>
      <c r="AL387" s="51">
        <v>58</v>
      </c>
      <c r="AM387" s="52">
        <f t="shared" si="214"/>
        <v>8.3552447552447562E-2</v>
      </c>
      <c r="AN387" s="42">
        <f t="shared" si="190"/>
        <v>8.1118881118881117E-2</v>
      </c>
      <c r="AO387" s="53">
        <f t="shared" si="191"/>
        <v>60</v>
      </c>
      <c r="AP387" s="52">
        <f t="shared" si="192"/>
        <v>8.6433566433566436E-2</v>
      </c>
      <c r="AQ387" s="42">
        <f t="shared" si="193"/>
        <v>0.88111888111888115</v>
      </c>
      <c r="AR387" s="46">
        <v>46254</v>
      </c>
      <c r="AS387" s="46">
        <v>46255</v>
      </c>
      <c r="AT387" s="50">
        <f t="shared" si="194"/>
        <v>15</v>
      </c>
      <c r="AU387" s="50">
        <f t="shared" si="215"/>
        <v>304</v>
      </c>
      <c r="AV387" s="50">
        <f t="shared" si="195"/>
        <v>152</v>
      </c>
      <c r="AW387" s="54">
        <f t="shared" si="196"/>
        <v>152</v>
      </c>
    </row>
    <row r="388" spans="1:49" x14ac:dyDescent="0.25">
      <c r="A388" s="33" t="s">
        <v>55</v>
      </c>
      <c r="B388" s="33" t="s">
        <v>314</v>
      </c>
      <c r="C388" s="33" t="s">
        <v>315</v>
      </c>
      <c r="D388" s="33" t="s">
        <v>496</v>
      </c>
      <c r="E388" s="34">
        <f>COUNTIF('Detalle por artículo'!$K$8:$K$592,D388)</f>
        <v>1</v>
      </c>
      <c r="F388" s="35">
        <f t="shared" si="197"/>
        <v>148.61111111111109</v>
      </c>
      <c r="G388" s="36">
        <f>SUMIF('Detalle por artículo'!$K$8:$K$592,$D388,'Detalle por artículo'!$E$8:$E$592)</f>
        <v>1.008</v>
      </c>
      <c r="H388" s="35">
        <f t="shared" si="198"/>
        <v>1</v>
      </c>
      <c r="I388" s="35">
        <f t="shared" si="199"/>
        <v>2</v>
      </c>
      <c r="J388" s="35">
        <f t="shared" si="200"/>
        <v>3</v>
      </c>
      <c r="K388" s="37">
        <f t="shared" si="201"/>
        <v>3.5999999999999997E-2</v>
      </c>
      <c r="L388" s="36">
        <f>SUMIF('Detalle por artículo'!$K$8:$K$592,$D388,'Detalle por artículo'!$O$8:$O$592)</f>
        <v>149.79999999999998</v>
      </c>
      <c r="M388" s="38">
        <f>SUMIF('Detalle por artículo'!$K$8:$K$592,$D388,'Detalle por artículo'!$I$8:$I$592)</f>
        <v>739</v>
      </c>
      <c r="N388" s="38">
        <f>SUMIF('Detalle por artículo'!$K$8:$K$592,$D388,'Detalle por artículo'!$M$8:$M$592)</f>
        <v>14</v>
      </c>
      <c r="O388" s="39">
        <f t="shared" si="202"/>
        <v>1.364005412719892</v>
      </c>
      <c r="P388" s="40">
        <f t="shared" si="203"/>
        <v>202.70635994587278</v>
      </c>
      <c r="Q388" s="41">
        <f t="shared" si="204"/>
        <v>0.15</v>
      </c>
      <c r="R388" s="40">
        <f t="shared" si="205"/>
        <v>1.1592</v>
      </c>
      <c r="S388" s="42">
        <f>IFERROR(SUM($G$8:G388)/$G$6,0)</f>
        <v>0.98226876992158907</v>
      </c>
      <c r="T388" s="43" t="str">
        <f t="shared" si="206"/>
        <v>C</v>
      </c>
      <c r="U388" s="44">
        <v>745</v>
      </c>
      <c r="V388" s="45">
        <f t="shared" si="187"/>
        <v>6</v>
      </c>
      <c r="W388" s="46">
        <v>46244</v>
      </c>
      <c r="X388" s="46">
        <v>46244</v>
      </c>
      <c r="Y388" s="47">
        <v>0</v>
      </c>
      <c r="Z388" s="48">
        <f t="shared" si="207"/>
        <v>0</v>
      </c>
      <c r="AA388" s="49">
        <f t="shared" si="208"/>
        <v>0</v>
      </c>
      <c r="AB388" s="44">
        <v>667</v>
      </c>
      <c r="AC388" s="44">
        <f t="shared" si="209"/>
        <v>586</v>
      </c>
      <c r="AD388" s="44">
        <f t="shared" si="210"/>
        <v>58</v>
      </c>
      <c r="AE388" s="50">
        <f t="shared" si="211"/>
        <v>48</v>
      </c>
      <c r="AF388" s="41">
        <f t="shared" si="212"/>
        <v>0.96</v>
      </c>
      <c r="AG388" s="44">
        <v>2</v>
      </c>
      <c r="AH388" s="44">
        <v>21</v>
      </c>
      <c r="AI388" s="42">
        <f t="shared" si="188"/>
        <v>0.79296346414073071</v>
      </c>
      <c r="AJ388" s="42">
        <f t="shared" si="189"/>
        <v>7.8484438430311235E-2</v>
      </c>
      <c r="AK388" s="40">
        <f t="shared" si="213"/>
        <v>0.79930717185385658</v>
      </c>
      <c r="AL388" s="51">
        <v>69</v>
      </c>
      <c r="AM388" s="52">
        <f t="shared" si="214"/>
        <v>9.4116373477672544E-2</v>
      </c>
      <c r="AN388" s="42">
        <f t="shared" si="190"/>
        <v>9.261744966442953E-2</v>
      </c>
      <c r="AO388" s="53">
        <f t="shared" si="191"/>
        <v>72</v>
      </c>
      <c r="AP388" s="52">
        <f t="shared" si="192"/>
        <v>9.820838971583222E-2</v>
      </c>
      <c r="AQ388" s="42">
        <f t="shared" si="193"/>
        <v>0.87144790257104199</v>
      </c>
      <c r="AR388" s="46">
        <v>46254</v>
      </c>
      <c r="AS388" s="46">
        <v>46255</v>
      </c>
      <c r="AT388" s="50">
        <f t="shared" si="194"/>
        <v>11</v>
      </c>
      <c r="AU388" s="50">
        <f t="shared" si="215"/>
        <v>290</v>
      </c>
      <c r="AV388" s="50">
        <f t="shared" si="195"/>
        <v>144</v>
      </c>
      <c r="AW388" s="54">
        <f t="shared" si="196"/>
        <v>146</v>
      </c>
    </row>
    <row r="389" spans="1:49" x14ac:dyDescent="0.25">
      <c r="A389" s="33" t="s">
        <v>55</v>
      </c>
      <c r="B389" s="33" t="s">
        <v>314</v>
      </c>
      <c r="C389" s="33" t="s">
        <v>315</v>
      </c>
      <c r="D389" s="33" t="s">
        <v>497</v>
      </c>
      <c r="E389" s="34">
        <f>COUNTIF('Detalle por artículo'!$K$8:$K$592,D389)</f>
        <v>1</v>
      </c>
      <c r="F389" s="35">
        <f t="shared" si="197"/>
        <v>168.4</v>
      </c>
      <c r="G389" s="36">
        <f>SUMIF('Detalle por artículo'!$K$8:$K$592,$D389,'Detalle por artículo'!$E$8:$E$592)</f>
        <v>1</v>
      </c>
      <c r="H389" s="35">
        <f t="shared" si="198"/>
        <v>1</v>
      </c>
      <c r="I389" s="35">
        <f t="shared" si="199"/>
        <v>2</v>
      </c>
      <c r="J389" s="35">
        <f t="shared" si="200"/>
        <v>3</v>
      </c>
      <c r="K389" s="37">
        <f t="shared" si="201"/>
        <v>3.5714285714285712E-2</v>
      </c>
      <c r="L389" s="36">
        <f>SUMIF('Detalle por artículo'!$K$8:$K$592,$D389,'Detalle por artículo'!$O$8:$O$592)</f>
        <v>168.4</v>
      </c>
      <c r="M389" s="38">
        <f>SUMIF('Detalle por artículo'!$K$8:$K$592,$D389,'Detalle por artículo'!$I$8:$I$592)</f>
        <v>824</v>
      </c>
      <c r="N389" s="38">
        <f>SUMIF('Detalle por artículo'!$K$8:$K$592,$D389,'Detalle por artículo'!$M$8:$M$592)</f>
        <v>10</v>
      </c>
      <c r="O389" s="39">
        <f t="shared" si="202"/>
        <v>1.2135922330097086</v>
      </c>
      <c r="P389" s="40">
        <f t="shared" si="203"/>
        <v>204.36893203883497</v>
      </c>
      <c r="Q389" s="41">
        <f t="shared" si="204"/>
        <v>0.15</v>
      </c>
      <c r="R389" s="40">
        <f t="shared" si="205"/>
        <v>1.1499999999999999</v>
      </c>
      <c r="S389" s="42">
        <f>IFERROR(SUM($G$8:G389)/$G$6,0)</f>
        <v>0.98263623370784914</v>
      </c>
      <c r="T389" s="43" t="str">
        <f t="shared" si="206"/>
        <v>C</v>
      </c>
      <c r="U389" s="44">
        <v>824</v>
      </c>
      <c r="V389" s="45">
        <f t="shared" si="187"/>
        <v>0</v>
      </c>
      <c r="W389" s="46">
        <v>46252</v>
      </c>
      <c r="X389" s="46">
        <v>46252</v>
      </c>
      <c r="Y389" s="47">
        <v>0</v>
      </c>
      <c r="Z389" s="48">
        <f t="shared" si="207"/>
        <v>0</v>
      </c>
      <c r="AA389" s="49">
        <f t="shared" si="208"/>
        <v>0</v>
      </c>
      <c r="AB389" s="44">
        <v>678</v>
      </c>
      <c r="AC389" s="44">
        <f t="shared" si="209"/>
        <v>459</v>
      </c>
      <c r="AD389" s="44">
        <f t="shared" si="210"/>
        <v>187</v>
      </c>
      <c r="AE389" s="50">
        <f t="shared" si="211"/>
        <v>49</v>
      </c>
      <c r="AF389" s="41">
        <f t="shared" si="212"/>
        <v>0.98</v>
      </c>
      <c r="AG389" s="44">
        <v>10</v>
      </c>
      <c r="AH389" s="44">
        <v>22</v>
      </c>
      <c r="AI389" s="42">
        <f t="shared" si="188"/>
        <v>0.55703883495145634</v>
      </c>
      <c r="AJ389" s="42">
        <f t="shared" si="189"/>
        <v>0.22694174757281554</v>
      </c>
      <c r="AK389" s="40">
        <f t="shared" si="213"/>
        <v>0.55703883495145623</v>
      </c>
      <c r="AL389" s="51">
        <v>146</v>
      </c>
      <c r="AM389" s="52">
        <f t="shared" si="214"/>
        <v>0.17718446601941748</v>
      </c>
      <c r="AN389" s="42">
        <f t="shared" si="190"/>
        <v>0.17718446601941748</v>
      </c>
      <c r="AO389" s="53">
        <f t="shared" si="191"/>
        <v>146</v>
      </c>
      <c r="AP389" s="52">
        <f t="shared" si="192"/>
        <v>0.17718446601941748</v>
      </c>
      <c r="AQ389" s="42">
        <f t="shared" si="193"/>
        <v>0.78398058252427183</v>
      </c>
      <c r="AR389" s="46">
        <v>46254</v>
      </c>
      <c r="AS389" s="46">
        <v>46255</v>
      </c>
      <c r="AT389" s="50">
        <f t="shared" si="194"/>
        <v>3</v>
      </c>
      <c r="AU389" s="50">
        <f t="shared" si="215"/>
        <v>224</v>
      </c>
      <c r="AV389" s="50">
        <f t="shared" si="195"/>
        <v>134</v>
      </c>
      <c r="AW389" s="54">
        <f t="shared" si="196"/>
        <v>90</v>
      </c>
    </row>
    <row r="390" spans="1:49" x14ac:dyDescent="0.25">
      <c r="A390" s="33" t="s">
        <v>55</v>
      </c>
      <c r="B390" s="33" t="s">
        <v>302</v>
      </c>
      <c r="C390" s="33" t="s">
        <v>303</v>
      </c>
      <c r="D390" s="33" t="s">
        <v>498</v>
      </c>
      <c r="E390" s="34">
        <f>COUNTIF('Detalle por artículo'!$K$8:$K$592,D390)</f>
        <v>1</v>
      </c>
      <c r="F390" s="35">
        <f t="shared" si="197"/>
        <v>247.86585365853662</v>
      </c>
      <c r="G390" s="36">
        <f>SUMIF('Detalle por artículo'!$K$8:$K$592,$D390,'Detalle por artículo'!$E$8:$E$592)</f>
        <v>0.98399999999999999</v>
      </c>
      <c r="H390" s="35">
        <f t="shared" si="198"/>
        <v>1</v>
      </c>
      <c r="I390" s="35">
        <f t="shared" si="199"/>
        <v>2</v>
      </c>
      <c r="J390" s="35">
        <f t="shared" si="200"/>
        <v>3</v>
      </c>
      <c r="K390" s="37">
        <f t="shared" si="201"/>
        <v>3.5142857142857142E-2</v>
      </c>
      <c r="L390" s="36">
        <f>SUMIF('Detalle por artículo'!$K$8:$K$592,$D390,'Detalle por artículo'!$O$8:$O$592)</f>
        <v>243.90000000000003</v>
      </c>
      <c r="M390" s="38">
        <f>SUMIF('Detalle por artículo'!$K$8:$K$592,$D390,'Detalle por artículo'!$I$8:$I$592)</f>
        <v>615</v>
      </c>
      <c r="N390" s="38">
        <f>SUMIF('Detalle por artículo'!$K$8:$K$592,$D390,'Detalle por artículo'!$M$8:$M$592)</f>
        <v>11</v>
      </c>
      <c r="O390" s="39">
        <f t="shared" si="202"/>
        <v>1.6</v>
      </c>
      <c r="P390" s="40">
        <f t="shared" si="203"/>
        <v>396.58536585365863</v>
      </c>
      <c r="Q390" s="41">
        <f t="shared" si="204"/>
        <v>0.1</v>
      </c>
      <c r="R390" s="40">
        <f t="shared" si="205"/>
        <v>1.0824</v>
      </c>
      <c r="S390" s="42">
        <f>IFERROR(SUM($G$8:G390)/$G$6,0)</f>
        <v>0.98299781807352915</v>
      </c>
      <c r="T390" s="43" t="str">
        <f t="shared" si="206"/>
        <v>C</v>
      </c>
      <c r="U390" s="44">
        <v>615</v>
      </c>
      <c r="V390" s="45">
        <f t="shared" ref="V390:V422" si="216">U390-M390</f>
        <v>0</v>
      </c>
      <c r="W390" s="46">
        <v>46247</v>
      </c>
      <c r="X390" s="46">
        <v>46247</v>
      </c>
      <c r="Y390" s="47">
        <v>0</v>
      </c>
      <c r="Z390" s="48">
        <f t="shared" si="207"/>
        <v>0</v>
      </c>
      <c r="AA390" s="49">
        <f t="shared" si="208"/>
        <v>0</v>
      </c>
      <c r="AB390" s="44">
        <v>534</v>
      </c>
      <c r="AC390" s="44">
        <f t="shared" si="209"/>
        <v>377</v>
      </c>
      <c r="AD390" s="44">
        <f t="shared" si="210"/>
        <v>147</v>
      </c>
      <c r="AE390" s="50">
        <f t="shared" si="211"/>
        <v>48</v>
      </c>
      <c r="AF390" s="41">
        <f t="shared" si="212"/>
        <v>0.96</v>
      </c>
      <c r="AG390" s="44">
        <v>2</v>
      </c>
      <c r="AH390" s="44">
        <v>8</v>
      </c>
      <c r="AI390" s="42">
        <f t="shared" ref="AI390:AI422" si="217">IFERROR(AC390/M390,0)</f>
        <v>0.61300813008130084</v>
      </c>
      <c r="AJ390" s="42">
        <f t="shared" ref="AJ390:AJ422" si="218">IFERROR(AD390/M390,0)</f>
        <v>0.23902439024390243</v>
      </c>
      <c r="AK390" s="40">
        <f t="shared" si="213"/>
        <v>0.60320000000000007</v>
      </c>
      <c r="AL390" s="51">
        <v>81</v>
      </c>
      <c r="AM390" s="52">
        <f t="shared" si="214"/>
        <v>0.12959999999999999</v>
      </c>
      <c r="AN390" s="42">
        <f t="shared" ref="AN390:AN422" si="219">IFERROR(AL390/U390,0)</f>
        <v>0.13170731707317074</v>
      </c>
      <c r="AO390" s="53">
        <f t="shared" ref="AO390:AO422" si="220">M390-AB390</f>
        <v>81</v>
      </c>
      <c r="AP390" s="52">
        <f t="shared" ref="AP390:AP422" si="221">AO390*O390/1000</f>
        <v>0.12959999999999999</v>
      </c>
      <c r="AQ390" s="42">
        <f t="shared" ref="AQ390:AQ422" si="222">IFERROR((AC390+AD390)/M390,0)</f>
        <v>0.85203252032520327</v>
      </c>
      <c r="AR390" s="46">
        <v>46247</v>
      </c>
      <c r="AS390" s="46">
        <v>46248</v>
      </c>
      <c r="AT390" s="50">
        <f t="shared" ref="AT390:AT422" si="223">IF(OR(W390="",AS390=""),"",AS390-W390)</f>
        <v>1</v>
      </c>
      <c r="AU390" s="50">
        <f t="shared" si="215"/>
        <v>390</v>
      </c>
      <c r="AV390" s="50">
        <f t="shared" ref="AV390:AV422" si="224">IF(AB390=0,"",RANK(AB390,$AB$8:$AB$474))</f>
        <v>249</v>
      </c>
      <c r="AW390" s="54">
        <f t="shared" ref="AW390:AW422" si="225">IF(OR(AU390="",AV390=""),"",AU390-AV390)</f>
        <v>141</v>
      </c>
    </row>
    <row r="391" spans="1:49" x14ac:dyDescent="0.25">
      <c r="A391" s="33" t="s">
        <v>63</v>
      </c>
      <c r="B391" s="33" t="s">
        <v>263</v>
      </c>
      <c r="C391" s="33" t="s">
        <v>264</v>
      </c>
      <c r="D391" s="33" t="s">
        <v>499</v>
      </c>
      <c r="E391" s="34">
        <f>COUNTIF('Detalle por artículo'!$K$8:$K$592,D391)</f>
        <v>1</v>
      </c>
      <c r="F391" s="35">
        <f t="shared" si="197"/>
        <v>221.25</v>
      </c>
      <c r="G391" s="36">
        <f>SUMIF('Detalle por artículo'!$K$8:$K$592,$D391,'Detalle por artículo'!$E$8:$E$592)</f>
        <v>0.96</v>
      </c>
      <c r="H391" s="35">
        <f t="shared" si="198"/>
        <v>1</v>
      </c>
      <c r="I391" s="35">
        <f t="shared" si="199"/>
        <v>2</v>
      </c>
      <c r="J391" s="35">
        <f t="shared" si="200"/>
        <v>3</v>
      </c>
      <c r="K391" s="37">
        <f t="shared" si="201"/>
        <v>3.4285714285714287E-2</v>
      </c>
      <c r="L391" s="36">
        <f>SUMIF('Detalle por artículo'!$K$8:$K$592,$D391,'Detalle por artículo'!$O$8:$O$592)</f>
        <v>212.4</v>
      </c>
      <c r="M391" s="38">
        <f>SUMIF('Detalle por artículo'!$K$8:$K$592,$D391,'Detalle por artículo'!$I$8:$I$592)</f>
        <v>763</v>
      </c>
      <c r="N391" s="38">
        <f>SUMIF('Detalle por artículo'!$K$8:$K$592,$D391,'Detalle por artículo'!$M$8:$M$592)</f>
        <v>10</v>
      </c>
      <c r="O391" s="39">
        <f t="shared" si="202"/>
        <v>1.258191349934469</v>
      </c>
      <c r="P391" s="40">
        <f t="shared" si="203"/>
        <v>278.37483617300131</v>
      </c>
      <c r="Q391" s="41">
        <f t="shared" si="204"/>
        <v>0.1</v>
      </c>
      <c r="R391" s="40">
        <f t="shared" si="205"/>
        <v>1.056</v>
      </c>
      <c r="S391" s="42">
        <f>IFERROR(SUM($G$8:G391)/$G$6,0)</f>
        <v>0.98335058330833891</v>
      </c>
      <c r="T391" s="43" t="str">
        <f t="shared" si="206"/>
        <v>C</v>
      </c>
      <c r="U391" s="44">
        <v>763</v>
      </c>
      <c r="V391" s="45">
        <f t="shared" si="216"/>
        <v>0</v>
      </c>
      <c r="W391" s="46">
        <v>46233</v>
      </c>
      <c r="X391" s="46">
        <v>46233</v>
      </c>
      <c r="Y391" s="47">
        <v>0</v>
      </c>
      <c r="Z391" s="48">
        <f t="shared" si="207"/>
        <v>0</v>
      </c>
      <c r="AA391" s="49">
        <f t="shared" si="208"/>
        <v>0</v>
      </c>
      <c r="AB391" s="44">
        <v>630</v>
      </c>
      <c r="AC391" s="44">
        <f t="shared" si="209"/>
        <v>548</v>
      </c>
      <c r="AD391" s="44">
        <f t="shared" si="210"/>
        <v>58</v>
      </c>
      <c r="AE391" s="50">
        <f t="shared" si="211"/>
        <v>48</v>
      </c>
      <c r="AF391" s="41">
        <f t="shared" si="212"/>
        <v>0.96</v>
      </c>
      <c r="AG391" s="44">
        <v>1</v>
      </c>
      <c r="AH391" s="44">
        <v>23</v>
      </c>
      <c r="AI391" s="42">
        <f t="shared" si="217"/>
        <v>0.71821756225425948</v>
      </c>
      <c r="AJ391" s="42">
        <f t="shared" si="218"/>
        <v>7.6015727391874177E-2</v>
      </c>
      <c r="AK391" s="40">
        <f t="shared" si="213"/>
        <v>0.68948885976408902</v>
      </c>
      <c r="AL391" s="51">
        <v>133</v>
      </c>
      <c r="AM391" s="52">
        <f t="shared" si="214"/>
        <v>0.16733944954128438</v>
      </c>
      <c r="AN391" s="42">
        <f t="shared" si="219"/>
        <v>0.1743119266055046</v>
      </c>
      <c r="AO391" s="53">
        <f t="shared" si="220"/>
        <v>133</v>
      </c>
      <c r="AP391" s="52">
        <f t="shared" si="221"/>
        <v>0.16733944954128438</v>
      </c>
      <c r="AQ391" s="42">
        <f t="shared" si="222"/>
        <v>0.79423328964613371</v>
      </c>
      <c r="AR391" s="46">
        <v>46254</v>
      </c>
      <c r="AS391" s="46">
        <v>46255</v>
      </c>
      <c r="AT391" s="50">
        <f t="shared" si="223"/>
        <v>22</v>
      </c>
      <c r="AU391" s="50">
        <f t="shared" si="215"/>
        <v>267</v>
      </c>
      <c r="AV391" s="50">
        <f t="shared" si="224"/>
        <v>168</v>
      </c>
      <c r="AW391" s="54">
        <f t="shared" si="225"/>
        <v>99</v>
      </c>
    </row>
    <row r="392" spans="1:49" x14ac:dyDescent="0.25">
      <c r="A392" s="33" t="s">
        <v>63</v>
      </c>
      <c r="B392" s="33" t="s">
        <v>288</v>
      </c>
      <c r="C392" s="33" t="s">
        <v>289</v>
      </c>
      <c r="D392" s="33" t="s">
        <v>500</v>
      </c>
      <c r="E392" s="34">
        <f>COUNTIF('Detalle por artículo'!$K$8:$K$592,D392)</f>
        <v>1</v>
      </c>
      <c r="F392" s="35">
        <f t="shared" ref="F392:F455" si="226">IFERROR(L392/G392,0)</f>
        <v>209.68750000000003</v>
      </c>
      <c r="G392" s="36">
        <f>SUMIF('Detalle por artículo'!$K$8:$K$592,$D392,'Detalle por artículo'!$E$8:$E$592)</f>
        <v>0.96</v>
      </c>
      <c r="H392" s="35">
        <f t="shared" ref="H392:H455" si="227">ROUNDUP(G392/1.54,0)</f>
        <v>1</v>
      </c>
      <c r="I392" s="35">
        <f t="shared" ref="I392:I455" si="228">ROUNDUP(G392/0.77,0)</f>
        <v>2</v>
      </c>
      <c r="J392" s="35">
        <f t="shared" ref="J392:J455" si="229">ROUNDUP(G392/0.385,0)</f>
        <v>3</v>
      </c>
      <c r="K392" s="37">
        <f t="shared" ref="K392:K455" si="230">G392/28</f>
        <v>3.4285714285714287E-2</v>
      </c>
      <c r="L392" s="36">
        <f>SUMIF('Detalle por artículo'!$K$8:$K$592,$D392,'Detalle por artículo'!$O$8:$O$592)</f>
        <v>201.3</v>
      </c>
      <c r="M392" s="38">
        <f>SUMIF('Detalle por artículo'!$K$8:$K$592,$D392,'Detalle por artículo'!$I$8:$I$592)</f>
        <v>478</v>
      </c>
      <c r="N392" s="38">
        <f>SUMIF('Detalle por artículo'!$K$8:$K$592,$D392,'Detalle por artículo'!$M$8:$M$592)</f>
        <v>10</v>
      </c>
      <c r="O392" s="39">
        <f t="shared" ref="O392:O455" si="231">IFERROR(G392/M392*1000,0)</f>
        <v>2.0083682008368204</v>
      </c>
      <c r="P392" s="40">
        <f t="shared" ref="P392:P455" si="232">IFERROR(L392/M392*1000,0)</f>
        <v>421.12970711297072</v>
      </c>
      <c r="Q392" s="41">
        <f t="shared" ref="Q392:Q455" si="233">IF(F392=0,0,IF(F392&lt;120,0.2,IF(F392&gt;200,0.1,0.15)))</f>
        <v>0.1</v>
      </c>
      <c r="R392" s="40">
        <f t="shared" ref="R392:R455" si="234">G392*(1+Q392)</f>
        <v>1.056</v>
      </c>
      <c r="S392" s="42">
        <f>IFERROR(SUM($G$8:G392)/$G$6,0)</f>
        <v>0.98370334854314856</v>
      </c>
      <c r="T392" s="43" t="str">
        <f t="shared" ref="T392:T455" si="235">IF(S392&lt;=0.5,"A",IF(S392&lt;=0.84,"B","C"))</f>
        <v>C</v>
      </c>
      <c r="U392" s="44">
        <v>478</v>
      </c>
      <c r="V392" s="45">
        <f t="shared" si="216"/>
        <v>0</v>
      </c>
      <c r="W392" s="46">
        <v>46233</v>
      </c>
      <c r="X392" s="46">
        <v>46233</v>
      </c>
      <c r="Y392" s="47">
        <v>0</v>
      </c>
      <c r="Z392" s="48">
        <f t="shared" ref="Z392:Z455" si="236">Y392*O392/1000</f>
        <v>0</v>
      </c>
      <c r="AA392" s="49">
        <f t="shared" ref="AA392:AA455" si="237">Z392/28</f>
        <v>0</v>
      </c>
      <c r="AB392" s="44">
        <v>451</v>
      </c>
      <c r="AC392" s="44">
        <f t="shared" ref="AC392:AC455" si="238">IFERROR(INDEX(IMP_TOT,MATCH(D392,IMP_MOD,0)),0)</f>
        <v>373</v>
      </c>
      <c r="AD392" s="44">
        <f t="shared" ref="AD392:AD455" si="239">IFERROR(INDEX(REP_TOT,MATCH(D392,REP_MOD,0)),0)</f>
        <v>63</v>
      </c>
      <c r="AE392" s="50">
        <f t="shared" ref="AE392:AE455" si="240">IFERROR(INDEX(IMP_NT,MATCH(D392,IMP_MOD,0)),0)</f>
        <v>48</v>
      </c>
      <c r="AF392" s="41">
        <f t="shared" ref="AF392:AF455" si="241">IFERROR(AE392/TIENDAS,0)</f>
        <v>0.96</v>
      </c>
      <c r="AG392" s="44">
        <v>1</v>
      </c>
      <c r="AH392" s="44">
        <v>14</v>
      </c>
      <c r="AI392" s="42">
        <f t="shared" si="217"/>
        <v>0.78033472803347281</v>
      </c>
      <c r="AJ392" s="42">
        <f t="shared" si="218"/>
        <v>0.13179916317991633</v>
      </c>
      <c r="AK392" s="40">
        <f t="shared" ref="AK392:AK455" si="242">AC392*O392/1000</f>
        <v>0.74912133891213395</v>
      </c>
      <c r="AL392" s="51">
        <v>17</v>
      </c>
      <c r="AM392" s="52">
        <f t="shared" ref="AM392:AM455" si="243">AL392*O392/1000</f>
        <v>3.4142259414225946E-2</v>
      </c>
      <c r="AN392" s="42">
        <f t="shared" si="219"/>
        <v>3.5564853556485358E-2</v>
      </c>
      <c r="AO392" s="53">
        <f t="shared" si="220"/>
        <v>27</v>
      </c>
      <c r="AP392" s="52">
        <f t="shared" si="221"/>
        <v>5.4225941422594154E-2</v>
      </c>
      <c r="AQ392" s="42">
        <f t="shared" si="222"/>
        <v>0.91213389121338917</v>
      </c>
      <c r="AR392" s="46">
        <v>46244</v>
      </c>
      <c r="AS392" s="46">
        <v>46245</v>
      </c>
      <c r="AT392" s="50">
        <f t="shared" si="223"/>
        <v>12</v>
      </c>
      <c r="AU392" s="50">
        <f t="shared" ref="AU392:AU455" si="244">IF(M392=0,"",RANK(M392,$M$8:$M$474))</f>
        <v>435</v>
      </c>
      <c r="AV392" s="50">
        <f t="shared" si="224"/>
        <v>305</v>
      </c>
      <c r="AW392" s="54">
        <f t="shared" si="225"/>
        <v>130</v>
      </c>
    </row>
    <row r="393" spans="1:49" x14ac:dyDescent="0.25">
      <c r="A393" s="33" t="s">
        <v>63</v>
      </c>
      <c r="B393" s="33" t="s">
        <v>263</v>
      </c>
      <c r="C393" s="33" t="s">
        <v>264</v>
      </c>
      <c r="D393" s="33" t="s">
        <v>501</v>
      </c>
      <c r="E393" s="34">
        <f>COUNTIF('Detalle por artículo'!$K$8:$K$592,D393)</f>
        <v>1</v>
      </c>
      <c r="F393" s="35">
        <f t="shared" si="226"/>
        <v>228.02083333333334</v>
      </c>
      <c r="G393" s="36">
        <f>SUMIF('Detalle por artículo'!$K$8:$K$592,$D393,'Detalle por artículo'!$E$8:$E$592)</f>
        <v>0.96</v>
      </c>
      <c r="H393" s="35">
        <f t="shared" si="227"/>
        <v>1</v>
      </c>
      <c r="I393" s="35">
        <f t="shared" si="228"/>
        <v>2</v>
      </c>
      <c r="J393" s="35">
        <f t="shared" si="229"/>
        <v>3</v>
      </c>
      <c r="K393" s="37">
        <f t="shared" si="230"/>
        <v>3.4285714285714287E-2</v>
      </c>
      <c r="L393" s="36">
        <f>SUMIF('Detalle por artículo'!$K$8:$K$592,$D393,'Detalle por artículo'!$O$8:$O$592)</f>
        <v>218.9</v>
      </c>
      <c r="M393" s="38">
        <f>SUMIF('Detalle por artículo'!$K$8:$K$592,$D393,'Detalle por artículo'!$I$8:$I$592)</f>
        <v>704</v>
      </c>
      <c r="N393" s="38">
        <f>SUMIF('Detalle por artículo'!$K$8:$K$592,$D393,'Detalle por artículo'!$M$8:$M$592)</f>
        <v>10</v>
      </c>
      <c r="O393" s="39">
        <f t="shared" si="231"/>
        <v>1.3636363636363635</v>
      </c>
      <c r="P393" s="40">
        <f t="shared" si="232"/>
        <v>310.93750000000006</v>
      </c>
      <c r="Q393" s="41">
        <f t="shared" si="233"/>
        <v>0.1</v>
      </c>
      <c r="R393" s="40">
        <f t="shared" si="234"/>
        <v>1.056</v>
      </c>
      <c r="S393" s="42">
        <f>IFERROR(SUM($G$8:G393)/$G$6,0)</f>
        <v>0.98405611377795832</v>
      </c>
      <c r="T393" s="43" t="str">
        <f t="shared" si="235"/>
        <v>C</v>
      </c>
      <c r="U393" s="44">
        <v>704</v>
      </c>
      <c r="V393" s="45">
        <f t="shared" si="216"/>
        <v>0</v>
      </c>
      <c r="W393" s="46">
        <v>46237</v>
      </c>
      <c r="X393" s="46">
        <v>46237</v>
      </c>
      <c r="Y393" s="47">
        <v>0</v>
      </c>
      <c r="Z393" s="48">
        <f t="shared" si="236"/>
        <v>0</v>
      </c>
      <c r="AA393" s="49">
        <f t="shared" si="237"/>
        <v>0</v>
      </c>
      <c r="AB393" s="44">
        <v>674</v>
      </c>
      <c r="AC393" s="44">
        <f t="shared" si="238"/>
        <v>584</v>
      </c>
      <c r="AD393" s="44">
        <f t="shared" si="239"/>
        <v>66</v>
      </c>
      <c r="AE393" s="50">
        <f t="shared" si="240"/>
        <v>48</v>
      </c>
      <c r="AF393" s="41">
        <f t="shared" si="241"/>
        <v>0.96</v>
      </c>
      <c r="AG393" s="44">
        <v>2</v>
      </c>
      <c r="AH393" s="44">
        <v>22</v>
      </c>
      <c r="AI393" s="42">
        <f t="shared" si="217"/>
        <v>0.82954545454545459</v>
      </c>
      <c r="AJ393" s="42">
        <f t="shared" si="218"/>
        <v>9.375E-2</v>
      </c>
      <c r="AK393" s="40">
        <f t="shared" si="242"/>
        <v>0.79636363636363627</v>
      </c>
      <c r="AL393" s="51">
        <v>30</v>
      </c>
      <c r="AM393" s="52">
        <f t="shared" si="243"/>
        <v>4.0909090909090909E-2</v>
      </c>
      <c r="AN393" s="42">
        <f t="shared" si="219"/>
        <v>4.261363636363636E-2</v>
      </c>
      <c r="AO393" s="53">
        <f t="shared" si="220"/>
        <v>30</v>
      </c>
      <c r="AP393" s="52">
        <f t="shared" si="221"/>
        <v>4.0909090909090909E-2</v>
      </c>
      <c r="AQ393" s="42">
        <f t="shared" si="222"/>
        <v>0.92329545454545459</v>
      </c>
      <c r="AR393" s="46">
        <v>46254</v>
      </c>
      <c r="AS393" s="46">
        <v>46255</v>
      </c>
      <c r="AT393" s="50">
        <f t="shared" si="223"/>
        <v>18</v>
      </c>
      <c r="AU393" s="50">
        <f t="shared" si="244"/>
        <v>312</v>
      </c>
      <c r="AV393" s="50">
        <f t="shared" si="224"/>
        <v>136</v>
      </c>
      <c r="AW393" s="54">
        <f t="shared" si="225"/>
        <v>176</v>
      </c>
    </row>
    <row r="394" spans="1:49" x14ac:dyDescent="0.25">
      <c r="A394" s="33" t="s">
        <v>138</v>
      </c>
      <c r="B394" s="33" t="s">
        <v>502</v>
      </c>
      <c r="C394" s="33" t="s">
        <v>503</v>
      </c>
      <c r="D394" s="33" t="s">
        <v>504</v>
      </c>
      <c r="E394" s="34">
        <f>COUNTIF('Detalle por artículo'!$K$8:$K$592,D394)</f>
        <v>1</v>
      </c>
      <c r="F394" s="35">
        <f t="shared" si="226"/>
        <v>144.375</v>
      </c>
      <c r="G394" s="36">
        <f>SUMIF('Detalle por artículo'!$K$8:$K$592,$D394,'Detalle por artículo'!$E$8:$E$592)</f>
        <v>0.96</v>
      </c>
      <c r="H394" s="35">
        <f t="shared" si="227"/>
        <v>1</v>
      </c>
      <c r="I394" s="35">
        <f t="shared" si="228"/>
        <v>2</v>
      </c>
      <c r="J394" s="35">
        <f t="shared" si="229"/>
        <v>3</v>
      </c>
      <c r="K394" s="37">
        <f t="shared" si="230"/>
        <v>3.4285714285714287E-2</v>
      </c>
      <c r="L394" s="36">
        <f>SUMIF('Detalle por artículo'!$K$8:$K$592,$D394,'Detalle por artículo'!$O$8:$O$592)</f>
        <v>138.6</v>
      </c>
      <c r="M394" s="38">
        <f>SUMIF('Detalle por artículo'!$K$8:$K$592,$D394,'Detalle por artículo'!$I$8:$I$592)</f>
        <v>389</v>
      </c>
      <c r="N394" s="38">
        <f>SUMIF('Detalle por artículo'!$K$8:$K$592,$D394,'Detalle por artículo'!$M$8:$M$592)</f>
        <v>10</v>
      </c>
      <c r="O394" s="39">
        <f t="shared" si="231"/>
        <v>2.467866323907455</v>
      </c>
      <c r="P394" s="40">
        <f t="shared" si="232"/>
        <v>356.29820051413878</v>
      </c>
      <c r="Q394" s="41">
        <f t="shared" si="233"/>
        <v>0.15</v>
      </c>
      <c r="R394" s="40">
        <f t="shared" si="234"/>
        <v>1.1039999999999999</v>
      </c>
      <c r="S394" s="42">
        <f>IFERROR(SUM($G$8:G394)/$G$6,0)</f>
        <v>0.98440887901276808</v>
      </c>
      <c r="T394" s="43" t="str">
        <f t="shared" si="235"/>
        <v>C</v>
      </c>
      <c r="U394" s="44">
        <v>389</v>
      </c>
      <c r="V394" s="45">
        <f t="shared" si="216"/>
        <v>0</v>
      </c>
      <c r="W394" s="46">
        <v>46274</v>
      </c>
      <c r="X394" s="46">
        <v>46274</v>
      </c>
      <c r="Y394" s="47">
        <v>0</v>
      </c>
      <c r="Z394" s="48">
        <f t="shared" si="236"/>
        <v>0</v>
      </c>
      <c r="AA394" s="49">
        <f t="shared" si="237"/>
        <v>0</v>
      </c>
      <c r="AB394" s="44">
        <v>244</v>
      </c>
      <c r="AC394" s="44">
        <f t="shared" si="238"/>
        <v>224</v>
      </c>
      <c r="AD394" s="44">
        <f t="shared" si="239"/>
        <v>13</v>
      </c>
      <c r="AE394" s="50">
        <f t="shared" si="240"/>
        <v>32</v>
      </c>
      <c r="AF394" s="41">
        <f t="shared" si="241"/>
        <v>0.64</v>
      </c>
      <c r="AG394" s="44">
        <v>0</v>
      </c>
      <c r="AH394" s="44">
        <v>7</v>
      </c>
      <c r="AI394" s="42">
        <f t="shared" si="217"/>
        <v>0.5758354755784062</v>
      </c>
      <c r="AJ394" s="42">
        <f t="shared" si="218"/>
        <v>3.3419023136246784E-2</v>
      </c>
      <c r="AK394" s="40">
        <f t="shared" si="242"/>
        <v>0.55280205655526993</v>
      </c>
      <c r="AL394" s="51">
        <v>145</v>
      </c>
      <c r="AM394" s="52">
        <f t="shared" si="243"/>
        <v>0.35784061696658098</v>
      </c>
      <c r="AN394" s="42">
        <f t="shared" si="219"/>
        <v>0.37275064267352187</v>
      </c>
      <c r="AO394" s="53">
        <f t="shared" si="220"/>
        <v>145</v>
      </c>
      <c r="AP394" s="52">
        <f t="shared" si="221"/>
        <v>0.35784061696658098</v>
      </c>
      <c r="AQ394" s="42">
        <f t="shared" si="222"/>
        <v>0.60925449871465298</v>
      </c>
      <c r="AR394" s="46">
        <v>46287</v>
      </c>
      <c r="AS394" s="46">
        <v>46287</v>
      </c>
      <c r="AT394" s="50">
        <f t="shared" si="223"/>
        <v>13</v>
      </c>
      <c r="AU394" s="50">
        <f t="shared" si="244"/>
        <v>461</v>
      </c>
      <c r="AV394" s="50">
        <f t="shared" si="224"/>
        <v>373</v>
      </c>
      <c r="AW394" s="54">
        <f t="shared" si="225"/>
        <v>88</v>
      </c>
    </row>
    <row r="395" spans="1:49" x14ac:dyDescent="0.25">
      <c r="A395" s="33" t="s">
        <v>138</v>
      </c>
      <c r="B395" s="33" t="s">
        <v>502</v>
      </c>
      <c r="C395" s="33" t="s">
        <v>503</v>
      </c>
      <c r="D395" s="33" t="s">
        <v>505</v>
      </c>
      <c r="E395" s="34">
        <f>COUNTIF('Detalle por artículo'!$K$8:$K$592,D395)</f>
        <v>1</v>
      </c>
      <c r="F395" s="35">
        <f t="shared" si="226"/>
        <v>140.10416666666669</v>
      </c>
      <c r="G395" s="36">
        <f>SUMIF('Detalle por artículo'!$K$8:$K$592,$D395,'Detalle por artículo'!$E$8:$E$592)</f>
        <v>0.96</v>
      </c>
      <c r="H395" s="35">
        <f t="shared" si="227"/>
        <v>1</v>
      </c>
      <c r="I395" s="35">
        <f t="shared" si="228"/>
        <v>2</v>
      </c>
      <c r="J395" s="35">
        <f t="shared" si="229"/>
        <v>3</v>
      </c>
      <c r="K395" s="37">
        <f t="shared" si="230"/>
        <v>3.4285714285714287E-2</v>
      </c>
      <c r="L395" s="36">
        <f>SUMIF('Detalle por artículo'!$K$8:$K$592,$D395,'Detalle por artículo'!$O$8:$O$592)</f>
        <v>134.5</v>
      </c>
      <c r="M395" s="38">
        <f>SUMIF('Detalle por artículo'!$K$8:$K$592,$D395,'Detalle por artículo'!$I$8:$I$592)</f>
        <v>387</v>
      </c>
      <c r="N395" s="38">
        <f>SUMIF('Detalle por artículo'!$K$8:$K$592,$D395,'Detalle por artículo'!$M$8:$M$592)</f>
        <v>10</v>
      </c>
      <c r="O395" s="39">
        <f t="shared" si="231"/>
        <v>2.4806201550387592</v>
      </c>
      <c r="P395" s="40">
        <f t="shared" si="232"/>
        <v>347.54521963824294</v>
      </c>
      <c r="Q395" s="41">
        <f t="shared" si="233"/>
        <v>0.15</v>
      </c>
      <c r="R395" s="40">
        <f t="shared" si="234"/>
        <v>1.1039999999999999</v>
      </c>
      <c r="S395" s="42">
        <f>IFERROR(SUM($G$8:G395)/$G$6,0)</f>
        <v>0.98476164424757784</v>
      </c>
      <c r="T395" s="43" t="str">
        <f t="shared" si="235"/>
        <v>C</v>
      </c>
      <c r="U395" s="44">
        <v>388</v>
      </c>
      <c r="V395" s="45">
        <f t="shared" si="216"/>
        <v>1</v>
      </c>
      <c r="W395" s="46">
        <v>46274</v>
      </c>
      <c r="X395" s="46">
        <v>46289</v>
      </c>
      <c r="Y395" s="47">
        <v>0</v>
      </c>
      <c r="Z395" s="48">
        <f t="shared" si="236"/>
        <v>0</v>
      </c>
      <c r="AA395" s="49">
        <f t="shared" si="237"/>
        <v>0</v>
      </c>
      <c r="AB395" s="44">
        <v>208</v>
      </c>
      <c r="AC395" s="44">
        <f t="shared" si="238"/>
        <v>192</v>
      </c>
      <c r="AD395" s="44">
        <f t="shared" si="239"/>
        <v>9</v>
      </c>
      <c r="AE395" s="50">
        <f t="shared" si="240"/>
        <v>32</v>
      </c>
      <c r="AF395" s="41">
        <f t="shared" si="241"/>
        <v>0.64</v>
      </c>
      <c r="AG395" s="44">
        <v>1</v>
      </c>
      <c r="AH395" s="44">
        <v>6</v>
      </c>
      <c r="AI395" s="42">
        <f t="shared" si="217"/>
        <v>0.49612403100775193</v>
      </c>
      <c r="AJ395" s="42">
        <f t="shared" si="218"/>
        <v>2.3255813953488372E-2</v>
      </c>
      <c r="AK395" s="40">
        <f t="shared" si="242"/>
        <v>0.47627906976744178</v>
      </c>
      <c r="AL395" s="51">
        <v>180</v>
      </c>
      <c r="AM395" s="52">
        <f t="shared" si="243"/>
        <v>0.44651162790697668</v>
      </c>
      <c r="AN395" s="42">
        <f t="shared" si="219"/>
        <v>0.46391752577319589</v>
      </c>
      <c r="AO395" s="53">
        <f t="shared" si="220"/>
        <v>179</v>
      </c>
      <c r="AP395" s="52">
        <f t="shared" si="221"/>
        <v>0.44403100775193793</v>
      </c>
      <c r="AQ395" s="42">
        <f t="shared" si="222"/>
        <v>0.51937984496124034</v>
      </c>
      <c r="AR395" s="46">
        <v>46287</v>
      </c>
      <c r="AS395" s="46">
        <v>46287</v>
      </c>
      <c r="AT395" s="50">
        <f t="shared" si="223"/>
        <v>13</v>
      </c>
      <c r="AU395" s="50">
        <f t="shared" si="244"/>
        <v>463</v>
      </c>
      <c r="AV395" s="50">
        <f t="shared" si="224"/>
        <v>378</v>
      </c>
      <c r="AW395" s="54">
        <f t="shared" si="225"/>
        <v>85</v>
      </c>
    </row>
    <row r="396" spans="1:49" x14ac:dyDescent="0.25">
      <c r="A396" s="33" t="s">
        <v>63</v>
      </c>
      <c r="B396" s="33" t="s">
        <v>288</v>
      </c>
      <c r="C396" s="33" t="s">
        <v>289</v>
      </c>
      <c r="D396" s="33" t="s">
        <v>506</v>
      </c>
      <c r="E396" s="34">
        <f>COUNTIF('Detalle por artículo'!$K$8:$K$592,D396)</f>
        <v>1</v>
      </c>
      <c r="F396" s="35">
        <f t="shared" si="226"/>
        <v>209.79166666666669</v>
      </c>
      <c r="G396" s="36">
        <f>SUMIF('Detalle por artículo'!$K$8:$K$592,$D396,'Detalle por artículo'!$E$8:$E$592)</f>
        <v>0.96</v>
      </c>
      <c r="H396" s="35">
        <f t="shared" si="227"/>
        <v>1</v>
      </c>
      <c r="I396" s="35">
        <f t="shared" si="228"/>
        <v>2</v>
      </c>
      <c r="J396" s="35">
        <f t="shared" si="229"/>
        <v>3</v>
      </c>
      <c r="K396" s="37">
        <f t="shared" si="230"/>
        <v>3.4285714285714287E-2</v>
      </c>
      <c r="L396" s="36">
        <f>SUMIF('Detalle por artículo'!$K$8:$K$592,$D396,'Detalle por artículo'!$O$8:$O$592)</f>
        <v>201.4</v>
      </c>
      <c r="M396" s="38">
        <f>SUMIF('Detalle por artículo'!$K$8:$K$592,$D396,'Detalle por artículo'!$I$8:$I$592)</f>
        <v>462</v>
      </c>
      <c r="N396" s="38">
        <f>SUMIF('Detalle por artículo'!$K$8:$K$592,$D396,'Detalle por artículo'!$M$8:$M$592)</f>
        <v>10</v>
      </c>
      <c r="O396" s="39">
        <f t="shared" si="231"/>
        <v>2.0779220779220777</v>
      </c>
      <c r="P396" s="40">
        <f t="shared" si="232"/>
        <v>435.93073593073592</v>
      </c>
      <c r="Q396" s="41">
        <f t="shared" si="233"/>
        <v>0.1</v>
      </c>
      <c r="R396" s="40">
        <f t="shared" si="234"/>
        <v>1.056</v>
      </c>
      <c r="S396" s="42">
        <f>IFERROR(SUM($G$8:G396)/$G$6,0)</f>
        <v>0.9851144094823876</v>
      </c>
      <c r="T396" s="43" t="str">
        <f t="shared" si="235"/>
        <v>C</v>
      </c>
      <c r="U396" s="44">
        <v>462</v>
      </c>
      <c r="V396" s="45">
        <f t="shared" si="216"/>
        <v>0</v>
      </c>
      <c r="W396" s="46">
        <v>46303</v>
      </c>
      <c r="X396" s="46">
        <v>46303</v>
      </c>
      <c r="Y396" s="47">
        <v>0</v>
      </c>
      <c r="Z396" s="48">
        <f t="shared" si="236"/>
        <v>0</v>
      </c>
      <c r="AA396" s="49">
        <f t="shared" si="237"/>
        <v>0</v>
      </c>
      <c r="AB396" s="44">
        <v>15</v>
      </c>
      <c r="AC396" s="44">
        <f t="shared" si="238"/>
        <v>196</v>
      </c>
      <c r="AD396" s="44">
        <f t="shared" si="239"/>
        <v>0</v>
      </c>
      <c r="AE396" s="50">
        <f t="shared" si="240"/>
        <v>24</v>
      </c>
      <c r="AF396" s="41">
        <f t="shared" si="241"/>
        <v>0.48</v>
      </c>
      <c r="AG396" s="44">
        <v>1</v>
      </c>
      <c r="AH396" s="44">
        <v>0</v>
      </c>
      <c r="AI396" s="42">
        <f t="shared" si="217"/>
        <v>0.42424242424242425</v>
      </c>
      <c r="AJ396" s="42">
        <f t="shared" si="218"/>
        <v>0</v>
      </c>
      <c r="AK396" s="40">
        <f t="shared" si="242"/>
        <v>0.40727272727272723</v>
      </c>
      <c r="AL396" s="51">
        <v>447</v>
      </c>
      <c r="AM396" s="52">
        <f t="shared" si="243"/>
        <v>0.92883116883116867</v>
      </c>
      <c r="AN396" s="42">
        <f t="shared" si="219"/>
        <v>0.96753246753246758</v>
      </c>
      <c r="AO396" s="53">
        <f t="shared" si="220"/>
        <v>447</v>
      </c>
      <c r="AP396" s="52">
        <f t="shared" si="221"/>
        <v>0.92883116883116867</v>
      </c>
      <c r="AQ396" s="42">
        <f t="shared" si="222"/>
        <v>0.42424242424242425</v>
      </c>
      <c r="AR396" s="46">
        <v>46315</v>
      </c>
      <c r="AS396" s="46">
        <v>46316</v>
      </c>
      <c r="AT396" s="50">
        <f t="shared" si="223"/>
        <v>13</v>
      </c>
      <c r="AU396" s="50">
        <f t="shared" si="244"/>
        <v>437</v>
      </c>
      <c r="AV396" s="50">
        <f t="shared" si="224"/>
        <v>417</v>
      </c>
      <c r="AW396" s="54">
        <f t="shared" si="225"/>
        <v>20</v>
      </c>
    </row>
    <row r="397" spans="1:49" x14ac:dyDescent="0.25">
      <c r="A397" s="33" t="s">
        <v>120</v>
      </c>
      <c r="B397" s="33" t="s">
        <v>507</v>
      </c>
      <c r="C397" s="33" t="s">
        <v>427</v>
      </c>
      <c r="D397" s="33" t="s">
        <v>508</v>
      </c>
      <c r="E397" s="34">
        <f>COUNTIF('Detalle por artículo'!$K$8:$K$592,D397)</f>
        <v>1</v>
      </c>
      <c r="F397" s="35">
        <f t="shared" si="226"/>
        <v>131.48936170212767</v>
      </c>
      <c r="G397" s="36">
        <f>SUMIF('Detalle por artículo'!$K$8:$K$592,$D397,'Detalle por artículo'!$E$8:$E$592)</f>
        <v>0.94</v>
      </c>
      <c r="H397" s="35">
        <f t="shared" si="227"/>
        <v>1</v>
      </c>
      <c r="I397" s="35">
        <f t="shared" si="228"/>
        <v>2</v>
      </c>
      <c r="J397" s="35">
        <f t="shared" si="229"/>
        <v>3</v>
      </c>
      <c r="K397" s="37">
        <f t="shared" si="230"/>
        <v>3.3571428571428572E-2</v>
      </c>
      <c r="L397" s="36">
        <f>SUMIF('Detalle por artículo'!$K$8:$K$592,$D397,'Detalle por artículo'!$O$8:$O$592)</f>
        <v>123.6</v>
      </c>
      <c r="M397" s="38">
        <f>SUMIF('Detalle por artículo'!$K$8:$K$592,$D397,'Detalle por artículo'!$I$8:$I$592)</f>
        <v>400</v>
      </c>
      <c r="N397" s="38">
        <f>SUMIF('Detalle por artículo'!$K$8:$K$592,$D397,'Detalle por artículo'!$M$8:$M$592)</f>
        <v>13</v>
      </c>
      <c r="O397" s="39">
        <f t="shared" si="231"/>
        <v>2.3499999999999996</v>
      </c>
      <c r="P397" s="40">
        <f t="shared" si="232"/>
        <v>309</v>
      </c>
      <c r="Q397" s="41">
        <f t="shared" si="233"/>
        <v>0.15</v>
      </c>
      <c r="R397" s="40">
        <f t="shared" si="234"/>
        <v>1.081</v>
      </c>
      <c r="S397" s="42">
        <f>IFERROR(SUM($G$8:G397)/$G$6,0)</f>
        <v>0.98545982544147215</v>
      </c>
      <c r="T397" s="43" t="str">
        <f t="shared" si="235"/>
        <v>C</v>
      </c>
      <c r="U397" s="44">
        <v>400</v>
      </c>
      <c r="V397" s="45">
        <f t="shared" si="216"/>
        <v>0</v>
      </c>
      <c r="W397" s="46">
        <v>46244</v>
      </c>
      <c r="X397" s="46">
        <v>46244</v>
      </c>
      <c r="Y397" s="47">
        <v>0</v>
      </c>
      <c r="Z397" s="48">
        <f t="shared" si="236"/>
        <v>0</v>
      </c>
      <c r="AA397" s="49">
        <f t="shared" si="237"/>
        <v>0</v>
      </c>
      <c r="AB397" s="44">
        <v>282</v>
      </c>
      <c r="AC397" s="44">
        <f t="shared" si="238"/>
        <v>257</v>
      </c>
      <c r="AD397" s="44">
        <f t="shared" si="239"/>
        <v>18</v>
      </c>
      <c r="AE397" s="50">
        <f t="shared" si="240"/>
        <v>33</v>
      </c>
      <c r="AF397" s="41">
        <f t="shared" si="241"/>
        <v>0.66</v>
      </c>
      <c r="AG397" s="44">
        <v>0</v>
      </c>
      <c r="AH397" s="44">
        <v>7</v>
      </c>
      <c r="AI397" s="42">
        <f t="shared" si="217"/>
        <v>0.64249999999999996</v>
      </c>
      <c r="AJ397" s="42">
        <f t="shared" si="218"/>
        <v>4.4999999999999998E-2</v>
      </c>
      <c r="AK397" s="40">
        <f t="shared" si="242"/>
        <v>0.60394999999999999</v>
      </c>
      <c r="AL397" s="51">
        <v>118</v>
      </c>
      <c r="AM397" s="52">
        <f t="shared" si="243"/>
        <v>0.27729999999999994</v>
      </c>
      <c r="AN397" s="42">
        <f t="shared" si="219"/>
        <v>0.29499999999999998</v>
      </c>
      <c r="AO397" s="53">
        <f t="shared" si="220"/>
        <v>118</v>
      </c>
      <c r="AP397" s="52">
        <f t="shared" si="221"/>
        <v>0.27729999999999994</v>
      </c>
      <c r="AQ397" s="42">
        <f t="shared" si="222"/>
        <v>0.6875</v>
      </c>
      <c r="AR397" s="46">
        <v>46254</v>
      </c>
      <c r="AS397" s="46">
        <v>46254</v>
      </c>
      <c r="AT397" s="50">
        <f t="shared" si="223"/>
        <v>10</v>
      </c>
      <c r="AU397" s="50">
        <f t="shared" si="244"/>
        <v>455</v>
      </c>
      <c r="AV397" s="50">
        <f t="shared" si="224"/>
        <v>351</v>
      </c>
      <c r="AW397" s="54">
        <f t="shared" si="225"/>
        <v>104</v>
      </c>
    </row>
    <row r="398" spans="1:49" x14ac:dyDescent="0.25">
      <c r="A398" s="33" t="s">
        <v>55</v>
      </c>
      <c r="B398" s="33" t="s">
        <v>509</v>
      </c>
      <c r="C398" s="33" t="s">
        <v>303</v>
      </c>
      <c r="D398" s="33" t="s">
        <v>510</v>
      </c>
      <c r="E398" s="34">
        <f>COUNTIF('Detalle por artículo'!$K$8:$K$592,D398)</f>
        <v>1</v>
      </c>
      <c r="F398" s="35">
        <f t="shared" si="226"/>
        <v>177.02127659574469</v>
      </c>
      <c r="G398" s="36">
        <f>SUMIF('Detalle por artículo'!$K$8:$K$592,$D398,'Detalle por artículo'!$E$8:$E$592)</f>
        <v>0.94</v>
      </c>
      <c r="H398" s="35">
        <f t="shared" si="227"/>
        <v>1</v>
      </c>
      <c r="I398" s="35">
        <f t="shared" si="228"/>
        <v>2</v>
      </c>
      <c r="J398" s="35">
        <f t="shared" si="229"/>
        <v>3</v>
      </c>
      <c r="K398" s="37">
        <f t="shared" si="230"/>
        <v>3.3571428571428572E-2</v>
      </c>
      <c r="L398" s="36">
        <f>SUMIF('Detalle por artículo'!$K$8:$K$592,$D398,'Detalle por artículo'!$O$8:$O$592)</f>
        <v>166.4</v>
      </c>
      <c r="M398" s="38">
        <f>SUMIF('Detalle por artículo'!$K$8:$K$592,$D398,'Detalle por artículo'!$I$8:$I$592)</f>
        <v>650</v>
      </c>
      <c r="N398" s="38">
        <f>SUMIF('Detalle por artículo'!$K$8:$K$592,$D398,'Detalle por artículo'!$M$8:$M$592)</f>
        <v>13</v>
      </c>
      <c r="O398" s="39">
        <f t="shared" si="231"/>
        <v>1.4461538461538461</v>
      </c>
      <c r="P398" s="40">
        <f t="shared" si="232"/>
        <v>256</v>
      </c>
      <c r="Q398" s="41">
        <f t="shared" si="233"/>
        <v>0.15</v>
      </c>
      <c r="R398" s="40">
        <f t="shared" si="234"/>
        <v>1.081</v>
      </c>
      <c r="S398" s="42">
        <f>IFERROR(SUM($G$8:G398)/$G$6,0)</f>
        <v>0.9858052414005567</v>
      </c>
      <c r="T398" s="43" t="str">
        <f t="shared" si="235"/>
        <v>C</v>
      </c>
      <c r="U398" s="44">
        <v>650</v>
      </c>
      <c r="V398" s="45">
        <f t="shared" si="216"/>
        <v>0</v>
      </c>
      <c r="W398" s="46">
        <v>46246</v>
      </c>
      <c r="X398" s="46">
        <v>46246</v>
      </c>
      <c r="Y398" s="47">
        <v>0</v>
      </c>
      <c r="Z398" s="48">
        <f t="shared" si="236"/>
        <v>0</v>
      </c>
      <c r="AA398" s="49">
        <f t="shared" si="237"/>
        <v>0</v>
      </c>
      <c r="AB398" s="44">
        <v>591</v>
      </c>
      <c r="AC398" s="44">
        <f t="shared" si="238"/>
        <v>407</v>
      </c>
      <c r="AD398" s="44">
        <f t="shared" si="239"/>
        <v>176</v>
      </c>
      <c r="AE398" s="50">
        <f t="shared" si="240"/>
        <v>48</v>
      </c>
      <c r="AF398" s="41">
        <f t="shared" si="241"/>
        <v>0.96</v>
      </c>
      <c r="AG398" s="44">
        <v>2</v>
      </c>
      <c r="AH398" s="44">
        <v>6</v>
      </c>
      <c r="AI398" s="42">
        <f t="shared" si="217"/>
        <v>0.62615384615384617</v>
      </c>
      <c r="AJ398" s="42">
        <f t="shared" si="218"/>
        <v>0.27076923076923076</v>
      </c>
      <c r="AK398" s="40">
        <f t="shared" si="242"/>
        <v>0.58858461538461537</v>
      </c>
      <c r="AL398" s="51">
        <v>58</v>
      </c>
      <c r="AM398" s="52">
        <f t="shared" si="243"/>
        <v>8.3876923076923071E-2</v>
      </c>
      <c r="AN398" s="42">
        <f t="shared" si="219"/>
        <v>8.9230769230769225E-2</v>
      </c>
      <c r="AO398" s="53">
        <f t="shared" si="220"/>
        <v>59</v>
      </c>
      <c r="AP398" s="52">
        <f t="shared" si="221"/>
        <v>8.5323076923076932E-2</v>
      </c>
      <c r="AQ398" s="42">
        <f t="shared" si="222"/>
        <v>0.89692307692307693</v>
      </c>
      <c r="AR398" s="46">
        <v>46254</v>
      </c>
      <c r="AS398" s="46">
        <v>46255</v>
      </c>
      <c r="AT398" s="50">
        <f t="shared" si="223"/>
        <v>9</v>
      </c>
      <c r="AU398" s="50">
        <f t="shared" si="244"/>
        <v>359</v>
      </c>
      <c r="AV398" s="50">
        <f t="shared" si="224"/>
        <v>203</v>
      </c>
      <c r="AW398" s="54">
        <f t="shared" si="225"/>
        <v>156</v>
      </c>
    </row>
    <row r="399" spans="1:49" x14ac:dyDescent="0.25">
      <c r="A399" s="33" t="s">
        <v>55</v>
      </c>
      <c r="B399" s="33" t="s">
        <v>314</v>
      </c>
      <c r="C399" s="33" t="s">
        <v>315</v>
      </c>
      <c r="D399" s="33" t="s">
        <v>511</v>
      </c>
      <c r="E399" s="34">
        <f>COUNTIF('Detalle por artículo'!$K$8:$K$592,D399)</f>
        <v>1</v>
      </c>
      <c r="F399" s="35">
        <f t="shared" si="226"/>
        <v>175.64102564102564</v>
      </c>
      <c r="G399" s="36">
        <f>SUMIF('Detalle por artículo'!$K$8:$K$592,$D399,'Detalle por artículo'!$E$8:$E$592)</f>
        <v>0.93600000000000005</v>
      </c>
      <c r="H399" s="35">
        <f t="shared" si="227"/>
        <v>1</v>
      </c>
      <c r="I399" s="35">
        <f t="shared" si="228"/>
        <v>2</v>
      </c>
      <c r="J399" s="35">
        <f t="shared" si="229"/>
        <v>3</v>
      </c>
      <c r="K399" s="37">
        <f t="shared" si="230"/>
        <v>3.3428571428571432E-2</v>
      </c>
      <c r="L399" s="36">
        <f>SUMIF('Detalle por artículo'!$K$8:$K$592,$D399,'Detalle por artículo'!$O$8:$O$592)</f>
        <v>164.4</v>
      </c>
      <c r="M399" s="38">
        <f>SUMIF('Detalle por artículo'!$K$8:$K$592,$D399,'Detalle por artículo'!$I$8:$I$592)</f>
        <v>738</v>
      </c>
      <c r="N399" s="38">
        <f>SUMIF('Detalle por artículo'!$K$8:$K$592,$D399,'Detalle por artículo'!$M$8:$M$592)</f>
        <v>13</v>
      </c>
      <c r="O399" s="39">
        <f t="shared" si="231"/>
        <v>1.2682926829268293</v>
      </c>
      <c r="P399" s="40">
        <f t="shared" si="232"/>
        <v>222.76422764227644</v>
      </c>
      <c r="Q399" s="41">
        <f t="shared" si="233"/>
        <v>0.15</v>
      </c>
      <c r="R399" s="40">
        <f t="shared" si="234"/>
        <v>1.0764</v>
      </c>
      <c r="S399" s="42">
        <f>IFERROR(SUM($G$8:G399)/$G$6,0)</f>
        <v>0.98614918750449621</v>
      </c>
      <c r="T399" s="43" t="str">
        <f t="shared" si="235"/>
        <v>C</v>
      </c>
      <c r="U399" s="44">
        <v>738</v>
      </c>
      <c r="V399" s="45">
        <f t="shared" si="216"/>
        <v>0</v>
      </c>
      <c r="W399" s="46">
        <v>46247</v>
      </c>
      <c r="X399" s="46">
        <v>46247</v>
      </c>
      <c r="Y399" s="47">
        <v>0</v>
      </c>
      <c r="Z399" s="48">
        <f t="shared" si="236"/>
        <v>0</v>
      </c>
      <c r="AA399" s="49">
        <f t="shared" si="237"/>
        <v>0</v>
      </c>
      <c r="AB399" s="44">
        <v>504</v>
      </c>
      <c r="AC399" s="44">
        <f t="shared" si="238"/>
        <v>393</v>
      </c>
      <c r="AD399" s="44">
        <f t="shared" si="239"/>
        <v>82</v>
      </c>
      <c r="AE399" s="50">
        <f t="shared" si="240"/>
        <v>48</v>
      </c>
      <c r="AF399" s="41">
        <f t="shared" si="241"/>
        <v>0.96</v>
      </c>
      <c r="AG399" s="44">
        <v>7</v>
      </c>
      <c r="AH399" s="44">
        <v>22</v>
      </c>
      <c r="AI399" s="42">
        <f t="shared" si="217"/>
        <v>0.53252032520325199</v>
      </c>
      <c r="AJ399" s="42">
        <f t="shared" si="218"/>
        <v>0.1111111111111111</v>
      </c>
      <c r="AK399" s="40">
        <f t="shared" si="242"/>
        <v>0.4984390243902439</v>
      </c>
      <c r="AL399" s="51">
        <v>234</v>
      </c>
      <c r="AM399" s="52">
        <f t="shared" si="243"/>
        <v>0.29678048780487809</v>
      </c>
      <c r="AN399" s="42">
        <f t="shared" si="219"/>
        <v>0.31707317073170732</v>
      </c>
      <c r="AO399" s="53">
        <f t="shared" si="220"/>
        <v>234</v>
      </c>
      <c r="AP399" s="52">
        <f t="shared" si="221"/>
        <v>0.29678048780487809</v>
      </c>
      <c r="AQ399" s="42">
        <f t="shared" si="222"/>
        <v>0.64363143631436315</v>
      </c>
      <c r="AR399" s="46">
        <v>46254</v>
      </c>
      <c r="AS399" s="46">
        <v>46255</v>
      </c>
      <c r="AT399" s="50">
        <f t="shared" si="223"/>
        <v>8</v>
      </c>
      <c r="AU399" s="50">
        <f t="shared" si="244"/>
        <v>291</v>
      </c>
      <c r="AV399" s="50">
        <f t="shared" si="224"/>
        <v>269</v>
      </c>
      <c r="AW399" s="54">
        <f t="shared" si="225"/>
        <v>22</v>
      </c>
    </row>
    <row r="400" spans="1:49" x14ac:dyDescent="0.25">
      <c r="A400" s="33" t="s">
        <v>55</v>
      </c>
      <c r="B400" s="33" t="s">
        <v>314</v>
      </c>
      <c r="C400" s="33" t="s">
        <v>315</v>
      </c>
      <c r="D400" s="33" t="s">
        <v>512</v>
      </c>
      <c r="E400" s="34">
        <f>COUNTIF('Detalle por artículo'!$K$8:$K$592,D400)</f>
        <v>1</v>
      </c>
      <c r="F400" s="35">
        <f t="shared" si="226"/>
        <v>174.14529914529913</v>
      </c>
      <c r="G400" s="36">
        <f>SUMIF('Detalle por artículo'!$K$8:$K$592,$D400,'Detalle por artículo'!$E$8:$E$592)</f>
        <v>0.93600000000000005</v>
      </c>
      <c r="H400" s="35">
        <f t="shared" si="227"/>
        <v>1</v>
      </c>
      <c r="I400" s="35">
        <f t="shared" si="228"/>
        <v>2</v>
      </c>
      <c r="J400" s="35">
        <f t="shared" si="229"/>
        <v>3</v>
      </c>
      <c r="K400" s="37">
        <f t="shared" si="230"/>
        <v>3.3428571428571432E-2</v>
      </c>
      <c r="L400" s="36">
        <f>SUMIF('Detalle por artículo'!$K$8:$K$592,$D400,'Detalle por artículo'!$O$8:$O$592)</f>
        <v>163</v>
      </c>
      <c r="M400" s="38">
        <f>SUMIF('Detalle por artículo'!$K$8:$K$592,$D400,'Detalle por artículo'!$I$8:$I$592)</f>
        <v>707</v>
      </c>
      <c r="N400" s="38">
        <f>SUMIF('Detalle por artículo'!$K$8:$K$592,$D400,'Detalle por artículo'!$M$8:$M$592)</f>
        <v>13</v>
      </c>
      <c r="O400" s="39">
        <f t="shared" si="231"/>
        <v>1.3239038189533239</v>
      </c>
      <c r="P400" s="40">
        <f t="shared" si="232"/>
        <v>230.55162659123056</v>
      </c>
      <c r="Q400" s="41">
        <f t="shared" si="233"/>
        <v>0.15</v>
      </c>
      <c r="R400" s="40">
        <f t="shared" si="234"/>
        <v>1.0764</v>
      </c>
      <c r="S400" s="42">
        <f>IFERROR(SUM($G$8:G400)/$G$6,0)</f>
        <v>0.98649313360843571</v>
      </c>
      <c r="T400" s="43" t="str">
        <f t="shared" si="235"/>
        <v>C</v>
      </c>
      <c r="U400" s="44">
        <v>707</v>
      </c>
      <c r="V400" s="45">
        <f t="shared" si="216"/>
        <v>0</v>
      </c>
      <c r="W400" s="46">
        <v>46247</v>
      </c>
      <c r="X400" s="46">
        <v>46247</v>
      </c>
      <c r="Y400" s="47">
        <v>0</v>
      </c>
      <c r="Z400" s="48">
        <f t="shared" si="236"/>
        <v>0</v>
      </c>
      <c r="AA400" s="49">
        <f t="shared" si="237"/>
        <v>0</v>
      </c>
      <c r="AB400" s="44">
        <v>661</v>
      </c>
      <c r="AC400" s="44">
        <f t="shared" si="238"/>
        <v>460</v>
      </c>
      <c r="AD400" s="44">
        <f t="shared" si="239"/>
        <v>193</v>
      </c>
      <c r="AE400" s="50">
        <f t="shared" si="240"/>
        <v>48</v>
      </c>
      <c r="AF400" s="41">
        <f t="shared" si="241"/>
        <v>0.96</v>
      </c>
      <c r="AG400" s="44">
        <v>0</v>
      </c>
      <c r="AH400" s="44">
        <v>8</v>
      </c>
      <c r="AI400" s="42">
        <f t="shared" si="217"/>
        <v>0.65063649222065068</v>
      </c>
      <c r="AJ400" s="42">
        <f t="shared" si="218"/>
        <v>0.27298444130127297</v>
      </c>
      <c r="AK400" s="40">
        <f t="shared" si="242"/>
        <v>0.60899575671852901</v>
      </c>
      <c r="AL400" s="51">
        <v>44</v>
      </c>
      <c r="AM400" s="52">
        <f t="shared" si="243"/>
        <v>5.8251768033946251E-2</v>
      </c>
      <c r="AN400" s="42">
        <f t="shared" si="219"/>
        <v>6.2234794908062233E-2</v>
      </c>
      <c r="AO400" s="53">
        <f t="shared" si="220"/>
        <v>46</v>
      </c>
      <c r="AP400" s="52">
        <f t="shared" si="221"/>
        <v>6.0899575671852904E-2</v>
      </c>
      <c r="AQ400" s="42">
        <f t="shared" si="222"/>
        <v>0.92362093352192365</v>
      </c>
      <c r="AR400" s="46">
        <v>46252</v>
      </c>
      <c r="AS400" s="46">
        <v>46252</v>
      </c>
      <c r="AT400" s="50">
        <f t="shared" si="223"/>
        <v>5</v>
      </c>
      <c r="AU400" s="50">
        <f t="shared" si="244"/>
        <v>310</v>
      </c>
      <c r="AV400" s="50">
        <f t="shared" si="224"/>
        <v>150</v>
      </c>
      <c r="AW400" s="54">
        <f t="shared" si="225"/>
        <v>160</v>
      </c>
    </row>
    <row r="401" spans="1:49" x14ac:dyDescent="0.25">
      <c r="A401" s="33" t="s">
        <v>63</v>
      </c>
      <c r="B401" s="33" t="s">
        <v>263</v>
      </c>
      <c r="C401" s="33" t="s">
        <v>264</v>
      </c>
      <c r="D401" s="33" t="s">
        <v>513</v>
      </c>
      <c r="E401" s="34">
        <f>COUNTIF('Detalle por artículo'!$K$8:$K$592,D401)</f>
        <v>1</v>
      </c>
      <c r="F401" s="35">
        <f t="shared" si="226"/>
        <v>206.52173913043478</v>
      </c>
      <c r="G401" s="36">
        <f>SUMIF('Detalle por artículo'!$K$8:$K$592,$D401,'Detalle por artículo'!$E$8:$E$592)</f>
        <v>0.92</v>
      </c>
      <c r="H401" s="35">
        <f t="shared" si="227"/>
        <v>1</v>
      </c>
      <c r="I401" s="35">
        <f t="shared" si="228"/>
        <v>2</v>
      </c>
      <c r="J401" s="35">
        <f t="shared" si="229"/>
        <v>3</v>
      </c>
      <c r="K401" s="37">
        <f t="shared" si="230"/>
        <v>3.2857142857142856E-2</v>
      </c>
      <c r="L401" s="36">
        <f>SUMIF('Detalle por artículo'!$K$8:$K$592,$D401,'Detalle por artículo'!$O$8:$O$592)</f>
        <v>190</v>
      </c>
      <c r="M401" s="38">
        <f>SUMIF('Detalle por artículo'!$K$8:$K$592,$D401,'Detalle por artículo'!$I$8:$I$592)</f>
        <v>721</v>
      </c>
      <c r="N401" s="38">
        <f>SUMIF('Detalle por artículo'!$K$8:$K$592,$D401,'Detalle por artículo'!$M$8:$M$592)</f>
        <v>9</v>
      </c>
      <c r="O401" s="39">
        <f t="shared" si="231"/>
        <v>1.2760055478502081</v>
      </c>
      <c r="P401" s="40">
        <f t="shared" si="232"/>
        <v>263.5228848821082</v>
      </c>
      <c r="Q401" s="41">
        <f t="shared" si="233"/>
        <v>0.1</v>
      </c>
      <c r="R401" s="40">
        <f t="shared" si="234"/>
        <v>1.0120000000000002</v>
      </c>
      <c r="S401" s="42">
        <f>IFERROR(SUM($G$8:G401)/$G$6,0)</f>
        <v>0.98683120029179505</v>
      </c>
      <c r="T401" s="43" t="str">
        <f t="shared" si="235"/>
        <v>C</v>
      </c>
      <c r="U401" s="44">
        <v>721</v>
      </c>
      <c r="V401" s="45">
        <f t="shared" si="216"/>
        <v>0</v>
      </c>
      <c r="W401" s="46">
        <v>46240</v>
      </c>
      <c r="X401" s="46">
        <v>46240</v>
      </c>
      <c r="Y401" s="47">
        <v>0</v>
      </c>
      <c r="Z401" s="48">
        <f t="shared" si="236"/>
        <v>0</v>
      </c>
      <c r="AA401" s="49">
        <f t="shared" si="237"/>
        <v>0</v>
      </c>
      <c r="AB401" s="44">
        <v>605</v>
      </c>
      <c r="AC401" s="44">
        <f t="shared" si="238"/>
        <v>455</v>
      </c>
      <c r="AD401" s="44">
        <f t="shared" si="239"/>
        <v>125</v>
      </c>
      <c r="AE401" s="50">
        <f t="shared" si="240"/>
        <v>49</v>
      </c>
      <c r="AF401" s="41">
        <f t="shared" si="241"/>
        <v>0.98</v>
      </c>
      <c r="AG401" s="44">
        <v>1</v>
      </c>
      <c r="AH401" s="44">
        <v>24</v>
      </c>
      <c r="AI401" s="42">
        <f t="shared" si="217"/>
        <v>0.6310679611650486</v>
      </c>
      <c r="AJ401" s="42">
        <f t="shared" si="218"/>
        <v>0.17337031900138697</v>
      </c>
      <c r="AK401" s="40">
        <f t="shared" si="242"/>
        <v>0.58058252427184476</v>
      </c>
      <c r="AL401" s="51">
        <v>116</v>
      </c>
      <c r="AM401" s="52">
        <f t="shared" si="243"/>
        <v>0.14801664355062413</v>
      </c>
      <c r="AN401" s="42">
        <f t="shared" si="219"/>
        <v>0.16088765603328711</v>
      </c>
      <c r="AO401" s="53">
        <f t="shared" si="220"/>
        <v>116</v>
      </c>
      <c r="AP401" s="52">
        <f t="shared" si="221"/>
        <v>0.14801664355062413</v>
      </c>
      <c r="AQ401" s="42">
        <f t="shared" si="222"/>
        <v>0.80443828016643548</v>
      </c>
      <c r="AR401" s="46">
        <v>46244</v>
      </c>
      <c r="AS401" s="46">
        <v>46245</v>
      </c>
      <c r="AT401" s="50">
        <f t="shared" si="223"/>
        <v>5</v>
      </c>
      <c r="AU401" s="50">
        <f t="shared" si="244"/>
        <v>300</v>
      </c>
      <c r="AV401" s="50">
        <f t="shared" si="224"/>
        <v>185</v>
      </c>
      <c r="AW401" s="54">
        <f t="shared" si="225"/>
        <v>115</v>
      </c>
    </row>
    <row r="402" spans="1:49" x14ac:dyDescent="0.25">
      <c r="A402" s="33" t="s">
        <v>55</v>
      </c>
      <c r="B402" s="33" t="s">
        <v>314</v>
      </c>
      <c r="C402" s="33" t="s">
        <v>315</v>
      </c>
      <c r="D402" s="33" t="s">
        <v>514</v>
      </c>
      <c r="E402" s="34">
        <f>COUNTIF('Detalle por artículo'!$K$8:$K$592,D402)</f>
        <v>1</v>
      </c>
      <c r="F402" s="35">
        <f t="shared" si="226"/>
        <v>204.86111111111111</v>
      </c>
      <c r="G402" s="36">
        <f>SUMIF('Detalle por artículo'!$K$8:$K$592,$D402,'Detalle por artículo'!$E$8:$E$592)</f>
        <v>0.86399999999999999</v>
      </c>
      <c r="H402" s="35">
        <f t="shared" si="227"/>
        <v>1</v>
      </c>
      <c r="I402" s="35">
        <f t="shared" si="228"/>
        <v>2</v>
      </c>
      <c r="J402" s="35">
        <f t="shared" si="229"/>
        <v>3</v>
      </c>
      <c r="K402" s="37">
        <f t="shared" si="230"/>
        <v>3.0857142857142857E-2</v>
      </c>
      <c r="L402" s="36">
        <f>SUMIF('Detalle por artículo'!$K$8:$K$592,$D402,'Detalle por artículo'!$O$8:$O$592)</f>
        <v>177</v>
      </c>
      <c r="M402" s="38">
        <f>SUMIF('Detalle por artículo'!$K$8:$K$592,$D402,'Detalle por artículo'!$I$8:$I$592)</f>
        <v>779</v>
      </c>
      <c r="N402" s="38">
        <f>SUMIF('Detalle por artículo'!$K$8:$K$592,$D402,'Detalle por artículo'!$M$8:$M$592)</f>
        <v>12</v>
      </c>
      <c r="O402" s="39">
        <f t="shared" si="231"/>
        <v>1.1091142490372272</v>
      </c>
      <c r="P402" s="40">
        <f t="shared" si="232"/>
        <v>227.21437740693196</v>
      </c>
      <c r="Q402" s="41">
        <f t="shared" si="233"/>
        <v>0.1</v>
      </c>
      <c r="R402" s="40">
        <f t="shared" si="234"/>
        <v>0.95040000000000002</v>
      </c>
      <c r="S402" s="42">
        <f>IFERROR(SUM($G$8:G402)/$G$6,0)</f>
        <v>0.9871486890031238</v>
      </c>
      <c r="T402" s="43" t="str">
        <f t="shared" si="235"/>
        <v>C</v>
      </c>
      <c r="U402" s="44">
        <v>779</v>
      </c>
      <c r="V402" s="45">
        <f t="shared" si="216"/>
        <v>0</v>
      </c>
      <c r="W402" s="46">
        <v>46247</v>
      </c>
      <c r="X402" s="46">
        <v>46247</v>
      </c>
      <c r="Y402" s="47">
        <v>0</v>
      </c>
      <c r="Z402" s="48">
        <f t="shared" si="236"/>
        <v>0</v>
      </c>
      <c r="AA402" s="49">
        <f t="shared" si="237"/>
        <v>0</v>
      </c>
      <c r="AB402" s="44">
        <v>672</v>
      </c>
      <c r="AC402" s="44">
        <f t="shared" si="238"/>
        <v>402</v>
      </c>
      <c r="AD402" s="44">
        <f t="shared" si="239"/>
        <v>260</v>
      </c>
      <c r="AE402" s="50">
        <f t="shared" si="240"/>
        <v>47</v>
      </c>
      <c r="AF402" s="41">
        <f t="shared" si="241"/>
        <v>0.94</v>
      </c>
      <c r="AG402" s="44">
        <v>1</v>
      </c>
      <c r="AH402" s="44">
        <v>9</v>
      </c>
      <c r="AI402" s="42">
        <f t="shared" si="217"/>
        <v>0.5160462130937099</v>
      </c>
      <c r="AJ402" s="42">
        <f t="shared" si="218"/>
        <v>0.3337612323491656</v>
      </c>
      <c r="AK402" s="40">
        <f t="shared" si="242"/>
        <v>0.44586392811296538</v>
      </c>
      <c r="AL402" s="51">
        <v>107</v>
      </c>
      <c r="AM402" s="52">
        <f t="shared" si="243"/>
        <v>0.11867522464698331</v>
      </c>
      <c r="AN402" s="42">
        <f t="shared" si="219"/>
        <v>0.13735558408215662</v>
      </c>
      <c r="AO402" s="53">
        <f t="shared" si="220"/>
        <v>107</v>
      </c>
      <c r="AP402" s="52">
        <f t="shared" si="221"/>
        <v>0.11867522464698331</v>
      </c>
      <c r="AQ402" s="42">
        <f t="shared" si="222"/>
        <v>0.84980744544287545</v>
      </c>
      <c r="AR402" s="46">
        <v>46247</v>
      </c>
      <c r="AS402" s="46">
        <v>46248</v>
      </c>
      <c r="AT402" s="50">
        <f t="shared" si="223"/>
        <v>1</v>
      </c>
      <c r="AU402" s="50">
        <f t="shared" si="244"/>
        <v>255</v>
      </c>
      <c r="AV402" s="50">
        <f t="shared" si="224"/>
        <v>139</v>
      </c>
      <c r="AW402" s="54">
        <f t="shared" si="225"/>
        <v>116</v>
      </c>
    </row>
    <row r="403" spans="1:49" x14ac:dyDescent="0.25">
      <c r="A403" s="33" t="s">
        <v>55</v>
      </c>
      <c r="B403" s="33" t="s">
        <v>314</v>
      </c>
      <c r="C403" s="33" t="s">
        <v>315</v>
      </c>
      <c r="D403" s="33" t="s">
        <v>515</v>
      </c>
      <c r="E403" s="34">
        <f>COUNTIF('Detalle por artículo'!$K$8:$K$592,D403)</f>
        <v>1</v>
      </c>
      <c r="F403" s="35">
        <f t="shared" si="226"/>
        <v>215.3935185185185</v>
      </c>
      <c r="G403" s="36">
        <f>SUMIF('Detalle por artículo'!$K$8:$K$592,$D403,'Detalle por artículo'!$E$8:$E$592)</f>
        <v>0.86399999999999999</v>
      </c>
      <c r="H403" s="35">
        <f t="shared" si="227"/>
        <v>1</v>
      </c>
      <c r="I403" s="35">
        <f t="shared" si="228"/>
        <v>2</v>
      </c>
      <c r="J403" s="35">
        <f t="shared" si="229"/>
        <v>3</v>
      </c>
      <c r="K403" s="37">
        <f t="shared" si="230"/>
        <v>3.0857142857142857E-2</v>
      </c>
      <c r="L403" s="36">
        <f>SUMIF('Detalle por artículo'!$K$8:$K$592,$D403,'Detalle por artículo'!$O$8:$O$592)</f>
        <v>186.1</v>
      </c>
      <c r="M403" s="38">
        <f>SUMIF('Detalle por artículo'!$K$8:$K$592,$D403,'Detalle por artículo'!$I$8:$I$592)</f>
        <v>737</v>
      </c>
      <c r="N403" s="38">
        <f>SUMIF('Detalle por artículo'!$K$8:$K$592,$D403,'Detalle por artículo'!$M$8:$M$592)</f>
        <v>9</v>
      </c>
      <c r="O403" s="39">
        <f t="shared" si="231"/>
        <v>1.1723202170963365</v>
      </c>
      <c r="P403" s="40">
        <f t="shared" si="232"/>
        <v>252.51017639077338</v>
      </c>
      <c r="Q403" s="41">
        <f t="shared" si="233"/>
        <v>0.1</v>
      </c>
      <c r="R403" s="40">
        <f t="shared" si="234"/>
        <v>0.95040000000000002</v>
      </c>
      <c r="S403" s="42">
        <f>IFERROR(SUM($G$8:G403)/$G$6,0)</f>
        <v>0.98746617771445255</v>
      </c>
      <c r="T403" s="43" t="str">
        <f t="shared" si="235"/>
        <v>C</v>
      </c>
      <c r="U403" s="44">
        <v>737</v>
      </c>
      <c r="V403" s="45">
        <f t="shared" si="216"/>
        <v>0</v>
      </c>
      <c r="W403" s="46">
        <v>46247</v>
      </c>
      <c r="X403" s="46">
        <v>46247</v>
      </c>
      <c r="Y403" s="47">
        <v>0</v>
      </c>
      <c r="Z403" s="48">
        <f t="shared" si="236"/>
        <v>0</v>
      </c>
      <c r="AA403" s="49">
        <f t="shared" si="237"/>
        <v>0</v>
      </c>
      <c r="AB403" s="44">
        <v>646</v>
      </c>
      <c r="AC403" s="44">
        <f t="shared" si="238"/>
        <v>376</v>
      </c>
      <c r="AD403" s="44">
        <f t="shared" si="239"/>
        <v>270</v>
      </c>
      <c r="AE403" s="50">
        <f t="shared" si="240"/>
        <v>48</v>
      </c>
      <c r="AF403" s="41">
        <f t="shared" si="241"/>
        <v>0.96</v>
      </c>
      <c r="AG403" s="44">
        <v>0</v>
      </c>
      <c r="AH403" s="44">
        <v>0</v>
      </c>
      <c r="AI403" s="42">
        <f t="shared" si="217"/>
        <v>0.51017639077340571</v>
      </c>
      <c r="AJ403" s="42">
        <f t="shared" si="218"/>
        <v>0.36635006784260515</v>
      </c>
      <c r="AK403" s="40">
        <f t="shared" si="242"/>
        <v>0.44079240162822253</v>
      </c>
      <c r="AL403" s="51">
        <v>89</v>
      </c>
      <c r="AM403" s="52">
        <f t="shared" si="243"/>
        <v>0.10433649932157395</v>
      </c>
      <c r="AN403" s="42">
        <f t="shared" si="219"/>
        <v>0.12075983717774763</v>
      </c>
      <c r="AO403" s="53">
        <f t="shared" si="220"/>
        <v>91</v>
      </c>
      <c r="AP403" s="52">
        <f t="shared" si="221"/>
        <v>0.10668113975576662</v>
      </c>
      <c r="AQ403" s="42">
        <f t="shared" si="222"/>
        <v>0.87652645861601086</v>
      </c>
      <c r="AR403" s="46">
        <v>46247</v>
      </c>
      <c r="AS403" s="46">
        <v>46248</v>
      </c>
      <c r="AT403" s="50">
        <f t="shared" si="223"/>
        <v>1</v>
      </c>
      <c r="AU403" s="50">
        <f t="shared" si="244"/>
        <v>292</v>
      </c>
      <c r="AV403" s="50">
        <f t="shared" si="224"/>
        <v>156</v>
      </c>
      <c r="AW403" s="54">
        <f t="shared" si="225"/>
        <v>136</v>
      </c>
    </row>
    <row r="404" spans="1:49" x14ac:dyDescent="0.25">
      <c r="A404" s="33" t="s">
        <v>55</v>
      </c>
      <c r="B404" s="33" t="s">
        <v>314</v>
      </c>
      <c r="C404" s="33" t="s">
        <v>315</v>
      </c>
      <c r="D404" s="33" t="s">
        <v>516</v>
      </c>
      <c r="E404" s="34">
        <f>COUNTIF('Detalle por artículo'!$K$8:$K$592,D404)</f>
        <v>1</v>
      </c>
      <c r="F404" s="35">
        <f t="shared" si="226"/>
        <v>171.75925925925927</v>
      </c>
      <c r="G404" s="36">
        <f>SUMIF('Detalle por artículo'!$K$8:$K$592,$D404,'Detalle por artículo'!$E$8:$E$592)</f>
        <v>0.86399999999999999</v>
      </c>
      <c r="H404" s="35">
        <f t="shared" si="227"/>
        <v>1</v>
      </c>
      <c r="I404" s="35">
        <f t="shared" si="228"/>
        <v>2</v>
      </c>
      <c r="J404" s="35">
        <f t="shared" si="229"/>
        <v>3</v>
      </c>
      <c r="K404" s="37">
        <f t="shared" si="230"/>
        <v>3.0857142857142857E-2</v>
      </c>
      <c r="L404" s="36">
        <f>SUMIF('Detalle por artículo'!$K$8:$K$592,$D404,'Detalle por artículo'!$O$8:$O$592)</f>
        <v>148.4</v>
      </c>
      <c r="M404" s="38">
        <f>SUMIF('Detalle por artículo'!$K$8:$K$592,$D404,'Detalle por artículo'!$I$8:$I$592)</f>
        <v>622</v>
      </c>
      <c r="N404" s="38">
        <f>SUMIF('Detalle por artículo'!$K$8:$K$592,$D404,'Detalle por artículo'!$M$8:$M$592)</f>
        <v>12</v>
      </c>
      <c r="O404" s="39">
        <f t="shared" si="231"/>
        <v>1.3890675241157557</v>
      </c>
      <c r="P404" s="40">
        <f t="shared" si="232"/>
        <v>238.58520900321545</v>
      </c>
      <c r="Q404" s="41">
        <f t="shared" si="233"/>
        <v>0.15</v>
      </c>
      <c r="R404" s="40">
        <f t="shared" si="234"/>
        <v>0.99359999999999993</v>
      </c>
      <c r="S404" s="42">
        <f>IFERROR(SUM($G$8:G404)/$G$6,0)</f>
        <v>0.9877836664257813</v>
      </c>
      <c r="T404" s="43" t="str">
        <f t="shared" si="235"/>
        <v>C</v>
      </c>
      <c r="U404" s="44">
        <v>622</v>
      </c>
      <c r="V404" s="45">
        <f t="shared" si="216"/>
        <v>0</v>
      </c>
      <c r="W404" s="46">
        <v>46247</v>
      </c>
      <c r="X404" s="46">
        <v>46247</v>
      </c>
      <c r="Y404" s="47">
        <v>0</v>
      </c>
      <c r="Z404" s="48">
        <f t="shared" si="236"/>
        <v>0</v>
      </c>
      <c r="AA404" s="49">
        <f t="shared" si="237"/>
        <v>0</v>
      </c>
      <c r="AB404" s="44">
        <v>585</v>
      </c>
      <c r="AC404" s="44">
        <f t="shared" si="238"/>
        <v>512</v>
      </c>
      <c r="AD404" s="44">
        <f t="shared" si="239"/>
        <v>50</v>
      </c>
      <c r="AE404" s="50">
        <f t="shared" si="240"/>
        <v>47</v>
      </c>
      <c r="AF404" s="41">
        <f t="shared" si="241"/>
        <v>0.94</v>
      </c>
      <c r="AG404" s="44">
        <v>4</v>
      </c>
      <c r="AH404" s="44">
        <v>19</v>
      </c>
      <c r="AI404" s="42">
        <f t="shared" si="217"/>
        <v>0.82315112540192925</v>
      </c>
      <c r="AJ404" s="42">
        <f t="shared" si="218"/>
        <v>8.0385852090032156E-2</v>
      </c>
      <c r="AK404" s="40">
        <f t="shared" si="242"/>
        <v>0.71120257234726691</v>
      </c>
      <c r="AL404" s="51">
        <v>37</v>
      </c>
      <c r="AM404" s="52">
        <f t="shared" si="243"/>
        <v>5.1395498392282961E-2</v>
      </c>
      <c r="AN404" s="42">
        <f t="shared" si="219"/>
        <v>5.9485530546623797E-2</v>
      </c>
      <c r="AO404" s="53">
        <f t="shared" si="220"/>
        <v>37</v>
      </c>
      <c r="AP404" s="52">
        <f t="shared" si="221"/>
        <v>5.1395498392282961E-2</v>
      </c>
      <c r="AQ404" s="42">
        <f t="shared" si="222"/>
        <v>0.90353697749196138</v>
      </c>
      <c r="AR404" s="46">
        <v>46254</v>
      </c>
      <c r="AS404" s="46">
        <v>46255</v>
      </c>
      <c r="AT404" s="50">
        <f t="shared" si="223"/>
        <v>8</v>
      </c>
      <c r="AU404" s="50">
        <f t="shared" si="244"/>
        <v>384</v>
      </c>
      <c r="AV404" s="50">
        <f t="shared" si="224"/>
        <v>211</v>
      </c>
      <c r="AW404" s="54">
        <f t="shared" si="225"/>
        <v>173</v>
      </c>
    </row>
    <row r="405" spans="1:49" x14ac:dyDescent="0.25">
      <c r="A405" s="33" t="s">
        <v>138</v>
      </c>
      <c r="B405" s="33" t="s">
        <v>426</v>
      </c>
      <c r="C405" s="33" t="s">
        <v>427</v>
      </c>
      <c r="D405" s="33" t="s">
        <v>517</v>
      </c>
      <c r="E405" s="34">
        <f>COUNTIF('Detalle por artículo'!$K$8:$K$592,D405)</f>
        <v>1</v>
      </c>
      <c r="F405" s="35">
        <f t="shared" si="226"/>
        <v>163.42592592592592</v>
      </c>
      <c r="G405" s="36">
        <f>SUMIF('Detalle por artículo'!$K$8:$K$592,$D405,'Detalle por artículo'!$E$8:$E$592)</f>
        <v>0.86399999999999999</v>
      </c>
      <c r="H405" s="35">
        <f t="shared" si="227"/>
        <v>1</v>
      </c>
      <c r="I405" s="35">
        <f t="shared" si="228"/>
        <v>2</v>
      </c>
      <c r="J405" s="35">
        <f t="shared" si="229"/>
        <v>3</v>
      </c>
      <c r="K405" s="37">
        <f t="shared" si="230"/>
        <v>3.0857142857142857E-2</v>
      </c>
      <c r="L405" s="36">
        <f>SUMIF('Detalle por artículo'!$K$8:$K$592,$D405,'Detalle por artículo'!$O$8:$O$592)</f>
        <v>141.19999999999999</v>
      </c>
      <c r="M405" s="38">
        <f>SUMIF('Detalle por artículo'!$K$8:$K$592,$D405,'Detalle por artículo'!$I$8:$I$592)</f>
        <v>412</v>
      </c>
      <c r="N405" s="38">
        <f>SUMIF('Detalle por artículo'!$K$8:$K$592,$D405,'Detalle por artículo'!$M$8:$M$592)</f>
        <v>9</v>
      </c>
      <c r="O405" s="39">
        <f t="shared" si="231"/>
        <v>2.0970873786407767</v>
      </c>
      <c r="P405" s="40">
        <f t="shared" si="232"/>
        <v>342.71844660194171</v>
      </c>
      <c r="Q405" s="41">
        <f t="shared" si="233"/>
        <v>0.15</v>
      </c>
      <c r="R405" s="40">
        <f t="shared" si="234"/>
        <v>0.99359999999999993</v>
      </c>
      <c r="S405" s="42">
        <f>IFERROR(SUM($G$8:G405)/$G$6,0)</f>
        <v>0.98810115513711017</v>
      </c>
      <c r="T405" s="43" t="str">
        <f t="shared" si="235"/>
        <v>C</v>
      </c>
      <c r="U405" s="44">
        <v>412</v>
      </c>
      <c r="V405" s="45">
        <f t="shared" si="216"/>
        <v>0</v>
      </c>
      <c r="W405" s="46">
        <v>46237</v>
      </c>
      <c r="X405" s="46">
        <v>46237</v>
      </c>
      <c r="Y405" s="47">
        <v>0</v>
      </c>
      <c r="Z405" s="48">
        <f t="shared" si="236"/>
        <v>0</v>
      </c>
      <c r="AA405" s="49">
        <f t="shared" si="237"/>
        <v>0</v>
      </c>
      <c r="AB405" s="44">
        <v>277</v>
      </c>
      <c r="AC405" s="44">
        <f t="shared" si="238"/>
        <v>224</v>
      </c>
      <c r="AD405" s="44">
        <f t="shared" si="239"/>
        <v>46</v>
      </c>
      <c r="AE405" s="50">
        <f t="shared" si="240"/>
        <v>34</v>
      </c>
      <c r="AF405" s="41">
        <f t="shared" si="241"/>
        <v>0.68</v>
      </c>
      <c r="AG405" s="44">
        <v>1</v>
      </c>
      <c r="AH405" s="44">
        <v>6</v>
      </c>
      <c r="AI405" s="42">
        <f t="shared" si="217"/>
        <v>0.5436893203883495</v>
      </c>
      <c r="AJ405" s="42">
        <f t="shared" si="218"/>
        <v>0.11165048543689321</v>
      </c>
      <c r="AK405" s="40">
        <f t="shared" si="242"/>
        <v>0.46974757281553398</v>
      </c>
      <c r="AL405" s="51">
        <v>134</v>
      </c>
      <c r="AM405" s="52">
        <f t="shared" si="243"/>
        <v>0.28100970873786407</v>
      </c>
      <c r="AN405" s="42">
        <f t="shared" si="219"/>
        <v>0.32524271844660196</v>
      </c>
      <c r="AO405" s="53">
        <f t="shared" si="220"/>
        <v>135</v>
      </c>
      <c r="AP405" s="52">
        <f t="shared" si="221"/>
        <v>0.2831067961165048</v>
      </c>
      <c r="AQ405" s="42">
        <f t="shared" si="222"/>
        <v>0.65533980582524276</v>
      </c>
      <c r="AR405" s="46">
        <v>46254</v>
      </c>
      <c r="AS405" s="46">
        <v>46254</v>
      </c>
      <c r="AT405" s="50">
        <f t="shared" si="223"/>
        <v>17</v>
      </c>
      <c r="AU405" s="50">
        <f t="shared" si="244"/>
        <v>448</v>
      </c>
      <c r="AV405" s="50">
        <f t="shared" si="224"/>
        <v>352</v>
      </c>
      <c r="AW405" s="54">
        <f t="shared" si="225"/>
        <v>96</v>
      </c>
    </row>
    <row r="406" spans="1:49" x14ac:dyDescent="0.25">
      <c r="A406" s="33" t="s">
        <v>55</v>
      </c>
      <c r="B406" s="33" t="s">
        <v>314</v>
      </c>
      <c r="C406" s="33" t="s">
        <v>315</v>
      </c>
      <c r="D406" s="33" t="s">
        <v>518</v>
      </c>
      <c r="E406" s="34">
        <f>COUNTIF('Detalle por artículo'!$K$8:$K$592,D406)</f>
        <v>1</v>
      </c>
      <c r="F406" s="35">
        <f t="shared" si="226"/>
        <v>185.87962962962962</v>
      </c>
      <c r="G406" s="36">
        <f>SUMIF('Detalle por artículo'!$K$8:$K$592,$D406,'Detalle por artículo'!$E$8:$E$592)</f>
        <v>0.86399999999999999</v>
      </c>
      <c r="H406" s="35">
        <f t="shared" si="227"/>
        <v>1</v>
      </c>
      <c r="I406" s="35">
        <f t="shared" si="228"/>
        <v>2</v>
      </c>
      <c r="J406" s="35">
        <f t="shared" si="229"/>
        <v>3</v>
      </c>
      <c r="K406" s="37">
        <f t="shared" si="230"/>
        <v>3.0857142857142857E-2</v>
      </c>
      <c r="L406" s="36">
        <f>SUMIF('Detalle por artículo'!$K$8:$K$592,$D406,'Detalle por artículo'!$O$8:$O$592)</f>
        <v>160.6</v>
      </c>
      <c r="M406" s="38">
        <f>SUMIF('Detalle por artículo'!$K$8:$K$592,$D406,'Detalle por artículo'!$I$8:$I$592)</f>
        <v>680</v>
      </c>
      <c r="N406" s="38">
        <f>SUMIF('Detalle por artículo'!$K$8:$K$592,$D406,'Detalle por artículo'!$M$8:$M$592)</f>
        <v>12</v>
      </c>
      <c r="O406" s="39">
        <f t="shared" si="231"/>
        <v>1.2705882352941176</v>
      </c>
      <c r="P406" s="40">
        <f t="shared" si="232"/>
        <v>236.1764705882353</v>
      </c>
      <c r="Q406" s="41">
        <f t="shared" si="233"/>
        <v>0.15</v>
      </c>
      <c r="R406" s="40">
        <f t="shared" si="234"/>
        <v>0.99359999999999993</v>
      </c>
      <c r="S406" s="42">
        <f>IFERROR(SUM($G$8:G406)/$G$6,0)</f>
        <v>0.98841864384843892</v>
      </c>
      <c r="T406" s="43" t="str">
        <f t="shared" si="235"/>
        <v>C</v>
      </c>
      <c r="U406" s="44">
        <v>680</v>
      </c>
      <c r="V406" s="45">
        <f t="shared" si="216"/>
        <v>0</v>
      </c>
      <c r="W406" s="46">
        <v>46244</v>
      </c>
      <c r="X406" s="46">
        <v>46244</v>
      </c>
      <c r="Y406" s="47">
        <v>0</v>
      </c>
      <c r="Z406" s="48">
        <f t="shared" si="236"/>
        <v>0</v>
      </c>
      <c r="AA406" s="49">
        <f t="shared" si="237"/>
        <v>0</v>
      </c>
      <c r="AB406" s="44">
        <v>672</v>
      </c>
      <c r="AC406" s="44">
        <f t="shared" si="238"/>
        <v>523</v>
      </c>
      <c r="AD406" s="44">
        <f t="shared" si="239"/>
        <v>124</v>
      </c>
      <c r="AE406" s="50">
        <f t="shared" si="240"/>
        <v>48</v>
      </c>
      <c r="AF406" s="41">
        <f t="shared" si="241"/>
        <v>0.96</v>
      </c>
      <c r="AG406" s="44">
        <v>7</v>
      </c>
      <c r="AH406" s="44">
        <v>18</v>
      </c>
      <c r="AI406" s="42">
        <f t="shared" si="217"/>
        <v>0.76911764705882357</v>
      </c>
      <c r="AJ406" s="42">
        <f t="shared" si="218"/>
        <v>0.18235294117647058</v>
      </c>
      <c r="AK406" s="40">
        <f t="shared" si="242"/>
        <v>0.66451764705882355</v>
      </c>
      <c r="AL406" s="51">
        <v>8</v>
      </c>
      <c r="AM406" s="52">
        <f t="shared" si="243"/>
        <v>1.016470588235294E-2</v>
      </c>
      <c r="AN406" s="42">
        <f t="shared" si="219"/>
        <v>1.1764705882352941E-2</v>
      </c>
      <c r="AO406" s="53">
        <f t="shared" si="220"/>
        <v>8</v>
      </c>
      <c r="AP406" s="52">
        <f t="shared" si="221"/>
        <v>1.016470588235294E-2</v>
      </c>
      <c r="AQ406" s="42">
        <f t="shared" si="222"/>
        <v>0.95147058823529407</v>
      </c>
      <c r="AR406" s="46">
        <v>46254</v>
      </c>
      <c r="AS406" s="46">
        <v>46254</v>
      </c>
      <c r="AT406" s="50">
        <f t="shared" si="223"/>
        <v>10</v>
      </c>
      <c r="AU406" s="50">
        <f t="shared" si="244"/>
        <v>335</v>
      </c>
      <c r="AV406" s="50">
        <f t="shared" si="224"/>
        <v>139</v>
      </c>
      <c r="AW406" s="54">
        <f t="shared" si="225"/>
        <v>196</v>
      </c>
    </row>
    <row r="407" spans="1:49" x14ac:dyDescent="0.25">
      <c r="A407" s="33" t="s">
        <v>120</v>
      </c>
      <c r="B407" s="33" t="s">
        <v>519</v>
      </c>
      <c r="C407" s="33" t="s">
        <v>503</v>
      </c>
      <c r="D407" s="33" t="s">
        <v>520</v>
      </c>
      <c r="E407" s="34">
        <f>COUNTIF('Detalle por artículo'!$K$8:$K$592,D407)</f>
        <v>1</v>
      </c>
      <c r="F407" s="35">
        <f t="shared" si="226"/>
        <v>97.222222222222229</v>
      </c>
      <c r="G407" s="36">
        <f>SUMIF('Detalle por artículo'!$K$8:$K$592,$D407,'Detalle por artículo'!$E$8:$E$592)</f>
        <v>0.86399999999999999</v>
      </c>
      <c r="H407" s="35">
        <f t="shared" si="227"/>
        <v>1</v>
      </c>
      <c r="I407" s="35">
        <f t="shared" si="228"/>
        <v>2</v>
      </c>
      <c r="J407" s="35">
        <f t="shared" si="229"/>
        <v>3</v>
      </c>
      <c r="K407" s="37">
        <f t="shared" si="230"/>
        <v>3.0857142857142857E-2</v>
      </c>
      <c r="L407" s="36">
        <f>SUMIF('Detalle por artículo'!$K$8:$K$592,$D407,'Detalle por artículo'!$O$8:$O$592)</f>
        <v>84</v>
      </c>
      <c r="M407" s="38">
        <f>SUMIF('Detalle por artículo'!$K$8:$K$592,$D407,'Detalle por artículo'!$I$8:$I$592)</f>
        <v>401</v>
      </c>
      <c r="N407" s="38">
        <f>SUMIF('Detalle por artículo'!$K$8:$K$592,$D407,'Detalle por artículo'!$M$8:$M$592)</f>
        <v>9</v>
      </c>
      <c r="O407" s="39">
        <f t="shared" si="231"/>
        <v>2.1546134663341645</v>
      </c>
      <c r="P407" s="40">
        <f t="shared" si="232"/>
        <v>209.47630922693267</v>
      </c>
      <c r="Q407" s="41">
        <f t="shared" si="233"/>
        <v>0.2</v>
      </c>
      <c r="R407" s="40">
        <f t="shared" si="234"/>
        <v>1.0367999999999999</v>
      </c>
      <c r="S407" s="42">
        <f>IFERROR(SUM($G$8:G407)/$G$6,0)</f>
        <v>0.98873613255976767</v>
      </c>
      <c r="T407" s="43" t="str">
        <f t="shared" si="235"/>
        <v>C</v>
      </c>
      <c r="U407" s="44">
        <v>401</v>
      </c>
      <c r="V407" s="45">
        <f t="shared" si="216"/>
        <v>0</v>
      </c>
      <c r="W407" s="46">
        <v>46260</v>
      </c>
      <c r="X407" s="46">
        <v>46260</v>
      </c>
      <c r="Y407" s="47">
        <v>0</v>
      </c>
      <c r="Z407" s="48">
        <f t="shared" si="236"/>
        <v>0</v>
      </c>
      <c r="AA407" s="49">
        <f t="shared" si="237"/>
        <v>0</v>
      </c>
      <c r="AB407" s="44">
        <v>256</v>
      </c>
      <c r="AC407" s="44">
        <f t="shared" si="238"/>
        <v>237</v>
      </c>
      <c r="AD407" s="44">
        <f t="shared" si="239"/>
        <v>11</v>
      </c>
      <c r="AE407" s="50">
        <f t="shared" si="240"/>
        <v>32</v>
      </c>
      <c r="AF407" s="41">
        <f t="shared" si="241"/>
        <v>0.64</v>
      </c>
      <c r="AG407" s="44">
        <v>1</v>
      </c>
      <c r="AH407" s="44">
        <v>7</v>
      </c>
      <c r="AI407" s="42">
        <f t="shared" si="217"/>
        <v>0.59102244389027436</v>
      </c>
      <c r="AJ407" s="42">
        <f t="shared" si="218"/>
        <v>2.7431421446384038E-2</v>
      </c>
      <c r="AK407" s="40">
        <f t="shared" si="242"/>
        <v>0.51064339152119698</v>
      </c>
      <c r="AL407" s="51">
        <v>145</v>
      </c>
      <c r="AM407" s="52">
        <f t="shared" si="243"/>
        <v>0.31241895261845382</v>
      </c>
      <c r="AN407" s="42">
        <f t="shared" si="219"/>
        <v>0.36159600997506236</v>
      </c>
      <c r="AO407" s="53">
        <f t="shared" si="220"/>
        <v>145</v>
      </c>
      <c r="AP407" s="52">
        <f t="shared" si="221"/>
        <v>0.31241895261845382</v>
      </c>
      <c r="AQ407" s="42">
        <f t="shared" si="222"/>
        <v>0.61845386533665836</v>
      </c>
      <c r="AR407" s="46">
        <v>46274</v>
      </c>
      <c r="AS407" s="46">
        <v>46279</v>
      </c>
      <c r="AT407" s="50">
        <f t="shared" si="223"/>
        <v>19</v>
      </c>
      <c r="AU407" s="50">
        <f t="shared" si="244"/>
        <v>452</v>
      </c>
      <c r="AV407" s="50">
        <f t="shared" si="224"/>
        <v>367</v>
      </c>
      <c r="AW407" s="54">
        <f t="shared" si="225"/>
        <v>85</v>
      </c>
    </row>
    <row r="408" spans="1:49" x14ac:dyDescent="0.25">
      <c r="A408" s="33" t="s">
        <v>120</v>
      </c>
      <c r="B408" s="33" t="s">
        <v>519</v>
      </c>
      <c r="C408" s="33" t="s">
        <v>503</v>
      </c>
      <c r="D408" s="33" t="s">
        <v>521</v>
      </c>
      <c r="E408" s="34">
        <f>COUNTIF('Detalle por artículo'!$K$8:$K$592,D408)</f>
        <v>1</v>
      </c>
      <c r="F408" s="35">
        <f t="shared" si="226"/>
        <v>96.06481481481481</v>
      </c>
      <c r="G408" s="36">
        <f>SUMIF('Detalle por artículo'!$K$8:$K$592,$D408,'Detalle por artículo'!$E$8:$E$592)</f>
        <v>0.86399999999999999</v>
      </c>
      <c r="H408" s="35">
        <f t="shared" si="227"/>
        <v>1</v>
      </c>
      <c r="I408" s="35">
        <f t="shared" si="228"/>
        <v>2</v>
      </c>
      <c r="J408" s="35">
        <f t="shared" si="229"/>
        <v>3</v>
      </c>
      <c r="K408" s="37">
        <f t="shared" si="230"/>
        <v>3.0857142857142857E-2</v>
      </c>
      <c r="L408" s="36">
        <f>SUMIF('Detalle por artículo'!$K$8:$K$592,$D408,'Detalle por artículo'!$O$8:$O$592)</f>
        <v>83</v>
      </c>
      <c r="M408" s="38">
        <f>SUMIF('Detalle por artículo'!$K$8:$K$592,$D408,'Detalle por artículo'!$I$8:$I$592)</f>
        <v>401</v>
      </c>
      <c r="N408" s="38">
        <f>SUMIF('Detalle por artículo'!$K$8:$K$592,$D408,'Detalle por artículo'!$M$8:$M$592)</f>
        <v>9</v>
      </c>
      <c r="O408" s="39">
        <f t="shared" si="231"/>
        <v>2.1546134663341645</v>
      </c>
      <c r="P408" s="40">
        <f t="shared" si="232"/>
        <v>206.98254364089775</v>
      </c>
      <c r="Q408" s="41">
        <f t="shared" si="233"/>
        <v>0.2</v>
      </c>
      <c r="R408" s="40">
        <f t="shared" si="234"/>
        <v>1.0367999999999999</v>
      </c>
      <c r="S408" s="42">
        <f>IFERROR(SUM($G$8:G408)/$G$6,0)</f>
        <v>0.98905362127109642</v>
      </c>
      <c r="T408" s="43" t="str">
        <f t="shared" si="235"/>
        <v>C</v>
      </c>
      <c r="U408" s="44">
        <v>401</v>
      </c>
      <c r="V408" s="45">
        <f t="shared" si="216"/>
        <v>0</v>
      </c>
      <c r="W408" s="46">
        <v>46260</v>
      </c>
      <c r="X408" s="46">
        <v>46260</v>
      </c>
      <c r="Y408" s="47">
        <v>0</v>
      </c>
      <c r="Z408" s="48">
        <f t="shared" si="236"/>
        <v>0</v>
      </c>
      <c r="AA408" s="49">
        <f t="shared" si="237"/>
        <v>0</v>
      </c>
      <c r="AB408" s="44">
        <v>273</v>
      </c>
      <c r="AC408" s="44">
        <f t="shared" si="238"/>
        <v>237</v>
      </c>
      <c r="AD408" s="44">
        <f t="shared" si="239"/>
        <v>29</v>
      </c>
      <c r="AE408" s="50">
        <f t="shared" si="240"/>
        <v>32</v>
      </c>
      <c r="AF408" s="41">
        <f t="shared" si="241"/>
        <v>0.64</v>
      </c>
      <c r="AG408" s="44">
        <v>0</v>
      </c>
      <c r="AH408" s="44">
        <v>7</v>
      </c>
      <c r="AI408" s="42">
        <f t="shared" si="217"/>
        <v>0.59102244389027436</v>
      </c>
      <c r="AJ408" s="42">
        <f t="shared" si="218"/>
        <v>7.2319201995012475E-2</v>
      </c>
      <c r="AK408" s="40">
        <f t="shared" si="242"/>
        <v>0.51064339152119698</v>
      </c>
      <c r="AL408" s="51">
        <v>128</v>
      </c>
      <c r="AM408" s="52">
        <f t="shared" si="243"/>
        <v>0.27579052369077306</v>
      </c>
      <c r="AN408" s="42">
        <f t="shared" si="219"/>
        <v>0.31920199501246882</v>
      </c>
      <c r="AO408" s="53">
        <f t="shared" si="220"/>
        <v>128</v>
      </c>
      <c r="AP408" s="52">
        <f t="shared" si="221"/>
        <v>0.27579052369077306</v>
      </c>
      <c r="AQ408" s="42">
        <f t="shared" si="222"/>
        <v>0.66334164588528677</v>
      </c>
      <c r="AR408" s="46">
        <v>46274</v>
      </c>
      <c r="AS408" s="46">
        <v>46279</v>
      </c>
      <c r="AT408" s="50">
        <f t="shared" si="223"/>
        <v>19</v>
      </c>
      <c r="AU408" s="50">
        <f t="shared" si="244"/>
        <v>452</v>
      </c>
      <c r="AV408" s="50">
        <f t="shared" si="224"/>
        <v>355</v>
      </c>
      <c r="AW408" s="54">
        <f t="shared" si="225"/>
        <v>97</v>
      </c>
    </row>
    <row r="409" spans="1:49" x14ac:dyDescent="0.25">
      <c r="A409" s="33" t="s">
        <v>63</v>
      </c>
      <c r="B409" s="33" t="s">
        <v>171</v>
      </c>
      <c r="C409" s="33" t="s">
        <v>363</v>
      </c>
      <c r="D409" s="33" t="s">
        <v>522</v>
      </c>
      <c r="E409" s="34">
        <f>COUNTIF('Detalle por artículo'!$K$8:$K$592,D409)</f>
        <v>1</v>
      </c>
      <c r="F409" s="35">
        <f t="shared" si="226"/>
        <v>155.34883720930233</v>
      </c>
      <c r="G409" s="36">
        <f>SUMIF('Detalle por artículo'!$K$8:$K$592,$D409,'Detalle por artículo'!$E$8:$E$592)</f>
        <v>0.86</v>
      </c>
      <c r="H409" s="35">
        <f t="shared" si="227"/>
        <v>1</v>
      </c>
      <c r="I409" s="35">
        <f t="shared" si="228"/>
        <v>2</v>
      </c>
      <c r="J409" s="35">
        <f t="shared" si="229"/>
        <v>3</v>
      </c>
      <c r="K409" s="37">
        <f t="shared" si="230"/>
        <v>3.0714285714285715E-2</v>
      </c>
      <c r="L409" s="36">
        <f>SUMIF('Detalle por artículo'!$K$8:$K$592,$D409,'Detalle por artículo'!$O$8:$O$592)</f>
        <v>133.6</v>
      </c>
      <c r="M409" s="38">
        <f>SUMIF('Detalle por artículo'!$K$8:$K$592,$D409,'Detalle por artículo'!$I$8:$I$592)</f>
        <v>677</v>
      </c>
      <c r="N409" s="38">
        <f>SUMIF('Detalle por artículo'!$K$8:$K$592,$D409,'Detalle por artículo'!$M$8:$M$592)</f>
        <v>9</v>
      </c>
      <c r="O409" s="39">
        <f t="shared" si="231"/>
        <v>1.2703101920236337</v>
      </c>
      <c r="P409" s="40">
        <f t="shared" si="232"/>
        <v>197.34121122599706</v>
      </c>
      <c r="Q409" s="41">
        <f t="shared" si="233"/>
        <v>0.15</v>
      </c>
      <c r="R409" s="40">
        <f t="shared" si="234"/>
        <v>0.98899999999999988</v>
      </c>
      <c r="S409" s="42">
        <f>IFERROR(SUM($G$8:G409)/$G$6,0)</f>
        <v>0.98936964012728013</v>
      </c>
      <c r="T409" s="43" t="str">
        <f t="shared" si="235"/>
        <v>C</v>
      </c>
      <c r="U409" s="44">
        <v>677</v>
      </c>
      <c r="V409" s="45">
        <f t="shared" si="216"/>
        <v>0</v>
      </c>
      <c r="W409" s="46">
        <v>46261</v>
      </c>
      <c r="X409" s="46">
        <v>46261</v>
      </c>
      <c r="Y409" s="47">
        <v>0</v>
      </c>
      <c r="Z409" s="48">
        <f t="shared" si="236"/>
        <v>0</v>
      </c>
      <c r="AA409" s="49">
        <f t="shared" si="237"/>
        <v>0</v>
      </c>
      <c r="AB409" s="44">
        <v>586</v>
      </c>
      <c r="AC409" s="44">
        <f t="shared" si="238"/>
        <v>465</v>
      </c>
      <c r="AD409" s="44">
        <f t="shared" si="239"/>
        <v>111</v>
      </c>
      <c r="AE409" s="50">
        <f t="shared" si="240"/>
        <v>48</v>
      </c>
      <c r="AF409" s="41">
        <f t="shared" si="241"/>
        <v>0.96</v>
      </c>
      <c r="AG409" s="44">
        <v>1</v>
      </c>
      <c r="AH409" s="44">
        <v>9</v>
      </c>
      <c r="AI409" s="42">
        <f t="shared" si="217"/>
        <v>0.68685376661742981</v>
      </c>
      <c r="AJ409" s="42">
        <f t="shared" si="218"/>
        <v>0.16395864106351551</v>
      </c>
      <c r="AK409" s="40">
        <f t="shared" si="242"/>
        <v>0.59069423929098963</v>
      </c>
      <c r="AL409" s="51">
        <v>91</v>
      </c>
      <c r="AM409" s="52">
        <f t="shared" si="243"/>
        <v>0.11559822747415066</v>
      </c>
      <c r="AN409" s="42">
        <f t="shared" si="219"/>
        <v>0.13441654357459379</v>
      </c>
      <c r="AO409" s="53">
        <f t="shared" si="220"/>
        <v>91</v>
      </c>
      <c r="AP409" s="52">
        <f t="shared" si="221"/>
        <v>0.11559822747415066</v>
      </c>
      <c r="AQ409" s="42">
        <f t="shared" si="222"/>
        <v>0.85081240768094535</v>
      </c>
      <c r="AR409" s="46">
        <v>46265</v>
      </c>
      <c r="AS409" s="46">
        <v>46266</v>
      </c>
      <c r="AT409" s="50">
        <f t="shared" si="223"/>
        <v>5</v>
      </c>
      <c r="AU409" s="50">
        <f t="shared" si="244"/>
        <v>340</v>
      </c>
      <c r="AV409" s="50">
        <f t="shared" si="224"/>
        <v>209</v>
      </c>
      <c r="AW409" s="54">
        <f t="shared" si="225"/>
        <v>131</v>
      </c>
    </row>
    <row r="410" spans="1:49" x14ac:dyDescent="0.25">
      <c r="A410" s="33" t="s">
        <v>63</v>
      </c>
      <c r="B410" s="33" t="s">
        <v>171</v>
      </c>
      <c r="C410" s="33" t="s">
        <v>363</v>
      </c>
      <c r="D410" s="33" t="s">
        <v>523</v>
      </c>
      <c r="E410" s="34">
        <f>COUNTIF('Detalle por artículo'!$K$8:$K$592,D410)</f>
        <v>1</v>
      </c>
      <c r="F410" s="35">
        <f t="shared" si="226"/>
        <v>195.58139534883719</v>
      </c>
      <c r="G410" s="36">
        <f>SUMIF('Detalle por artículo'!$K$8:$K$592,$D410,'Detalle por artículo'!$E$8:$E$592)</f>
        <v>0.86</v>
      </c>
      <c r="H410" s="35">
        <f t="shared" si="227"/>
        <v>1</v>
      </c>
      <c r="I410" s="35">
        <f t="shared" si="228"/>
        <v>2</v>
      </c>
      <c r="J410" s="35">
        <f t="shared" si="229"/>
        <v>3</v>
      </c>
      <c r="K410" s="37">
        <f t="shared" si="230"/>
        <v>3.0714285714285715E-2</v>
      </c>
      <c r="L410" s="36">
        <f>SUMIF('Detalle por artículo'!$K$8:$K$592,$D410,'Detalle por artículo'!$O$8:$O$592)</f>
        <v>168.2</v>
      </c>
      <c r="M410" s="38">
        <f>SUMIF('Detalle por artículo'!$K$8:$K$592,$D410,'Detalle por artículo'!$I$8:$I$592)</f>
        <v>680</v>
      </c>
      <c r="N410" s="38">
        <f>SUMIF('Detalle por artículo'!$K$8:$K$592,$D410,'Detalle por artículo'!$M$8:$M$592)</f>
        <v>9</v>
      </c>
      <c r="O410" s="39">
        <f t="shared" si="231"/>
        <v>1.2647058823529411</v>
      </c>
      <c r="P410" s="40">
        <f t="shared" si="232"/>
        <v>247.35294117647058</v>
      </c>
      <c r="Q410" s="41">
        <f t="shared" si="233"/>
        <v>0.15</v>
      </c>
      <c r="R410" s="40">
        <f t="shared" si="234"/>
        <v>0.98899999999999988</v>
      </c>
      <c r="S410" s="42">
        <f>IFERROR(SUM($G$8:G410)/$G$6,0)</f>
        <v>0.98968565898346395</v>
      </c>
      <c r="T410" s="43" t="str">
        <f t="shared" si="235"/>
        <v>C</v>
      </c>
      <c r="U410" s="44">
        <v>680</v>
      </c>
      <c r="V410" s="45">
        <f t="shared" si="216"/>
        <v>0</v>
      </c>
      <c r="W410" s="46">
        <v>46261</v>
      </c>
      <c r="X410" s="46">
        <v>46261</v>
      </c>
      <c r="Y410" s="47">
        <v>0</v>
      </c>
      <c r="Z410" s="48">
        <f t="shared" si="236"/>
        <v>0</v>
      </c>
      <c r="AA410" s="49">
        <f t="shared" si="237"/>
        <v>0</v>
      </c>
      <c r="AB410" s="44">
        <v>590</v>
      </c>
      <c r="AC410" s="44">
        <f t="shared" si="238"/>
        <v>465</v>
      </c>
      <c r="AD410" s="44">
        <f t="shared" si="239"/>
        <v>114</v>
      </c>
      <c r="AE410" s="50">
        <f t="shared" si="240"/>
        <v>48</v>
      </c>
      <c r="AF410" s="41">
        <f t="shared" si="241"/>
        <v>0.96</v>
      </c>
      <c r="AG410" s="44">
        <v>2</v>
      </c>
      <c r="AH410" s="44">
        <v>9</v>
      </c>
      <c r="AI410" s="42">
        <f t="shared" si="217"/>
        <v>0.68382352941176472</v>
      </c>
      <c r="AJ410" s="42">
        <f t="shared" si="218"/>
        <v>0.1676470588235294</v>
      </c>
      <c r="AK410" s="40">
        <f t="shared" si="242"/>
        <v>0.58808823529411758</v>
      </c>
      <c r="AL410" s="51">
        <v>89</v>
      </c>
      <c r="AM410" s="52">
        <f t="shared" si="243"/>
        <v>0.11255882352941175</v>
      </c>
      <c r="AN410" s="42">
        <f t="shared" si="219"/>
        <v>0.13088235294117648</v>
      </c>
      <c r="AO410" s="53">
        <f t="shared" si="220"/>
        <v>90</v>
      </c>
      <c r="AP410" s="52">
        <f t="shared" si="221"/>
        <v>0.1138235294117647</v>
      </c>
      <c r="AQ410" s="42">
        <f t="shared" si="222"/>
        <v>0.85147058823529409</v>
      </c>
      <c r="AR410" s="46">
        <v>46265</v>
      </c>
      <c r="AS410" s="46">
        <v>46266</v>
      </c>
      <c r="AT410" s="50">
        <f t="shared" si="223"/>
        <v>5</v>
      </c>
      <c r="AU410" s="50">
        <f t="shared" si="244"/>
        <v>335</v>
      </c>
      <c r="AV410" s="50">
        <f t="shared" si="224"/>
        <v>205</v>
      </c>
      <c r="AW410" s="54">
        <f t="shared" si="225"/>
        <v>130</v>
      </c>
    </row>
    <row r="411" spans="1:49" x14ac:dyDescent="0.25">
      <c r="A411" s="33" t="s">
        <v>55</v>
      </c>
      <c r="B411" s="33" t="s">
        <v>329</v>
      </c>
      <c r="C411" s="33" t="s">
        <v>445</v>
      </c>
      <c r="D411" s="33" t="s">
        <v>524</v>
      </c>
      <c r="E411" s="34">
        <f>COUNTIF('Detalle por artículo'!$K$8:$K$592,D411)</f>
        <v>1</v>
      </c>
      <c r="F411" s="35">
        <f t="shared" si="226"/>
        <v>258.95348837209303</v>
      </c>
      <c r="G411" s="36">
        <f>SUMIF('Detalle por artículo'!$K$8:$K$592,$D411,'Detalle por artículo'!$E$8:$E$592)</f>
        <v>0.86</v>
      </c>
      <c r="H411" s="35">
        <f t="shared" si="227"/>
        <v>1</v>
      </c>
      <c r="I411" s="35">
        <f t="shared" si="228"/>
        <v>2</v>
      </c>
      <c r="J411" s="35">
        <f t="shared" si="229"/>
        <v>3</v>
      </c>
      <c r="K411" s="37">
        <f t="shared" si="230"/>
        <v>3.0714285714285715E-2</v>
      </c>
      <c r="L411" s="36">
        <f>SUMIF('Detalle por artículo'!$K$8:$K$592,$D411,'Detalle por artículo'!$O$8:$O$592)</f>
        <v>222.7</v>
      </c>
      <c r="M411" s="38">
        <f>SUMIF('Detalle por artículo'!$K$8:$K$592,$D411,'Detalle por artículo'!$I$8:$I$592)</f>
        <v>612</v>
      </c>
      <c r="N411" s="38">
        <f>SUMIF('Detalle por artículo'!$K$8:$K$592,$D411,'Detalle por artículo'!$M$8:$M$592)</f>
        <v>9</v>
      </c>
      <c r="O411" s="39">
        <f t="shared" si="231"/>
        <v>1.4052287581699348</v>
      </c>
      <c r="P411" s="40">
        <f t="shared" si="232"/>
        <v>363.88888888888886</v>
      </c>
      <c r="Q411" s="41">
        <f t="shared" si="233"/>
        <v>0.1</v>
      </c>
      <c r="R411" s="40">
        <f t="shared" si="234"/>
        <v>0.94600000000000006</v>
      </c>
      <c r="S411" s="42">
        <f>IFERROR(SUM($G$8:G411)/$G$6,0)</f>
        <v>0.99000167783964765</v>
      </c>
      <c r="T411" s="43" t="str">
        <f t="shared" si="235"/>
        <v>C</v>
      </c>
      <c r="U411" s="44">
        <v>612</v>
      </c>
      <c r="V411" s="45">
        <f t="shared" si="216"/>
        <v>0</v>
      </c>
      <c r="W411" s="46">
        <v>46289</v>
      </c>
      <c r="X411" s="46">
        <v>46289</v>
      </c>
      <c r="Y411" s="47">
        <v>0</v>
      </c>
      <c r="Z411" s="48">
        <f t="shared" si="236"/>
        <v>0</v>
      </c>
      <c r="AA411" s="49">
        <f t="shared" si="237"/>
        <v>0</v>
      </c>
      <c r="AB411" s="44">
        <v>431</v>
      </c>
      <c r="AC411" s="44">
        <f t="shared" si="238"/>
        <v>399</v>
      </c>
      <c r="AD411" s="44">
        <f t="shared" si="239"/>
        <v>30</v>
      </c>
      <c r="AE411" s="50">
        <f t="shared" si="240"/>
        <v>48</v>
      </c>
      <c r="AF411" s="41">
        <f t="shared" si="241"/>
        <v>0.96</v>
      </c>
      <c r="AG411" s="44">
        <v>2</v>
      </c>
      <c r="AH411" s="44">
        <v>0</v>
      </c>
      <c r="AI411" s="42">
        <f t="shared" si="217"/>
        <v>0.65196078431372551</v>
      </c>
      <c r="AJ411" s="42">
        <f t="shared" si="218"/>
        <v>4.9019607843137254E-2</v>
      </c>
      <c r="AK411" s="40">
        <f t="shared" si="242"/>
        <v>0.56068627450980402</v>
      </c>
      <c r="AL411" s="51">
        <v>180</v>
      </c>
      <c r="AM411" s="52">
        <f t="shared" si="243"/>
        <v>0.25294117647058828</v>
      </c>
      <c r="AN411" s="42">
        <f t="shared" si="219"/>
        <v>0.29411764705882354</v>
      </c>
      <c r="AO411" s="53">
        <f t="shared" si="220"/>
        <v>181</v>
      </c>
      <c r="AP411" s="52">
        <f t="shared" si="221"/>
        <v>0.25434640522875818</v>
      </c>
      <c r="AQ411" s="42">
        <f t="shared" si="222"/>
        <v>0.7009803921568627</v>
      </c>
      <c r="AR411" s="46">
        <v>46292</v>
      </c>
      <c r="AS411" s="46">
        <v>46293</v>
      </c>
      <c r="AT411" s="50">
        <f t="shared" si="223"/>
        <v>4</v>
      </c>
      <c r="AU411" s="50">
        <f t="shared" si="244"/>
        <v>393</v>
      </c>
      <c r="AV411" s="50">
        <f t="shared" si="224"/>
        <v>314</v>
      </c>
      <c r="AW411" s="54">
        <f t="shared" si="225"/>
        <v>79</v>
      </c>
    </row>
    <row r="412" spans="1:49" x14ac:dyDescent="0.25">
      <c r="A412" s="33" t="s">
        <v>55</v>
      </c>
      <c r="B412" s="33" t="s">
        <v>255</v>
      </c>
      <c r="C412" s="33" t="s">
        <v>525</v>
      </c>
      <c r="D412" s="33" t="s">
        <v>526</v>
      </c>
      <c r="E412" s="34">
        <f>COUNTIF('Detalle por artículo'!$K$8:$K$592,D412)</f>
        <v>1</v>
      </c>
      <c r="F412" s="35">
        <f t="shared" si="226"/>
        <v>301.78571428571428</v>
      </c>
      <c r="G412" s="36">
        <f>SUMIF('Detalle por artículo'!$K$8:$K$592,$D412,'Detalle por artículo'!$E$8:$E$592)</f>
        <v>0.84</v>
      </c>
      <c r="H412" s="35">
        <f t="shared" si="227"/>
        <v>1</v>
      </c>
      <c r="I412" s="35">
        <f t="shared" si="228"/>
        <v>2</v>
      </c>
      <c r="J412" s="35">
        <f t="shared" si="229"/>
        <v>3</v>
      </c>
      <c r="K412" s="37">
        <f t="shared" si="230"/>
        <v>0.03</v>
      </c>
      <c r="L412" s="36">
        <f>SUMIF('Detalle por artículo'!$K$8:$K$592,$D412,'Detalle por artículo'!$O$8:$O$592)</f>
        <v>253.5</v>
      </c>
      <c r="M412" s="38">
        <f>SUMIF('Detalle por artículo'!$K$8:$K$592,$D412,'Detalle por artículo'!$I$8:$I$592)</f>
        <v>534</v>
      </c>
      <c r="N412" s="38">
        <f>SUMIF('Detalle por artículo'!$K$8:$K$592,$D412,'Detalle por artículo'!$M$8:$M$592)</f>
        <v>14</v>
      </c>
      <c r="O412" s="39">
        <f t="shared" si="231"/>
        <v>1.5730337078651686</v>
      </c>
      <c r="P412" s="40">
        <f t="shared" si="232"/>
        <v>474.71910112359552</v>
      </c>
      <c r="Q412" s="41">
        <f t="shared" si="233"/>
        <v>0.1</v>
      </c>
      <c r="R412" s="40">
        <f t="shared" si="234"/>
        <v>0.92400000000000004</v>
      </c>
      <c r="S412" s="42">
        <f>IFERROR(SUM($G$8:G412)/$G$6,0)</f>
        <v>0.99031034742010626</v>
      </c>
      <c r="T412" s="43" t="str">
        <f t="shared" si="235"/>
        <v>C</v>
      </c>
      <c r="U412" s="44">
        <v>534</v>
      </c>
      <c r="V412" s="45">
        <f t="shared" si="216"/>
        <v>0</v>
      </c>
      <c r="W412" s="46">
        <v>46246</v>
      </c>
      <c r="X412" s="46">
        <v>46246</v>
      </c>
      <c r="Y412" s="47">
        <v>0</v>
      </c>
      <c r="Z412" s="48">
        <f t="shared" si="236"/>
        <v>0</v>
      </c>
      <c r="AA412" s="49">
        <f t="shared" si="237"/>
        <v>0</v>
      </c>
      <c r="AB412" s="44">
        <v>419</v>
      </c>
      <c r="AC412" s="44">
        <f t="shared" si="238"/>
        <v>304</v>
      </c>
      <c r="AD412" s="44">
        <f t="shared" si="239"/>
        <v>98</v>
      </c>
      <c r="AE412" s="50">
        <f t="shared" si="240"/>
        <v>36</v>
      </c>
      <c r="AF412" s="41">
        <f t="shared" si="241"/>
        <v>0.72</v>
      </c>
      <c r="AG412" s="44">
        <v>9</v>
      </c>
      <c r="AH412" s="44">
        <v>8</v>
      </c>
      <c r="AI412" s="42">
        <f t="shared" si="217"/>
        <v>0.56928838951310856</v>
      </c>
      <c r="AJ412" s="42">
        <f t="shared" si="218"/>
        <v>0.18352059925093633</v>
      </c>
      <c r="AK412" s="40">
        <f t="shared" si="242"/>
        <v>0.47820224719101129</v>
      </c>
      <c r="AL412" s="51">
        <v>115</v>
      </c>
      <c r="AM412" s="52">
        <f t="shared" si="243"/>
        <v>0.1808988764044944</v>
      </c>
      <c r="AN412" s="42">
        <f t="shared" si="219"/>
        <v>0.21535580524344569</v>
      </c>
      <c r="AO412" s="53">
        <f t="shared" si="220"/>
        <v>115</v>
      </c>
      <c r="AP412" s="52">
        <f t="shared" si="221"/>
        <v>0.1808988764044944</v>
      </c>
      <c r="AQ412" s="42">
        <f t="shared" si="222"/>
        <v>0.7528089887640449</v>
      </c>
      <c r="AR412" s="46">
        <v>46254</v>
      </c>
      <c r="AS412" s="46">
        <v>46255</v>
      </c>
      <c r="AT412" s="50">
        <f t="shared" si="223"/>
        <v>9</v>
      </c>
      <c r="AU412" s="50">
        <f t="shared" si="244"/>
        <v>420</v>
      </c>
      <c r="AV412" s="50">
        <f t="shared" si="224"/>
        <v>320</v>
      </c>
      <c r="AW412" s="54">
        <f t="shared" si="225"/>
        <v>100</v>
      </c>
    </row>
    <row r="413" spans="1:49" x14ac:dyDescent="0.25">
      <c r="A413" s="33" t="s">
        <v>527</v>
      </c>
      <c r="B413" s="33" t="s">
        <v>528</v>
      </c>
      <c r="C413" s="33" t="s">
        <v>529</v>
      </c>
      <c r="D413" s="33" t="s">
        <v>530</v>
      </c>
      <c r="E413" s="34">
        <f>COUNTIF('Detalle por artículo'!$K$8:$K$592,D413)</f>
        <v>1</v>
      </c>
      <c r="F413" s="35">
        <f t="shared" si="226"/>
        <v>101.70731707317074</v>
      </c>
      <c r="G413" s="36">
        <f>SUMIF('Detalle por artículo'!$K$8:$K$592,$D413,'Detalle por artículo'!$E$8:$E$592)</f>
        <v>0.82</v>
      </c>
      <c r="H413" s="35">
        <f t="shared" si="227"/>
        <v>1</v>
      </c>
      <c r="I413" s="35">
        <f t="shared" si="228"/>
        <v>2</v>
      </c>
      <c r="J413" s="35">
        <f t="shared" si="229"/>
        <v>3</v>
      </c>
      <c r="K413" s="37">
        <f t="shared" si="230"/>
        <v>2.9285714285714283E-2</v>
      </c>
      <c r="L413" s="36">
        <f>SUMIF('Detalle por artículo'!$K$8:$K$592,$D413,'Detalle por artículo'!$O$8:$O$592)</f>
        <v>83.4</v>
      </c>
      <c r="M413" s="38">
        <f>SUMIF('Detalle por artículo'!$K$8:$K$592,$D413,'Detalle por artículo'!$I$8:$I$592)</f>
        <v>1050</v>
      </c>
      <c r="N413" s="38">
        <f>SUMIF('Detalle por artículo'!$K$8:$K$592,$D413,'Detalle por artículo'!$M$8:$M$592)</f>
        <v>9</v>
      </c>
      <c r="O413" s="39">
        <f t="shared" si="231"/>
        <v>0.78095238095238084</v>
      </c>
      <c r="P413" s="40">
        <f t="shared" si="232"/>
        <v>79.428571428571431</v>
      </c>
      <c r="Q413" s="41">
        <f t="shared" si="233"/>
        <v>0.2</v>
      </c>
      <c r="R413" s="40">
        <f t="shared" si="234"/>
        <v>0.98399999999999987</v>
      </c>
      <c r="S413" s="42">
        <f>IFERROR(SUM($G$8:G413)/$G$6,0)</f>
        <v>0.99061166772483966</v>
      </c>
      <c r="T413" s="43" t="str">
        <f t="shared" si="235"/>
        <v>C</v>
      </c>
      <c r="U413" s="44">
        <v>1050</v>
      </c>
      <c r="V413" s="45">
        <f t="shared" si="216"/>
        <v>0</v>
      </c>
      <c r="W413" s="46">
        <v>46296</v>
      </c>
      <c r="X413" s="46">
        <v>46296</v>
      </c>
      <c r="Y413" s="47">
        <v>0</v>
      </c>
      <c r="Z413" s="48">
        <f t="shared" si="236"/>
        <v>0</v>
      </c>
      <c r="AA413" s="49">
        <f t="shared" si="237"/>
        <v>0</v>
      </c>
      <c r="AB413" s="44">
        <v>8</v>
      </c>
      <c r="AC413" s="44">
        <f t="shared" si="238"/>
        <v>188</v>
      </c>
      <c r="AD413" s="44">
        <f t="shared" si="239"/>
        <v>0</v>
      </c>
      <c r="AE413" s="50">
        <f t="shared" si="240"/>
        <v>47</v>
      </c>
      <c r="AF413" s="41">
        <f t="shared" si="241"/>
        <v>0.94</v>
      </c>
      <c r="AG413" s="44">
        <v>0</v>
      </c>
      <c r="AH413" s="44">
        <v>0</v>
      </c>
      <c r="AI413" s="42">
        <f t="shared" si="217"/>
        <v>0.17904761904761904</v>
      </c>
      <c r="AJ413" s="42">
        <f t="shared" si="218"/>
        <v>0</v>
      </c>
      <c r="AK413" s="40">
        <f t="shared" si="242"/>
        <v>0.1468190476190476</v>
      </c>
      <c r="AL413" s="51">
        <v>1042</v>
      </c>
      <c r="AM413" s="52">
        <f t="shared" si="243"/>
        <v>0.81375238095238078</v>
      </c>
      <c r="AN413" s="42">
        <f t="shared" si="219"/>
        <v>0.99238095238095236</v>
      </c>
      <c r="AO413" s="53">
        <f t="shared" si="220"/>
        <v>1042</v>
      </c>
      <c r="AP413" s="52">
        <f t="shared" si="221"/>
        <v>0.81375238095238078</v>
      </c>
      <c r="AQ413" s="42">
        <f t="shared" si="222"/>
        <v>0.17904761904761904</v>
      </c>
      <c r="AR413" s="46">
        <v>46315</v>
      </c>
      <c r="AS413" s="46">
        <v>46317</v>
      </c>
      <c r="AT413" s="50">
        <f t="shared" si="223"/>
        <v>21</v>
      </c>
      <c r="AU413" s="50">
        <f t="shared" si="244"/>
        <v>158</v>
      </c>
      <c r="AV413" s="50">
        <f t="shared" si="224"/>
        <v>421</v>
      </c>
      <c r="AW413" s="54">
        <f t="shared" si="225"/>
        <v>-263</v>
      </c>
    </row>
    <row r="414" spans="1:49" x14ac:dyDescent="0.25">
      <c r="A414" s="33" t="s">
        <v>55</v>
      </c>
      <c r="B414" s="33" t="s">
        <v>314</v>
      </c>
      <c r="C414" s="33" t="s">
        <v>315</v>
      </c>
      <c r="D414" s="33" t="s">
        <v>531</v>
      </c>
      <c r="E414" s="34">
        <f>COUNTIF('Detalle por artículo'!$K$8:$K$592,D414)</f>
        <v>1</v>
      </c>
      <c r="F414" s="35">
        <f t="shared" si="226"/>
        <v>165.25</v>
      </c>
      <c r="G414" s="36">
        <f>SUMIF('Detalle por artículo'!$K$8:$K$592,$D414,'Detalle por artículo'!$E$8:$E$592)</f>
        <v>0.8</v>
      </c>
      <c r="H414" s="35">
        <f t="shared" si="227"/>
        <v>1</v>
      </c>
      <c r="I414" s="35">
        <f t="shared" si="228"/>
        <v>2</v>
      </c>
      <c r="J414" s="35">
        <f t="shared" si="229"/>
        <v>3</v>
      </c>
      <c r="K414" s="37">
        <f t="shared" si="230"/>
        <v>2.8571428571428574E-2</v>
      </c>
      <c r="L414" s="36">
        <f>SUMIF('Detalle por artículo'!$K$8:$K$592,$D414,'Detalle por artículo'!$O$8:$O$592)</f>
        <v>132.20000000000002</v>
      </c>
      <c r="M414" s="38">
        <f>SUMIF('Detalle por artículo'!$K$8:$K$592,$D414,'Detalle por artículo'!$I$8:$I$592)</f>
        <v>684</v>
      </c>
      <c r="N414" s="38">
        <f>SUMIF('Detalle por artículo'!$K$8:$K$592,$D414,'Detalle por artículo'!$M$8:$M$592)</f>
        <v>8</v>
      </c>
      <c r="O414" s="39">
        <f t="shared" si="231"/>
        <v>1.1695906432748537</v>
      </c>
      <c r="P414" s="40">
        <f t="shared" si="232"/>
        <v>193.27485380116963</v>
      </c>
      <c r="Q414" s="41">
        <f t="shared" si="233"/>
        <v>0.15</v>
      </c>
      <c r="R414" s="40">
        <f t="shared" si="234"/>
        <v>0.91999999999999993</v>
      </c>
      <c r="S414" s="42">
        <f>IFERROR(SUM($G$8:G414)/$G$6,0)</f>
        <v>0.99090563875384774</v>
      </c>
      <c r="T414" s="43" t="str">
        <f t="shared" si="235"/>
        <v>C</v>
      </c>
      <c r="U414" s="44">
        <v>684</v>
      </c>
      <c r="V414" s="45">
        <f t="shared" si="216"/>
        <v>0</v>
      </c>
      <c r="W414" s="46">
        <v>46252</v>
      </c>
      <c r="X414" s="46">
        <v>46252</v>
      </c>
      <c r="Y414" s="47">
        <v>0</v>
      </c>
      <c r="Z414" s="48">
        <f t="shared" si="236"/>
        <v>0</v>
      </c>
      <c r="AA414" s="49">
        <f t="shared" si="237"/>
        <v>0</v>
      </c>
      <c r="AB414" s="44">
        <v>571</v>
      </c>
      <c r="AC414" s="44">
        <f t="shared" si="238"/>
        <v>409</v>
      </c>
      <c r="AD414" s="44">
        <f t="shared" si="239"/>
        <v>136</v>
      </c>
      <c r="AE414" s="50">
        <f t="shared" si="240"/>
        <v>47</v>
      </c>
      <c r="AF414" s="41">
        <f t="shared" si="241"/>
        <v>0.94</v>
      </c>
      <c r="AG414" s="44">
        <v>4</v>
      </c>
      <c r="AH414" s="44">
        <v>22</v>
      </c>
      <c r="AI414" s="42">
        <f t="shared" si="217"/>
        <v>0.59795321637426901</v>
      </c>
      <c r="AJ414" s="42">
        <f t="shared" si="218"/>
        <v>0.19883040935672514</v>
      </c>
      <c r="AK414" s="40">
        <f t="shared" si="242"/>
        <v>0.47836257309941516</v>
      </c>
      <c r="AL414" s="51">
        <v>113</v>
      </c>
      <c r="AM414" s="52">
        <f t="shared" si="243"/>
        <v>0.13216374269005848</v>
      </c>
      <c r="AN414" s="42">
        <f t="shared" si="219"/>
        <v>0.1652046783625731</v>
      </c>
      <c r="AO414" s="53">
        <f t="shared" si="220"/>
        <v>113</v>
      </c>
      <c r="AP414" s="52">
        <f t="shared" si="221"/>
        <v>0.13216374269005848</v>
      </c>
      <c r="AQ414" s="42">
        <f t="shared" si="222"/>
        <v>0.79678362573099415</v>
      </c>
      <c r="AR414" s="46">
        <v>46254</v>
      </c>
      <c r="AS414" s="46">
        <v>46255</v>
      </c>
      <c r="AT414" s="50">
        <f t="shared" si="223"/>
        <v>3</v>
      </c>
      <c r="AU414" s="50">
        <f t="shared" si="244"/>
        <v>330</v>
      </c>
      <c r="AV414" s="50">
        <f t="shared" si="224"/>
        <v>227</v>
      </c>
      <c r="AW414" s="54">
        <f t="shared" si="225"/>
        <v>103</v>
      </c>
    </row>
    <row r="415" spans="1:49" x14ac:dyDescent="0.25">
      <c r="A415" s="33" t="s">
        <v>55</v>
      </c>
      <c r="B415" s="33" t="s">
        <v>314</v>
      </c>
      <c r="C415" s="33" t="s">
        <v>315</v>
      </c>
      <c r="D415" s="33" t="s">
        <v>532</v>
      </c>
      <c r="E415" s="34">
        <f>COUNTIF('Detalle por artículo'!$K$8:$K$592,D415)</f>
        <v>1</v>
      </c>
      <c r="F415" s="35">
        <f t="shared" si="226"/>
        <v>173</v>
      </c>
      <c r="G415" s="36">
        <f>SUMIF('Detalle por artículo'!$K$8:$K$592,$D415,'Detalle por artículo'!$E$8:$E$592)</f>
        <v>0.8</v>
      </c>
      <c r="H415" s="35">
        <f t="shared" si="227"/>
        <v>1</v>
      </c>
      <c r="I415" s="35">
        <f t="shared" si="228"/>
        <v>2</v>
      </c>
      <c r="J415" s="35">
        <f t="shared" si="229"/>
        <v>3</v>
      </c>
      <c r="K415" s="37">
        <f t="shared" si="230"/>
        <v>2.8571428571428574E-2</v>
      </c>
      <c r="L415" s="36">
        <f>SUMIF('Detalle por artículo'!$K$8:$K$592,$D415,'Detalle por artículo'!$O$8:$O$592)</f>
        <v>138.4</v>
      </c>
      <c r="M415" s="38">
        <f>SUMIF('Detalle por artículo'!$K$8:$K$592,$D415,'Detalle por artículo'!$I$8:$I$592)</f>
        <v>680</v>
      </c>
      <c r="N415" s="38">
        <f>SUMIF('Detalle por artículo'!$K$8:$K$592,$D415,'Detalle por artículo'!$M$8:$M$592)</f>
        <v>8</v>
      </c>
      <c r="O415" s="39">
        <f t="shared" si="231"/>
        <v>1.1764705882352942</v>
      </c>
      <c r="P415" s="40">
        <f t="shared" si="232"/>
        <v>203.52941176470591</v>
      </c>
      <c r="Q415" s="41">
        <f t="shared" si="233"/>
        <v>0.15</v>
      </c>
      <c r="R415" s="40">
        <f t="shared" si="234"/>
        <v>0.91999999999999993</v>
      </c>
      <c r="S415" s="42">
        <f>IFERROR(SUM($G$8:G415)/$G$6,0)</f>
        <v>0.99119960978285593</v>
      </c>
      <c r="T415" s="43" t="str">
        <f t="shared" si="235"/>
        <v>C</v>
      </c>
      <c r="U415" s="44">
        <v>680</v>
      </c>
      <c r="V415" s="45">
        <f t="shared" si="216"/>
        <v>0</v>
      </c>
      <c r="W415" s="46">
        <v>46252</v>
      </c>
      <c r="X415" s="46">
        <v>46252</v>
      </c>
      <c r="Y415" s="47">
        <v>0</v>
      </c>
      <c r="Z415" s="48">
        <f t="shared" si="236"/>
        <v>0</v>
      </c>
      <c r="AA415" s="49">
        <f t="shared" si="237"/>
        <v>0</v>
      </c>
      <c r="AB415" s="44">
        <v>511</v>
      </c>
      <c r="AC415" s="44">
        <f t="shared" si="238"/>
        <v>411</v>
      </c>
      <c r="AD415" s="44">
        <f t="shared" si="239"/>
        <v>86</v>
      </c>
      <c r="AE415" s="50">
        <f t="shared" si="240"/>
        <v>48</v>
      </c>
      <c r="AF415" s="41">
        <f t="shared" si="241"/>
        <v>0.96</v>
      </c>
      <c r="AG415" s="44">
        <v>6</v>
      </c>
      <c r="AH415" s="44">
        <v>8</v>
      </c>
      <c r="AI415" s="42">
        <f t="shared" si="217"/>
        <v>0.60441176470588232</v>
      </c>
      <c r="AJ415" s="42">
        <f t="shared" si="218"/>
        <v>0.12647058823529411</v>
      </c>
      <c r="AK415" s="40">
        <f t="shared" si="242"/>
        <v>0.48352941176470593</v>
      </c>
      <c r="AL415" s="51">
        <v>169</v>
      </c>
      <c r="AM415" s="52">
        <f t="shared" si="243"/>
        <v>0.19882352941176473</v>
      </c>
      <c r="AN415" s="42">
        <f t="shared" si="219"/>
        <v>0.24852941176470589</v>
      </c>
      <c r="AO415" s="53">
        <f t="shared" si="220"/>
        <v>169</v>
      </c>
      <c r="AP415" s="52">
        <f t="shared" si="221"/>
        <v>0.19882352941176473</v>
      </c>
      <c r="AQ415" s="42">
        <f t="shared" si="222"/>
        <v>0.73088235294117643</v>
      </c>
      <c r="AR415" s="46">
        <v>46262</v>
      </c>
      <c r="AS415" s="46">
        <v>46262</v>
      </c>
      <c r="AT415" s="50">
        <f t="shared" si="223"/>
        <v>10</v>
      </c>
      <c r="AU415" s="50">
        <f t="shared" si="244"/>
        <v>335</v>
      </c>
      <c r="AV415" s="50">
        <f t="shared" si="224"/>
        <v>264</v>
      </c>
      <c r="AW415" s="54">
        <f t="shared" si="225"/>
        <v>71</v>
      </c>
    </row>
    <row r="416" spans="1:49" x14ac:dyDescent="0.25">
      <c r="A416" s="33" t="s">
        <v>55</v>
      </c>
      <c r="B416" s="33" t="s">
        <v>314</v>
      </c>
      <c r="C416" s="33" t="s">
        <v>315</v>
      </c>
      <c r="D416" s="33" t="s">
        <v>533</v>
      </c>
      <c r="E416" s="34">
        <f>COUNTIF('Detalle por artículo'!$K$8:$K$592,D416)</f>
        <v>1</v>
      </c>
      <c r="F416" s="35">
        <f t="shared" si="226"/>
        <v>169</v>
      </c>
      <c r="G416" s="36">
        <f>SUMIF('Detalle por artículo'!$K$8:$K$592,$D416,'Detalle por artículo'!$E$8:$E$592)</f>
        <v>0.8</v>
      </c>
      <c r="H416" s="35">
        <f t="shared" si="227"/>
        <v>1</v>
      </c>
      <c r="I416" s="35">
        <f t="shared" si="228"/>
        <v>2</v>
      </c>
      <c r="J416" s="35">
        <f t="shared" si="229"/>
        <v>3</v>
      </c>
      <c r="K416" s="37">
        <f t="shared" si="230"/>
        <v>2.8571428571428574E-2</v>
      </c>
      <c r="L416" s="36">
        <f>SUMIF('Detalle por artículo'!$K$8:$K$592,$D416,'Detalle por artículo'!$O$8:$O$592)</f>
        <v>135.20000000000002</v>
      </c>
      <c r="M416" s="38">
        <f>SUMIF('Detalle por artículo'!$K$8:$K$592,$D416,'Detalle por artículo'!$I$8:$I$592)</f>
        <v>675</v>
      </c>
      <c r="N416" s="38">
        <f>SUMIF('Detalle por artículo'!$K$8:$K$592,$D416,'Detalle por artículo'!$M$8:$M$592)</f>
        <v>8</v>
      </c>
      <c r="O416" s="39">
        <f t="shared" si="231"/>
        <v>1.1851851851851851</v>
      </c>
      <c r="P416" s="40">
        <f t="shared" si="232"/>
        <v>200.29629629629633</v>
      </c>
      <c r="Q416" s="41">
        <f t="shared" si="233"/>
        <v>0.15</v>
      </c>
      <c r="R416" s="40">
        <f t="shared" si="234"/>
        <v>0.91999999999999993</v>
      </c>
      <c r="S416" s="42">
        <f>IFERROR(SUM($G$8:G416)/$G$6,0)</f>
        <v>0.99149358081186412</v>
      </c>
      <c r="T416" s="43" t="str">
        <f t="shared" si="235"/>
        <v>C</v>
      </c>
      <c r="U416" s="44">
        <v>675</v>
      </c>
      <c r="V416" s="45">
        <f t="shared" si="216"/>
        <v>0</v>
      </c>
      <c r="W416" s="46">
        <v>46252</v>
      </c>
      <c r="X416" s="46">
        <v>46252</v>
      </c>
      <c r="Y416" s="47">
        <v>0</v>
      </c>
      <c r="Z416" s="48">
        <f t="shared" si="236"/>
        <v>0</v>
      </c>
      <c r="AA416" s="49">
        <f t="shared" si="237"/>
        <v>0</v>
      </c>
      <c r="AB416" s="44">
        <v>532</v>
      </c>
      <c r="AC416" s="44">
        <f t="shared" si="238"/>
        <v>410</v>
      </c>
      <c r="AD416" s="44">
        <f t="shared" si="239"/>
        <v>95</v>
      </c>
      <c r="AE416" s="50">
        <f t="shared" si="240"/>
        <v>48</v>
      </c>
      <c r="AF416" s="41">
        <f t="shared" si="241"/>
        <v>0.96</v>
      </c>
      <c r="AG416" s="44">
        <v>5</v>
      </c>
      <c r="AH416" s="44">
        <v>22</v>
      </c>
      <c r="AI416" s="42">
        <f t="shared" si="217"/>
        <v>0.6074074074074074</v>
      </c>
      <c r="AJ416" s="42">
        <f t="shared" si="218"/>
        <v>0.14074074074074075</v>
      </c>
      <c r="AK416" s="40">
        <f t="shared" si="242"/>
        <v>0.48592592592592593</v>
      </c>
      <c r="AL416" s="51">
        <v>141</v>
      </c>
      <c r="AM416" s="52">
        <f t="shared" si="243"/>
        <v>0.16711111111111113</v>
      </c>
      <c r="AN416" s="42">
        <f t="shared" si="219"/>
        <v>0.2088888888888889</v>
      </c>
      <c r="AO416" s="53">
        <f t="shared" si="220"/>
        <v>143</v>
      </c>
      <c r="AP416" s="52">
        <f t="shared" si="221"/>
        <v>0.16948148148148146</v>
      </c>
      <c r="AQ416" s="42">
        <f t="shared" si="222"/>
        <v>0.74814814814814812</v>
      </c>
      <c r="AR416" s="46">
        <v>46254</v>
      </c>
      <c r="AS416" s="46">
        <v>46255</v>
      </c>
      <c r="AT416" s="50">
        <f t="shared" si="223"/>
        <v>3</v>
      </c>
      <c r="AU416" s="50">
        <f t="shared" si="244"/>
        <v>342</v>
      </c>
      <c r="AV416" s="50">
        <f t="shared" si="224"/>
        <v>252</v>
      </c>
      <c r="AW416" s="54">
        <f t="shared" si="225"/>
        <v>90</v>
      </c>
    </row>
    <row r="417" spans="1:49" x14ac:dyDescent="0.25">
      <c r="A417" s="33" t="s">
        <v>55</v>
      </c>
      <c r="B417" s="33" t="s">
        <v>314</v>
      </c>
      <c r="C417" s="33" t="s">
        <v>315</v>
      </c>
      <c r="D417" s="33" t="s">
        <v>534</v>
      </c>
      <c r="E417" s="34">
        <f>COUNTIF('Detalle por artículo'!$K$8:$K$592,D417)</f>
        <v>1</v>
      </c>
      <c r="F417" s="35">
        <f t="shared" si="226"/>
        <v>198.86363636363635</v>
      </c>
      <c r="G417" s="36">
        <f>SUMIF('Detalle por artículo'!$K$8:$K$592,$D417,'Detalle por artículo'!$E$8:$E$592)</f>
        <v>0.79200000000000004</v>
      </c>
      <c r="H417" s="35">
        <f t="shared" si="227"/>
        <v>1</v>
      </c>
      <c r="I417" s="35">
        <f t="shared" si="228"/>
        <v>2</v>
      </c>
      <c r="J417" s="35">
        <f t="shared" si="229"/>
        <v>3</v>
      </c>
      <c r="K417" s="37">
        <f t="shared" si="230"/>
        <v>2.8285714285714286E-2</v>
      </c>
      <c r="L417" s="36">
        <f>SUMIF('Detalle por artículo'!$K$8:$K$592,$D417,'Detalle por artículo'!$O$8:$O$592)</f>
        <v>157.5</v>
      </c>
      <c r="M417" s="38">
        <f>SUMIF('Detalle por artículo'!$K$8:$K$592,$D417,'Detalle por artículo'!$I$8:$I$592)</f>
        <v>754</v>
      </c>
      <c r="N417" s="38">
        <f>SUMIF('Detalle por artículo'!$K$8:$K$592,$D417,'Detalle por artículo'!$M$8:$M$592)</f>
        <v>11</v>
      </c>
      <c r="O417" s="39">
        <f t="shared" si="231"/>
        <v>1.050397877984085</v>
      </c>
      <c r="P417" s="40">
        <f t="shared" si="232"/>
        <v>208.88594164456234</v>
      </c>
      <c r="Q417" s="41">
        <f t="shared" si="233"/>
        <v>0.15</v>
      </c>
      <c r="R417" s="40">
        <f t="shared" si="234"/>
        <v>0.91079999999999994</v>
      </c>
      <c r="S417" s="42">
        <f>IFERROR(SUM($G$8:G417)/$G$6,0)</f>
        <v>0.99178461213058211</v>
      </c>
      <c r="T417" s="43" t="str">
        <f t="shared" si="235"/>
        <v>C</v>
      </c>
      <c r="U417" s="44">
        <v>754</v>
      </c>
      <c r="V417" s="45">
        <f t="shared" si="216"/>
        <v>0</v>
      </c>
      <c r="W417" s="46">
        <v>46247</v>
      </c>
      <c r="X417" s="46">
        <v>46247</v>
      </c>
      <c r="Y417" s="47">
        <v>0</v>
      </c>
      <c r="Z417" s="48">
        <f t="shared" si="236"/>
        <v>0</v>
      </c>
      <c r="AA417" s="49">
        <f t="shared" si="237"/>
        <v>0</v>
      </c>
      <c r="AB417" s="44">
        <v>737</v>
      </c>
      <c r="AC417" s="44">
        <f t="shared" si="238"/>
        <v>375</v>
      </c>
      <c r="AD417" s="44">
        <f t="shared" si="239"/>
        <v>354</v>
      </c>
      <c r="AE417" s="50">
        <f t="shared" si="240"/>
        <v>49</v>
      </c>
      <c r="AF417" s="41">
        <f t="shared" si="241"/>
        <v>0.98</v>
      </c>
      <c r="AG417" s="44">
        <v>1</v>
      </c>
      <c r="AH417" s="44">
        <v>7</v>
      </c>
      <c r="AI417" s="42">
        <f t="shared" si="217"/>
        <v>0.4973474801061008</v>
      </c>
      <c r="AJ417" s="42">
        <f t="shared" si="218"/>
        <v>0.46949602122015915</v>
      </c>
      <c r="AK417" s="40">
        <f t="shared" si="242"/>
        <v>0.39389920424403185</v>
      </c>
      <c r="AL417" s="51">
        <v>14</v>
      </c>
      <c r="AM417" s="52">
        <f t="shared" si="243"/>
        <v>1.470557029177719E-2</v>
      </c>
      <c r="AN417" s="42">
        <f t="shared" si="219"/>
        <v>1.8567639257294429E-2</v>
      </c>
      <c r="AO417" s="53">
        <f t="shared" si="220"/>
        <v>17</v>
      </c>
      <c r="AP417" s="52">
        <f t="shared" si="221"/>
        <v>1.7856763925729446E-2</v>
      </c>
      <c r="AQ417" s="42">
        <f t="shared" si="222"/>
        <v>0.96684350132625996</v>
      </c>
      <c r="AR417" s="46">
        <v>46247</v>
      </c>
      <c r="AS417" s="46">
        <v>46248</v>
      </c>
      <c r="AT417" s="50">
        <f t="shared" si="223"/>
        <v>1</v>
      </c>
      <c r="AU417" s="50">
        <f t="shared" si="244"/>
        <v>277</v>
      </c>
      <c r="AV417" s="50">
        <f t="shared" si="224"/>
        <v>112</v>
      </c>
      <c r="AW417" s="54">
        <f t="shared" si="225"/>
        <v>165</v>
      </c>
    </row>
    <row r="418" spans="1:49" x14ac:dyDescent="0.25">
      <c r="A418" s="33" t="s">
        <v>55</v>
      </c>
      <c r="B418" s="33" t="s">
        <v>302</v>
      </c>
      <c r="C418" s="33" t="s">
        <v>303</v>
      </c>
      <c r="D418" s="33" t="s">
        <v>535</v>
      </c>
      <c r="E418" s="34">
        <f>COUNTIF('Detalle por artículo'!$K$8:$K$592,D418)</f>
        <v>1</v>
      </c>
      <c r="F418" s="35">
        <f t="shared" si="226"/>
        <v>236.32911392405063</v>
      </c>
      <c r="G418" s="36">
        <f>SUMIF('Detalle por artículo'!$K$8:$K$592,$D418,'Detalle por artículo'!$E$8:$E$592)</f>
        <v>0.79</v>
      </c>
      <c r="H418" s="35">
        <f t="shared" si="227"/>
        <v>1</v>
      </c>
      <c r="I418" s="35">
        <f t="shared" si="228"/>
        <v>2</v>
      </c>
      <c r="J418" s="35">
        <f t="shared" si="229"/>
        <v>3</v>
      </c>
      <c r="K418" s="37">
        <f t="shared" si="230"/>
        <v>2.8214285714285716E-2</v>
      </c>
      <c r="L418" s="36">
        <f>SUMIF('Detalle por artículo'!$K$8:$K$592,$D418,'Detalle por artículo'!$O$8:$O$592)</f>
        <v>186.70000000000002</v>
      </c>
      <c r="M418" s="38">
        <f>SUMIF('Detalle por artículo'!$K$8:$K$592,$D418,'Detalle por artículo'!$I$8:$I$592)</f>
        <v>497</v>
      </c>
      <c r="N418" s="38">
        <f>SUMIF('Detalle por artículo'!$K$8:$K$592,$D418,'Detalle por artículo'!$M$8:$M$592)</f>
        <v>11</v>
      </c>
      <c r="O418" s="39">
        <f t="shared" si="231"/>
        <v>1.5895372233400402</v>
      </c>
      <c r="P418" s="40">
        <f t="shared" si="232"/>
        <v>375.65392354124748</v>
      </c>
      <c r="Q418" s="41">
        <f t="shared" si="233"/>
        <v>0.1</v>
      </c>
      <c r="R418" s="40">
        <f t="shared" si="234"/>
        <v>0.86900000000000011</v>
      </c>
      <c r="S418" s="42">
        <f>IFERROR(SUM($G$8:G418)/$G$6,0)</f>
        <v>0.99207490852172764</v>
      </c>
      <c r="T418" s="43" t="str">
        <f t="shared" si="235"/>
        <v>C</v>
      </c>
      <c r="U418" s="44">
        <v>497</v>
      </c>
      <c r="V418" s="45">
        <f t="shared" si="216"/>
        <v>0</v>
      </c>
      <c r="W418" s="46">
        <v>46246</v>
      </c>
      <c r="X418" s="46">
        <v>46246</v>
      </c>
      <c r="Y418" s="47">
        <v>0</v>
      </c>
      <c r="Z418" s="48">
        <f t="shared" si="236"/>
        <v>0</v>
      </c>
      <c r="AA418" s="49">
        <f t="shared" si="237"/>
        <v>0</v>
      </c>
      <c r="AB418" s="44">
        <v>485</v>
      </c>
      <c r="AC418" s="44">
        <f t="shared" si="238"/>
        <v>390</v>
      </c>
      <c r="AD418" s="44">
        <f t="shared" si="239"/>
        <v>93</v>
      </c>
      <c r="AE418" s="50">
        <f t="shared" si="240"/>
        <v>47</v>
      </c>
      <c r="AF418" s="41">
        <f t="shared" si="241"/>
        <v>0.94</v>
      </c>
      <c r="AG418" s="44">
        <v>2</v>
      </c>
      <c r="AH418" s="44">
        <v>0</v>
      </c>
      <c r="AI418" s="42">
        <f t="shared" si="217"/>
        <v>0.78470824949698192</v>
      </c>
      <c r="AJ418" s="42">
        <f t="shared" si="218"/>
        <v>0.18712273641851107</v>
      </c>
      <c r="AK418" s="40">
        <f t="shared" si="242"/>
        <v>0.61991951710261572</v>
      </c>
      <c r="AL418" s="51">
        <v>10</v>
      </c>
      <c r="AM418" s="52">
        <f t="shared" si="243"/>
        <v>1.5895372233400401E-2</v>
      </c>
      <c r="AN418" s="42">
        <f t="shared" si="219"/>
        <v>2.0120724346076459E-2</v>
      </c>
      <c r="AO418" s="53">
        <f t="shared" si="220"/>
        <v>12</v>
      </c>
      <c r="AP418" s="52">
        <f t="shared" si="221"/>
        <v>1.9074446680080483E-2</v>
      </c>
      <c r="AQ418" s="42">
        <f t="shared" si="222"/>
        <v>0.971830985915493</v>
      </c>
      <c r="AR418" s="46">
        <v>46254</v>
      </c>
      <c r="AS418" s="46">
        <v>46255</v>
      </c>
      <c r="AT418" s="50">
        <f t="shared" si="223"/>
        <v>9</v>
      </c>
      <c r="AU418" s="50">
        <f t="shared" si="244"/>
        <v>432</v>
      </c>
      <c r="AV418" s="50">
        <f t="shared" si="224"/>
        <v>280</v>
      </c>
      <c r="AW418" s="54">
        <f t="shared" si="225"/>
        <v>152</v>
      </c>
    </row>
    <row r="419" spans="1:49" x14ac:dyDescent="0.25">
      <c r="A419" s="33" t="s">
        <v>55</v>
      </c>
      <c r="B419" s="33" t="s">
        <v>314</v>
      </c>
      <c r="C419" s="33" t="s">
        <v>315</v>
      </c>
      <c r="D419" s="33" t="s">
        <v>536</v>
      </c>
      <c r="E419" s="34">
        <f>COUNTIF('Detalle por artículo'!$K$8:$K$592,D419)</f>
        <v>1</v>
      </c>
      <c r="F419" s="35">
        <f t="shared" si="226"/>
        <v>218.09895833333334</v>
      </c>
      <c r="G419" s="36">
        <f>SUMIF('Detalle por artículo'!$K$8:$K$592,$D419,'Detalle por artículo'!$E$8:$E$592)</f>
        <v>0.76800000000000002</v>
      </c>
      <c r="H419" s="35">
        <f t="shared" si="227"/>
        <v>1</v>
      </c>
      <c r="I419" s="35">
        <f t="shared" si="228"/>
        <v>1</v>
      </c>
      <c r="J419" s="35">
        <f t="shared" si="229"/>
        <v>2</v>
      </c>
      <c r="K419" s="37">
        <f t="shared" si="230"/>
        <v>2.7428571428571431E-2</v>
      </c>
      <c r="L419" s="36">
        <f>SUMIF('Detalle por artículo'!$K$8:$K$592,$D419,'Detalle por artículo'!$O$8:$O$592)</f>
        <v>167.5</v>
      </c>
      <c r="M419" s="38">
        <f>SUMIF('Detalle por artículo'!$K$8:$K$592,$D419,'Detalle por artículo'!$I$8:$I$592)</f>
        <v>699</v>
      </c>
      <c r="N419" s="38">
        <f>SUMIF('Detalle por artículo'!$K$8:$K$592,$D419,'Detalle por artículo'!$M$8:$M$592)</f>
        <v>8</v>
      </c>
      <c r="O419" s="39">
        <f t="shared" si="231"/>
        <v>1.0987124463519313</v>
      </c>
      <c r="P419" s="40">
        <f t="shared" si="232"/>
        <v>239.62804005722461</v>
      </c>
      <c r="Q419" s="41">
        <f t="shared" si="233"/>
        <v>0.1</v>
      </c>
      <c r="R419" s="40">
        <f t="shared" si="234"/>
        <v>0.84480000000000011</v>
      </c>
      <c r="S419" s="42">
        <f>IFERROR(SUM($G$8:G419)/$G$6,0)</f>
        <v>0.99235712070957538</v>
      </c>
      <c r="T419" s="43" t="str">
        <f t="shared" si="235"/>
        <v>C</v>
      </c>
      <c r="U419" s="44">
        <v>699</v>
      </c>
      <c r="V419" s="45">
        <f t="shared" si="216"/>
        <v>0</v>
      </c>
      <c r="W419" s="46">
        <v>46247</v>
      </c>
      <c r="X419" s="46">
        <v>46247</v>
      </c>
      <c r="Y419" s="47">
        <v>0</v>
      </c>
      <c r="Z419" s="48">
        <f t="shared" si="236"/>
        <v>0</v>
      </c>
      <c r="AA419" s="49">
        <f t="shared" si="237"/>
        <v>0</v>
      </c>
      <c r="AB419" s="44">
        <v>584</v>
      </c>
      <c r="AC419" s="44">
        <f t="shared" si="238"/>
        <v>518</v>
      </c>
      <c r="AD419" s="44">
        <f t="shared" si="239"/>
        <v>43</v>
      </c>
      <c r="AE419" s="50">
        <f t="shared" si="240"/>
        <v>48</v>
      </c>
      <c r="AF419" s="41">
        <f t="shared" si="241"/>
        <v>0.96</v>
      </c>
      <c r="AG419" s="44">
        <v>2</v>
      </c>
      <c r="AH419" s="44">
        <v>21</v>
      </c>
      <c r="AI419" s="42">
        <f t="shared" si="217"/>
        <v>0.7410586552217453</v>
      </c>
      <c r="AJ419" s="42">
        <f t="shared" si="218"/>
        <v>6.1516452074391992E-2</v>
      </c>
      <c r="AK419" s="40">
        <f t="shared" si="242"/>
        <v>0.56913304721030045</v>
      </c>
      <c r="AL419" s="51">
        <v>115</v>
      </c>
      <c r="AM419" s="52">
        <f t="shared" si="243"/>
        <v>0.12635193133047209</v>
      </c>
      <c r="AN419" s="42">
        <f t="shared" si="219"/>
        <v>0.16452074391988555</v>
      </c>
      <c r="AO419" s="53">
        <f t="shared" si="220"/>
        <v>115</v>
      </c>
      <c r="AP419" s="52">
        <f t="shared" si="221"/>
        <v>0.12635193133047209</v>
      </c>
      <c r="AQ419" s="42">
        <f t="shared" si="222"/>
        <v>0.80257510729613735</v>
      </c>
      <c r="AR419" s="46">
        <v>46254</v>
      </c>
      <c r="AS419" s="46">
        <v>46255</v>
      </c>
      <c r="AT419" s="50">
        <f t="shared" si="223"/>
        <v>8</v>
      </c>
      <c r="AU419" s="50">
        <f t="shared" si="244"/>
        <v>319</v>
      </c>
      <c r="AV419" s="50">
        <f t="shared" si="224"/>
        <v>212</v>
      </c>
      <c r="AW419" s="54">
        <f t="shared" si="225"/>
        <v>107</v>
      </c>
    </row>
    <row r="420" spans="1:49" x14ac:dyDescent="0.25">
      <c r="A420" s="33" t="s">
        <v>55</v>
      </c>
      <c r="B420" s="33" t="s">
        <v>329</v>
      </c>
      <c r="C420" s="33" t="s">
        <v>445</v>
      </c>
      <c r="D420" s="33" t="s">
        <v>537</v>
      </c>
      <c r="E420" s="34">
        <f>COUNTIF('Detalle por artículo'!$K$8:$K$592,D420)</f>
        <v>1</v>
      </c>
      <c r="F420" s="35">
        <f t="shared" si="226"/>
        <v>180.20833333333334</v>
      </c>
      <c r="G420" s="36">
        <f>SUMIF('Detalle por artículo'!$K$8:$K$592,$D420,'Detalle por artículo'!$E$8:$E$592)</f>
        <v>0.76800000000000002</v>
      </c>
      <c r="H420" s="35">
        <f t="shared" si="227"/>
        <v>1</v>
      </c>
      <c r="I420" s="35">
        <f t="shared" si="228"/>
        <v>1</v>
      </c>
      <c r="J420" s="35">
        <f t="shared" si="229"/>
        <v>2</v>
      </c>
      <c r="K420" s="37">
        <f t="shared" si="230"/>
        <v>2.7428571428571431E-2</v>
      </c>
      <c r="L420" s="36">
        <f>SUMIF('Detalle por artículo'!$K$8:$K$592,$D420,'Detalle por artículo'!$O$8:$O$592)</f>
        <v>138.4</v>
      </c>
      <c r="M420" s="38">
        <f>SUMIF('Detalle por artículo'!$K$8:$K$592,$D420,'Detalle por artículo'!$I$8:$I$592)</f>
        <v>504</v>
      </c>
      <c r="N420" s="38">
        <f>SUMIF('Detalle por artículo'!$K$8:$K$592,$D420,'Detalle por artículo'!$M$8:$M$592)</f>
        <v>8</v>
      </c>
      <c r="O420" s="39">
        <f t="shared" si="231"/>
        <v>1.5238095238095239</v>
      </c>
      <c r="P420" s="40">
        <f t="shared" si="232"/>
        <v>274.60317460317464</v>
      </c>
      <c r="Q420" s="41">
        <f t="shared" si="233"/>
        <v>0.15</v>
      </c>
      <c r="R420" s="40">
        <f t="shared" si="234"/>
        <v>0.88319999999999999</v>
      </c>
      <c r="S420" s="42">
        <f>IFERROR(SUM($G$8:G420)/$G$6,0)</f>
        <v>0.99263933289742323</v>
      </c>
      <c r="T420" s="43" t="str">
        <f t="shared" si="235"/>
        <v>C</v>
      </c>
      <c r="U420" s="44">
        <v>504</v>
      </c>
      <c r="V420" s="45">
        <f t="shared" si="216"/>
        <v>0</v>
      </c>
      <c r="W420" s="46">
        <v>46244</v>
      </c>
      <c r="X420" s="46">
        <v>46244</v>
      </c>
      <c r="Y420" s="47">
        <v>0</v>
      </c>
      <c r="Z420" s="48">
        <f t="shared" si="236"/>
        <v>0</v>
      </c>
      <c r="AA420" s="49">
        <f t="shared" si="237"/>
        <v>0</v>
      </c>
      <c r="AB420" s="44">
        <v>503</v>
      </c>
      <c r="AC420" s="44">
        <f t="shared" si="238"/>
        <v>395</v>
      </c>
      <c r="AD420" s="44">
        <f t="shared" si="239"/>
        <v>107</v>
      </c>
      <c r="AE420" s="50">
        <f t="shared" si="240"/>
        <v>48</v>
      </c>
      <c r="AF420" s="41">
        <f t="shared" si="241"/>
        <v>0.96</v>
      </c>
      <c r="AG420" s="44">
        <v>1</v>
      </c>
      <c r="AH420" s="44">
        <v>0</v>
      </c>
      <c r="AI420" s="42">
        <f t="shared" si="217"/>
        <v>0.78373015873015872</v>
      </c>
      <c r="AJ420" s="42">
        <f t="shared" si="218"/>
        <v>0.2123015873015873</v>
      </c>
      <c r="AK420" s="40">
        <f t="shared" si="242"/>
        <v>0.60190476190476194</v>
      </c>
      <c r="AL420" s="51">
        <v>0</v>
      </c>
      <c r="AM420" s="52">
        <f t="shared" si="243"/>
        <v>0</v>
      </c>
      <c r="AN420" s="42">
        <f t="shared" si="219"/>
        <v>0</v>
      </c>
      <c r="AO420" s="53">
        <f t="shared" si="220"/>
        <v>1</v>
      </c>
      <c r="AP420" s="52">
        <f t="shared" si="221"/>
        <v>1.5238095238095239E-3</v>
      </c>
      <c r="AQ420" s="42">
        <f t="shared" si="222"/>
        <v>0.99603174603174605</v>
      </c>
      <c r="AR420" s="46">
        <v>46252</v>
      </c>
      <c r="AS420" s="46">
        <v>46252</v>
      </c>
      <c r="AT420" s="50">
        <f t="shared" si="223"/>
        <v>8</v>
      </c>
      <c r="AU420" s="50">
        <f t="shared" si="244"/>
        <v>427</v>
      </c>
      <c r="AV420" s="50">
        <f t="shared" si="224"/>
        <v>270</v>
      </c>
      <c r="AW420" s="54">
        <f t="shared" si="225"/>
        <v>157</v>
      </c>
    </row>
    <row r="421" spans="1:49" x14ac:dyDescent="0.25">
      <c r="A421" s="33" t="s">
        <v>138</v>
      </c>
      <c r="B421" s="33" t="s">
        <v>426</v>
      </c>
      <c r="C421" s="33" t="s">
        <v>427</v>
      </c>
      <c r="D421" s="33" t="s">
        <v>538</v>
      </c>
      <c r="E421" s="34">
        <f>COUNTIF('Detalle por artículo'!$K$8:$K$592,D421)</f>
        <v>1</v>
      </c>
      <c r="F421" s="35">
        <f t="shared" si="226"/>
        <v>203.38541666666669</v>
      </c>
      <c r="G421" s="36">
        <f>SUMIF('Detalle por artículo'!$K$8:$K$592,$D421,'Detalle por artículo'!$E$8:$E$592)</f>
        <v>0.76800000000000002</v>
      </c>
      <c r="H421" s="35">
        <f t="shared" si="227"/>
        <v>1</v>
      </c>
      <c r="I421" s="35">
        <f t="shared" si="228"/>
        <v>1</v>
      </c>
      <c r="J421" s="35">
        <f t="shared" si="229"/>
        <v>2</v>
      </c>
      <c r="K421" s="37">
        <f t="shared" si="230"/>
        <v>2.7428571428571431E-2</v>
      </c>
      <c r="L421" s="36">
        <f>SUMIF('Detalle por artículo'!$K$8:$K$592,$D421,'Detalle por artículo'!$O$8:$O$592)</f>
        <v>156.20000000000002</v>
      </c>
      <c r="M421" s="38">
        <f>SUMIF('Detalle por artículo'!$K$8:$K$592,$D421,'Detalle por artículo'!$I$8:$I$592)</f>
        <v>400</v>
      </c>
      <c r="N421" s="38">
        <f>SUMIF('Detalle por artículo'!$K$8:$K$592,$D421,'Detalle por artículo'!$M$8:$M$592)</f>
        <v>8</v>
      </c>
      <c r="O421" s="39">
        <f t="shared" si="231"/>
        <v>1.9200000000000002</v>
      </c>
      <c r="P421" s="40">
        <f t="shared" si="232"/>
        <v>390.50000000000006</v>
      </c>
      <c r="Q421" s="41">
        <f t="shared" si="233"/>
        <v>0.1</v>
      </c>
      <c r="R421" s="40">
        <f t="shared" si="234"/>
        <v>0.84480000000000011</v>
      </c>
      <c r="S421" s="42">
        <f>IFERROR(SUM($G$8:G421)/$G$6,0)</f>
        <v>0.99292154508527097</v>
      </c>
      <c r="T421" s="43" t="str">
        <f t="shared" si="235"/>
        <v>C</v>
      </c>
      <c r="U421" s="44">
        <v>400</v>
      </c>
      <c r="V421" s="45">
        <f t="shared" si="216"/>
        <v>0</v>
      </c>
      <c r="W421" s="46">
        <v>46237</v>
      </c>
      <c r="X421" s="46">
        <v>46237</v>
      </c>
      <c r="Y421" s="47">
        <v>0</v>
      </c>
      <c r="Z421" s="48">
        <f t="shared" si="236"/>
        <v>0</v>
      </c>
      <c r="AA421" s="49">
        <f t="shared" si="237"/>
        <v>0</v>
      </c>
      <c r="AB421" s="44">
        <v>247</v>
      </c>
      <c r="AC421" s="44">
        <f t="shared" si="238"/>
        <v>219</v>
      </c>
      <c r="AD421" s="44">
        <f t="shared" si="239"/>
        <v>22</v>
      </c>
      <c r="AE421" s="50">
        <f t="shared" si="240"/>
        <v>33</v>
      </c>
      <c r="AF421" s="41">
        <f t="shared" si="241"/>
        <v>0.66</v>
      </c>
      <c r="AG421" s="44">
        <v>0</v>
      </c>
      <c r="AH421" s="44">
        <v>6</v>
      </c>
      <c r="AI421" s="42">
        <f t="shared" si="217"/>
        <v>0.54749999999999999</v>
      </c>
      <c r="AJ421" s="42">
        <f t="shared" si="218"/>
        <v>5.5E-2</v>
      </c>
      <c r="AK421" s="40">
        <f t="shared" si="242"/>
        <v>0.42048000000000002</v>
      </c>
      <c r="AL421" s="51">
        <v>153</v>
      </c>
      <c r="AM421" s="52">
        <f t="shared" si="243"/>
        <v>0.29376000000000002</v>
      </c>
      <c r="AN421" s="42">
        <f t="shared" si="219"/>
        <v>0.38250000000000001</v>
      </c>
      <c r="AO421" s="53">
        <f t="shared" si="220"/>
        <v>153</v>
      </c>
      <c r="AP421" s="52">
        <f t="shared" si="221"/>
        <v>0.29376000000000002</v>
      </c>
      <c r="AQ421" s="42">
        <f t="shared" si="222"/>
        <v>0.60250000000000004</v>
      </c>
      <c r="AR421" s="46">
        <v>46254</v>
      </c>
      <c r="AS421" s="46">
        <v>46254</v>
      </c>
      <c r="AT421" s="50">
        <f t="shared" si="223"/>
        <v>17</v>
      </c>
      <c r="AU421" s="50">
        <f t="shared" si="244"/>
        <v>455</v>
      </c>
      <c r="AV421" s="50">
        <f t="shared" si="224"/>
        <v>371</v>
      </c>
      <c r="AW421" s="54">
        <f t="shared" si="225"/>
        <v>84</v>
      </c>
    </row>
    <row r="422" spans="1:49" x14ac:dyDescent="0.25">
      <c r="A422" s="33" t="s">
        <v>120</v>
      </c>
      <c r="B422" s="33" t="s">
        <v>519</v>
      </c>
      <c r="C422" s="33" t="s">
        <v>503</v>
      </c>
      <c r="D422" s="33" t="s">
        <v>539</v>
      </c>
      <c r="E422" s="34">
        <f>COUNTIF('Detalle por artículo'!$K$8:$K$592,D422)</f>
        <v>1</v>
      </c>
      <c r="F422" s="35">
        <f t="shared" si="226"/>
        <v>142.70833333333334</v>
      </c>
      <c r="G422" s="36">
        <f>SUMIF('Detalle por artículo'!$K$8:$K$592,$D422,'Detalle por artículo'!$E$8:$E$592)</f>
        <v>0.76800000000000002</v>
      </c>
      <c r="H422" s="35">
        <f t="shared" si="227"/>
        <v>1</v>
      </c>
      <c r="I422" s="35">
        <f t="shared" si="228"/>
        <v>1</v>
      </c>
      <c r="J422" s="35">
        <f t="shared" si="229"/>
        <v>2</v>
      </c>
      <c r="K422" s="37">
        <f t="shared" si="230"/>
        <v>2.7428571428571431E-2</v>
      </c>
      <c r="L422" s="36">
        <f>SUMIF('Detalle por artículo'!$K$8:$K$592,$D422,'Detalle por artículo'!$O$8:$O$592)</f>
        <v>109.60000000000001</v>
      </c>
      <c r="M422" s="38">
        <f>SUMIF('Detalle por artículo'!$K$8:$K$592,$D422,'Detalle por artículo'!$I$8:$I$592)</f>
        <v>352</v>
      </c>
      <c r="N422" s="38">
        <f>SUMIF('Detalle por artículo'!$K$8:$K$592,$D422,'Detalle por artículo'!$M$8:$M$592)</f>
        <v>8</v>
      </c>
      <c r="O422" s="39">
        <f t="shared" si="231"/>
        <v>2.1818181818181821</v>
      </c>
      <c r="P422" s="40">
        <f t="shared" si="232"/>
        <v>311.36363636363637</v>
      </c>
      <c r="Q422" s="41">
        <f t="shared" si="233"/>
        <v>0.15</v>
      </c>
      <c r="R422" s="40">
        <f t="shared" si="234"/>
        <v>0.88319999999999999</v>
      </c>
      <c r="S422" s="42">
        <f>IFERROR(SUM($G$8:G422)/$G$6,0)</f>
        <v>0.99320375727311883</v>
      </c>
      <c r="T422" s="43" t="str">
        <f t="shared" si="235"/>
        <v>C</v>
      </c>
      <c r="U422" s="44">
        <v>360</v>
      </c>
      <c r="V422" s="45">
        <f t="shared" si="216"/>
        <v>8</v>
      </c>
      <c r="W422" s="46">
        <v>46260</v>
      </c>
      <c r="X422" s="46">
        <v>46300</v>
      </c>
      <c r="Y422" s="47">
        <v>0</v>
      </c>
      <c r="Z422" s="48">
        <f t="shared" si="236"/>
        <v>0</v>
      </c>
      <c r="AA422" s="49">
        <f t="shared" si="237"/>
        <v>0</v>
      </c>
      <c r="AB422" s="44">
        <v>259</v>
      </c>
      <c r="AC422" s="44">
        <f t="shared" si="238"/>
        <v>244</v>
      </c>
      <c r="AD422" s="44">
        <f t="shared" si="239"/>
        <v>8</v>
      </c>
      <c r="AE422" s="50">
        <f t="shared" si="240"/>
        <v>33</v>
      </c>
      <c r="AF422" s="41">
        <f t="shared" si="241"/>
        <v>0.66</v>
      </c>
      <c r="AG422" s="44">
        <v>0</v>
      </c>
      <c r="AH422" s="44">
        <v>7</v>
      </c>
      <c r="AI422" s="42">
        <f t="shared" si="217"/>
        <v>0.69318181818181823</v>
      </c>
      <c r="AJ422" s="42">
        <f t="shared" si="218"/>
        <v>2.2727272727272728E-2</v>
      </c>
      <c r="AK422" s="40">
        <f t="shared" si="242"/>
        <v>0.53236363636363648</v>
      </c>
      <c r="AL422" s="51">
        <v>100</v>
      </c>
      <c r="AM422" s="52">
        <f t="shared" si="243"/>
        <v>0.21818181818181823</v>
      </c>
      <c r="AN422" s="42">
        <f t="shared" si="219"/>
        <v>0.27777777777777779</v>
      </c>
      <c r="AO422" s="53">
        <f t="shared" si="220"/>
        <v>93</v>
      </c>
      <c r="AP422" s="52">
        <f t="shared" si="221"/>
        <v>0.20290909090909093</v>
      </c>
      <c r="AQ422" s="42">
        <f t="shared" si="222"/>
        <v>0.71590909090909094</v>
      </c>
      <c r="AR422" s="46">
        <v>46293</v>
      </c>
      <c r="AS422" s="46">
        <v>46294</v>
      </c>
      <c r="AT422" s="50">
        <f t="shared" si="223"/>
        <v>34</v>
      </c>
      <c r="AU422" s="50">
        <f t="shared" si="244"/>
        <v>466</v>
      </c>
      <c r="AV422" s="50">
        <f t="shared" si="224"/>
        <v>366</v>
      </c>
      <c r="AW422" s="54">
        <f t="shared" si="225"/>
        <v>100</v>
      </c>
    </row>
    <row r="423" spans="1:49" x14ac:dyDescent="0.25">
      <c r="A423" s="55" t="s">
        <v>63</v>
      </c>
      <c r="B423" s="55" t="s">
        <v>540</v>
      </c>
      <c r="C423" s="55" t="s">
        <v>541</v>
      </c>
      <c r="D423" s="55" t="s">
        <v>542</v>
      </c>
      <c r="E423" s="56">
        <f>COUNTIF('Detalle por artículo'!$K$8:$K$592,D423)</f>
        <v>1</v>
      </c>
      <c r="F423" s="57">
        <f t="shared" si="226"/>
        <v>163.3986928104575</v>
      </c>
      <c r="G423" s="58">
        <f>SUMIF('Detalle por artículo'!$K$8:$K$592,$D423,'Detalle por artículo'!$E$8:$E$592)</f>
        <v>0.76500000000000001</v>
      </c>
      <c r="H423" s="57">
        <f t="shared" si="227"/>
        <v>1</v>
      </c>
      <c r="I423" s="57">
        <f t="shared" si="228"/>
        <v>1</v>
      </c>
      <c r="J423" s="57">
        <f t="shared" si="229"/>
        <v>2</v>
      </c>
      <c r="K423" s="59">
        <f t="shared" si="230"/>
        <v>2.7321428571428573E-2</v>
      </c>
      <c r="L423" s="58">
        <f>SUMIF('Detalle por artículo'!$K$8:$K$592,$D423,'Detalle por artículo'!$O$8:$O$592)</f>
        <v>125</v>
      </c>
      <c r="M423" s="60">
        <f>SUMIF('Detalle por artículo'!$K$8:$K$592,$D423,'Detalle por artículo'!$I$8:$I$592)</f>
        <v>1000</v>
      </c>
      <c r="N423" s="60">
        <f>SUMIF('Detalle por artículo'!$K$8:$K$592,$D423,'Detalle por artículo'!$M$8:$M$592)</f>
        <v>13</v>
      </c>
      <c r="O423" s="61">
        <f t="shared" si="231"/>
        <v>0.76500000000000001</v>
      </c>
      <c r="P423" s="62">
        <f t="shared" si="232"/>
        <v>125</v>
      </c>
      <c r="Q423" s="63">
        <f t="shared" si="233"/>
        <v>0.15</v>
      </c>
      <c r="R423" s="62">
        <f t="shared" si="234"/>
        <v>0.87974999999999992</v>
      </c>
      <c r="S423" s="64">
        <f>IFERROR(SUM($G$8:G423)/$G$6,0)</f>
        <v>0.9934848670696077</v>
      </c>
      <c r="T423" s="65" t="str">
        <f t="shared" si="235"/>
        <v>C</v>
      </c>
      <c r="U423" s="66">
        <v>0</v>
      </c>
      <c r="V423" s="67"/>
      <c r="W423" s="68"/>
      <c r="X423" s="68"/>
      <c r="Y423" s="69">
        <v>0</v>
      </c>
      <c r="Z423" s="70">
        <f t="shared" si="236"/>
        <v>0</v>
      </c>
      <c r="AA423" s="71">
        <f t="shared" si="237"/>
        <v>0</v>
      </c>
      <c r="AB423" s="66">
        <v>0</v>
      </c>
      <c r="AC423" s="66">
        <f t="shared" si="238"/>
        <v>266</v>
      </c>
      <c r="AD423" s="66">
        <f t="shared" si="239"/>
        <v>80</v>
      </c>
      <c r="AE423" s="72">
        <f t="shared" si="240"/>
        <v>49</v>
      </c>
      <c r="AF423" s="63">
        <f t="shared" si="241"/>
        <v>0.98</v>
      </c>
      <c r="AG423" s="66">
        <v>0</v>
      </c>
      <c r="AH423" s="66">
        <v>0</v>
      </c>
      <c r="AI423" s="64"/>
      <c r="AJ423" s="64"/>
      <c r="AK423" s="62">
        <f t="shared" si="242"/>
        <v>0.20349</v>
      </c>
      <c r="AL423" s="73">
        <v>0</v>
      </c>
      <c r="AM423" s="74">
        <f t="shared" si="243"/>
        <v>0</v>
      </c>
      <c r="AN423" s="64"/>
      <c r="AO423" s="75"/>
      <c r="AP423" s="74"/>
      <c r="AQ423" s="64"/>
      <c r="AR423" s="68"/>
      <c r="AS423" s="68"/>
      <c r="AT423" s="72"/>
      <c r="AU423" s="72">
        <f t="shared" si="244"/>
        <v>172</v>
      </c>
      <c r="AV423" s="72"/>
      <c r="AW423" s="76"/>
    </row>
    <row r="424" spans="1:49" x14ac:dyDescent="0.25">
      <c r="A424" s="33" t="s">
        <v>55</v>
      </c>
      <c r="B424" s="33" t="s">
        <v>329</v>
      </c>
      <c r="C424" s="33" t="s">
        <v>445</v>
      </c>
      <c r="D424" s="33" t="s">
        <v>543</v>
      </c>
      <c r="E424" s="34">
        <f>COUNTIF('Detalle por artículo'!$K$8:$K$592,D424)</f>
        <v>1</v>
      </c>
      <c r="F424" s="35">
        <f t="shared" si="226"/>
        <v>179.34210526315792</v>
      </c>
      <c r="G424" s="36">
        <f>SUMIF('Detalle por artículo'!$K$8:$K$592,$D424,'Detalle por artículo'!$E$8:$E$592)</f>
        <v>0.76</v>
      </c>
      <c r="H424" s="35">
        <f t="shared" si="227"/>
        <v>1</v>
      </c>
      <c r="I424" s="35">
        <f t="shared" si="228"/>
        <v>1</v>
      </c>
      <c r="J424" s="35">
        <f t="shared" si="229"/>
        <v>2</v>
      </c>
      <c r="K424" s="37">
        <f t="shared" si="230"/>
        <v>2.7142857142857142E-2</v>
      </c>
      <c r="L424" s="36">
        <f>SUMIF('Detalle por artículo'!$K$8:$K$592,$D424,'Detalle por artículo'!$O$8:$O$592)</f>
        <v>136.30000000000001</v>
      </c>
      <c r="M424" s="38">
        <f>SUMIF('Detalle por artículo'!$K$8:$K$592,$D424,'Detalle por artículo'!$I$8:$I$592)</f>
        <v>526</v>
      </c>
      <c r="N424" s="38">
        <f>SUMIF('Detalle por artículo'!$K$8:$K$592,$D424,'Detalle por artículo'!$M$8:$M$592)</f>
        <v>8</v>
      </c>
      <c r="O424" s="39">
        <f t="shared" si="231"/>
        <v>1.4448669201520912</v>
      </c>
      <c r="P424" s="40">
        <f t="shared" si="232"/>
        <v>259.12547528517109</v>
      </c>
      <c r="Q424" s="41">
        <f t="shared" si="233"/>
        <v>0.15</v>
      </c>
      <c r="R424" s="40">
        <f t="shared" si="234"/>
        <v>0.87399999999999989</v>
      </c>
      <c r="S424" s="42">
        <f>IFERROR(SUM($G$8:G424)/$G$6,0)</f>
        <v>0.99376413954716547</v>
      </c>
      <c r="T424" s="43" t="str">
        <f t="shared" si="235"/>
        <v>C</v>
      </c>
      <c r="U424" s="44">
        <v>526</v>
      </c>
      <c r="V424" s="45">
        <f t="shared" ref="V424:V467" si="245">U424-M424</f>
        <v>0</v>
      </c>
      <c r="W424" s="46">
        <v>46216</v>
      </c>
      <c r="X424" s="46">
        <v>46216</v>
      </c>
      <c r="Y424" s="47">
        <v>0</v>
      </c>
      <c r="Z424" s="48">
        <f t="shared" si="236"/>
        <v>0</v>
      </c>
      <c r="AA424" s="49">
        <f t="shared" si="237"/>
        <v>0</v>
      </c>
      <c r="AB424" s="44">
        <v>524</v>
      </c>
      <c r="AC424" s="44">
        <f t="shared" si="238"/>
        <v>456</v>
      </c>
      <c r="AD424" s="44">
        <f t="shared" si="239"/>
        <v>64</v>
      </c>
      <c r="AE424" s="50">
        <f t="shared" si="240"/>
        <v>47</v>
      </c>
      <c r="AF424" s="41">
        <f t="shared" si="241"/>
        <v>0.94</v>
      </c>
      <c r="AG424" s="44">
        <v>4</v>
      </c>
      <c r="AH424" s="44">
        <v>0</v>
      </c>
      <c r="AI424" s="42">
        <f t="shared" ref="AI424:AI467" si="246">IFERROR(AC424/M424,0)</f>
        <v>0.86692015209125473</v>
      </c>
      <c r="AJ424" s="42">
        <f t="shared" ref="AJ424:AJ467" si="247">IFERROR(AD424/M424,0)</f>
        <v>0.12167300380228137</v>
      </c>
      <c r="AK424" s="40">
        <f t="shared" si="242"/>
        <v>0.65885931558935362</v>
      </c>
      <c r="AL424" s="51">
        <v>0</v>
      </c>
      <c r="AM424" s="52">
        <f t="shared" si="243"/>
        <v>0</v>
      </c>
      <c r="AN424" s="42">
        <f t="shared" ref="AN424:AN467" si="248">IFERROR(AL424/U424,0)</f>
        <v>0</v>
      </c>
      <c r="AO424" s="53">
        <f t="shared" ref="AO424:AO467" si="249">M424-AB424</f>
        <v>2</v>
      </c>
      <c r="AP424" s="52">
        <f t="shared" ref="AP424:AP467" si="250">AO424*O424/1000</f>
        <v>2.8897338403041824E-3</v>
      </c>
      <c r="AQ424" s="42">
        <f t="shared" ref="AQ424:AQ467" si="251">IFERROR((AC424+AD424)/M424,0)</f>
        <v>0.98859315589353614</v>
      </c>
      <c r="AR424" s="46">
        <v>46219</v>
      </c>
      <c r="AS424" s="46">
        <v>46219</v>
      </c>
      <c r="AT424" s="50">
        <f t="shared" ref="AT424:AT467" si="252">IF(OR(W424="",AS424=""),"",AS424-W424)</f>
        <v>3</v>
      </c>
      <c r="AU424" s="50">
        <f t="shared" si="244"/>
        <v>422</v>
      </c>
      <c r="AV424" s="50">
        <f t="shared" ref="AV424:AV467" si="253">IF(AB424=0,"",RANK(AB424,$AB$8:$AB$474))</f>
        <v>258</v>
      </c>
      <c r="AW424" s="54">
        <f t="shared" ref="AW424:AW467" si="254">IF(OR(AU424="",AV424=""),"",AU424-AV424)</f>
        <v>164</v>
      </c>
    </row>
    <row r="425" spans="1:49" x14ac:dyDescent="0.25">
      <c r="A425" s="33" t="s">
        <v>55</v>
      </c>
      <c r="B425" s="33" t="s">
        <v>314</v>
      </c>
      <c r="C425" s="33" t="s">
        <v>315</v>
      </c>
      <c r="D425" s="33" t="s">
        <v>544</v>
      </c>
      <c r="E425" s="34">
        <f>COUNTIF('Detalle por artículo'!$K$8:$K$592,D425)</f>
        <v>1</v>
      </c>
      <c r="F425" s="35">
        <f t="shared" si="226"/>
        <v>206.38888888888889</v>
      </c>
      <c r="G425" s="36">
        <f>SUMIF('Detalle por artículo'!$K$8:$K$592,$D425,'Detalle por artículo'!$E$8:$E$592)</f>
        <v>0.72</v>
      </c>
      <c r="H425" s="35">
        <f t="shared" si="227"/>
        <v>1</v>
      </c>
      <c r="I425" s="35">
        <f t="shared" si="228"/>
        <v>1</v>
      </c>
      <c r="J425" s="35">
        <f t="shared" si="229"/>
        <v>2</v>
      </c>
      <c r="K425" s="37">
        <f t="shared" si="230"/>
        <v>2.5714285714285714E-2</v>
      </c>
      <c r="L425" s="36">
        <f>SUMIF('Detalle por artículo'!$K$8:$K$592,$D425,'Detalle por artículo'!$O$8:$O$592)</f>
        <v>148.6</v>
      </c>
      <c r="M425" s="38">
        <f>SUMIF('Detalle por artículo'!$K$8:$K$592,$D425,'Detalle por artículo'!$I$8:$I$592)</f>
        <v>566</v>
      </c>
      <c r="N425" s="38">
        <f>SUMIF('Detalle por artículo'!$K$8:$K$592,$D425,'Detalle por artículo'!$M$8:$M$592)</f>
        <v>7</v>
      </c>
      <c r="O425" s="39">
        <f t="shared" si="231"/>
        <v>1.2720848056537102</v>
      </c>
      <c r="P425" s="40">
        <f t="shared" si="232"/>
        <v>262.54416961130738</v>
      </c>
      <c r="Q425" s="41">
        <f t="shared" si="233"/>
        <v>0.1</v>
      </c>
      <c r="R425" s="40">
        <f t="shared" si="234"/>
        <v>0.79200000000000004</v>
      </c>
      <c r="S425" s="42">
        <f>IFERROR(SUM($G$8:G425)/$G$6,0)</f>
        <v>0.99402871347327271</v>
      </c>
      <c r="T425" s="43" t="str">
        <f t="shared" si="235"/>
        <v>C</v>
      </c>
      <c r="U425" s="44">
        <v>566</v>
      </c>
      <c r="V425" s="45">
        <f t="shared" si="245"/>
        <v>0</v>
      </c>
      <c r="W425" s="46">
        <v>46240</v>
      </c>
      <c r="X425" s="46">
        <v>46240</v>
      </c>
      <c r="Y425" s="47">
        <v>0</v>
      </c>
      <c r="Z425" s="48">
        <f t="shared" si="236"/>
        <v>0</v>
      </c>
      <c r="AA425" s="49">
        <f t="shared" si="237"/>
        <v>0</v>
      </c>
      <c r="AB425" s="44">
        <v>563</v>
      </c>
      <c r="AC425" s="44">
        <f t="shared" si="238"/>
        <v>397</v>
      </c>
      <c r="AD425" s="44">
        <f t="shared" si="239"/>
        <v>157</v>
      </c>
      <c r="AE425" s="50">
        <f t="shared" si="240"/>
        <v>49</v>
      </c>
      <c r="AF425" s="41">
        <f t="shared" si="241"/>
        <v>0.98</v>
      </c>
      <c r="AG425" s="44">
        <v>2</v>
      </c>
      <c r="AH425" s="44">
        <v>7</v>
      </c>
      <c r="AI425" s="42">
        <f t="shared" si="246"/>
        <v>0.70141342756183744</v>
      </c>
      <c r="AJ425" s="42">
        <f t="shared" si="247"/>
        <v>0.27738515901060068</v>
      </c>
      <c r="AK425" s="40">
        <f t="shared" si="242"/>
        <v>0.50501766784452296</v>
      </c>
      <c r="AL425" s="51">
        <v>0</v>
      </c>
      <c r="AM425" s="52">
        <f t="shared" si="243"/>
        <v>0</v>
      </c>
      <c r="AN425" s="42">
        <f t="shared" si="248"/>
        <v>0</v>
      </c>
      <c r="AO425" s="53">
        <f t="shared" si="249"/>
        <v>3</v>
      </c>
      <c r="AP425" s="52">
        <f t="shared" si="250"/>
        <v>3.8162544169611304E-3</v>
      </c>
      <c r="AQ425" s="42">
        <f t="shared" si="251"/>
        <v>0.97879858657243812</v>
      </c>
      <c r="AR425" s="46">
        <v>46244</v>
      </c>
      <c r="AS425" s="46">
        <v>46245</v>
      </c>
      <c r="AT425" s="50">
        <f t="shared" si="252"/>
        <v>5</v>
      </c>
      <c r="AU425" s="50">
        <f t="shared" si="244"/>
        <v>409</v>
      </c>
      <c r="AV425" s="50">
        <f t="shared" si="253"/>
        <v>231</v>
      </c>
      <c r="AW425" s="54">
        <f t="shared" si="254"/>
        <v>178</v>
      </c>
    </row>
    <row r="426" spans="1:49" x14ac:dyDescent="0.25">
      <c r="A426" s="33" t="s">
        <v>55</v>
      </c>
      <c r="B426" s="33" t="s">
        <v>302</v>
      </c>
      <c r="C426" s="33" t="s">
        <v>303</v>
      </c>
      <c r="D426" s="33" t="s">
        <v>545</v>
      </c>
      <c r="E426" s="34">
        <f>COUNTIF('Detalle por artículo'!$K$8:$K$592,D426)</f>
        <v>1</v>
      </c>
      <c r="F426" s="35">
        <f t="shared" si="226"/>
        <v>190.41666666666666</v>
      </c>
      <c r="G426" s="36">
        <f>SUMIF('Detalle por artículo'!$K$8:$K$592,$D426,'Detalle por artículo'!$E$8:$E$592)</f>
        <v>0.72</v>
      </c>
      <c r="H426" s="35">
        <f t="shared" si="227"/>
        <v>1</v>
      </c>
      <c r="I426" s="35">
        <f t="shared" si="228"/>
        <v>1</v>
      </c>
      <c r="J426" s="35">
        <f t="shared" si="229"/>
        <v>2</v>
      </c>
      <c r="K426" s="37">
        <f t="shared" si="230"/>
        <v>2.5714285714285714E-2</v>
      </c>
      <c r="L426" s="36">
        <f>SUMIF('Detalle por artículo'!$K$8:$K$592,$D426,'Detalle por artículo'!$O$8:$O$592)</f>
        <v>137.1</v>
      </c>
      <c r="M426" s="38">
        <f>SUMIF('Detalle por artículo'!$K$8:$K$592,$D426,'Detalle por artículo'!$I$8:$I$592)</f>
        <v>453</v>
      </c>
      <c r="N426" s="38">
        <f>SUMIF('Detalle por artículo'!$K$8:$K$592,$D426,'Detalle por artículo'!$M$8:$M$592)</f>
        <v>10</v>
      </c>
      <c r="O426" s="39">
        <f t="shared" si="231"/>
        <v>1.5894039735099337</v>
      </c>
      <c r="P426" s="40">
        <f t="shared" si="232"/>
        <v>302.64900662251654</v>
      </c>
      <c r="Q426" s="41">
        <f t="shared" si="233"/>
        <v>0.15</v>
      </c>
      <c r="R426" s="40">
        <f t="shared" si="234"/>
        <v>0.82799999999999996</v>
      </c>
      <c r="S426" s="42">
        <f>IFERROR(SUM($G$8:G426)/$G$6,0)</f>
        <v>0.99429328739937994</v>
      </c>
      <c r="T426" s="43" t="str">
        <f t="shared" si="235"/>
        <v>C</v>
      </c>
      <c r="U426" s="44">
        <v>453</v>
      </c>
      <c r="V426" s="45">
        <f t="shared" si="245"/>
        <v>0</v>
      </c>
      <c r="W426" s="46">
        <v>46247</v>
      </c>
      <c r="X426" s="46">
        <v>46247</v>
      </c>
      <c r="Y426" s="47">
        <v>0</v>
      </c>
      <c r="Z426" s="48">
        <f t="shared" si="236"/>
        <v>0</v>
      </c>
      <c r="AA426" s="49">
        <f t="shared" si="237"/>
        <v>0</v>
      </c>
      <c r="AB426" s="44">
        <v>444</v>
      </c>
      <c r="AC426" s="44">
        <f t="shared" si="238"/>
        <v>419</v>
      </c>
      <c r="AD426" s="44">
        <f t="shared" si="239"/>
        <v>6</v>
      </c>
      <c r="AE426" s="50">
        <f t="shared" si="240"/>
        <v>47</v>
      </c>
      <c r="AF426" s="41">
        <f t="shared" si="241"/>
        <v>0.94</v>
      </c>
      <c r="AG426" s="44">
        <v>5</v>
      </c>
      <c r="AH426" s="44">
        <v>14</v>
      </c>
      <c r="AI426" s="42">
        <f t="shared" si="246"/>
        <v>0.92494481236203085</v>
      </c>
      <c r="AJ426" s="42">
        <f t="shared" si="247"/>
        <v>1.3245033112582781E-2</v>
      </c>
      <c r="AK426" s="40">
        <f t="shared" si="242"/>
        <v>0.66596026490066218</v>
      </c>
      <c r="AL426" s="51">
        <v>0</v>
      </c>
      <c r="AM426" s="52">
        <f t="shared" si="243"/>
        <v>0</v>
      </c>
      <c r="AN426" s="42">
        <f t="shared" si="248"/>
        <v>0</v>
      </c>
      <c r="AO426" s="53">
        <f t="shared" si="249"/>
        <v>9</v>
      </c>
      <c r="AP426" s="52">
        <f t="shared" si="250"/>
        <v>1.4304635761589402E-2</v>
      </c>
      <c r="AQ426" s="42">
        <f t="shared" si="251"/>
        <v>0.9381898454746137</v>
      </c>
      <c r="AR426" s="46">
        <v>46254</v>
      </c>
      <c r="AS426" s="46">
        <v>46255</v>
      </c>
      <c r="AT426" s="50">
        <f t="shared" si="252"/>
        <v>8</v>
      </c>
      <c r="AU426" s="50">
        <f t="shared" si="244"/>
        <v>439</v>
      </c>
      <c r="AV426" s="50">
        <f t="shared" si="253"/>
        <v>309</v>
      </c>
      <c r="AW426" s="54">
        <f t="shared" si="254"/>
        <v>130</v>
      </c>
    </row>
    <row r="427" spans="1:49" x14ac:dyDescent="0.25">
      <c r="A427" s="33" t="s">
        <v>63</v>
      </c>
      <c r="B427" s="33" t="s">
        <v>540</v>
      </c>
      <c r="C427" s="33" t="s">
        <v>541</v>
      </c>
      <c r="D427" s="33" t="s">
        <v>546</v>
      </c>
      <c r="E427" s="34">
        <f>COUNTIF('Detalle por artículo'!$K$8:$K$592,D427)</f>
        <v>1</v>
      </c>
      <c r="F427" s="35">
        <f t="shared" si="226"/>
        <v>143.48441926345612</v>
      </c>
      <c r="G427" s="36">
        <f>SUMIF('Detalle por artículo'!$K$8:$K$592,$D427,'Detalle por artículo'!$E$8:$E$592)</f>
        <v>0.70599999999999996</v>
      </c>
      <c r="H427" s="35">
        <f t="shared" si="227"/>
        <v>1</v>
      </c>
      <c r="I427" s="35">
        <f t="shared" si="228"/>
        <v>1</v>
      </c>
      <c r="J427" s="35">
        <f t="shared" si="229"/>
        <v>2</v>
      </c>
      <c r="K427" s="37">
        <f t="shared" si="230"/>
        <v>2.5214285714285713E-2</v>
      </c>
      <c r="L427" s="36">
        <f>SUMIF('Detalle por artículo'!$K$8:$K$592,$D427,'Detalle por artículo'!$O$8:$O$592)</f>
        <v>101.30000000000001</v>
      </c>
      <c r="M427" s="38">
        <f>SUMIF('Detalle por artículo'!$K$8:$K$592,$D427,'Detalle por artículo'!$I$8:$I$592)</f>
        <v>800</v>
      </c>
      <c r="N427" s="38">
        <f>SUMIF('Detalle por artículo'!$K$8:$K$592,$D427,'Detalle por artículo'!$M$8:$M$592)</f>
        <v>12</v>
      </c>
      <c r="O427" s="39">
        <f t="shared" si="231"/>
        <v>0.88249999999999995</v>
      </c>
      <c r="P427" s="40">
        <f t="shared" si="232"/>
        <v>126.62500000000001</v>
      </c>
      <c r="Q427" s="41">
        <f t="shared" si="233"/>
        <v>0.15</v>
      </c>
      <c r="R427" s="40">
        <f t="shared" si="234"/>
        <v>0.81189999999999984</v>
      </c>
      <c r="S427" s="42">
        <f>IFERROR(SUM($G$8:G427)/$G$6,0)</f>
        <v>0.99455271683247959</v>
      </c>
      <c r="T427" s="43" t="str">
        <f t="shared" si="235"/>
        <v>C</v>
      </c>
      <c r="U427" s="44">
        <v>800</v>
      </c>
      <c r="V427" s="45">
        <f t="shared" si="245"/>
        <v>0</v>
      </c>
      <c r="W427" s="46">
        <v>46218</v>
      </c>
      <c r="X427" s="46">
        <v>46218</v>
      </c>
      <c r="Y427" s="47">
        <v>0</v>
      </c>
      <c r="Z427" s="48">
        <f t="shared" si="236"/>
        <v>0</v>
      </c>
      <c r="AA427" s="49">
        <f t="shared" si="237"/>
        <v>0</v>
      </c>
      <c r="AB427" s="44">
        <v>457</v>
      </c>
      <c r="AC427" s="44">
        <f t="shared" si="238"/>
        <v>326</v>
      </c>
      <c r="AD427" s="44">
        <f t="shared" si="239"/>
        <v>125</v>
      </c>
      <c r="AE427" s="50">
        <f t="shared" si="240"/>
        <v>49</v>
      </c>
      <c r="AF427" s="41">
        <f t="shared" si="241"/>
        <v>0.98</v>
      </c>
      <c r="AG427" s="44">
        <v>0</v>
      </c>
      <c r="AH427" s="44">
        <v>6</v>
      </c>
      <c r="AI427" s="42">
        <f t="shared" si="246"/>
        <v>0.40749999999999997</v>
      </c>
      <c r="AJ427" s="42">
        <f t="shared" si="247"/>
        <v>0.15625</v>
      </c>
      <c r="AK427" s="40">
        <f t="shared" si="242"/>
        <v>0.28769499999999998</v>
      </c>
      <c r="AL427" s="51">
        <v>341</v>
      </c>
      <c r="AM427" s="52">
        <f t="shared" si="243"/>
        <v>0.30093249999999999</v>
      </c>
      <c r="AN427" s="42">
        <f t="shared" si="248"/>
        <v>0.42625000000000002</v>
      </c>
      <c r="AO427" s="53">
        <f t="shared" si="249"/>
        <v>343</v>
      </c>
      <c r="AP427" s="52">
        <f t="shared" si="250"/>
        <v>0.30269750000000001</v>
      </c>
      <c r="AQ427" s="42">
        <f t="shared" si="251"/>
        <v>0.56374999999999997</v>
      </c>
      <c r="AR427" s="46">
        <v>46219</v>
      </c>
      <c r="AS427" s="46">
        <v>46219</v>
      </c>
      <c r="AT427" s="50">
        <f t="shared" si="252"/>
        <v>1</v>
      </c>
      <c r="AU427" s="50">
        <f t="shared" si="244"/>
        <v>241</v>
      </c>
      <c r="AV427" s="50">
        <f t="shared" si="253"/>
        <v>301</v>
      </c>
      <c r="AW427" s="54">
        <f t="shared" si="254"/>
        <v>-60</v>
      </c>
    </row>
    <row r="428" spans="1:49" x14ac:dyDescent="0.25">
      <c r="A428" s="33" t="s">
        <v>63</v>
      </c>
      <c r="B428" s="33" t="s">
        <v>540</v>
      </c>
      <c r="C428" s="33" t="s">
        <v>541</v>
      </c>
      <c r="D428" s="33" t="s">
        <v>547</v>
      </c>
      <c r="E428" s="34">
        <f>COUNTIF('Detalle por artículo'!$K$8:$K$592,D428)</f>
        <v>1</v>
      </c>
      <c r="F428" s="35">
        <f t="shared" si="226"/>
        <v>152.40793201133144</v>
      </c>
      <c r="G428" s="36">
        <f>SUMIF('Detalle por artículo'!$K$8:$K$592,$D428,'Detalle por artículo'!$E$8:$E$592)</f>
        <v>0.70599999999999996</v>
      </c>
      <c r="H428" s="35">
        <f t="shared" si="227"/>
        <v>1</v>
      </c>
      <c r="I428" s="35">
        <f t="shared" si="228"/>
        <v>1</v>
      </c>
      <c r="J428" s="35">
        <f t="shared" si="229"/>
        <v>2</v>
      </c>
      <c r="K428" s="37">
        <f t="shared" si="230"/>
        <v>2.5214285714285713E-2</v>
      </c>
      <c r="L428" s="36">
        <f>SUMIF('Detalle por artículo'!$K$8:$K$592,$D428,'Detalle por artículo'!$O$8:$O$592)</f>
        <v>107.6</v>
      </c>
      <c r="M428" s="38">
        <f>SUMIF('Detalle por artículo'!$K$8:$K$592,$D428,'Detalle por artículo'!$I$8:$I$592)</f>
        <v>800</v>
      </c>
      <c r="N428" s="38">
        <f>SUMIF('Detalle por artículo'!$K$8:$K$592,$D428,'Detalle por artículo'!$M$8:$M$592)</f>
        <v>12</v>
      </c>
      <c r="O428" s="39">
        <f t="shared" si="231"/>
        <v>0.88249999999999995</v>
      </c>
      <c r="P428" s="40">
        <f t="shared" si="232"/>
        <v>134.49999999999997</v>
      </c>
      <c r="Q428" s="41">
        <f t="shared" si="233"/>
        <v>0.15</v>
      </c>
      <c r="R428" s="40">
        <f t="shared" si="234"/>
        <v>0.81189999999999984</v>
      </c>
      <c r="S428" s="42">
        <f>IFERROR(SUM($G$8:G428)/$G$6,0)</f>
        <v>0.99481214626557934</v>
      </c>
      <c r="T428" s="43" t="str">
        <f t="shared" si="235"/>
        <v>C</v>
      </c>
      <c r="U428" s="44">
        <v>800</v>
      </c>
      <c r="V428" s="45">
        <f t="shared" si="245"/>
        <v>0</v>
      </c>
      <c r="W428" s="46">
        <v>46218</v>
      </c>
      <c r="X428" s="46">
        <v>46218</v>
      </c>
      <c r="Y428" s="47">
        <v>0</v>
      </c>
      <c r="Z428" s="48">
        <f t="shared" si="236"/>
        <v>0</v>
      </c>
      <c r="AA428" s="49">
        <f t="shared" si="237"/>
        <v>0</v>
      </c>
      <c r="AB428" s="44">
        <v>476</v>
      </c>
      <c r="AC428" s="44">
        <f t="shared" si="238"/>
        <v>324</v>
      </c>
      <c r="AD428" s="44">
        <f t="shared" si="239"/>
        <v>143</v>
      </c>
      <c r="AE428" s="50">
        <f t="shared" si="240"/>
        <v>49</v>
      </c>
      <c r="AF428" s="41">
        <f t="shared" si="241"/>
        <v>0.98</v>
      </c>
      <c r="AG428" s="44">
        <v>3</v>
      </c>
      <c r="AH428" s="44">
        <v>6</v>
      </c>
      <c r="AI428" s="42">
        <f t="shared" si="246"/>
        <v>0.40500000000000003</v>
      </c>
      <c r="AJ428" s="42">
        <f t="shared" si="247"/>
        <v>0.17874999999999999</v>
      </c>
      <c r="AK428" s="40">
        <f t="shared" si="242"/>
        <v>0.28593000000000002</v>
      </c>
      <c r="AL428" s="51">
        <v>323</v>
      </c>
      <c r="AM428" s="52">
        <f t="shared" si="243"/>
        <v>0.28504749999999995</v>
      </c>
      <c r="AN428" s="42">
        <f t="shared" si="248"/>
        <v>0.40375</v>
      </c>
      <c r="AO428" s="53">
        <f t="shared" si="249"/>
        <v>324</v>
      </c>
      <c r="AP428" s="52">
        <f t="shared" si="250"/>
        <v>0.28593000000000002</v>
      </c>
      <c r="AQ428" s="42">
        <f t="shared" si="251"/>
        <v>0.58374999999999999</v>
      </c>
      <c r="AR428" s="46">
        <v>46219</v>
      </c>
      <c r="AS428" s="46">
        <v>46219</v>
      </c>
      <c r="AT428" s="50">
        <f t="shared" si="252"/>
        <v>1</v>
      </c>
      <c r="AU428" s="50">
        <f t="shared" si="244"/>
        <v>241</v>
      </c>
      <c r="AV428" s="50">
        <f t="shared" si="253"/>
        <v>288</v>
      </c>
      <c r="AW428" s="54">
        <f t="shared" si="254"/>
        <v>-47</v>
      </c>
    </row>
    <row r="429" spans="1:49" x14ac:dyDescent="0.25">
      <c r="A429" s="33" t="s">
        <v>120</v>
      </c>
      <c r="B429" s="33" t="s">
        <v>470</v>
      </c>
      <c r="C429" s="33" t="s">
        <v>427</v>
      </c>
      <c r="D429" s="33" t="s">
        <v>548</v>
      </c>
      <c r="E429" s="34">
        <f>COUNTIF('Detalle por artículo'!$K$8:$K$592,D429)</f>
        <v>1</v>
      </c>
      <c r="F429" s="35">
        <f t="shared" si="226"/>
        <v>301.00286532951293</v>
      </c>
      <c r="G429" s="36">
        <f>SUMIF('Detalle por artículo'!$K$8:$K$592,$D429,'Detalle por artículo'!$E$8:$E$592)</f>
        <v>0.69799999999999995</v>
      </c>
      <c r="H429" s="35">
        <f t="shared" si="227"/>
        <v>1</v>
      </c>
      <c r="I429" s="35">
        <f t="shared" si="228"/>
        <v>1</v>
      </c>
      <c r="J429" s="35">
        <f t="shared" si="229"/>
        <v>2</v>
      </c>
      <c r="K429" s="37">
        <f t="shared" si="230"/>
        <v>2.4928571428571428E-2</v>
      </c>
      <c r="L429" s="36">
        <f>SUMIF('Detalle por artículo'!$K$8:$K$592,$D429,'Detalle por artículo'!$O$8:$O$592)</f>
        <v>210.1</v>
      </c>
      <c r="M429" s="38">
        <f>SUMIF('Detalle por artículo'!$K$8:$K$592,$D429,'Detalle por artículo'!$I$8:$I$592)</f>
        <v>463</v>
      </c>
      <c r="N429" s="38">
        <f>SUMIF('Detalle por artículo'!$K$8:$K$592,$D429,'Detalle por artículo'!$M$8:$M$592)</f>
        <v>9</v>
      </c>
      <c r="O429" s="39">
        <f t="shared" si="231"/>
        <v>1.5075593952483799</v>
      </c>
      <c r="P429" s="40">
        <f t="shared" si="232"/>
        <v>453.77969762419008</v>
      </c>
      <c r="Q429" s="41">
        <f t="shared" si="233"/>
        <v>0.1</v>
      </c>
      <c r="R429" s="40">
        <f t="shared" si="234"/>
        <v>0.76780000000000004</v>
      </c>
      <c r="S429" s="42">
        <f>IFERROR(SUM($G$8:G429)/$G$6,0)</f>
        <v>0.99506863598838891</v>
      </c>
      <c r="T429" s="43" t="str">
        <f t="shared" si="235"/>
        <v>C</v>
      </c>
      <c r="U429" s="44">
        <v>470</v>
      </c>
      <c r="V429" s="45">
        <f t="shared" si="245"/>
        <v>7</v>
      </c>
      <c r="W429" s="46">
        <v>46281</v>
      </c>
      <c r="X429" s="46">
        <v>46300</v>
      </c>
      <c r="Y429" s="47">
        <v>0</v>
      </c>
      <c r="Z429" s="48">
        <f t="shared" si="236"/>
        <v>0</v>
      </c>
      <c r="AA429" s="49">
        <f t="shared" si="237"/>
        <v>0</v>
      </c>
      <c r="AB429" s="44">
        <v>270</v>
      </c>
      <c r="AC429" s="44">
        <f t="shared" si="238"/>
        <v>251</v>
      </c>
      <c r="AD429" s="44">
        <f t="shared" si="239"/>
        <v>16</v>
      </c>
      <c r="AE429" s="50">
        <f t="shared" si="240"/>
        <v>34</v>
      </c>
      <c r="AF429" s="41">
        <f t="shared" si="241"/>
        <v>0.68</v>
      </c>
      <c r="AG429" s="44">
        <v>3</v>
      </c>
      <c r="AH429" s="44">
        <v>0</v>
      </c>
      <c r="AI429" s="42">
        <f t="shared" si="246"/>
        <v>0.54211663066954641</v>
      </c>
      <c r="AJ429" s="42">
        <f t="shared" si="247"/>
        <v>3.4557235421166309E-2</v>
      </c>
      <c r="AK429" s="40">
        <f t="shared" si="242"/>
        <v>0.37839740820734336</v>
      </c>
      <c r="AL429" s="51">
        <v>200</v>
      </c>
      <c r="AM429" s="52">
        <f t="shared" si="243"/>
        <v>0.30151187904967602</v>
      </c>
      <c r="AN429" s="42">
        <f t="shared" si="248"/>
        <v>0.42553191489361702</v>
      </c>
      <c r="AO429" s="53">
        <f t="shared" si="249"/>
        <v>193</v>
      </c>
      <c r="AP429" s="52">
        <f t="shared" si="250"/>
        <v>0.2909589632829373</v>
      </c>
      <c r="AQ429" s="42">
        <f t="shared" si="251"/>
        <v>0.57667386609071269</v>
      </c>
      <c r="AR429" s="46">
        <v>46285</v>
      </c>
      <c r="AS429" s="46">
        <v>46287</v>
      </c>
      <c r="AT429" s="50">
        <f t="shared" si="252"/>
        <v>6</v>
      </c>
      <c r="AU429" s="50">
        <f t="shared" si="244"/>
        <v>436</v>
      </c>
      <c r="AV429" s="50">
        <f t="shared" si="253"/>
        <v>359</v>
      </c>
      <c r="AW429" s="54">
        <f t="shared" si="254"/>
        <v>77</v>
      </c>
    </row>
    <row r="430" spans="1:49" x14ac:dyDescent="0.25">
      <c r="A430" s="33" t="s">
        <v>120</v>
      </c>
      <c r="B430" s="33" t="s">
        <v>470</v>
      </c>
      <c r="C430" s="33" t="s">
        <v>427</v>
      </c>
      <c r="D430" s="33" t="s">
        <v>549</v>
      </c>
      <c r="E430" s="34">
        <f>COUNTIF('Detalle por artículo'!$K$8:$K$592,D430)</f>
        <v>1</v>
      </c>
      <c r="F430" s="35">
        <f t="shared" si="226"/>
        <v>276.21776504297992</v>
      </c>
      <c r="G430" s="36">
        <f>SUMIF('Detalle por artículo'!$K$8:$K$592,$D430,'Detalle por artículo'!$E$8:$E$592)</f>
        <v>0.69799999999999995</v>
      </c>
      <c r="H430" s="35">
        <f t="shared" si="227"/>
        <v>1</v>
      </c>
      <c r="I430" s="35">
        <f t="shared" si="228"/>
        <v>1</v>
      </c>
      <c r="J430" s="35">
        <f t="shared" si="229"/>
        <v>2</v>
      </c>
      <c r="K430" s="37">
        <f t="shared" si="230"/>
        <v>2.4928571428571428E-2</v>
      </c>
      <c r="L430" s="36">
        <f>SUMIF('Detalle por artículo'!$K$8:$K$592,$D430,'Detalle por artículo'!$O$8:$O$592)</f>
        <v>192.79999999999998</v>
      </c>
      <c r="M430" s="38">
        <f>SUMIF('Detalle por artículo'!$K$8:$K$592,$D430,'Detalle por artículo'!$I$8:$I$592)</f>
        <v>415</v>
      </c>
      <c r="N430" s="38">
        <f>SUMIF('Detalle por artículo'!$K$8:$K$592,$D430,'Detalle por artículo'!$M$8:$M$592)</f>
        <v>9</v>
      </c>
      <c r="O430" s="39">
        <f t="shared" si="231"/>
        <v>1.6819277108433734</v>
      </c>
      <c r="P430" s="40">
        <f t="shared" si="232"/>
        <v>464.57831325301203</v>
      </c>
      <c r="Q430" s="41">
        <f t="shared" si="233"/>
        <v>0.1</v>
      </c>
      <c r="R430" s="40">
        <f t="shared" si="234"/>
        <v>0.76780000000000004</v>
      </c>
      <c r="S430" s="42">
        <f>IFERROR(SUM($G$8:G430)/$G$6,0)</f>
        <v>0.99532512571119836</v>
      </c>
      <c r="T430" s="43" t="str">
        <f t="shared" si="235"/>
        <v>C</v>
      </c>
      <c r="U430" s="44">
        <v>422</v>
      </c>
      <c r="V430" s="45">
        <f t="shared" si="245"/>
        <v>7</v>
      </c>
      <c r="W430" s="46">
        <v>46281</v>
      </c>
      <c r="X430" s="46">
        <v>46300</v>
      </c>
      <c r="Y430" s="47">
        <v>0</v>
      </c>
      <c r="Z430" s="48">
        <f t="shared" si="236"/>
        <v>0</v>
      </c>
      <c r="AA430" s="49">
        <f t="shared" si="237"/>
        <v>0</v>
      </c>
      <c r="AB430" s="44">
        <v>262</v>
      </c>
      <c r="AC430" s="44">
        <f t="shared" si="238"/>
        <v>252</v>
      </c>
      <c r="AD430" s="44">
        <f t="shared" si="239"/>
        <v>9</v>
      </c>
      <c r="AE430" s="50">
        <f t="shared" si="240"/>
        <v>34</v>
      </c>
      <c r="AF430" s="41">
        <f t="shared" si="241"/>
        <v>0.68</v>
      </c>
      <c r="AG430" s="44">
        <v>1</v>
      </c>
      <c r="AH430" s="44">
        <v>0</v>
      </c>
      <c r="AI430" s="42">
        <f t="shared" si="246"/>
        <v>0.60722891566265058</v>
      </c>
      <c r="AJ430" s="42">
        <f t="shared" si="247"/>
        <v>2.1686746987951807E-2</v>
      </c>
      <c r="AK430" s="40">
        <f t="shared" si="242"/>
        <v>0.42384578313253013</v>
      </c>
      <c r="AL430" s="51">
        <v>160</v>
      </c>
      <c r="AM430" s="52">
        <f t="shared" si="243"/>
        <v>0.26910843373493976</v>
      </c>
      <c r="AN430" s="42">
        <f t="shared" si="248"/>
        <v>0.37914691943127959</v>
      </c>
      <c r="AO430" s="53">
        <f t="shared" si="249"/>
        <v>153</v>
      </c>
      <c r="AP430" s="52">
        <f t="shared" si="250"/>
        <v>0.25733493975903615</v>
      </c>
      <c r="AQ430" s="42">
        <f t="shared" si="251"/>
        <v>0.62891566265060239</v>
      </c>
      <c r="AR430" s="46">
        <v>46285</v>
      </c>
      <c r="AS430" s="46">
        <v>46287</v>
      </c>
      <c r="AT430" s="50">
        <f t="shared" si="252"/>
        <v>6</v>
      </c>
      <c r="AU430" s="50">
        <f t="shared" si="244"/>
        <v>447</v>
      </c>
      <c r="AV430" s="50">
        <f t="shared" si="253"/>
        <v>363</v>
      </c>
      <c r="AW430" s="54">
        <f t="shared" si="254"/>
        <v>84</v>
      </c>
    </row>
    <row r="431" spans="1:49" x14ac:dyDescent="0.25">
      <c r="A431" s="33" t="s">
        <v>55</v>
      </c>
      <c r="B431" s="33" t="s">
        <v>509</v>
      </c>
      <c r="C431" s="33" t="s">
        <v>303</v>
      </c>
      <c r="D431" s="33" t="s">
        <v>550</v>
      </c>
      <c r="E431" s="34">
        <f>COUNTIF('Detalle por artículo'!$K$8:$K$592,D431)</f>
        <v>1</v>
      </c>
      <c r="F431" s="35">
        <f t="shared" si="226"/>
        <v>138.54166666666666</v>
      </c>
      <c r="G431" s="36">
        <f>SUMIF('Detalle por artículo'!$K$8:$K$592,$D431,'Detalle por artículo'!$E$8:$E$592)</f>
        <v>0.67200000000000004</v>
      </c>
      <c r="H431" s="35">
        <f t="shared" si="227"/>
        <v>1</v>
      </c>
      <c r="I431" s="35">
        <f t="shared" si="228"/>
        <v>1</v>
      </c>
      <c r="J431" s="35">
        <f t="shared" si="229"/>
        <v>2</v>
      </c>
      <c r="K431" s="37">
        <f t="shared" si="230"/>
        <v>2.4E-2</v>
      </c>
      <c r="L431" s="36">
        <f>SUMIF('Detalle por artículo'!$K$8:$K$592,$D431,'Detalle por artículo'!$O$8:$O$592)</f>
        <v>93.1</v>
      </c>
      <c r="M431" s="38">
        <f>SUMIF('Detalle por artículo'!$K$8:$K$592,$D431,'Detalle por artículo'!$I$8:$I$592)</f>
        <v>610</v>
      </c>
      <c r="N431" s="38">
        <f>SUMIF('Detalle por artículo'!$K$8:$K$592,$D431,'Detalle por artículo'!$M$8:$M$592)</f>
        <v>7</v>
      </c>
      <c r="O431" s="39">
        <f t="shared" si="231"/>
        <v>1.1016393442622952</v>
      </c>
      <c r="P431" s="40">
        <f t="shared" si="232"/>
        <v>152.62295081967213</v>
      </c>
      <c r="Q431" s="41">
        <f t="shared" si="233"/>
        <v>0.15</v>
      </c>
      <c r="R431" s="40">
        <f t="shared" si="234"/>
        <v>0.77280000000000004</v>
      </c>
      <c r="S431" s="42">
        <f>IFERROR(SUM($G$8:G431)/$G$6,0)</f>
        <v>0.9955720613755652</v>
      </c>
      <c r="T431" s="43" t="str">
        <f t="shared" si="235"/>
        <v>C</v>
      </c>
      <c r="U431" s="44">
        <v>611</v>
      </c>
      <c r="V431" s="45">
        <f t="shared" si="245"/>
        <v>1</v>
      </c>
      <c r="W431" s="46">
        <v>46244</v>
      </c>
      <c r="X431" s="46">
        <v>46244</v>
      </c>
      <c r="Y431" s="47">
        <v>0</v>
      </c>
      <c r="Z431" s="48">
        <f t="shared" si="236"/>
        <v>0</v>
      </c>
      <c r="AA431" s="49">
        <f t="shared" si="237"/>
        <v>0</v>
      </c>
      <c r="AB431" s="44">
        <v>533</v>
      </c>
      <c r="AC431" s="44">
        <f t="shared" si="238"/>
        <v>393</v>
      </c>
      <c r="AD431" s="44">
        <f t="shared" si="239"/>
        <v>128</v>
      </c>
      <c r="AE431" s="50">
        <f t="shared" si="240"/>
        <v>47</v>
      </c>
      <c r="AF431" s="41">
        <f t="shared" si="241"/>
        <v>0.94</v>
      </c>
      <c r="AG431" s="44">
        <v>5</v>
      </c>
      <c r="AH431" s="44">
        <v>7</v>
      </c>
      <c r="AI431" s="42">
        <f t="shared" si="246"/>
        <v>0.6442622950819672</v>
      </c>
      <c r="AJ431" s="42">
        <f t="shared" si="247"/>
        <v>0.20983606557377049</v>
      </c>
      <c r="AK431" s="40">
        <f t="shared" si="242"/>
        <v>0.43294426229508204</v>
      </c>
      <c r="AL431" s="51">
        <v>78</v>
      </c>
      <c r="AM431" s="52">
        <f t="shared" si="243"/>
        <v>8.5927868852459025E-2</v>
      </c>
      <c r="AN431" s="42">
        <f t="shared" si="248"/>
        <v>0.1276595744680851</v>
      </c>
      <c r="AO431" s="53">
        <f t="shared" si="249"/>
        <v>77</v>
      </c>
      <c r="AP431" s="52">
        <f t="shared" si="250"/>
        <v>8.4826229508196738E-2</v>
      </c>
      <c r="AQ431" s="42">
        <f t="shared" si="251"/>
        <v>0.85409836065573774</v>
      </c>
      <c r="AR431" s="46">
        <v>46252</v>
      </c>
      <c r="AS431" s="46">
        <v>46252</v>
      </c>
      <c r="AT431" s="50">
        <f t="shared" si="252"/>
        <v>8</v>
      </c>
      <c r="AU431" s="50">
        <f t="shared" si="244"/>
        <v>395</v>
      </c>
      <c r="AV431" s="50">
        <f t="shared" si="253"/>
        <v>250</v>
      </c>
      <c r="AW431" s="54">
        <f t="shared" si="254"/>
        <v>145</v>
      </c>
    </row>
    <row r="432" spans="1:49" x14ac:dyDescent="0.25">
      <c r="A432" s="33" t="s">
        <v>55</v>
      </c>
      <c r="B432" s="33" t="s">
        <v>99</v>
      </c>
      <c r="C432" s="33" t="s">
        <v>100</v>
      </c>
      <c r="D432" s="33" t="s">
        <v>551</v>
      </c>
      <c r="E432" s="34">
        <f>COUNTIF('Detalle por artículo'!$K$8:$K$592,D432)</f>
        <v>1</v>
      </c>
      <c r="F432" s="35">
        <f t="shared" si="226"/>
        <v>210.71428571428569</v>
      </c>
      <c r="G432" s="36">
        <f>SUMIF('Detalle por artículo'!$K$8:$K$592,$D432,'Detalle por artículo'!$E$8:$E$592)</f>
        <v>0.67200000000000004</v>
      </c>
      <c r="H432" s="35">
        <f t="shared" si="227"/>
        <v>1</v>
      </c>
      <c r="I432" s="35">
        <f t="shared" si="228"/>
        <v>1</v>
      </c>
      <c r="J432" s="35">
        <f t="shared" si="229"/>
        <v>2</v>
      </c>
      <c r="K432" s="37">
        <f t="shared" si="230"/>
        <v>2.4E-2</v>
      </c>
      <c r="L432" s="36">
        <f>SUMIF('Detalle por artículo'!$K$8:$K$592,$D432,'Detalle por artículo'!$O$8:$O$592)</f>
        <v>141.6</v>
      </c>
      <c r="M432" s="38">
        <f>SUMIF('Detalle por artículo'!$K$8:$K$592,$D432,'Detalle por artículo'!$I$8:$I$592)</f>
        <v>614</v>
      </c>
      <c r="N432" s="38">
        <f>SUMIF('Detalle por artículo'!$K$8:$K$592,$D432,'Detalle por artículo'!$M$8:$M$592)</f>
        <v>7</v>
      </c>
      <c r="O432" s="39">
        <f t="shared" si="231"/>
        <v>1.0944625407166124</v>
      </c>
      <c r="P432" s="40">
        <f t="shared" si="232"/>
        <v>230.61889250814332</v>
      </c>
      <c r="Q432" s="41">
        <f t="shared" si="233"/>
        <v>0.1</v>
      </c>
      <c r="R432" s="40">
        <f t="shared" si="234"/>
        <v>0.73920000000000008</v>
      </c>
      <c r="S432" s="42">
        <f>IFERROR(SUM($G$8:G432)/$G$6,0)</f>
        <v>0.99581899703993204</v>
      </c>
      <c r="T432" s="43" t="str">
        <f t="shared" si="235"/>
        <v>C</v>
      </c>
      <c r="U432" s="44">
        <v>614</v>
      </c>
      <c r="V432" s="45">
        <f t="shared" si="245"/>
        <v>0</v>
      </c>
      <c r="W432" s="46">
        <v>46260</v>
      </c>
      <c r="X432" s="46">
        <v>46260</v>
      </c>
      <c r="Y432" s="47">
        <v>0</v>
      </c>
      <c r="Z432" s="48">
        <f t="shared" si="236"/>
        <v>0</v>
      </c>
      <c r="AA432" s="49">
        <f t="shared" si="237"/>
        <v>0</v>
      </c>
      <c r="AB432" s="44">
        <v>401</v>
      </c>
      <c r="AC432" s="44">
        <f t="shared" si="238"/>
        <v>343</v>
      </c>
      <c r="AD432" s="44">
        <f t="shared" si="239"/>
        <v>52</v>
      </c>
      <c r="AE432" s="50">
        <f t="shared" si="240"/>
        <v>47</v>
      </c>
      <c r="AF432" s="41">
        <f t="shared" si="241"/>
        <v>0.94</v>
      </c>
      <c r="AG432" s="44">
        <v>1</v>
      </c>
      <c r="AH432" s="44">
        <v>7</v>
      </c>
      <c r="AI432" s="42">
        <f t="shared" si="246"/>
        <v>0.55863192182410426</v>
      </c>
      <c r="AJ432" s="42">
        <f t="shared" si="247"/>
        <v>8.4690553745928335E-2</v>
      </c>
      <c r="AK432" s="40">
        <f t="shared" si="242"/>
        <v>0.37540065146579804</v>
      </c>
      <c r="AL432" s="51">
        <v>213</v>
      </c>
      <c r="AM432" s="52">
        <f t="shared" si="243"/>
        <v>0.23312052117263843</v>
      </c>
      <c r="AN432" s="42">
        <f t="shared" si="248"/>
        <v>0.34690553745928338</v>
      </c>
      <c r="AO432" s="53">
        <f t="shared" si="249"/>
        <v>213</v>
      </c>
      <c r="AP432" s="52">
        <f t="shared" si="250"/>
        <v>0.23312052117263843</v>
      </c>
      <c r="AQ432" s="42">
        <f t="shared" si="251"/>
        <v>0.64332247557003253</v>
      </c>
      <c r="AR432" s="46">
        <v>46268</v>
      </c>
      <c r="AS432" s="46">
        <v>46268</v>
      </c>
      <c r="AT432" s="50">
        <f t="shared" si="252"/>
        <v>8</v>
      </c>
      <c r="AU432" s="50">
        <f t="shared" si="244"/>
        <v>391</v>
      </c>
      <c r="AV432" s="50">
        <f t="shared" si="253"/>
        <v>322</v>
      </c>
      <c r="AW432" s="54">
        <f t="shared" si="254"/>
        <v>69</v>
      </c>
    </row>
    <row r="433" spans="1:49" x14ac:dyDescent="0.25">
      <c r="A433" s="33" t="s">
        <v>55</v>
      </c>
      <c r="B433" s="33" t="s">
        <v>509</v>
      </c>
      <c r="C433" s="33" t="s">
        <v>303</v>
      </c>
      <c r="D433" s="33" t="s">
        <v>552</v>
      </c>
      <c r="E433" s="34">
        <f>COUNTIF('Detalle por artículo'!$K$8:$K$592,D433)</f>
        <v>1</v>
      </c>
      <c r="F433" s="35">
        <f t="shared" si="226"/>
        <v>154.17910447761193</v>
      </c>
      <c r="G433" s="36">
        <f>SUMIF('Detalle por artículo'!$K$8:$K$592,$D433,'Detalle por artículo'!$E$8:$E$592)</f>
        <v>0.67</v>
      </c>
      <c r="H433" s="35">
        <f t="shared" si="227"/>
        <v>1</v>
      </c>
      <c r="I433" s="35">
        <f t="shared" si="228"/>
        <v>1</v>
      </c>
      <c r="J433" s="35">
        <f t="shared" si="229"/>
        <v>2</v>
      </c>
      <c r="K433" s="37">
        <f t="shared" si="230"/>
        <v>2.3928571428571431E-2</v>
      </c>
      <c r="L433" s="36">
        <f>SUMIF('Detalle por artículo'!$K$8:$K$592,$D433,'Detalle por artículo'!$O$8:$O$592)</f>
        <v>103.3</v>
      </c>
      <c r="M433" s="38">
        <f>SUMIF('Detalle por artículo'!$K$8:$K$592,$D433,'Detalle por artículo'!$I$8:$I$592)</f>
        <v>748</v>
      </c>
      <c r="N433" s="38">
        <f>SUMIF('Detalle por artículo'!$K$8:$K$592,$D433,'Detalle por artículo'!$M$8:$M$592)</f>
        <v>7</v>
      </c>
      <c r="O433" s="39">
        <f t="shared" si="231"/>
        <v>0.89572192513368987</v>
      </c>
      <c r="P433" s="40">
        <f t="shared" si="232"/>
        <v>138.10160427807486</v>
      </c>
      <c r="Q433" s="41">
        <f t="shared" si="233"/>
        <v>0.15</v>
      </c>
      <c r="R433" s="40">
        <f t="shared" si="234"/>
        <v>0.77049999999999996</v>
      </c>
      <c r="S433" s="42">
        <f>IFERROR(SUM($G$8:G433)/$G$6,0)</f>
        <v>0.99606519777672631</v>
      </c>
      <c r="T433" s="43" t="str">
        <f t="shared" si="235"/>
        <v>C</v>
      </c>
      <c r="U433" s="44">
        <v>733</v>
      </c>
      <c r="V433" s="45">
        <f t="shared" si="245"/>
        <v>-15</v>
      </c>
      <c r="W433" s="46">
        <v>46246</v>
      </c>
      <c r="X433" s="46">
        <v>46246</v>
      </c>
      <c r="Y433" s="47">
        <v>15</v>
      </c>
      <c r="Z433" s="48">
        <f t="shared" si="236"/>
        <v>1.3435828877005347E-2</v>
      </c>
      <c r="AA433" s="49">
        <f t="shared" si="237"/>
        <v>4.7985103132161956E-4</v>
      </c>
      <c r="AB433" s="44">
        <v>624</v>
      </c>
      <c r="AC433" s="44">
        <f t="shared" si="238"/>
        <v>411</v>
      </c>
      <c r="AD433" s="44">
        <f t="shared" si="239"/>
        <v>204</v>
      </c>
      <c r="AE433" s="50">
        <f t="shared" si="240"/>
        <v>48</v>
      </c>
      <c r="AF433" s="41">
        <f t="shared" si="241"/>
        <v>0.96</v>
      </c>
      <c r="AG433" s="44">
        <v>2</v>
      </c>
      <c r="AH433" s="44">
        <v>7</v>
      </c>
      <c r="AI433" s="42">
        <f t="shared" si="246"/>
        <v>0.54946524064171121</v>
      </c>
      <c r="AJ433" s="42">
        <f t="shared" si="247"/>
        <v>0.27272727272727271</v>
      </c>
      <c r="AK433" s="40">
        <f t="shared" si="242"/>
        <v>0.36814171122994649</v>
      </c>
      <c r="AL433" s="51">
        <v>109</v>
      </c>
      <c r="AM433" s="52">
        <f t="shared" si="243"/>
        <v>9.7633689839572199E-2</v>
      </c>
      <c r="AN433" s="42">
        <f t="shared" si="248"/>
        <v>0.14870395634379263</v>
      </c>
      <c r="AO433" s="53">
        <f t="shared" si="249"/>
        <v>124</v>
      </c>
      <c r="AP433" s="52">
        <f t="shared" si="250"/>
        <v>0.11106951871657755</v>
      </c>
      <c r="AQ433" s="42">
        <f t="shared" si="251"/>
        <v>0.82219251336898391</v>
      </c>
      <c r="AR433" s="46">
        <v>46252</v>
      </c>
      <c r="AS433" s="46">
        <v>46252</v>
      </c>
      <c r="AT433" s="50">
        <f t="shared" si="252"/>
        <v>6</v>
      </c>
      <c r="AU433" s="50">
        <f t="shared" si="244"/>
        <v>282</v>
      </c>
      <c r="AV433" s="50">
        <f t="shared" si="253"/>
        <v>171</v>
      </c>
      <c r="AW433" s="54">
        <f t="shared" si="254"/>
        <v>111</v>
      </c>
    </row>
    <row r="434" spans="1:49" x14ac:dyDescent="0.25">
      <c r="A434" s="33" t="s">
        <v>55</v>
      </c>
      <c r="B434" s="33" t="s">
        <v>302</v>
      </c>
      <c r="C434" s="33" t="s">
        <v>303</v>
      </c>
      <c r="D434" s="33" t="s">
        <v>553</v>
      </c>
      <c r="E434" s="34">
        <f>COUNTIF('Detalle por artículo'!$K$8:$K$592,D434)</f>
        <v>1</v>
      </c>
      <c r="F434" s="35">
        <f t="shared" si="226"/>
        <v>220.61538461538458</v>
      </c>
      <c r="G434" s="36">
        <f>SUMIF('Detalle por artículo'!$K$8:$K$592,$D434,'Detalle por artículo'!$E$8:$E$592)</f>
        <v>0.65</v>
      </c>
      <c r="H434" s="35">
        <f t="shared" si="227"/>
        <v>1</v>
      </c>
      <c r="I434" s="35">
        <f t="shared" si="228"/>
        <v>1</v>
      </c>
      <c r="J434" s="35">
        <f t="shared" si="229"/>
        <v>2</v>
      </c>
      <c r="K434" s="37">
        <f t="shared" si="230"/>
        <v>2.3214285714285715E-2</v>
      </c>
      <c r="L434" s="36">
        <f>SUMIF('Detalle por artículo'!$K$8:$K$592,$D434,'Detalle por artículo'!$O$8:$O$592)</f>
        <v>143.39999999999998</v>
      </c>
      <c r="M434" s="38">
        <f>SUMIF('Detalle por artículo'!$K$8:$K$592,$D434,'Detalle por artículo'!$I$8:$I$592)</f>
        <v>484</v>
      </c>
      <c r="N434" s="38">
        <f>SUMIF('Detalle por artículo'!$K$8:$K$592,$D434,'Detalle por artículo'!$M$8:$M$592)</f>
        <v>9</v>
      </c>
      <c r="O434" s="39">
        <f t="shared" si="231"/>
        <v>1.3429752066115703</v>
      </c>
      <c r="P434" s="40">
        <f t="shared" si="232"/>
        <v>296.2809917355371</v>
      </c>
      <c r="Q434" s="41">
        <f t="shared" si="233"/>
        <v>0.1</v>
      </c>
      <c r="R434" s="40">
        <f t="shared" si="234"/>
        <v>0.71500000000000008</v>
      </c>
      <c r="S434" s="42">
        <f>IFERROR(SUM($G$8:G434)/$G$6,0)</f>
        <v>0.99630404923779547</v>
      </c>
      <c r="T434" s="43" t="str">
        <f t="shared" si="235"/>
        <v>C</v>
      </c>
      <c r="U434" s="44">
        <v>484</v>
      </c>
      <c r="V434" s="45">
        <f t="shared" si="245"/>
        <v>0</v>
      </c>
      <c r="W434" s="46">
        <v>46246</v>
      </c>
      <c r="X434" s="46">
        <v>46246</v>
      </c>
      <c r="Y434" s="47">
        <v>0</v>
      </c>
      <c r="Z434" s="48">
        <f t="shared" si="236"/>
        <v>0</v>
      </c>
      <c r="AA434" s="49">
        <f t="shared" si="237"/>
        <v>0</v>
      </c>
      <c r="AB434" s="44">
        <v>480</v>
      </c>
      <c r="AC434" s="44">
        <f t="shared" si="238"/>
        <v>398</v>
      </c>
      <c r="AD434" s="44">
        <f t="shared" si="239"/>
        <v>67</v>
      </c>
      <c r="AE434" s="50">
        <f t="shared" si="240"/>
        <v>48</v>
      </c>
      <c r="AF434" s="41">
        <f t="shared" si="241"/>
        <v>0.96</v>
      </c>
      <c r="AG434" s="44">
        <v>1</v>
      </c>
      <c r="AH434" s="44">
        <v>14</v>
      </c>
      <c r="AI434" s="42">
        <f t="shared" si="246"/>
        <v>0.8223140495867769</v>
      </c>
      <c r="AJ434" s="42">
        <f t="shared" si="247"/>
        <v>0.13842975206611571</v>
      </c>
      <c r="AK434" s="40">
        <f t="shared" si="242"/>
        <v>0.53450413223140503</v>
      </c>
      <c r="AL434" s="51">
        <v>0</v>
      </c>
      <c r="AM434" s="52">
        <f t="shared" si="243"/>
        <v>0</v>
      </c>
      <c r="AN434" s="42">
        <f t="shared" si="248"/>
        <v>0</v>
      </c>
      <c r="AO434" s="53">
        <f t="shared" si="249"/>
        <v>4</v>
      </c>
      <c r="AP434" s="52">
        <f t="shared" si="250"/>
        <v>5.371900826446281E-3</v>
      </c>
      <c r="AQ434" s="42">
        <f t="shared" si="251"/>
        <v>0.96074380165289253</v>
      </c>
      <c r="AR434" s="46">
        <v>46254</v>
      </c>
      <c r="AS434" s="46">
        <v>46255</v>
      </c>
      <c r="AT434" s="50">
        <f t="shared" si="252"/>
        <v>9</v>
      </c>
      <c r="AU434" s="50">
        <f t="shared" si="244"/>
        <v>433</v>
      </c>
      <c r="AV434" s="50">
        <f t="shared" si="253"/>
        <v>286</v>
      </c>
      <c r="AW434" s="54">
        <f t="shared" si="254"/>
        <v>147</v>
      </c>
    </row>
    <row r="435" spans="1:49" x14ac:dyDescent="0.25">
      <c r="A435" s="33" t="s">
        <v>55</v>
      </c>
      <c r="B435" s="33" t="s">
        <v>302</v>
      </c>
      <c r="C435" s="33" t="s">
        <v>554</v>
      </c>
      <c r="D435" s="33" t="s">
        <v>555</v>
      </c>
      <c r="E435" s="34">
        <f>COUNTIF('Detalle por artículo'!$K$8:$K$592,D435)</f>
        <v>1</v>
      </c>
      <c r="F435" s="35">
        <f t="shared" si="226"/>
        <v>174.69135802469137</v>
      </c>
      <c r="G435" s="36">
        <f>SUMIF('Detalle por artículo'!$K$8:$K$592,$D435,'Detalle por artículo'!$E$8:$E$592)</f>
        <v>0.64800000000000002</v>
      </c>
      <c r="H435" s="35">
        <f t="shared" si="227"/>
        <v>1</v>
      </c>
      <c r="I435" s="35">
        <f t="shared" si="228"/>
        <v>1</v>
      </c>
      <c r="J435" s="35">
        <f t="shared" si="229"/>
        <v>2</v>
      </c>
      <c r="K435" s="37">
        <f t="shared" si="230"/>
        <v>2.3142857142857142E-2</v>
      </c>
      <c r="L435" s="36">
        <f>SUMIF('Detalle por artículo'!$K$8:$K$592,$D435,'Detalle por artículo'!$O$8:$O$592)</f>
        <v>113.2</v>
      </c>
      <c r="M435" s="38">
        <f>SUMIF('Detalle por artículo'!$K$8:$K$592,$D435,'Detalle por artículo'!$I$8:$I$592)</f>
        <v>443</v>
      </c>
      <c r="N435" s="38">
        <f>SUMIF('Detalle por artículo'!$K$8:$K$592,$D435,'Detalle por artículo'!$M$8:$M$592)</f>
        <v>9</v>
      </c>
      <c r="O435" s="39">
        <f t="shared" si="231"/>
        <v>1.4627539503386007</v>
      </c>
      <c r="P435" s="40">
        <f t="shared" si="232"/>
        <v>255.53047404063207</v>
      </c>
      <c r="Q435" s="41">
        <f t="shared" si="233"/>
        <v>0.15</v>
      </c>
      <c r="R435" s="40">
        <f t="shared" si="234"/>
        <v>0.74519999999999997</v>
      </c>
      <c r="S435" s="42">
        <f>IFERROR(SUM($G$8:G435)/$G$6,0)</f>
        <v>0.99654216577129207</v>
      </c>
      <c r="T435" s="43" t="str">
        <f t="shared" si="235"/>
        <v>C</v>
      </c>
      <c r="U435" s="44">
        <v>443</v>
      </c>
      <c r="V435" s="45">
        <f t="shared" si="245"/>
        <v>0</v>
      </c>
      <c r="W435" s="46">
        <v>46247</v>
      </c>
      <c r="X435" s="46">
        <v>46247</v>
      </c>
      <c r="Y435" s="47">
        <v>0</v>
      </c>
      <c r="Z435" s="48">
        <f t="shared" si="236"/>
        <v>0</v>
      </c>
      <c r="AA435" s="49">
        <f t="shared" si="237"/>
        <v>0</v>
      </c>
      <c r="AB435" s="44">
        <v>441</v>
      </c>
      <c r="AC435" s="44">
        <f t="shared" si="238"/>
        <v>380</v>
      </c>
      <c r="AD435" s="44">
        <f t="shared" si="239"/>
        <v>47</v>
      </c>
      <c r="AE435" s="50">
        <f t="shared" si="240"/>
        <v>47</v>
      </c>
      <c r="AF435" s="41">
        <f t="shared" si="241"/>
        <v>0.94</v>
      </c>
      <c r="AG435" s="44">
        <v>0</v>
      </c>
      <c r="AH435" s="44">
        <v>14</v>
      </c>
      <c r="AI435" s="42">
        <f t="shared" si="246"/>
        <v>0.85778781038374718</v>
      </c>
      <c r="AJ435" s="42">
        <f t="shared" si="247"/>
        <v>0.10609480812641084</v>
      </c>
      <c r="AK435" s="40">
        <f t="shared" si="242"/>
        <v>0.55584650112866829</v>
      </c>
      <c r="AL435" s="51">
        <v>0</v>
      </c>
      <c r="AM435" s="52">
        <f t="shared" si="243"/>
        <v>0</v>
      </c>
      <c r="AN435" s="42">
        <f t="shared" si="248"/>
        <v>0</v>
      </c>
      <c r="AO435" s="53">
        <f t="shared" si="249"/>
        <v>2</v>
      </c>
      <c r="AP435" s="52">
        <f t="shared" si="250"/>
        <v>2.9255079006772012E-3</v>
      </c>
      <c r="AQ435" s="42">
        <f t="shared" si="251"/>
        <v>0.963882618510158</v>
      </c>
      <c r="AR435" s="46">
        <v>46254</v>
      </c>
      <c r="AS435" s="46">
        <v>46255</v>
      </c>
      <c r="AT435" s="50">
        <f t="shared" si="252"/>
        <v>8</v>
      </c>
      <c r="AU435" s="50">
        <f t="shared" si="244"/>
        <v>441</v>
      </c>
      <c r="AV435" s="50">
        <f t="shared" si="253"/>
        <v>310</v>
      </c>
      <c r="AW435" s="54">
        <f t="shared" si="254"/>
        <v>131</v>
      </c>
    </row>
    <row r="436" spans="1:49" x14ac:dyDescent="0.25">
      <c r="A436" s="33" t="s">
        <v>120</v>
      </c>
      <c r="B436" s="33" t="s">
        <v>470</v>
      </c>
      <c r="C436" s="33" t="s">
        <v>427</v>
      </c>
      <c r="D436" s="33" t="s">
        <v>556</v>
      </c>
      <c r="E436" s="34">
        <f>COUNTIF('Detalle por artículo'!$K$8:$K$592,D436)</f>
        <v>1</v>
      </c>
      <c r="F436" s="35">
        <f t="shared" si="226"/>
        <v>268.54838709677421</v>
      </c>
      <c r="G436" s="36">
        <f>SUMIF('Detalle por artículo'!$K$8:$K$592,$D436,'Detalle por artículo'!$E$8:$E$592)</f>
        <v>0.62</v>
      </c>
      <c r="H436" s="35">
        <f t="shared" si="227"/>
        <v>1</v>
      </c>
      <c r="I436" s="35">
        <f t="shared" si="228"/>
        <v>1</v>
      </c>
      <c r="J436" s="35">
        <f t="shared" si="229"/>
        <v>2</v>
      </c>
      <c r="K436" s="37">
        <f t="shared" si="230"/>
        <v>2.2142857142857141E-2</v>
      </c>
      <c r="L436" s="36">
        <f>SUMIF('Detalle por artículo'!$K$8:$K$592,$D436,'Detalle por artículo'!$O$8:$O$592)</f>
        <v>166.5</v>
      </c>
      <c r="M436" s="38">
        <f>SUMIF('Detalle por artículo'!$K$8:$K$592,$D436,'Detalle por artículo'!$I$8:$I$592)</f>
        <v>388</v>
      </c>
      <c r="N436" s="38">
        <f>SUMIF('Detalle por artículo'!$K$8:$K$592,$D436,'Detalle por artículo'!$M$8:$M$592)</f>
        <v>8</v>
      </c>
      <c r="O436" s="39">
        <f t="shared" si="231"/>
        <v>1.597938144329897</v>
      </c>
      <c r="P436" s="40">
        <f t="shared" si="232"/>
        <v>429.12371134020617</v>
      </c>
      <c r="Q436" s="41">
        <f t="shared" si="233"/>
        <v>0.1</v>
      </c>
      <c r="R436" s="40">
        <f t="shared" si="234"/>
        <v>0.68200000000000005</v>
      </c>
      <c r="S436" s="42">
        <f>IFERROR(SUM($G$8:G436)/$G$6,0)</f>
        <v>0.99676999331877325</v>
      </c>
      <c r="T436" s="43" t="str">
        <f t="shared" si="235"/>
        <v>C</v>
      </c>
      <c r="U436" s="44">
        <v>395</v>
      </c>
      <c r="V436" s="45">
        <f t="shared" si="245"/>
        <v>7</v>
      </c>
      <c r="W436" s="46">
        <v>46281</v>
      </c>
      <c r="X436" s="46">
        <v>46300</v>
      </c>
      <c r="Y436" s="47">
        <v>0</v>
      </c>
      <c r="Z436" s="48">
        <f t="shared" si="236"/>
        <v>0</v>
      </c>
      <c r="AA436" s="49">
        <f t="shared" si="237"/>
        <v>0</v>
      </c>
      <c r="AB436" s="44">
        <v>298</v>
      </c>
      <c r="AC436" s="44">
        <f t="shared" si="238"/>
        <v>251</v>
      </c>
      <c r="AD436" s="44">
        <f t="shared" si="239"/>
        <v>45</v>
      </c>
      <c r="AE436" s="50">
        <f t="shared" si="240"/>
        <v>34</v>
      </c>
      <c r="AF436" s="41">
        <f t="shared" si="241"/>
        <v>0.68</v>
      </c>
      <c r="AG436" s="44">
        <v>2</v>
      </c>
      <c r="AH436" s="44">
        <v>0</v>
      </c>
      <c r="AI436" s="42">
        <f t="shared" si="246"/>
        <v>0.64690721649484539</v>
      </c>
      <c r="AJ436" s="42">
        <f t="shared" si="247"/>
        <v>0.11597938144329897</v>
      </c>
      <c r="AK436" s="40">
        <f t="shared" si="242"/>
        <v>0.40108247422680415</v>
      </c>
      <c r="AL436" s="51">
        <v>97</v>
      </c>
      <c r="AM436" s="52">
        <f t="shared" si="243"/>
        <v>0.155</v>
      </c>
      <c r="AN436" s="42">
        <f t="shared" si="248"/>
        <v>0.24556962025316456</v>
      </c>
      <c r="AO436" s="53">
        <f t="shared" si="249"/>
        <v>90</v>
      </c>
      <c r="AP436" s="52">
        <f t="shared" si="250"/>
        <v>0.14381443298969074</v>
      </c>
      <c r="AQ436" s="42">
        <f t="shared" si="251"/>
        <v>0.76288659793814428</v>
      </c>
      <c r="AR436" s="46">
        <v>46285</v>
      </c>
      <c r="AS436" s="46">
        <v>46287</v>
      </c>
      <c r="AT436" s="50">
        <f t="shared" si="252"/>
        <v>6</v>
      </c>
      <c r="AU436" s="50">
        <f t="shared" si="244"/>
        <v>462</v>
      </c>
      <c r="AV436" s="50">
        <f t="shared" si="253"/>
        <v>345</v>
      </c>
      <c r="AW436" s="54">
        <f t="shared" si="254"/>
        <v>117</v>
      </c>
    </row>
    <row r="437" spans="1:49" x14ac:dyDescent="0.25">
      <c r="A437" s="33" t="s">
        <v>55</v>
      </c>
      <c r="B437" s="33" t="s">
        <v>442</v>
      </c>
      <c r="C437" s="33" t="s">
        <v>443</v>
      </c>
      <c r="D437" s="33" t="s">
        <v>557</v>
      </c>
      <c r="E437" s="34">
        <f>COUNTIF('Detalle por artículo'!$K$8:$K$592,D437)</f>
        <v>1</v>
      </c>
      <c r="F437" s="35">
        <f t="shared" si="226"/>
        <v>278.27586206896552</v>
      </c>
      <c r="G437" s="36">
        <f>SUMIF('Detalle por artículo'!$K$8:$K$592,$D437,'Detalle por artículo'!$E$8:$E$592)</f>
        <v>0.57999999999999996</v>
      </c>
      <c r="H437" s="35">
        <f t="shared" si="227"/>
        <v>1</v>
      </c>
      <c r="I437" s="35">
        <f t="shared" si="228"/>
        <v>1</v>
      </c>
      <c r="J437" s="35">
        <f t="shared" si="229"/>
        <v>2</v>
      </c>
      <c r="K437" s="37">
        <f t="shared" si="230"/>
        <v>2.0714285714285713E-2</v>
      </c>
      <c r="L437" s="36">
        <f>SUMIF('Detalle por artículo'!$K$8:$K$592,$D437,'Detalle por artículo'!$O$8:$O$592)</f>
        <v>161.4</v>
      </c>
      <c r="M437" s="38">
        <f>SUMIF('Detalle por artículo'!$K$8:$K$592,$D437,'Detalle por artículo'!$I$8:$I$592)</f>
        <v>555</v>
      </c>
      <c r="N437" s="38">
        <f>SUMIF('Detalle por artículo'!$K$8:$K$592,$D437,'Detalle por artículo'!$M$8:$M$592)</f>
        <v>8</v>
      </c>
      <c r="O437" s="39">
        <f t="shared" si="231"/>
        <v>1.045045045045045</v>
      </c>
      <c r="P437" s="40">
        <f t="shared" si="232"/>
        <v>290.81081081081084</v>
      </c>
      <c r="Q437" s="41">
        <f t="shared" si="233"/>
        <v>0.1</v>
      </c>
      <c r="R437" s="40">
        <f t="shared" si="234"/>
        <v>0.63800000000000001</v>
      </c>
      <c r="S437" s="42">
        <f>IFERROR(SUM($G$8:G437)/$G$6,0)</f>
        <v>0.99698312231480413</v>
      </c>
      <c r="T437" s="43" t="str">
        <f t="shared" si="235"/>
        <v>C</v>
      </c>
      <c r="U437" s="44">
        <v>0</v>
      </c>
      <c r="V437" s="45">
        <f t="shared" si="245"/>
        <v>-555</v>
      </c>
      <c r="W437" s="46"/>
      <c r="X437" s="46"/>
      <c r="Y437" s="47">
        <v>555</v>
      </c>
      <c r="Z437" s="48">
        <f t="shared" si="236"/>
        <v>0.57999999999999996</v>
      </c>
      <c r="AA437" s="49">
        <f t="shared" si="237"/>
        <v>2.0714285714285713E-2</v>
      </c>
      <c r="AB437" s="44">
        <v>0</v>
      </c>
      <c r="AC437" s="44">
        <f t="shared" si="238"/>
        <v>0</v>
      </c>
      <c r="AD437" s="44">
        <f t="shared" si="239"/>
        <v>0</v>
      </c>
      <c r="AE437" s="50">
        <f t="shared" si="240"/>
        <v>0</v>
      </c>
      <c r="AF437" s="41">
        <f t="shared" si="241"/>
        <v>0</v>
      </c>
      <c r="AG437" s="44">
        <v>0</v>
      </c>
      <c r="AH437" s="44">
        <v>0</v>
      </c>
      <c r="AI437" s="42">
        <f t="shared" si="246"/>
        <v>0</v>
      </c>
      <c r="AJ437" s="42">
        <f t="shared" si="247"/>
        <v>0</v>
      </c>
      <c r="AK437" s="40">
        <f t="shared" si="242"/>
        <v>0</v>
      </c>
      <c r="AL437" s="51">
        <v>0</v>
      </c>
      <c r="AM437" s="52">
        <f t="shared" si="243"/>
        <v>0</v>
      </c>
      <c r="AN437" s="42">
        <f t="shared" si="248"/>
        <v>0</v>
      </c>
      <c r="AO437" s="53">
        <f t="shared" si="249"/>
        <v>555</v>
      </c>
      <c r="AP437" s="52">
        <f t="shared" si="250"/>
        <v>0.57999999999999996</v>
      </c>
      <c r="AQ437" s="42">
        <f t="shared" si="251"/>
        <v>0</v>
      </c>
      <c r="AR437" s="46"/>
      <c r="AS437" s="46"/>
      <c r="AT437" s="50" t="str">
        <f t="shared" si="252"/>
        <v/>
      </c>
      <c r="AU437" s="50">
        <f t="shared" si="244"/>
        <v>411</v>
      </c>
      <c r="AV437" s="50" t="str">
        <f t="shared" si="253"/>
        <v/>
      </c>
      <c r="AW437" s="54" t="str">
        <f t="shared" si="254"/>
        <v/>
      </c>
    </row>
    <row r="438" spans="1:49" x14ac:dyDescent="0.25">
      <c r="A438" s="33" t="s">
        <v>55</v>
      </c>
      <c r="B438" s="33" t="s">
        <v>509</v>
      </c>
      <c r="C438" s="33" t="s">
        <v>303</v>
      </c>
      <c r="D438" s="33" t="s">
        <v>558</v>
      </c>
      <c r="E438" s="34">
        <f>COUNTIF('Detalle por artículo'!$K$8:$K$592,D438)</f>
        <v>1</v>
      </c>
      <c r="F438" s="35">
        <f t="shared" si="226"/>
        <v>158.62068965517241</v>
      </c>
      <c r="G438" s="36">
        <f>SUMIF('Detalle por artículo'!$K$8:$K$592,$D438,'Detalle por artículo'!$E$8:$E$592)</f>
        <v>0.57999999999999996</v>
      </c>
      <c r="H438" s="35">
        <f t="shared" si="227"/>
        <v>1</v>
      </c>
      <c r="I438" s="35">
        <f t="shared" si="228"/>
        <v>1</v>
      </c>
      <c r="J438" s="35">
        <f t="shared" si="229"/>
        <v>2</v>
      </c>
      <c r="K438" s="37">
        <f t="shared" si="230"/>
        <v>2.0714285714285713E-2</v>
      </c>
      <c r="L438" s="36">
        <f>SUMIF('Detalle por artículo'!$K$8:$K$592,$D438,'Detalle por artículo'!$O$8:$O$592)</f>
        <v>92</v>
      </c>
      <c r="M438" s="38">
        <f>SUMIF('Detalle por artículo'!$K$8:$K$592,$D438,'Detalle por artículo'!$I$8:$I$592)</f>
        <v>621</v>
      </c>
      <c r="N438" s="38">
        <f>SUMIF('Detalle por artículo'!$K$8:$K$592,$D438,'Detalle por artículo'!$M$8:$M$592)</f>
        <v>6</v>
      </c>
      <c r="O438" s="39">
        <f t="shared" si="231"/>
        <v>0.93397745571658608</v>
      </c>
      <c r="P438" s="40">
        <f t="shared" si="232"/>
        <v>148.14814814814815</v>
      </c>
      <c r="Q438" s="41">
        <f t="shared" si="233"/>
        <v>0.15</v>
      </c>
      <c r="R438" s="40">
        <f t="shared" si="234"/>
        <v>0.66699999999999993</v>
      </c>
      <c r="S438" s="42">
        <f>IFERROR(SUM($G$8:G438)/$G$6,0)</f>
        <v>0.997196251310835</v>
      </c>
      <c r="T438" s="43" t="str">
        <f t="shared" si="235"/>
        <v>C</v>
      </c>
      <c r="U438" s="44">
        <v>621</v>
      </c>
      <c r="V438" s="45">
        <f t="shared" si="245"/>
        <v>0</v>
      </c>
      <c r="W438" s="46">
        <v>46246</v>
      </c>
      <c r="X438" s="46">
        <v>46246</v>
      </c>
      <c r="Y438" s="47">
        <v>0</v>
      </c>
      <c r="Z438" s="48">
        <f t="shared" si="236"/>
        <v>0</v>
      </c>
      <c r="AA438" s="49">
        <f t="shared" si="237"/>
        <v>0</v>
      </c>
      <c r="AB438" s="44">
        <v>526</v>
      </c>
      <c r="AC438" s="44">
        <f t="shared" si="238"/>
        <v>393</v>
      </c>
      <c r="AD438" s="44">
        <f t="shared" si="239"/>
        <v>110</v>
      </c>
      <c r="AE438" s="50">
        <f t="shared" si="240"/>
        <v>47</v>
      </c>
      <c r="AF438" s="41">
        <f t="shared" si="241"/>
        <v>0.94</v>
      </c>
      <c r="AG438" s="44">
        <v>1</v>
      </c>
      <c r="AH438" s="44">
        <v>22</v>
      </c>
      <c r="AI438" s="42">
        <f t="shared" si="246"/>
        <v>0.63285024154589375</v>
      </c>
      <c r="AJ438" s="42">
        <f t="shared" si="247"/>
        <v>0.17713365539452497</v>
      </c>
      <c r="AK438" s="40">
        <f t="shared" si="242"/>
        <v>0.36705314009661832</v>
      </c>
      <c r="AL438" s="51">
        <v>91</v>
      </c>
      <c r="AM438" s="52">
        <f t="shared" si="243"/>
        <v>8.4991948470209341E-2</v>
      </c>
      <c r="AN438" s="42">
        <f t="shared" si="248"/>
        <v>0.14653784219001612</v>
      </c>
      <c r="AO438" s="53">
        <f t="shared" si="249"/>
        <v>95</v>
      </c>
      <c r="AP438" s="52">
        <f t="shared" si="250"/>
        <v>8.8727858293075682E-2</v>
      </c>
      <c r="AQ438" s="42">
        <f t="shared" si="251"/>
        <v>0.80998389694041872</v>
      </c>
      <c r="AR438" s="46">
        <v>46252</v>
      </c>
      <c r="AS438" s="46">
        <v>46252</v>
      </c>
      <c r="AT438" s="50">
        <f t="shared" si="252"/>
        <v>6</v>
      </c>
      <c r="AU438" s="50">
        <f t="shared" si="244"/>
        <v>385</v>
      </c>
      <c r="AV438" s="50">
        <f t="shared" si="253"/>
        <v>255</v>
      </c>
      <c r="AW438" s="54">
        <f t="shared" si="254"/>
        <v>130</v>
      </c>
    </row>
    <row r="439" spans="1:49" x14ac:dyDescent="0.25">
      <c r="A439" s="33" t="s">
        <v>55</v>
      </c>
      <c r="B439" s="33" t="s">
        <v>509</v>
      </c>
      <c r="C439" s="33" t="s">
        <v>303</v>
      </c>
      <c r="D439" s="33" t="s">
        <v>559</v>
      </c>
      <c r="E439" s="34">
        <f>COUNTIF('Detalle por artículo'!$K$8:$K$592,D439)</f>
        <v>1</v>
      </c>
      <c r="F439" s="35">
        <f t="shared" si="226"/>
        <v>164.58333333333334</v>
      </c>
      <c r="G439" s="36">
        <f>SUMIF('Detalle por artículo'!$K$8:$K$592,$D439,'Detalle por artículo'!$E$8:$E$592)</f>
        <v>0.57599999999999996</v>
      </c>
      <c r="H439" s="35">
        <f t="shared" si="227"/>
        <v>1</v>
      </c>
      <c r="I439" s="35">
        <f t="shared" si="228"/>
        <v>1</v>
      </c>
      <c r="J439" s="35">
        <f t="shared" si="229"/>
        <v>2</v>
      </c>
      <c r="K439" s="37">
        <f t="shared" si="230"/>
        <v>2.057142857142857E-2</v>
      </c>
      <c r="L439" s="36">
        <f>SUMIF('Detalle por artículo'!$K$8:$K$592,$D439,'Detalle por artículo'!$O$8:$O$592)</f>
        <v>94.8</v>
      </c>
      <c r="M439" s="38">
        <f>SUMIF('Detalle por artículo'!$K$8:$K$592,$D439,'Detalle por artículo'!$I$8:$I$592)</f>
        <v>599</v>
      </c>
      <c r="N439" s="38">
        <f>SUMIF('Detalle por artículo'!$K$8:$K$592,$D439,'Detalle por artículo'!$M$8:$M$592)</f>
        <v>6</v>
      </c>
      <c r="O439" s="39">
        <f t="shared" si="231"/>
        <v>0.96160267111853082</v>
      </c>
      <c r="P439" s="40">
        <f t="shared" si="232"/>
        <v>158.26377295492486</v>
      </c>
      <c r="Q439" s="41">
        <f t="shared" si="233"/>
        <v>0.15</v>
      </c>
      <c r="R439" s="40">
        <f t="shared" si="234"/>
        <v>0.66239999999999988</v>
      </c>
      <c r="S439" s="42">
        <f>IFERROR(SUM($G$8:G439)/$G$6,0)</f>
        <v>0.99740791045172084</v>
      </c>
      <c r="T439" s="43" t="str">
        <f t="shared" si="235"/>
        <v>C</v>
      </c>
      <c r="U439" s="44">
        <v>599</v>
      </c>
      <c r="V439" s="45">
        <f t="shared" si="245"/>
        <v>0</v>
      </c>
      <c r="W439" s="46">
        <v>46244</v>
      </c>
      <c r="X439" s="46">
        <v>46244</v>
      </c>
      <c r="Y439" s="47">
        <v>0</v>
      </c>
      <c r="Z439" s="48">
        <f t="shared" si="236"/>
        <v>0</v>
      </c>
      <c r="AA439" s="49">
        <f t="shared" si="237"/>
        <v>0</v>
      </c>
      <c r="AB439" s="44">
        <v>577</v>
      </c>
      <c r="AC439" s="44">
        <f t="shared" si="238"/>
        <v>397</v>
      </c>
      <c r="AD439" s="44">
        <f t="shared" si="239"/>
        <v>158</v>
      </c>
      <c r="AE439" s="50">
        <f t="shared" si="240"/>
        <v>49</v>
      </c>
      <c r="AF439" s="41">
        <f t="shared" si="241"/>
        <v>0.98</v>
      </c>
      <c r="AG439" s="44">
        <v>3</v>
      </c>
      <c r="AH439" s="44">
        <v>19</v>
      </c>
      <c r="AI439" s="42">
        <f t="shared" si="246"/>
        <v>0.662771285475793</v>
      </c>
      <c r="AJ439" s="42">
        <f t="shared" si="247"/>
        <v>0.26377295492487479</v>
      </c>
      <c r="AK439" s="40">
        <f t="shared" si="242"/>
        <v>0.38175626043405675</v>
      </c>
      <c r="AL439" s="51">
        <v>20</v>
      </c>
      <c r="AM439" s="52">
        <f t="shared" si="243"/>
        <v>1.9232053422370617E-2</v>
      </c>
      <c r="AN439" s="42">
        <f t="shared" si="248"/>
        <v>3.3388981636060099E-2</v>
      </c>
      <c r="AO439" s="53">
        <f t="shared" si="249"/>
        <v>22</v>
      </c>
      <c r="AP439" s="52">
        <f t="shared" si="250"/>
        <v>2.1155258764607675E-2</v>
      </c>
      <c r="AQ439" s="42">
        <f t="shared" si="251"/>
        <v>0.92654424040066774</v>
      </c>
      <c r="AR439" s="46">
        <v>46252</v>
      </c>
      <c r="AS439" s="46">
        <v>46252</v>
      </c>
      <c r="AT439" s="50">
        <f t="shared" si="252"/>
        <v>8</v>
      </c>
      <c r="AU439" s="50">
        <f t="shared" si="244"/>
        <v>401</v>
      </c>
      <c r="AV439" s="50">
        <f t="shared" si="253"/>
        <v>219</v>
      </c>
      <c r="AW439" s="54">
        <f t="shared" si="254"/>
        <v>182</v>
      </c>
    </row>
    <row r="440" spans="1:49" x14ac:dyDescent="0.25">
      <c r="A440" s="33" t="s">
        <v>120</v>
      </c>
      <c r="B440" s="33" t="s">
        <v>507</v>
      </c>
      <c r="C440" s="33" t="s">
        <v>427</v>
      </c>
      <c r="D440" s="33" t="s">
        <v>560</v>
      </c>
      <c r="E440" s="34">
        <f>COUNTIF('Detalle por artículo'!$K$8:$K$592,D440)</f>
        <v>1</v>
      </c>
      <c r="F440" s="35">
        <f t="shared" si="226"/>
        <v>192.18750000000003</v>
      </c>
      <c r="G440" s="36">
        <f>SUMIF('Detalle por artículo'!$K$8:$K$592,$D440,'Detalle por artículo'!$E$8:$E$592)</f>
        <v>0.57599999999999996</v>
      </c>
      <c r="H440" s="35">
        <f t="shared" si="227"/>
        <v>1</v>
      </c>
      <c r="I440" s="35">
        <f t="shared" si="228"/>
        <v>1</v>
      </c>
      <c r="J440" s="35">
        <f t="shared" si="229"/>
        <v>2</v>
      </c>
      <c r="K440" s="37">
        <f t="shared" si="230"/>
        <v>2.057142857142857E-2</v>
      </c>
      <c r="L440" s="36">
        <f>SUMIF('Detalle por artículo'!$K$8:$K$592,$D440,'Detalle por artículo'!$O$8:$O$592)</f>
        <v>110.7</v>
      </c>
      <c r="M440" s="38">
        <f>SUMIF('Detalle por artículo'!$K$8:$K$592,$D440,'Detalle por artículo'!$I$8:$I$592)</f>
        <v>401</v>
      </c>
      <c r="N440" s="38">
        <f>SUMIF('Detalle por artículo'!$K$8:$K$592,$D440,'Detalle por artículo'!$M$8:$M$592)</f>
        <v>6</v>
      </c>
      <c r="O440" s="39">
        <f t="shared" si="231"/>
        <v>1.4364089775561095</v>
      </c>
      <c r="P440" s="40">
        <f t="shared" si="232"/>
        <v>276.05985037406481</v>
      </c>
      <c r="Q440" s="41">
        <f t="shared" si="233"/>
        <v>0.15</v>
      </c>
      <c r="R440" s="40">
        <f t="shared" si="234"/>
        <v>0.66239999999999988</v>
      </c>
      <c r="S440" s="42">
        <f>IFERROR(SUM($G$8:G440)/$G$6,0)</f>
        <v>0.99761956959260667</v>
      </c>
      <c r="T440" s="43" t="str">
        <f t="shared" si="235"/>
        <v>C</v>
      </c>
      <c r="U440" s="44">
        <v>401</v>
      </c>
      <c r="V440" s="45">
        <f t="shared" si="245"/>
        <v>0</v>
      </c>
      <c r="W440" s="46">
        <v>46237</v>
      </c>
      <c r="X440" s="46">
        <v>46237</v>
      </c>
      <c r="Y440" s="47">
        <v>0</v>
      </c>
      <c r="Z440" s="48">
        <f t="shared" si="236"/>
        <v>0</v>
      </c>
      <c r="AA440" s="49">
        <f t="shared" si="237"/>
        <v>0</v>
      </c>
      <c r="AB440" s="44">
        <v>276</v>
      </c>
      <c r="AC440" s="44">
        <f t="shared" si="238"/>
        <v>256</v>
      </c>
      <c r="AD440" s="44">
        <f t="shared" si="239"/>
        <v>13</v>
      </c>
      <c r="AE440" s="50">
        <f t="shared" si="240"/>
        <v>33</v>
      </c>
      <c r="AF440" s="41">
        <f t="shared" si="241"/>
        <v>0.66</v>
      </c>
      <c r="AG440" s="44">
        <v>0</v>
      </c>
      <c r="AH440" s="44">
        <v>7</v>
      </c>
      <c r="AI440" s="42">
        <f t="shared" si="246"/>
        <v>0.63840399002493764</v>
      </c>
      <c r="AJ440" s="42">
        <f t="shared" si="247"/>
        <v>3.2418952618453865E-2</v>
      </c>
      <c r="AK440" s="40">
        <f t="shared" si="242"/>
        <v>0.36772069825436404</v>
      </c>
      <c r="AL440" s="51">
        <v>125</v>
      </c>
      <c r="AM440" s="52">
        <f t="shared" si="243"/>
        <v>0.17955112219451369</v>
      </c>
      <c r="AN440" s="42">
        <f t="shared" si="248"/>
        <v>0.3117206982543641</v>
      </c>
      <c r="AO440" s="53">
        <f t="shared" si="249"/>
        <v>125</v>
      </c>
      <c r="AP440" s="52">
        <f t="shared" si="250"/>
        <v>0.17955112219451369</v>
      </c>
      <c r="AQ440" s="42">
        <f t="shared" si="251"/>
        <v>0.67082294264339148</v>
      </c>
      <c r="AR440" s="46">
        <v>46254</v>
      </c>
      <c r="AS440" s="46">
        <v>46254</v>
      </c>
      <c r="AT440" s="50">
        <f t="shared" si="252"/>
        <v>17</v>
      </c>
      <c r="AU440" s="50">
        <f t="shared" si="244"/>
        <v>452</v>
      </c>
      <c r="AV440" s="50">
        <f t="shared" si="253"/>
        <v>353</v>
      </c>
      <c r="AW440" s="54">
        <f t="shared" si="254"/>
        <v>99</v>
      </c>
    </row>
    <row r="441" spans="1:49" x14ac:dyDescent="0.25">
      <c r="A441" s="33" t="s">
        <v>120</v>
      </c>
      <c r="B441" s="33" t="s">
        <v>492</v>
      </c>
      <c r="C441" s="33" t="s">
        <v>427</v>
      </c>
      <c r="D441" s="33" t="s">
        <v>561</v>
      </c>
      <c r="E441" s="34">
        <f>COUNTIF('Detalle por artículo'!$K$8:$K$592,D441)</f>
        <v>1</v>
      </c>
      <c r="F441" s="35">
        <f t="shared" si="226"/>
        <v>202.7777777777778</v>
      </c>
      <c r="G441" s="36">
        <f>SUMIF('Detalle por artículo'!$K$8:$K$592,$D441,'Detalle por artículo'!$E$8:$E$592)</f>
        <v>0.57599999999999996</v>
      </c>
      <c r="H441" s="35">
        <f t="shared" si="227"/>
        <v>1</v>
      </c>
      <c r="I441" s="35">
        <f t="shared" si="228"/>
        <v>1</v>
      </c>
      <c r="J441" s="35">
        <f t="shared" si="229"/>
        <v>2</v>
      </c>
      <c r="K441" s="37">
        <f t="shared" si="230"/>
        <v>2.057142857142857E-2</v>
      </c>
      <c r="L441" s="36">
        <f>SUMIF('Detalle por artículo'!$K$8:$K$592,$D441,'Detalle por artículo'!$O$8:$O$592)</f>
        <v>116.8</v>
      </c>
      <c r="M441" s="38">
        <f>SUMIF('Detalle por artículo'!$K$8:$K$592,$D441,'Detalle por artículo'!$I$8:$I$592)</f>
        <v>390</v>
      </c>
      <c r="N441" s="38">
        <f>SUMIF('Detalle por artículo'!$K$8:$K$592,$D441,'Detalle por artículo'!$M$8:$M$592)</f>
        <v>6</v>
      </c>
      <c r="O441" s="39">
        <f t="shared" si="231"/>
        <v>1.4769230769230768</v>
      </c>
      <c r="P441" s="40">
        <f t="shared" si="232"/>
        <v>299.48717948717945</v>
      </c>
      <c r="Q441" s="41">
        <f t="shared" si="233"/>
        <v>0.1</v>
      </c>
      <c r="R441" s="40">
        <f t="shared" si="234"/>
        <v>0.63360000000000005</v>
      </c>
      <c r="S441" s="42">
        <f>IFERROR(SUM($G$8:G441)/$G$6,0)</f>
        <v>0.9978312287334925</v>
      </c>
      <c r="T441" s="43" t="str">
        <f t="shared" si="235"/>
        <v>C</v>
      </c>
      <c r="U441" s="44">
        <v>396</v>
      </c>
      <c r="V441" s="45">
        <f t="shared" si="245"/>
        <v>6</v>
      </c>
      <c r="W441" s="46">
        <v>46237</v>
      </c>
      <c r="X441" s="46">
        <v>46300</v>
      </c>
      <c r="Y441" s="47">
        <v>0</v>
      </c>
      <c r="Z441" s="48">
        <f t="shared" si="236"/>
        <v>0</v>
      </c>
      <c r="AA441" s="49">
        <f t="shared" si="237"/>
        <v>0</v>
      </c>
      <c r="AB441" s="44">
        <v>238</v>
      </c>
      <c r="AC441" s="44">
        <f t="shared" si="238"/>
        <v>220</v>
      </c>
      <c r="AD441" s="44">
        <f t="shared" si="239"/>
        <v>11</v>
      </c>
      <c r="AE441" s="50">
        <f t="shared" si="240"/>
        <v>33</v>
      </c>
      <c r="AF441" s="41">
        <f t="shared" si="241"/>
        <v>0.66</v>
      </c>
      <c r="AG441" s="44">
        <v>1</v>
      </c>
      <c r="AH441" s="44">
        <v>6</v>
      </c>
      <c r="AI441" s="42">
        <f t="shared" si="246"/>
        <v>0.5641025641025641</v>
      </c>
      <c r="AJ441" s="42">
        <f t="shared" si="247"/>
        <v>2.8205128205128206E-2</v>
      </c>
      <c r="AK441" s="40">
        <f t="shared" si="242"/>
        <v>0.32492307692307693</v>
      </c>
      <c r="AL441" s="51">
        <v>157</v>
      </c>
      <c r="AM441" s="52">
        <f t="shared" si="243"/>
        <v>0.23187692307692304</v>
      </c>
      <c r="AN441" s="42">
        <f t="shared" si="248"/>
        <v>0.39646464646464646</v>
      </c>
      <c r="AO441" s="53">
        <f t="shared" si="249"/>
        <v>152</v>
      </c>
      <c r="AP441" s="52">
        <f t="shared" si="250"/>
        <v>0.22449230769230766</v>
      </c>
      <c r="AQ441" s="42">
        <f t="shared" si="251"/>
        <v>0.59230769230769231</v>
      </c>
      <c r="AR441" s="46">
        <v>46268</v>
      </c>
      <c r="AS441" s="46">
        <v>46269</v>
      </c>
      <c r="AT441" s="50">
        <f t="shared" si="252"/>
        <v>32</v>
      </c>
      <c r="AU441" s="50">
        <f t="shared" si="244"/>
        <v>460</v>
      </c>
      <c r="AV441" s="50">
        <f t="shared" si="253"/>
        <v>374</v>
      </c>
      <c r="AW441" s="54">
        <f t="shared" si="254"/>
        <v>86</v>
      </c>
    </row>
    <row r="442" spans="1:49" x14ac:dyDescent="0.25">
      <c r="A442" s="33" t="s">
        <v>55</v>
      </c>
      <c r="B442" s="33" t="s">
        <v>509</v>
      </c>
      <c r="C442" s="33" t="s">
        <v>303</v>
      </c>
      <c r="D442" s="33" t="s">
        <v>562</v>
      </c>
      <c r="E442" s="34">
        <f>COUNTIF('Detalle por artículo'!$K$8:$K$592,D442)</f>
        <v>1</v>
      </c>
      <c r="F442" s="35">
        <f t="shared" si="226"/>
        <v>247.77777777777774</v>
      </c>
      <c r="G442" s="36">
        <f>SUMIF('Detalle por artículo'!$K$8:$K$592,$D442,'Detalle por artículo'!$E$8:$E$592)</f>
        <v>0.54</v>
      </c>
      <c r="H442" s="35">
        <f t="shared" si="227"/>
        <v>1</v>
      </c>
      <c r="I442" s="35">
        <f t="shared" si="228"/>
        <v>1</v>
      </c>
      <c r="J442" s="35">
        <f t="shared" si="229"/>
        <v>2</v>
      </c>
      <c r="K442" s="37">
        <f t="shared" si="230"/>
        <v>1.9285714285714288E-2</v>
      </c>
      <c r="L442" s="36">
        <f>SUMIF('Detalle por artículo'!$K$8:$K$592,$D442,'Detalle por artículo'!$O$8:$O$592)</f>
        <v>133.79999999999998</v>
      </c>
      <c r="M442" s="38">
        <f>SUMIF('Detalle por artículo'!$K$8:$K$592,$D442,'Detalle por artículo'!$I$8:$I$592)</f>
        <v>678</v>
      </c>
      <c r="N442" s="38">
        <f>SUMIF('Detalle por artículo'!$K$8:$K$592,$D442,'Detalle por artículo'!$M$8:$M$592)</f>
        <v>9</v>
      </c>
      <c r="O442" s="39">
        <f t="shared" si="231"/>
        <v>0.79646017699115046</v>
      </c>
      <c r="P442" s="40">
        <f t="shared" si="232"/>
        <v>197.3451327433628</v>
      </c>
      <c r="Q442" s="41">
        <f t="shared" si="233"/>
        <v>0.1</v>
      </c>
      <c r="R442" s="40">
        <f t="shared" si="234"/>
        <v>0.59400000000000008</v>
      </c>
      <c r="S442" s="42">
        <f>IFERROR(SUM($G$8:G442)/$G$6,0)</f>
        <v>0.99802965917807296</v>
      </c>
      <c r="T442" s="43" t="str">
        <f t="shared" si="235"/>
        <v>C</v>
      </c>
      <c r="U442" s="44">
        <v>678</v>
      </c>
      <c r="V442" s="45">
        <f t="shared" si="245"/>
        <v>0</v>
      </c>
      <c r="W442" s="46">
        <v>46246</v>
      </c>
      <c r="X442" s="46">
        <v>46246</v>
      </c>
      <c r="Y442" s="47">
        <v>0</v>
      </c>
      <c r="Z442" s="48">
        <f t="shared" si="236"/>
        <v>0</v>
      </c>
      <c r="AA442" s="49">
        <f t="shared" si="237"/>
        <v>0</v>
      </c>
      <c r="AB442" s="44">
        <v>621</v>
      </c>
      <c r="AC442" s="44">
        <f t="shared" si="238"/>
        <v>396</v>
      </c>
      <c r="AD442" s="44">
        <f t="shared" si="239"/>
        <v>202</v>
      </c>
      <c r="AE442" s="50">
        <f t="shared" si="240"/>
        <v>48</v>
      </c>
      <c r="AF442" s="41">
        <f t="shared" si="241"/>
        <v>0.96</v>
      </c>
      <c r="AG442" s="44">
        <v>2</v>
      </c>
      <c r="AH442" s="44">
        <v>21</v>
      </c>
      <c r="AI442" s="42">
        <f t="shared" si="246"/>
        <v>0.58407079646017701</v>
      </c>
      <c r="AJ442" s="42">
        <f t="shared" si="247"/>
        <v>0.29793510324483774</v>
      </c>
      <c r="AK442" s="40">
        <f t="shared" si="242"/>
        <v>0.3153982300884956</v>
      </c>
      <c r="AL442" s="51">
        <v>56</v>
      </c>
      <c r="AM442" s="52">
        <f t="shared" si="243"/>
        <v>4.4601769911504427E-2</v>
      </c>
      <c r="AN442" s="42">
        <f t="shared" si="248"/>
        <v>8.2595870206489674E-2</v>
      </c>
      <c r="AO442" s="53">
        <f t="shared" si="249"/>
        <v>57</v>
      </c>
      <c r="AP442" s="52">
        <f t="shared" si="250"/>
        <v>4.5398230088495577E-2</v>
      </c>
      <c r="AQ442" s="42">
        <f t="shared" si="251"/>
        <v>0.88200589970501475</v>
      </c>
      <c r="AR442" s="46">
        <v>46254</v>
      </c>
      <c r="AS442" s="46">
        <v>46255</v>
      </c>
      <c r="AT442" s="50">
        <f t="shared" si="252"/>
        <v>9</v>
      </c>
      <c r="AU442" s="50">
        <f t="shared" si="244"/>
        <v>339</v>
      </c>
      <c r="AV442" s="50">
        <f t="shared" si="253"/>
        <v>174</v>
      </c>
      <c r="AW442" s="54">
        <f t="shared" si="254"/>
        <v>165</v>
      </c>
    </row>
    <row r="443" spans="1:49" x14ac:dyDescent="0.25">
      <c r="A443" s="33" t="s">
        <v>55</v>
      </c>
      <c r="B443" s="33" t="s">
        <v>509</v>
      </c>
      <c r="C443" s="33" t="s">
        <v>303</v>
      </c>
      <c r="D443" s="33" t="s">
        <v>563</v>
      </c>
      <c r="E443" s="34">
        <f>COUNTIF('Detalle por artículo'!$K$8:$K$592,D443)</f>
        <v>1</v>
      </c>
      <c r="F443" s="35">
        <f t="shared" si="226"/>
        <v>164.58333333333334</v>
      </c>
      <c r="G443" s="36">
        <f>SUMIF('Detalle por artículo'!$K$8:$K$592,$D443,'Detalle por artículo'!$E$8:$E$592)</f>
        <v>0.48</v>
      </c>
      <c r="H443" s="35">
        <f t="shared" si="227"/>
        <v>1</v>
      </c>
      <c r="I443" s="35">
        <f t="shared" si="228"/>
        <v>1</v>
      </c>
      <c r="J443" s="35">
        <f t="shared" si="229"/>
        <v>2</v>
      </c>
      <c r="K443" s="37">
        <f t="shared" si="230"/>
        <v>1.7142857142857144E-2</v>
      </c>
      <c r="L443" s="36">
        <f>SUMIF('Detalle por artículo'!$K$8:$K$592,$D443,'Detalle por artículo'!$O$8:$O$592)</f>
        <v>79</v>
      </c>
      <c r="M443" s="38">
        <f>SUMIF('Detalle por artículo'!$K$8:$K$592,$D443,'Detalle por artículo'!$I$8:$I$592)</f>
        <v>506</v>
      </c>
      <c r="N443" s="38">
        <f>SUMIF('Detalle por artículo'!$K$8:$K$592,$D443,'Detalle por artículo'!$M$8:$M$592)</f>
        <v>5</v>
      </c>
      <c r="O443" s="39">
        <f t="shared" si="231"/>
        <v>0.9486166007905138</v>
      </c>
      <c r="P443" s="40">
        <f t="shared" si="232"/>
        <v>156.12648221343872</v>
      </c>
      <c r="Q443" s="41">
        <f t="shared" si="233"/>
        <v>0.15</v>
      </c>
      <c r="R443" s="40">
        <f t="shared" si="234"/>
        <v>0.55199999999999994</v>
      </c>
      <c r="S443" s="42">
        <f>IFERROR(SUM($G$8:G443)/$G$6,0)</f>
        <v>0.99820604179547789</v>
      </c>
      <c r="T443" s="43" t="str">
        <f t="shared" si="235"/>
        <v>C</v>
      </c>
      <c r="U443" s="44">
        <v>506</v>
      </c>
      <c r="V443" s="45">
        <f t="shared" si="245"/>
        <v>0</v>
      </c>
      <c r="W443" s="46">
        <v>46244</v>
      </c>
      <c r="X443" s="46">
        <v>46244</v>
      </c>
      <c r="Y443" s="47">
        <v>0</v>
      </c>
      <c r="Z443" s="48">
        <f t="shared" si="236"/>
        <v>0</v>
      </c>
      <c r="AA443" s="49">
        <f t="shared" si="237"/>
        <v>0</v>
      </c>
      <c r="AB443" s="44">
        <v>481</v>
      </c>
      <c r="AC443" s="44">
        <f t="shared" si="238"/>
        <v>398</v>
      </c>
      <c r="AD443" s="44">
        <f t="shared" si="239"/>
        <v>67</v>
      </c>
      <c r="AE443" s="50">
        <f t="shared" si="240"/>
        <v>47</v>
      </c>
      <c r="AF443" s="41">
        <f t="shared" si="241"/>
        <v>0.94</v>
      </c>
      <c r="AG443" s="44">
        <v>2</v>
      </c>
      <c r="AH443" s="44">
        <v>14</v>
      </c>
      <c r="AI443" s="42">
        <f t="shared" si="246"/>
        <v>0.7865612648221344</v>
      </c>
      <c r="AJ443" s="42">
        <f t="shared" si="247"/>
        <v>0.1324110671936759</v>
      </c>
      <c r="AK443" s="40">
        <f t="shared" si="242"/>
        <v>0.37754940711462448</v>
      </c>
      <c r="AL443" s="51">
        <v>24</v>
      </c>
      <c r="AM443" s="52">
        <f t="shared" si="243"/>
        <v>2.276679841897233E-2</v>
      </c>
      <c r="AN443" s="42">
        <f t="shared" si="248"/>
        <v>4.7430830039525688E-2</v>
      </c>
      <c r="AO443" s="53">
        <f t="shared" si="249"/>
        <v>25</v>
      </c>
      <c r="AP443" s="52">
        <f t="shared" si="250"/>
        <v>2.3715415019762844E-2</v>
      </c>
      <c r="AQ443" s="42">
        <f t="shared" si="251"/>
        <v>0.9189723320158103</v>
      </c>
      <c r="AR443" s="46">
        <v>46252</v>
      </c>
      <c r="AS443" s="46">
        <v>46252</v>
      </c>
      <c r="AT443" s="50">
        <f t="shared" si="252"/>
        <v>8</v>
      </c>
      <c r="AU443" s="50">
        <f t="shared" si="244"/>
        <v>426</v>
      </c>
      <c r="AV443" s="50">
        <f t="shared" si="253"/>
        <v>285</v>
      </c>
      <c r="AW443" s="54">
        <f t="shared" si="254"/>
        <v>141</v>
      </c>
    </row>
    <row r="444" spans="1:49" x14ac:dyDescent="0.25">
      <c r="A444" s="33" t="s">
        <v>55</v>
      </c>
      <c r="B444" s="33" t="s">
        <v>509</v>
      </c>
      <c r="C444" s="33" t="s">
        <v>303</v>
      </c>
      <c r="D444" s="33" t="s">
        <v>564</v>
      </c>
      <c r="E444" s="34">
        <f>COUNTIF('Detalle por artículo'!$K$8:$K$592,D444)</f>
        <v>1</v>
      </c>
      <c r="F444" s="35">
        <f t="shared" si="226"/>
        <v>158.95833333333334</v>
      </c>
      <c r="G444" s="36">
        <f>SUMIF('Detalle por artículo'!$K$8:$K$592,$D444,'Detalle por artículo'!$E$8:$E$592)</f>
        <v>0.48</v>
      </c>
      <c r="H444" s="35">
        <f t="shared" si="227"/>
        <v>1</v>
      </c>
      <c r="I444" s="35">
        <f t="shared" si="228"/>
        <v>1</v>
      </c>
      <c r="J444" s="35">
        <f t="shared" si="229"/>
        <v>2</v>
      </c>
      <c r="K444" s="37">
        <f t="shared" si="230"/>
        <v>1.7142857142857144E-2</v>
      </c>
      <c r="L444" s="36">
        <f>SUMIF('Detalle por artículo'!$K$8:$K$592,$D444,'Detalle por artículo'!$O$8:$O$592)</f>
        <v>76.3</v>
      </c>
      <c r="M444" s="38">
        <f>SUMIF('Detalle por artículo'!$K$8:$K$592,$D444,'Detalle por artículo'!$I$8:$I$592)</f>
        <v>552</v>
      </c>
      <c r="N444" s="38">
        <f>SUMIF('Detalle por artículo'!$K$8:$K$592,$D444,'Detalle por artículo'!$M$8:$M$592)</f>
        <v>5</v>
      </c>
      <c r="O444" s="39">
        <f t="shared" si="231"/>
        <v>0.86956521739130432</v>
      </c>
      <c r="P444" s="40">
        <f t="shared" si="232"/>
        <v>138.22463768115941</v>
      </c>
      <c r="Q444" s="41">
        <f t="shared" si="233"/>
        <v>0.15</v>
      </c>
      <c r="R444" s="40">
        <f t="shared" si="234"/>
        <v>0.55199999999999994</v>
      </c>
      <c r="S444" s="42">
        <f>IFERROR(SUM($G$8:G444)/$G$6,0)</f>
        <v>0.99838242441288272</v>
      </c>
      <c r="T444" s="43" t="str">
        <f t="shared" si="235"/>
        <v>C</v>
      </c>
      <c r="U444" s="44">
        <v>552</v>
      </c>
      <c r="V444" s="45">
        <f t="shared" si="245"/>
        <v>0</v>
      </c>
      <c r="W444" s="46">
        <v>46246</v>
      </c>
      <c r="X444" s="46">
        <v>46246</v>
      </c>
      <c r="Y444" s="47">
        <v>0</v>
      </c>
      <c r="Z444" s="48">
        <f t="shared" si="236"/>
        <v>0</v>
      </c>
      <c r="AA444" s="49">
        <f t="shared" si="237"/>
        <v>0</v>
      </c>
      <c r="AB444" s="44">
        <v>538</v>
      </c>
      <c r="AC444" s="44">
        <f t="shared" si="238"/>
        <v>398</v>
      </c>
      <c r="AD444" s="44">
        <f t="shared" si="239"/>
        <v>117</v>
      </c>
      <c r="AE444" s="50">
        <f t="shared" si="240"/>
        <v>48</v>
      </c>
      <c r="AF444" s="41">
        <f t="shared" si="241"/>
        <v>0.96</v>
      </c>
      <c r="AG444" s="44">
        <v>3</v>
      </c>
      <c r="AH444" s="44">
        <v>20</v>
      </c>
      <c r="AI444" s="42">
        <f t="shared" si="246"/>
        <v>0.72101449275362317</v>
      </c>
      <c r="AJ444" s="42">
        <f t="shared" si="247"/>
        <v>0.21195652173913043</v>
      </c>
      <c r="AK444" s="40">
        <f t="shared" si="242"/>
        <v>0.34608695652173915</v>
      </c>
      <c r="AL444" s="51">
        <v>13</v>
      </c>
      <c r="AM444" s="52">
        <f t="shared" si="243"/>
        <v>1.1304347826086957E-2</v>
      </c>
      <c r="AN444" s="42">
        <f t="shared" si="248"/>
        <v>2.355072463768116E-2</v>
      </c>
      <c r="AO444" s="53">
        <f t="shared" si="249"/>
        <v>14</v>
      </c>
      <c r="AP444" s="52">
        <f t="shared" si="250"/>
        <v>1.2173913043478261E-2</v>
      </c>
      <c r="AQ444" s="42">
        <f t="shared" si="251"/>
        <v>0.93297101449275366</v>
      </c>
      <c r="AR444" s="46">
        <v>46252</v>
      </c>
      <c r="AS444" s="46">
        <v>46252</v>
      </c>
      <c r="AT444" s="50">
        <f t="shared" si="252"/>
        <v>6</v>
      </c>
      <c r="AU444" s="50">
        <f t="shared" si="244"/>
        <v>415</v>
      </c>
      <c r="AV444" s="50">
        <f t="shared" si="253"/>
        <v>244</v>
      </c>
      <c r="AW444" s="54">
        <f t="shared" si="254"/>
        <v>171</v>
      </c>
    </row>
    <row r="445" spans="1:49" x14ac:dyDescent="0.25">
      <c r="A445" s="33" t="s">
        <v>55</v>
      </c>
      <c r="B445" s="33" t="s">
        <v>509</v>
      </c>
      <c r="C445" s="33" t="s">
        <v>303</v>
      </c>
      <c r="D445" s="33" t="s">
        <v>565</v>
      </c>
      <c r="E445" s="34">
        <f>COUNTIF('Detalle por artículo'!$K$8:$K$592,D445)</f>
        <v>1</v>
      </c>
      <c r="F445" s="35">
        <f t="shared" si="226"/>
        <v>190</v>
      </c>
      <c r="G445" s="36">
        <f>SUMIF('Detalle por artículo'!$K$8:$K$592,$D445,'Detalle por artículo'!$E$8:$E$592)</f>
        <v>0.48</v>
      </c>
      <c r="H445" s="35">
        <f t="shared" si="227"/>
        <v>1</v>
      </c>
      <c r="I445" s="35">
        <f t="shared" si="228"/>
        <v>1</v>
      </c>
      <c r="J445" s="35">
        <f t="shared" si="229"/>
        <v>2</v>
      </c>
      <c r="K445" s="37">
        <f t="shared" si="230"/>
        <v>1.7142857142857144E-2</v>
      </c>
      <c r="L445" s="36">
        <f>SUMIF('Detalle por artículo'!$K$8:$K$592,$D445,'Detalle por artículo'!$O$8:$O$592)</f>
        <v>91.2</v>
      </c>
      <c r="M445" s="38">
        <f>SUMIF('Detalle por artículo'!$K$8:$K$592,$D445,'Detalle por artículo'!$I$8:$I$592)</f>
        <v>675</v>
      </c>
      <c r="N445" s="38">
        <f>SUMIF('Detalle por artículo'!$K$8:$K$592,$D445,'Detalle por artículo'!$M$8:$M$592)</f>
        <v>5</v>
      </c>
      <c r="O445" s="39">
        <f t="shared" si="231"/>
        <v>0.71111111111111103</v>
      </c>
      <c r="P445" s="40">
        <f t="shared" si="232"/>
        <v>135.11111111111111</v>
      </c>
      <c r="Q445" s="41">
        <f t="shared" si="233"/>
        <v>0.15</v>
      </c>
      <c r="R445" s="40">
        <f t="shared" si="234"/>
        <v>0.55199999999999994</v>
      </c>
      <c r="S445" s="42">
        <f>IFERROR(SUM($G$8:G445)/$G$6,0)</f>
        <v>0.99855880703028754</v>
      </c>
      <c r="T445" s="43" t="str">
        <f t="shared" si="235"/>
        <v>C</v>
      </c>
      <c r="U445" s="44">
        <v>675</v>
      </c>
      <c r="V445" s="45">
        <f t="shared" si="245"/>
        <v>0</v>
      </c>
      <c r="W445" s="46">
        <v>46252</v>
      </c>
      <c r="X445" s="46">
        <v>46252</v>
      </c>
      <c r="Y445" s="47">
        <v>675</v>
      </c>
      <c r="Z445" s="48">
        <f t="shared" si="236"/>
        <v>0.47999999999999993</v>
      </c>
      <c r="AA445" s="49">
        <f t="shared" si="237"/>
        <v>1.714285714285714E-2</v>
      </c>
      <c r="AB445" s="44">
        <v>636</v>
      </c>
      <c r="AC445" s="44">
        <f t="shared" si="238"/>
        <v>500</v>
      </c>
      <c r="AD445" s="44">
        <f t="shared" si="239"/>
        <v>118</v>
      </c>
      <c r="AE445" s="50">
        <f t="shared" si="240"/>
        <v>48</v>
      </c>
      <c r="AF445" s="41">
        <f t="shared" si="241"/>
        <v>0.96</v>
      </c>
      <c r="AG445" s="44">
        <v>10</v>
      </c>
      <c r="AH445" s="44">
        <v>8</v>
      </c>
      <c r="AI445" s="42">
        <f t="shared" si="246"/>
        <v>0.7407407407407407</v>
      </c>
      <c r="AJ445" s="42">
        <f t="shared" si="247"/>
        <v>0.17481481481481481</v>
      </c>
      <c r="AK445" s="40">
        <f t="shared" si="242"/>
        <v>0.35555555555555551</v>
      </c>
      <c r="AL445" s="51">
        <v>37</v>
      </c>
      <c r="AM445" s="52">
        <f t="shared" si="243"/>
        <v>2.6311111111111108E-2</v>
      </c>
      <c r="AN445" s="42">
        <f t="shared" si="248"/>
        <v>5.4814814814814816E-2</v>
      </c>
      <c r="AO445" s="53">
        <f t="shared" si="249"/>
        <v>39</v>
      </c>
      <c r="AP445" s="52">
        <f t="shared" si="250"/>
        <v>2.7733333333333332E-2</v>
      </c>
      <c r="AQ445" s="42">
        <f t="shared" si="251"/>
        <v>0.91555555555555557</v>
      </c>
      <c r="AR445" s="46">
        <v>46260</v>
      </c>
      <c r="AS445" s="46">
        <v>46260</v>
      </c>
      <c r="AT445" s="50">
        <f t="shared" si="252"/>
        <v>8</v>
      </c>
      <c r="AU445" s="50">
        <f t="shared" si="244"/>
        <v>342</v>
      </c>
      <c r="AV445" s="50">
        <f t="shared" si="253"/>
        <v>163</v>
      </c>
      <c r="AW445" s="54">
        <f t="shared" si="254"/>
        <v>179</v>
      </c>
    </row>
    <row r="446" spans="1:49" x14ac:dyDescent="0.25">
      <c r="A446" s="33" t="s">
        <v>55</v>
      </c>
      <c r="B446" s="33" t="s">
        <v>566</v>
      </c>
      <c r="C446" s="33" t="s">
        <v>567</v>
      </c>
      <c r="D446" s="33" t="s">
        <v>568</v>
      </c>
      <c r="E446" s="34">
        <f>COUNTIF('Detalle por artículo'!$K$8:$K$592,D446)</f>
        <v>1</v>
      </c>
      <c r="F446" s="35">
        <f t="shared" si="226"/>
        <v>232.52427184466021</v>
      </c>
      <c r="G446" s="36">
        <f>SUMIF('Detalle por artículo'!$K$8:$K$592,$D446,'Detalle por artículo'!$E$8:$E$592)</f>
        <v>0.41199999999999998</v>
      </c>
      <c r="H446" s="35">
        <f t="shared" si="227"/>
        <v>1</v>
      </c>
      <c r="I446" s="35">
        <f t="shared" si="228"/>
        <v>1</v>
      </c>
      <c r="J446" s="35">
        <f t="shared" si="229"/>
        <v>2</v>
      </c>
      <c r="K446" s="37">
        <f t="shared" si="230"/>
        <v>1.4714285714285713E-2</v>
      </c>
      <c r="L446" s="36">
        <f>SUMIF('Detalle por artículo'!$K$8:$K$592,$D446,'Detalle por artículo'!$O$8:$O$592)</f>
        <v>95.8</v>
      </c>
      <c r="M446" s="38">
        <f>SUMIF('Detalle por artículo'!$K$8:$K$592,$D446,'Detalle por artículo'!$I$8:$I$592)</f>
        <v>650</v>
      </c>
      <c r="N446" s="38">
        <f>SUMIF('Detalle por artículo'!$K$8:$K$592,$D446,'Detalle por artículo'!$M$8:$M$592)</f>
        <v>7</v>
      </c>
      <c r="O446" s="39">
        <f t="shared" si="231"/>
        <v>0.63384615384615384</v>
      </c>
      <c r="P446" s="40">
        <f t="shared" si="232"/>
        <v>147.38461538461539</v>
      </c>
      <c r="Q446" s="41">
        <f t="shared" si="233"/>
        <v>0.1</v>
      </c>
      <c r="R446" s="40">
        <f t="shared" si="234"/>
        <v>0.45319999999999999</v>
      </c>
      <c r="S446" s="42">
        <f>IFERROR(SUM($G$8:G446)/$G$6,0)</f>
        <v>0.99871020211022665</v>
      </c>
      <c r="T446" s="43" t="str">
        <f t="shared" si="235"/>
        <v>C</v>
      </c>
      <c r="U446" s="44">
        <v>650</v>
      </c>
      <c r="V446" s="45">
        <f t="shared" si="245"/>
        <v>0</v>
      </c>
      <c r="W446" s="46">
        <v>46218</v>
      </c>
      <c r="X446" s="46">
        <v>46218</v>
      </c>
      <c r="Y446" s="47">
        <v>0</v>
      </c>
      <c r="Z446" s="48">
        <f t="shared" si="236"/>
        <v>0</v>
      </c>
      <c r="AA446" s="49">
        <f t="shared" si="237"/>
        <v>0</v>
      </c>
      <c r="AB446" s="44">
        <v>274</v>
      </c>
      <c r="AC446" s="44">
        <f t="shared" si="238"/>
        <v>198</v>
      </c>
      <c r="AD446" s="44">
        <f t="shared" si="239"/>
        <v>68</v>
      </c>
      <c r="AE446" s="50">
        <f t="shared" si="240"/>
        <v>48</v>
      </c>
      <c r="AF446" s="41">
        <f t="shared" si="241"/>
        <v>0.96</v>
      </c>
      <c r="AG446" s="44">
        <v>4</v>
      </c>
      <c r="AH446" s="44">
        <v>4</v>
      </c>
      <c r="AI446" s="42">
        <f t="shared" si="246"/>
        <v>0.30461538461538462</v>
      </c>
      <c r="AJ446" s="42">
        <f t="shared" si="247"/>
        <v>0.10461538461538461</v>
      </c>
      <c r="AK446" s="40">
        <f t="shared" si="242"/>
        <v>0.12550153846153847</v>
      </c>
      <c r="AL446" s="51">
        <v>376</v>
      </c>
      <c r="AM446" s="52">
        <f t="shared" si="243"/>
        <v>0.23832615384615383</v>
      </c>
      <c r="AN446" s="42">
        <f t="shared" si="248"/>
        <v>0.57846153846153847</v>
      </c>
      <c r="AO446" s="53">
        <f t="shared" si="249"/>
        <v>376</v>
      </c>
      <c r="AP446" s="52">
        <f t="shared" si="250"/>
        <v>0.23832615384615383</v>
      </c>
      <c r="AQ446" s="42">
        <f t="shared" si="251"/>
        <v>0.40923076923076923</v>
      </c>
      <c r="AR446" s="46">
        <v>46219</v>
      </c>
      <c r="AS446" s="46">
        <v>46219</v>
      </c>
      <c r="AT446" s="50">
        <f t="shared" si="252"/>
        <v>1</v>
      </c>
      <c r="AU446" s="50">
        <f t="shared" si="244"/>
        <v>359</v>
      </c>
      <c r="AV446" s="50">
        <f t="shared" si="253"/>
        <v>354</v>
      </c>
      <c r="AW446" s="54">
        <f t="shared" si="254"/>
        <v>5</v>
      </c>
    </row>
    <row r="447" spans="1:49" x14ac:dyDescent="0.25">
      <c r="A447" s="33" t="s">
        <v>138</v>
      </c>
      <c r="B447" s="33" t="s">
        <v>569</v>
      </c>
      <c r="C447" s="33" t="s">
        <v>264</v>
      </c>
      <c r="D447" s="33" t="s">
        <v>570</v>
      </c>
      <c r="E447" s="34">
        <f>COUNTIF('Detalle por artículo'!$K$8:$K$592,D447)</f>
        <v>1</v>
      </c>
      <c r="F447" s="35">
        <f t="shared" si="226"/>
        <v>188.54166666666669</v>
      </c>
      <c r="G447" s="36">
        <f>SUMIF('Detalle por artículo'!$K$8:$K$592,$D447,'Detalle por artículo'!$E$8:$E$592)</f>
        <v>0.38400000000000001</v>
      </c>
      <c r="H447" s="35">
        <f t="shared" si="227"/>
        <v>1</v>
      </c>
      <c r="I447" s="35">
        <f t="shared" si="228"/>
        <v>1</v>
      </c>
      <c r="J447" s="35">
        <f t="shared" si="229"/>
        <v>1</v>
      </c>
      <c r="K447" s="37">
        <f t="shared" si="230"/>
        <v>1.3714285714285715E-2</v>
      </c>
      <c r="L447" s="36">
        <f>SUMIF('Detalle por artículo'!$K$8:$K$592,$D447,'Detalle por artículo'!$O$8:$O$592)</f>
        <v>72.400000000000006</v>
      </c>
      <c r="M447" s="38">
        <f>SUMIF('Detalle por artículo'!$K$8:$K$592,$D447,'Detalle por artículo'!$I$8:$I$592)</f>
        <v>416</v>
      </c>
      <c r="N447" s="38">
        <f>SUMIF('Detalle por artículo'!$K$8:$K$592,$D447,'Detalle por artículo'!$M$8:$M$592)</f>
        <v>4</v>
      </c>
      <c r="O447" s="39">
        <f t="shared" si="231"/>
        <v>0.92307692307692302</v>
      </c>
      <c r="P447" s="40">
        <f t="shared" si="232"/>
        <v>174.03846153846155</v>
      </c>
      <c r="Q447" s="41">
        <f t="shared" si="233"/>
        <v>0.15</v>
      </c>
      <c r="R447" s="40">
        <f t="shared" si="234"/>
        <v>0.44159999999999999</v>
      </c>
      <c r="S447" s="42">
        <f>IFERROR(SUM($G$8:G447)/$G$6,0)</f>
        <v>0.99885130820415058</v>
      </c>
      <c r="T447" s="43" t="str">
        <f t="shared" si="235"/>
        <v>C</v>
      </c>
      <c r="U447" s="44">
        <v>416</v>
      </c>
      <c r="V447" s="45">
        <f t="shared" si="245"/>
        <v>0</v>
      </c>
      <c r="W447" s="46">
        <v>46237</v>
      </c>
      <c r="X447" s="46">
        <v>46237</v>
      </c>
      <c r="Y447" s="47">
        <v>0</v>
      </c>
      <c r="Z447" s="48">
        <f t="shared" si="236"/>
        <v>0</v>
      </c>
      <c r="AA447" s="49">
        <f t="shared" si="237"/>
        <v>0</v>
      </c>
      <c r="AB447" s="44">
        <v>312</v>
      </c>
      <c r="AC447" s="44">
        <f t="shared" si="238"/>
        <v>234</v>
      </c>
      <c r="AD447" s="44">
        <f t="shared" si="239"/>
        <v>71</v>
      </c>
      <c r="AE447" s="50">
        <f t="shared" si="240"/>
        <v>33</v>
      </c>
      <c r="AF447" s="41">
        <f t="shared" si="241"/>
        <v>0.66</v>
      </c>
      <c r="AG447" s="44">
        <v>0</v>
      </c>
      <c r="AH447" s="44">
        <v>7</v>
      </c>
      <c r="AI447" s="42">
        <f t="shared" si="246"/>
        <v>0.5625</v>
      </c>
      <c r="AJ447" s="42">
        <f t="shared" si="247"/>
        <v>0.17067307692307693</v>
      </c>
      <c r="AK447" s="40">
        <f t="shared" si="242"/>
        <v>0.216</v>
      </c>
      <c r="AL447" s="51">
        <v>104</v>
      </c>
      <c r="AM447" s="52">
        <f t="shared" si="243"/>
        <v>9.6000000000000002E-2</v>
      </c>
      <c r="AN447" s="42">
        <f t="shared" si="248"/>
        <v>0.25</v>
      </c>
      <c r="AO447" s="53">
        <f t="shared" si="249"/>
        <v>104</v>
      </c>
      <c r="AP447" s="52">
        <f t="shared" si="250"/>
        <v>9.6000000000000002E-2</v>
      </c>
      <c r="AQ447" s="42">
        <f t="shared" si="251"/>
        <v>0.73317307692307687</v>
      </c>
      <c r="AR447" s="46">
        <v>46254</v>
      </c>
      <c r="AS447" s="46">
        <v>46254</v>
      </c>
      <c r="AT447" s="50">
        <f t="shared" si="252"/>
        <v>17</v>
      </c>
      <c r="AU447" s="50">
        <f t="shared" si="244"/>
        <v>446</v>
      </c>
      <c r="AV447" s="50">
        <f t="shared" si="253"/>
        <v>342</v>
      </c>
      <c r="AW447" s="54">
        <f t="shared" si="254"/>
        <v>104</v>
      </c>
    </row>
    <row r="448" spans="1:49" x14ac:dyDescent="0.25">
      <c r="A448" s="33" t="s">
        <v>138</v>
      </c>
      <c r="B448" s="33" t="s">
        <v>569</v>
      </c>
      <c r="C448" s="33" t="s">
        <v>264</v>
      </c>
      <c r="D448" s="33" t="s">
        <v>571</v>
      </c>
      <c r="E448" s="34">
        <f>COUNTIF('Detalle por artículo'!$K$8:$K$592,D448)</f>
        <v>1</v>
      </c>
      <c r="F448" s="35">
        <f t="shared" si="226"/>
        <v>198.4375</v>
      </c>
      <c r="G448" s="36">
        <f>SUMIF('Detalle por artículo'!$K$8:$K$592,$D448,'Detalle por artículo'!$E$8:$E$592)</f>
        <v>0.38400000000000001</v>
      </c>
      <c r="H448" s="35">
        <f t="shared" si="227"/>
        <v>1</v>
      </c>
      <c r="I448" s="35">
        <f t="shared" si="228"/>
        <v>1</v>
      </c>
      <c r="J448" s="35">
        <f t="shared" si="229"/>
        <v>1</v>
      </c>
      <c r="K448" s="37">
        <f t="shared" si="230"/>
        <v>1.3714285714285715E-2</v>
      </c>
      <c r="L448" s="36">
        <f>SUMIF('Detalle por artículo'!$K$8:$K$592,$D448,'Detalle por artículo'!$O$8:$O$592)</f>
        <v>76.2</v>
      </c>
      <c r="M448" s="38">
        <f>SUMIF('Detalle por artículo'!$K$8:$K$592,$D448,'Detalle por artículo'!$I$8:$I$592)</f>
        <v>420</v>
      </c>
      <c r="N448" s="38">
        <f>SUMIF('Detalle por artículo'!$K$8:$K$592,$D448,'Detalle por artículo'!$M$8:$M$592)</f>
        <v>4</v>
      </c>
      <c r="O448" s="39">
        <f t="shared" si="231"/>
        <v>0.91428571428571426</v>
      </c>
      <c r="P448" s="40">
        <f t="shared" si="232"/>
        <v>181.42857142857144</v>
      </c>
      <c r="Q448" s="41">
        <f t="shared" si="233"/>
        <v>0.15</v>
      </c>
      <c r="R448" s="40">
        <f t="shared" si="234"/>
        <v>0.44159999999999999</v>
      </c>
      <c r="S448" s="42">
        <f>IFERROR(SUM($G$8:G448)/$G$6,0)</f>
        <v>0.9989924142980745</v>
      </c>
      <c r="T448" s="43" t="str">
        <f t="shared" si="235"/>
        <v>C</v>
      </c>
      <c r="U448" s="44">
        <v>420</v>
      </c>
      <c r="V448" s="45">
        <f t="shared" si="245"/>
        <v>0</v>
      </c>
      <c r="W448" s="46">
        <v>46237</v>
      </c>
      <c r="X448" s="46">
        <v>46237</v>
      </c>
      <c r="Y448" s="47">
        <v>0</v>
      </c>
      <c r="Z448" s="48">
        <f t="shared" si="236"/>
        <v>0</v>
      </c>
      <c r="AA448" s="49">
        <f t="shared" si="237"/>
        <v>0</v>
      </c>
      <c r="AB448" s="44">
        <v>272</v>
      </c>
      <c r="AC448" s="44">
        <f t="shared" si="238"/>
        <v>245</v>
      </c>
      <c r="AD448" s="44">
        <f t="shared" si="239"/>
        <v>20</v>
      </c>
      <c r="AE448" s="50">
        <f t="shared" si="240"/>
        <v>33</v>
      </c>
      <c r="AF448" s="41">
        <f t="shared" si="241"/>
        <v>0.66</v>
      </c>
      <c r="AG448" s="44">
        <v>0</v>
      </c>
      <c r="AH448" s="44">
        <v>7</v>
      </c>
      <c r="AI448" s="42">
        <f t="shared" si="246"/>
        <v>0.58333333333333337</v>
      </c>
      <c r="AJ448" s="42">
        <f t="shared" si="247"/>
        <v>4.7619047619047616E-2</v>
      </c>
      <c r="AK448" s="40">
        <f t="shared" si="242"/>
        <v>0.224</v>
      </c>
      <c r="AL448" s="51">
        <v>148</v>
      </c>
      <c r="AM448" s="52">
        <f t="shared" si="243"/>
        <v>0.13531428571428572</v>
      </c>
      <c r="AN448" s="42">
        <f t="shared" si="248"/>
        <v>0.35238095238095241</v>
      </c>
      <c r="AO448" s="53">
        <f t="shared" si="249"/>
        <v>148</v>
      </c>
      <c r="AP448" s="52">
        <f t="shared" si="250"/>
        <v>0.13531428571428572</v>
      </c>
      <c r="AQ448" s="42">
        <f t="shared" si="251"/>
        <v>0.63095238095238093</v>
      </c>
      <c r="AR448" s="46">
        <v>46254</v>
      </c>
      <c r="AS448" s="46">
        <v>46254</v>
      </c>
      <c r="AT448" s="50">
        <f t="shared" si="252"/>
        <v>17</v>
      </c>
      <c r="AU448" s="50">
        <f t="shared" si="244"/>
        <v>445</v>
      </c>
      <c r="AV448" s="50">
        <f t="shared" si="253"/>
        <v>356</v>
      </c>
      <c r="AW448" s="54">
        <f t="shared" si="254"/>
        <v>89</v>
      </c>
    </row>
    <row r="449" spans="1:49" x14ac:dyDescent="0.25">
      <c r="A449" s="33" t="s">
        <v>120</v>
      </c>
      <c r="B449" s="33" t="s">
        <v>519</v>
      </c>
      <c r="C449" s="33" t="s">
        <v>503</v>
      </c>
      <c r="D449" s="33" t="s">
        <v>572</v>
      </c>
      <c r="E449" s="34">
        <f>COUNTIF('Detalle por artículo'!$K$8:$K$592,D449)</f>
        <v>1</v>
      </c>
      <c r="F449" s="35">
        <f t="shared" si="226"/>
        <v>172.39583333333334</v>
      </c>
      <c r="G449" s="36">
        <f>SUMIF('Detalle por artículo'!$K$8:$K$592,$D449,'Detalle por artículo'!$E$8:$E$592)</f>
        <v>0.38400000000000001</v>
      </c>
      <c r="H449" s="35">
        <f t="shared" si="227"/>
        <v>1</v>
      </c>
      <c r="I449" s="35">
        <f t="shared" si="228"/>
        <v>1</v>
      </c>
      <c r="J449" s="35">
        <f t="shared" si="229"/>
        <v>1</v>
      </c>
      <c r="K449" s="37">
        <f t="shared" si="230"/>
        <v>1.3714285714285715E-2</v>
      </c>
      <c r="L449" s="36">
        <f>SUMIF('Detalle por artículo'!$K$8:$K$592,$D449,'Detalle por artículo'!$O$8:$O$592)</f>
        <v>66.2</v>
      </c>
      <c r="M449" s="38">
        <f>SUMIF('Detalle por artículo'!$K$8:$K$592,$D449,'Detalle por artículo'!$I$8:$I$592)</f>
        <v>410</v>
      </c>
      <c r="N449" s="38">
        <f>SUMIF('Detalle por artículo'!$K$8:$K$592,$D449,'Detalle por artículo'!$M$8:$M$592)</f>
        <v>4</v>
      </c>
      <c r="O449" s="39">
        <f t="shared" si="231"/>
        <v>0.93658536585365859</v>
      </c>
      <c r="P449" s="40">
        <f t="shared" si="232"/>
        <v>161.46341463414635</v>
      </c>
      <c r="Q449" s="41">
        <f t="shared" si="233"/>
        <v>0.15</v>
      </c>
      <c r="R449" s="40">
        <f t="shared" si="234"/>
        <v>0.44159999999999999</v>
      </c>
      <c r="S449" s="42">
        <f>IFERROR(SUM($G$8:G449)/$G$6,0)</f>
        <v>0.99913352039199843</v>
      </c>
      <c r="T449" s="43" t="str">
        <f t="shared" si="235"/>
        <v>C</v>
      </c>
      <c r="U449" s="44">
        <v>417</v>
      </c>
      <c r="V449" s="45">
        <f t="shared" si="245"/>
        <v>7</v>
      </c>
      <c r="W449" s="46">
        <v>46260</v>
      </c>
      <c r="X449" s="46">
        <v>46300</v>
      </c>
      <c r="Y449" s="47">
        <v>0</v>
      </c>
      <c r="Z449" s="48">
        <f t="shared" si="236"/>
        <v>0</v>
      </c>
      <c r="AA449" s="49">
        <f t="shared" si="237"/>
        <v>0</v>
      </c>
      <c r="AB449" s="44">
        <v>269</v>
      </c>
      <c r="AC449" s="44">
        <f t="shared" si="238"/>
        <v>259</v>
      </c>
      <c r="AD449" s="44">
        <f t="shared" si="239"/>
        <v>2</v>
      </c>
      <c r="AE449" s="50">
        <f t="shared" si="240"/>
        <v>34</v>
      </c>
      <c r="AF449" s="41">
        <f t="shared" si="241"/>
        <v>0.68</v>
      </c>
      <c r="AG449" s="44">
        <v>1</v>
      </c>
      <c r="AH449" s="44">
        <v>7</v>
      </c>
      <c r="AI449" s="42">
        <f t="shared" si="246"/>
        <v>0.63170731707317074</v>
      </c>
      <c r="AJ449" s="42">
        <f t="shared" si="247"/>
        <v>4.8780487804878049E-3</v>
      </c>
      <c r="AK449" s="40">
        <f t="shared" si="242"/>
        <v>0.24257560975609757</v>
      </c>
      <c r="AL449" s="51">
        <v>148</v>
      </c>
      <c r="AM449" s="52">
        <f t="shared" si="243"/>
        <v>0.13861463414634148</v>
      </c>
      <c r="AN449" s="42">
        <f t="shared" si="248"/>
        <v>0.35491606714628299</v>
      </c>
      <c r="AO449" s="53">
        <f t="shared" si="249"/>
        <v>141</v>
      </c>
      <c r="AP449" s="52">
        <f t="shared" si="250"/>
        <v>0.13205853658536587</v>
      </c>
      <c r="AQ449" s="42">
        <f t="shared" si="251"/>
        <v>0.63658536585365855</v>
      </c>
      <c r="AR449" s="46">
        <v>46268</v>
      </c>
      <c r="AS449" s="46">
        <v>46269</v>
      </c>
      <c r="AT449" s="50">
        <f t="shared" si="252"/>
        <v>9</v>
      </c>
      <c r="AU449" s="50">
        <f t="shared" si="244"/>
        <v>450</v>
      </c>
      <c r="AV449" s="50">
        <f t="shared" si="253"/>
        <v>360</v>
      </c>
      <c r="AW449" s="54">
        <f t="shared" si="254"/>
        <v>90</v>
      </c>
    </row>
    <row r="450" spans="1:49" x14ac:dyDescent="0.25">
      <c r="A450" s="33" t="s">
        <v>55</v>
      </c>
      <c r="B450" s="33" t="s">
        <v>509</v>
      </c>
      <c r="C450" s="33" t="s">
        <v>303</v>
      </c>
      <c r="D450" s="33" t="s">
        <v>573</v>
      </c>
      <c r="E450" s="34">
        <f>COUNTIF('Detalle por artículo'!$K$8:$K$592,D450)</f>
        <v>1</v>
      </c>
      <c r="F450" s="35">
        <f t="shared" si="226"/>
        <v>235.26315789473685</v>
      </c>
      <c r="G450" s="36">
        <f>SUMIF('Detalle por artículo'!$K$8:$K$592,$D450,'Detalle por artículo'!$E$8:$E$592)</f>
        <v>0.38</v>
      </c>
      <c r="H450" s="35">
        <f t="shared" si="227"/>
        <v>1</v>
      </c>
      <c r="I450" s="35">
        <f t="shared" si="228"/>
        <v>1</v>
      </c>
      <c r="J450" s="35">
        <f t="shared" si="229"/>
        <v>1</v>
      </c>
      <c r="K450" s="37">
        <f t="shared" si="230"/>
        <v>1.3571428571428571E-2</v>
      </c>
      <c r="L450" s="36">
        <f>SUMIF('Detalle por artículo'!$K$8:$K$592,$D450,'Detalle por artículo'!$O$8:$O$592)</f>
        <v>89.4</v>
      </c>
      <c r="M450" s="38">
        <f>SUMIF('Detalle por artículo'!$K$8:$K$592,$D450,'Detalle por artículo'!$I$8:$I$592)</f>
        <v>645</v>
      </c>
      <c r="N450" s="38">
        <f>SUMIF('Detalle por artículo'!$K$8:$K$592,$D450,'Detalle por artículo'!$M$8:$M$592)</f>
        <v>4</v>
      </c>
      <c r="O450" s="39">
        <f t="shared" si="231"/>
        <v>0.58914728682170547</v>
      </c>
      <c r="P450" s="40">
        <f t="shared" si="232"/>
        <v>138.6046511627907</v>
      </c>
      <c r="Q450" s="41">
        <f t="shared" si="233"/>
        <v>0.1</v>
      </c>
      <c r="R450" s="40">
        <f t="shared" si="234"/>
        <v>0.41800000000000004</v>
      </c>
      <c r="S450" s="42">
        <f>IFERROR(SUM($G$8:G450)/$G$6,0)</f>
        <v>0.99927315663077732</v>
      </c>
      <c r="T450" s="43" t="str">
        <f t="shared" si="235"/>
        <v>C</v>
      </c>
      <c r="U450" s="44">
        <v>645</v>
      </c>
      <c r="V450" s="45">
        <f t="shared" si="245"/>
        <v>0</v>
      </c>
      <c r="W450" s="46">
        <v>46252</v>
      </c>
      <c r="X450" s="46">
        <v>46252</v>
      </c>
      <c r="Y450" s="47">
        <v>645</v>
      </c>
      <c r="Z450" s="48">
        <f t="shared" si="236"/>
        <v>0.38000000000000006</v>
      </c>
      <c r="AA450" s="49">
        <f t="shared" si="237"/>
        <v>1.3571428571428573E-2</v>
      </c>
      <c r="AB450" s="44">
        <v>551</v>
      </c>
      <c r="AC450" s="44">
        <f t="shared" si="238"/>
        <v>378</v>
      </c>
      <c r="AD450" s="44">
        <f t="shared" si="239"/>
        <v>161</v>
      </c>
      <c r="AE450" s="50">
        <f t="shared" si="240"/>
        <v>47</v>
      </c>
      <c r="AF450" s="41">
        <f t="shared" si="241"/>
        <v>0.94</v>
      </c>
      <c r="AG450" s="44">
        <v>4</v>
      </c>
      <c r="AH450" s="44">
        <v>8</v>
      </c>
      <c r="AI450" s="42">
        <f t="shared" si="246"/>
        <v>0.586046511627907</v>
      </c>
      <c r="AJ450" s="42">
        <f t="shared" si="247"/>
        <v>0.2496124031007752</v>
      </c>
      <c r="AK450" s="40">
        <f t="shared" si="242"/>
        <v>0.22269767441860466</v>
      </c>
      <c r="AL450" s="51">
        <v>94</v>
      </c>
      <c r="AM450" s="52">
        <f t="shared" si="243"/>
        <v>5.5379844961240314E-2</v>
      </c>
      <c r="AN450" s="42">
        <f t="shared" si="248"/>
        <v>0.14573643410852713</v>
      </c>
      <c r="AO450" s="53">
        <f t="shared" si="249"/>
        <v>94</v>
      </c>
      <c r="AP450" s="52">
        <f t="shared" si="250"/>
        <v>5.5379844961240314E-2</v>
      </c>
      <c r="AQ450" s="42">
        <f t="shared" si="251"/>
        <v>0.83565891472868215</v>
      </c>
      <c r="AR450" s="46">
        <v>46262</v>
      </c>
      <c r="AS450" s="46">
        <v>46262</v>
      </c>
      <c r="AT450" s="50">
        <f t="shared" si="252"/>
        <v>10</v>
      </c>
      <c r="AU450" s="50">
        <f t="shared" si="244"/>
        <v>364</v>
      </c>
      <c r="AV450" s="50">
        <f t="shared" si="253"/>
        <v>236</v>
      </c>
      <c r="AW450" s="54">
        <f t="shared" si="254"/>
        <v>128</v>
      </c>
    </row>
    <row r="451" spans="1:49" x14ac:dyDescent="0.25">
      <c r="A451" s="33" t="s">
        <v>55</v>
      </c>
      <c r="B451" s="33" t="s">
        <v>509</v>
      </c>
      <c r="C451" s="33" t="s">
        <v>303</v>
      </c>
      <c r="D451" s="33" t="s">
        <v>574</v>
      </c>
      <c r="E451" s="34">
        <f>COUNTIF('Detalle por artículo'!$K$8:$K$592,D451)</f>
        <v>1</v>
      </c>
      <c r="F451" s="35">
        <f t="shared" si="226"/>
        <v>202.10526315789474</v>
      </c>
      <c r="G451" s="36">
        <f>SUMIF('Detalle por artículo'!$K$8:$K$592,$D451,'Detalle por artículo'!$E$8:$E$592)</f>
        <v>0.38</v>
      </c>
      <c r="H451" s="35">
        <f t="shared" si="227"/>
        <v>1</v>
      </c>
      <c r="I451" s="35">
        <f t="shared" si="228"/>
        <v>1</v>
      </c>
      <c r="J451" s="35">
        <f t="shared" si="229"/>
        <v>1</v>
      </c>
      <c r="K451" s="37">
        <f t="shared" si="230"/>
        <v>1.3571428571428571E-2</v>
      </c>
      <c r="L451" s="36">
        <f>SUMIF('Detalle por artículo'!$K$8:$K$592,$D451,'Detalle por artículo'!$O$8:$O$592)</f>
        <v>76.8</v>
      </c>
      <c r="M451" s="38">
        <f>SUMIF('Detalle por artículo'!$K$8:$K$592,$D451,'Detalle por artículo'!$I$8:$I$592)</f>
        <v>624</v>
      </c>
      <c r="N451" s="38">
        <f>SUMIF('Detalle por artículo'!$K$8:$K$592,$D451,'Detalle por artículo'!$M$8:$M$592)</f>
        <v>4</v>
      </c>
      <c r="O451" s="39">
        <f t="shared" si="231"/>
        <v>0.60897435897435903</v>
      </c>
      <c r="P451" s="40">
        <f t="shared" si="232"/>
        <v>123.07692307692307</v>
      </c>
      <c r="Q451" s="41">
        <f t="shared" si="233"/>
        <v>0.1</v>
      </c>
      <c r="R451" s="40">
        <f t="shared" si="234"/>
        <v>0.41800000000000004</v>
      </c>
      <c r="S451" s="42">
        <f>IFERROR(SUM($G$8:G451)/$G$6,0)</f>
        <v>0.9994127928695562</v>
      </c>
      <c r="T451" s="43" t="str">
        <f t="shared" si="235"/>
        <v>C</v>
      </c>
      <c r="U451" s="44">
        <v>644</v>
      </c>
      <c r="V451" s="45">
        <f t="shared" si="245"/>
        <v>20</v>
      </c>
      <c r="W451" s="46">
        <v>46252</v>
      </c>
      <c r="X451" s="46">
        <v>46252</v>
      </c>
      <c r="Y451" s="47">
        <v>653</v>
      </c>
      <c r="Z451" s="48">
        <f t="shared" si="236"/>
        <v>0.39766025641025649</v>
      </c>
      <c r="AA451" s="49">
        <f t="shared" si="237"/>
        <v>1.4202152014652017E-2</v>
      </c>
      <c r="AB451" s="44">
        <v>586</v>
      </c>
      <c r="AC451" s="44">
        <f t="shared" si="238"/>
        <v>498</v>
      </c>
      <c r="AD451" s="44">
        <f t="shared" si="239"/>
        <v>81</v>
      </c>
      <c r="AE451" s="50">
        <f t="shared" si="240"/>
        <v>47</v>
      </c>
      <c r="AF451" s="41">
        <f t="shared" si="241"/>
        <v>0.94</v>
      </c>
      <c r="AG451" s="44">
        <v>0</v>
      </c>
      <c r="AH451" s="44">
        <v>7</v>
      </c>
      <c r="AI451" s="42">
        <f t="shared" si="246"/>
        <v>0.79807692307692313</v>
      </c>
      <c r="AJ451" s="42">
        <f t="shared" si="247"/>
        <v>0.12980769230769232</v>
      </c>
      <c r="AK451" s="40">
        <f t="shared" si="242"/>
        <v>0.30326923076923079</v>
      </c>
      <c r="AL451" s="51">
        <v>58</v>
      </c>
      <c r="AM451" s="52">
        <f t="shared" si="243"/>
        <v>3.5320512820512823E-2</v>
      </c>
      <c r="AN451" s="42">
        <f t="shared" si="248"/>
        <v>9.0062111801242239E-2</v>
      </c>
      <c r="AO451" s="53">
        <f t="shared" si="249"/>
        <v>38</v>
      </c>
      <c r="AP451" s="52">
        <f t="shared" si="250"/>
        <v>2.3141025641025641E-2</v>
      </c>
      <c r="AQ451" s="42">
        <f t="shared" si="251"/>
        <v>0.92788461538461542</v>
      </c>
      <c r="AR451" s="46">
        <v>46260</v>
      </c>
      <c r="AS451" s="46">
        <v>46260</v>
      </c>
      <c r="AT451" s="50">
        <f t="shared" si="252"/>
        <v>8</v>
      </c>
      <c r="AU451" s="50">
        <f t="shared" si="244"/>
        <v>380</v>
      </c>
      <c r="AV451" s="50">
        <f t="shared" si="253"/>
        <v>209</v>
      </c>
      <c r="AW451" s="54">
        <f t="shared" si="254"/>
        <v>171</v>
      </c>
    </row>
    <row r="452" spans="1:49" x14ac:dyDescent="0.25">
      <c r="A452" s="33" t="s">
        <v>55</v>
      </c>
      <c r="B452" s="33" t="s">
        <v>509</v>
      </c>
      <c r="C452" s="33" t="s">
        <v>303</v>
      </c>
      <c r="D452" s="33" t="s">
        <v>575</v>
      </c>
      <c r="E452" s="34">
        <f>COUNTIF('Detalle por artículo'!$K$8:$K$592,D452)</f>
        <v>1</v>
      </c>
      <c r="F452" s="35">
        <f t="shared" si="226"/>
        <v>225.55555555555557</v>
      </c>
      <c r="G452" s="36">
        <f>SUMIF('Detalle por artículo'!$K$8:$K$592,$D452,'Detalle por artículo'!$E$8:$E$592)</f>
        <v>0.36</v>
      </c>
      <c r="H452" s="35">
        <f t="shared" si="227"/>
        <v>1</v>
      </c>
      <c r="I452" s="35">
        <f t="shared" si="228"/>
        <v>1</v>
      </c>
      <c r="J452" s="35">
        <f t="shared" si="229"/>
        <v>1</v>
      </c>
      <c r="K452" s="37">
        <f t="shared" si="230"/>
        <v>1.2857142857142857E-2</v>
      </c>
      <c r="L452" s="36">
        <f>SUMIF('Detalle por artículo'!$K$8:$K$592,$D452,'Detalle por artículo'!$O$8:$O$592)</f>
        <v>81.2</v>
      </c>
      <c r="M452" s="38">
        <f>SUMIF('Detalle por artículo'!$K$8:$K$592,$D452,'Detalle por artículo'!$I$8:$I$592)</f>
        <v>634</v>
      </c>
      <c r="N452" s="38">
        <f>SUMIF('Detalle por artículo'!$K$8:$K$592,$D452,'Detalle por artículo'!$M$8:$M$592)</f>
        <v>6</v>
      </c>
      <c r="O452" s="39">
        <f t="shared" si="231"/>
        <v>0.56782334384858046</v>
      </c>
      <c r="P452" s="40">
        <f t="shared" si="232"/>
        <v>128.07570977917982</v>
      </c>
      <c r="Q452" s="41">
        <f t="shared" si="233"/>
        <v>0.1</v>
      </c>
      <c r="R452" s="40">
        <f t="shared" si="234"/>
        <v>0.39600000000000002</v>
      </c>
      <c r="S452" s="42">
        <f>IFERROR(SUM($G$8:G452)/$G$6,0)</f>
        <v>0.99954507983260987</v>
      </c>
      <c r="T452" s="43" t="str">
        <f t="shared" si="235"/>
        <v>C</v>
      </c>
      <c r="U452" s="44">
        <v>634</v>
      </c>
      <c r="V452" s="45">
        <f t="shared" si="245"/>
        <v>0</v>
      </c>
      <c r="W452" s="46">
        <v>46246</v>
      </c>
      <c r="X452" s="46">
        <v>46246</v>
      </c>
      <c r="Y452" s="47">
        <v>0</v>
      </c>
      <c r="Z452" s="48">
        <f t="shared" si="236"/>
        <v>0</v>
      </c>
      <c r="AA452" s="49">
        <f t="shared" si="237"/>
        <v>0</v>
      </c>
      <c r="AB452" s="44">
        <v>606</v>
      </c>
      <c r="AC452" s="44">
        <f t="shared" si="238"/>
        <v>397</v>
      </c>
      <c r="AD452" s="44">
        <f t="shared" si="239"/>
        <v>189</v>
      </c>
      <c r="AE452" s="50">
        <f t="shared" si="240"/>
        <v>48</v>
      </c>
      <c r="AF452" s="41">
        <f t="shared" si="241"/>
        <v>0.96</v>
      </c>
      <c r="AG452" s="44">
        <v>0</v>
      </c>
      <c r="AH452" s="44">
        <v>22</v>
      </c>
      <c r="AI452" s="42">
        <f t="shared" si="246"/>
        <v>0.62618296529968454</v>
      </c>
      <c r="AJ452" s="42">
        <f t="shared" si="247"/>
        <v>0.29810725552050471</v>
      </c>
      <c r="AK452" s="40">
        <f t="shared" si="242"/>
        <v>0.22542586750788643</v>
      </c>
      <c r="AL452" s="51">
        <v>26</v>
      </c>
      <c r="AM452" s="52">
        <f t="shared" si="243"/>
        <v>1.4763406940063091E-2</v>
      </c>
      <c r="AN452" s="42">
        <f t="shared" si="248"/>
        <v>4.1009463722397478E-2</v>
      </c>
      <c r="AO452" s="53">
        <f t="shared" si="249"/>
        <v>28</v>
      </c>
      <c r="AP452" s="52">
        <f t="shared" si="250"/>
        <v>1.5899053627760253E-2</v>
      </c>
      <c r="AQ452" s="42">
        <f t="shared" si="251"/>
        <v>0.9242902208201893</v>
      </c>
      <c r="AR452" s="46">
        <v>46252</v>
      </c>
      <c r="AS452" s="46">
        <v>46252</v>
      </c>
      <c r="AT452" s="50">
        <f t="shared" si="252"/>
        <v>6</v>
      </c>
      <c r="AU452" s="50">
        <f t="shared" si="244"/>
        <v>372</v>
      </c>
      <c r="AV452" s="50">
        <f t="shared" si="253"/>
        <v>184</v>
      </c>
      <c r="AW452" s="54">
        <f t="shared" si="254"/>
        <v>188</v>
      </c>
    </row>
    <row r="453" spans="1:49" x14ac:dyDescent="0.25">
      <c r="A453" s="33" t="s">
        <v>120</v>
      </c>
      <c r="B453" s="33" t="s">
        <v>576</v>
      </c>
      <c r="C453" s="33" t="s">
        <v>264</v>
      </c>
      <c r="D453" s="33" t="s">
        <v>577</v>
      </c>
      <c r="E453" s="34">
        <f>COUNTIF('Detalle por artículo'!$K$8:$K$592,D453)</f>
        <v>1</v>
      </c>
      <c r="F453" s="35">
        <f t="shared" si="226"/>
        <v>185.83333333333334</v>
      </c>
      <c r="G453" s="36">
        <f>SUMIF('Detalle por artículo'!$K$8:$K$592,$D453,'Detalle por artículo'!$E$8:$E$592)</f>
        <v>0.36</v>
      </c>
      <c r="H453" s="35">
        <f t="shared" si="227"/>
        <v>1</v>
      </c>
      <c r="I453" s="35">
        <f t="shared" si="228"/>
        <v>1</v>
      </c>
      <c r="J453" s="35">
        <f t="shared" si="229"/>
        <v>1</v>
      </c>
      <c r="K453" s="37">
        <f t="shared" si="230"/>
        <v>1.2857142857142857E-2</v>
      </c>
      <c r="L453" s="36">
        <f>SUMIF('Detalle por artículo'!$K$8:$K$592,$D453,'Detalle por artículo'!$O$8:$O$592)</f>
        <v>66.900000000000006</v>
      </c>
      <c r="M453" s="38">
        <f>SUMIF('Detalle por artículo'!$K$8:$K$592,$D453,'Detalle por artículo'!$I$8:$I$592)</f>
        <v>426</v>
      </c>
      <c r="N453" s="38">
        <f>SUMIF('Detalle por artículo'!$K$8:$K$592,$D453,'Detalle por artículo'!$M$8:$M$592)</f>
        <v>5</v>
      </c>
      <c r="O453" s="39">
        <f t="shared" si="231"/>
        <v>0.84507042253521125</v>
      </c>
      <c r="P453" s="40">
        <f t="shared" si="232"/>
        <v>157.04225352112678</v>
      </c>
      <c r="Q453" s="41">
        <f t="shared" si="233"/>
        <v>0.15</v>
      </c>
      <c r="R453" s="40">
        <f t="shared" si="234"/>
        <v>0.41399999999999998</v>
      </c>
      <c r="S453" s="42">
        <f>IFERROR(SUM($G$8:G453)/$G$6,0)</f>
        <v>0.99967736679566355</v>
      </c>
      <c r="T453" s="43" t="str">
        <f t="shared" si="235"/>
        <v>C</v>
      </c>
      <c r="U453" s="44">
        <v>424</v>
      </c>
      <c r="V453" s="45">
        <f t="shared" si="245"/>
        <v>-2</v>
      </c>
      <c r="W453" s="46">
        <v>46244</v>
      </c>
      <c r="X453" s="46">
        <v>46244</v>
      </c>
      <c r="Y453" s="47">
        <v>2</v>
      </c>
      <c r="Z453" s="48">
        <f t="shared" si="236"/>
        <v>1.6901408450704224E-3</v>
      </c>
      <c r="AA453" s="49">
        <f t="shared" si="237"/>
        <v>6.0362173038229371E-5</v>
      </c>
      <c r="AB453" s="44">
        <v>269</v>
      </c>
      <c r="AC453" s="44">
        <f t="shared" si="238"/>
        <v>208</v>
      </c>
      <c r="AD453" s="44">
        <f t="shared" si="239"/>
        <v>53</v>
      </c>
      <c r="AE453" s="50">
        <f t="shared" si="240"/>
        <v>33</v>
      </c>
      <c r="AF453" s="41">
        <f t="shared" si="241"/>
        <v>0.66</v>
      </c>
      <c r="AG453" s="44">
        <v>2</v>
      </c>
      <c r="AH453" s="44">
        <v>6</v>
      </c>
      <c r="AI453" s="42">
        <f t="shared" si="246"/>
        <v>0.48826291079812206</v>
      </c>
      <c r="AJ453" s="42">
        <f t="shared" si="247"/>
        <v>0.12441314553990611</v>
      </c>
      <c r="AK453" s="40">
        <f t="shared" si="242"/>
        <v>0.17577464788732394</v>
      </c>
      <c r="AL453" s="51">
        <v>155</v>
      </c>
      <c r="AM453" s="52">
        <f t="shared" si="243"/>
        <v>0.13098591549295774</v>
      </c>
      <c r="AN453" s="42">
        <f t="shared" si="248"/>
        <v>0.36556603773584906</v>
      </c>
      <c r="AO453" s="53">
        <f t="shared" si="249"/>
        <v>157</v>
      </c>
      <c r="AP453" s="52">
        <f t="shared" si="250"/>
        <v>0.13267605633802815</v>
      </c>
      <c r="AQ453" s="42">
        <f t="shared" si="251"/>
        <v>0.61267605633802813</v>
      </c>
      <c r="AR453" s="46">
        <v>46254</v>
      </c>
      <c r="AS453" s="46">
        <v>46254</v>
      </c>
      <c r="AT453" s="50">
        <f t="shared" si="252"/>
        <v>10</v>
      </c>
      <c r="AU453" s="50">
        <f t="shared" si="244"/>
        <v>442</v>
      </c>
      <c r="AV453" s="50">
        <f t="shared" si="253"/>
        <v>360</v>
      </c>
      <c r="AW453" s="54">
        <f t="shared" si="254"/>
        <v>82</v>
      </c>
    </row>
    <row r="454" spans="1:49" x14ac:dyDescent="0.25">
      <c r="A454" s="33" t="s">
        <v>55</v>
      </c>
      <c r="B454" s="33" t="s">
        <v>509</v>
      </c>
      <c r="C454" s="33" t="s">
        <v>303</v>
      </c>
      <c r="D454" s="33" t="s">
        <v>578</v>
      </c>
      <c r="E454" s="34">
        <f>COUNTIF('Detalle por artículo'!$K$8:$K$592,D454)</f>
        <v>1</v>
      </c>
      <c r="F454" s="35">
        <f t="shared" si="226"/>
        <v>232.66666666666666</v>
      </c>
      <c r="G454" s="36">
        <f>SUMIF('Detalle por artículo'!$K$8:$K$592,$D454,'Detalle por artículo'!$E$8:$E$592)</f>
        <v>0.3</v>
      </c>
      <c r="H454" s="35">
        <f t="shared" si="227"/>
        <v>1</v>
      </c>
      <c r="I454" s="35">
        <f t="shared" si="228"/>
        <v>1</v>
      </c>
      <c r="J454" s="35">
        <f t="shared" si="229"/>
        <v>1</v>
      </c>
      <c r="K454" s="37">
        <f t="shared" si="230"/>
        <v>1.0714285714285714E-2</v>
      </c>
      <c r="L454" s="36">
        <f>SUMIF('Detalle por artículo'!$K$8:$K$592,$D454,'Detalle por artículo'!$O$8:$O$592)</f>
        <v>69.8</v>
      </c>
      <c r="M454" s="38">
        <f>SUMIF('Detalle por artículo'!$K$8:$K$592,$D454,'Detalle por artículo'!$I$8:$I$592)</f>
        <v>590</v>
      </c>
      <c r="N454" s="38">
        <f>SUMIF('Detalle por artículo'!$K$8:$K$592,$D454,'Detalle por artículo'!$M$8:$M$592)</f>
        <v>5</v>
      </c>
      <c r="O454" s="39">
        <f t="shared" si="231"/>
        <v>0.50847457627118642</v>
      </c>
      <c r="P454" s="40">
        <f t="shared" si="232"/>
        <v>118.30508474576271</v>
      </c>
      <c r="Q454" s="41">
        <f t="shared" si="233"/>
        <v>0.1</v>
      </c>
      <c r="R454" s="40">
        <f t="shared" si="234"/>
        <v>0.33</v>
      </c>
      <c r="S454" s="42">
        <f>IFERROR(SUM($G$8:G454)/$G$6,0)</f>
        <v>0.9997876059315417</v>
      </c>
      <c r="T454" s="43" t="str">
        <f t="shared" si="235"/>
        <v>C</v>
      </c>
      <c r="U454" s="44">
        <v>590</v>
      </c>
      <c r="V454" s="45">
        <f t="shared" si="245"/>
        <v>0</v>
      </c>
      <c r="W454" s="46">
        <v>46246</v>
      </c>
      <c r="X454" s="46">
        <v>46246</v>
      </c>
      <c r="Y454" s="47">
        <v>0</v>
      </c>
      <c r="Z454" s="48">
        <f t="shared" si="236"/>
        <v>0</v>
      </c>
      <c r="AA454" s="49">
        <f t="shared" si="237"/>
        <v>0</v>
      </c>
      <c r="AB454" s="44">
        <v>526</v>
      </c>
      <c r="AC454" s="44">
        <f t="shared" si="238"/>
        <v>395</v>
      </c>
      <c r="AD454" s="44">
        <f t="shared" si="239"/>
        <v>108</v>
      </c>
      <c r="AE454" s="50">
        <f t="shared" si="240"/>
        <v>48</v>
      </c>
      <c r="AF454" s="41">
        <f t="shared" si="241"/>
        <v>0.96</v>
      </c>
      <c r="AG454" s="44">
        <v>1</v>
      </c>
      <c r="AH454" s="44">
        <v>22</v>
      </c>
      <c r="AI454" s="42">
        <f t="shared" si="246"/>
        <v>0.66949152542372881</v>
      </c>
      <c r="AJ454" s="42">
        <f t="shared" si="247"/>
        <v>0.18305084745762712</v>
      </c>
      <c r="AK454" s="40">
        <f t="shared" si="242"/>
        <v>0.20084745762711864</v>
      </c>
      <c r="AL454" s="51">
        <v>61</v>
      </c>
      <c r="AM454" s="52">
        <f t="shared" si="243"/>
        <v>3.101694915254237E-2</v>
      </c>
      <c r="AN454" s="42">
        <f t="shared" si="248"/>
        <v>0.10338983050847457</v>
      </c>
      <c r="AO454" s="53">
        <f t="shared" si="249"/>
        <v>64</v>
      </c>
      <c r="AP454" s="52">
        <f t="shared" si="250"/>
        <v>3.2542372881355933E-2</v>
      </c>
      <c r="AQ454" s="42">
        <f t="shared" si="251"/>
        <v>0.85254237288135593</v>
      </c>
      <c r="AR454" s="46">
        <v>46254</v>
      </c>
      <c r="AS454" s="46">
        <v>46255</v>
      </c>
      <c r="AT454" s="50">
        <f t="shared" si="252"/>
        <v>9</v>
      </c>
      <c r="AU454" s="50">
        <f t="shared" si="244"/>
        <v>404</v>
      </c>
      <c r="AV454" s="50">
        <f t="shared" si="253"/>
        <v>255</v>
      </c>
      <c r="AW454" s="54">
        <f t="shared" si="254"/>
        <v>149</v>
      </c>
    </row>
    <row r="455" spans="1:49" x14ac:dyDescent="0.25">
      <c r="A455" s="33" t="s">
        <v>527</v>
      </c>
      <c r="B455" s="33" t="s">
        <v>528</v>
      </c>
      <c r="C455" s="33" t="s">
        <v>529</v>
      </c>
      <c r="D455" s="33" t="s">
        <v>579</v>
      </c>
      <c r="E455" s="34">
        <f>COUNTIF('Detalle por artículo'!$K$8:$K$592,D455)</f>
        <v>1</v>
      </c>
      <c r="F455" s="35">
        <f t="shared" si="226"/>
        <v>123.44827586206897</v>
      </c>
      <c r="G455" s="36">
        <f>SUMIF('Detalle por artículo'!$K$8:$K$592,$D455,'Detalle por artículo'!$E$8:$E$592)</f>
        <v>0.28999999999999998</v>
      </c>
      <c r="H455" s="35">
        <f t="shared" si="227"/>
        <v>1</v>
      </c>
      <c r="I455" s="35">
        <f t="shared" si="228"/>
        <v>1</v>
      </c>
      <c r="J455" s="35">
        <f t="shared" si="229"/>
        <v>1</v>
      </c>
      <c r="K455" s="37">
        <f t="shared" si="230"/>
        <v>1.0357142857142856E-2</v>
      </c>
      <c r="L455" s="36">
        <f>SUMIF('Detalle por artículo'!$K$8:$K$592,$D455,'Detalle por artículo'!$O$8:$O$592)</f>
        <v>35.799999999999997</v>
      </c>
      <c r="M455" s="38">
        <f>SUMIF('Detalle por artículo'!$K$8:$K$592,$D455,'Detalle por artículo'!$I$8:$I$592)</f>
        <v>400</v>
      </c>
      <c r="N455" s="38">
        <f>SUMIF('Detalle por artículo'!$K$8:$K$592,$D455,'Detalle por artículo'!$M$8:$M$592)</f>
        <v>3</v>
      </c>
      <c r="O455" s="39">
        <f t="shared" si="231"/>
        <v>0.72499999999999998</v>
      </c>
      <c r="P455" s="40">
        <f t="shared" si="232"/>
        <v>89.5</v>
      </c>
      <c r="Q455" s="41">
        <f t="shared" si="233"/>
        <v>0.15</v>
      </c>
      <c r="R455" s="40">
        <f t="shared" si="234"/>
        <v>0.33349999999999996</v>
      </c>
      <c r="S455" s="42">
        <f>IFERROR(SUM($G$8:G455)/$G$6,0)</f>
        <v>0.99989417042955708</v>
      </c>
      <c r="T455" s="43" t="str">
        <f t="shared" si="235"/>
        <v>C</v>
      </c>
      <c r="U455" s="44">
        <v>400</v>
      </c>
      <c r="V455" s="45">
        <f t="shared" si="245"/>
        <v>0</v>
      </c>
      <c r="W455" s="46">
        <v>46296</v>
      </c>
      <c r="X455" s="46">
        <v>46296</v>
      </c>
      <c r="Y455" s="47">
        <v>0</v>
      </c>
      <c r="Z455" s="48">
        <f t="shared" si="236"/>
        <v>0</v>
      </c>
      <c r="AA455" s="49">
        <f t="shared" si="237"/>
        <v>0</v>
      </c>
      <c r="AB455" s="44">
        <v>4</v>
      </c>
      <c r="AC455" s="44">
        <f t="shared" si="238"/>
        <v>94</v>
      </c>
      <c r="AD455" s="44">
        <f t="shared" si="239"/>
        <v>0</v>
      </c>
      <c r="AE455" s="50">
        <f t="shared" si="240"/>
        <v>47</v>
      </c>
      <c r="AF455" s="41">
        <f t="shared" si="241"/>
        <v>0.94</v>
      </c>
      <c r="AG455" s="44">
        <v>0</v>
      </c>
      <c r="AH455" s="44">
        <v>0</v>
      </c>
      <c r="AI455" s="42">
        <f t="shared" si="246"/>
        <v>0.23499999999999999</v>
      </c>
      <c r="AJ455" s="42">
        <f t="shared" si="247"/>
        <v>0</v>
      </c>
      <c r="AK455" s="40">
        <f t="shared" si="242"/>
        <v>6.8149999999999988E-2</v>
      </c>
      <c r="AL455" s="51">
        <v>396</v>
      </c>
      <c r="AM455" s="52">
        <f t="shared" si="243"/>
        <v>0.28709999999999997</v>
      </c>
      <c r="AN455" s="42">
        <f t="shared" si="248"/>
        <v>0.99</v>
      </c>
      <c r="AO455" s="53">
        <f t="shared" si="249"/>
        <v>396</v>
      </c>
      <c r="AP455" s="52">
        <f t="shared" si="250"/>
        <v>0.28709999999999997</v>
      </c>
      <c r="AQ455" s="42">
        <f t="shared" si="251"/>
        <v>0.23499999999999999</v>
      </c>
      <c r="AR455" s="46">
        <v>46315</v>
      </c>
      <c r="AS455" s="46">
        <v>46317</v>
      </c>
      <c r="AT455" s="50">
        <f t="shared" si="252"/>
        <v>21</v>
      </c>
      <c r="AU455" s="50">
        <f t="shared" si="244"/>
        <v>455</v>
      </c>
      <c r="AV455" s="50">
        <f t="shared" si="253"/>
        <v>422</v>
      </c>
      <c r="AW455" s="54">
        <f t="shared" si="254"/>
        <v>33</v>
      </c>
    </row>
    <row r="456" spans="1:49" x14ac:dyDescent="0.25">
      <c r="A456" s="33" t="s">
        <v>120</v>
      </c>
      <c r="B456" s="33" t="s">
        <v>576</v>
      </c>
      <c r="C456" s="33" t="s">
        <v>264</v>
      </c>
      <c r="D456" s="33" t="s">
        <v>580</v>
      </c>
      <c r="E456" s="34">
        <f>COUNTIF('Detalle por artículo'!$K$8:$K$592,D456)</f>
        <v>1</v>
      </c>
      <c r="F456" s="35">
        <f t="shared" ref="F456:F474" si="255">IFERROR(L456/G456,0)</f>
        <v>221.5277777777778</v>
      </c>
      <c r="G456" s="36">
        <f>SUMIF('Detalle por artículo'!$K$8:$K$592,$D456,'Detalle por artículo'!$E$8:$E$592)</f>
        <v>0.28799999999999998</v>
      </c>
      <c r="H456" s="35">
        <f t="shared" ref="H456:H474" si="256">ROUNDUP(G456/1.54,0)</f>
        <v>1</v>
      </c>
      <c r="I456" s="35">
        <f t="shared" ref="I456:I474" si="257">ROUNDUP(G456/0.77,0)</f>
        <v>1</v>
      </c>
      <c r="J456" s="35">
        <f t="shared" ref="J456:J474" si="258">ROUNDUP(G456/0.385,0)</f>
        <v>1</v>
      </c>
      <c r="K456" s="37">
        <f t="shared" ref="K456:K474" si="259">G456/28</f>
        <v>1.0285714285714285E-2</v>
      </c>
      <c r="L456" s="36">
        <f>SUMIF('Detalle por artículo'!$K$8:$K$592,$D456,'Detalle por artículo'!$O$8:$O$592)</f>
        <v>63.800000000000004</v>
      </c>
      <c r="M456" s="38">
        <f>SUMIF('Detalle por artículo'!$K$8:$K$592,$D456,'Detalle por artículo'!$I$8:$I$592)</f>
        <v>348</v>
      </c>
      <c r="N456" s="38">
        <f>SUMIF('Detalle por artículo'!$K$8:$K$592,$D456,'Detalle por artículo'!$M$8:$M$592)</f>
        <v>3</v>
      </c>
      <c r="O456" s="39">
        <f t="shared" ref="O456:O474" si="260">IFERROR(G456/M456*1000,0)</f>
        <v>0.82758620689655171</v>
      </c>
      <c r="P456" s="40">
        <f t="shared" ref="P456:P474" si="261">IFERROR(L456/M456*1000,0)</f>
        <v>183.33333333333334</v>
      </c>
      <c r="Q456" s="41">
        <f t="shared" ref="Q456:Q474" si="262">IF(F456=0,0,IF(F456&lt;120,0.2,IF(F456&gt;200,0.1,0.15)))</f>
        <v>0.1</v>
      </c>
      <c r="R456" s="40">
        <f t="shared" ref="R456:R474" si="263">G456*(1+Q456)</f>
        <v>0.31680000000000003</v>
      </c>
      <c r="S456" s="42">
        <f>IFERROR(SUM($G$8:G456)/$G$6,0)</f>
        <v>1</v>
      </c>
      <c r="T456" s="43" t="str">
        <f t="shared" ref="T456:T474" si="264">IF(S456&lt;=0.5,"A",IF(S456&lt;=0.84,"B","C"))</f>
        <v>C</v>
      </c>
      <c r="U456" s="44">
        <v>348</v>
      </c>
      <c r="V456" s="45">
        <f t="shared" si="245"/>
        <v>0</v>
      </c>
      <c r="W456" s="46">
        <v>46237</v>
      </c>
      <c r="X456" s="46">
        <v>46237</v>
      </c>
      <c r="Y456" s="47">
        <v>0</v>
      </c>
      <c r="Z456" s="48">
        <f t="shared" ref="Z456:Z474" si="265">Y456*O456/1000</f>
        <v>0</v>
      </c>
      <c r="AA456" s="49">
        <f t="shared" ref="AA456:AA474" si="266">Z456/28</f>
        <v>0</v>
      </c>
      <c r="AB456" s="44">
        <v>309</v>
      </c>
      <c r="AC456" s="44">
        <f t="shared" ref="AC456:AC474" si="267">IFERROR(INDEX(IMP_TOT,MATCH(D456,IMP_MOD,0)),0)</f>
        <v>242</v>
      </c>
      <c r="AD456" s="44">
        <f t="shared" ref="AD456:AD474" si="268">IFERROR(INDEX(REP_TOT,MATCH(D456,REP_MOD,0)),0)</f>
        <v>59</v>
      </c>
      <c r="AE456" s="50">
        <f t="shared" ref="AE456:AE474" si="269">IFERROR(INDEX(IMP_NT,MATCH(D456,IMP_MOD,0)),0)</f>
        <v>33</v>
      </c>
      <c r="AF456" s="41">
        <f t="shared" ref="AF456:AF474" si="270">IFERROR(AE456/TIENDAS,0)</f>
        <v>0.66</v>
      </c>
      <c r="AG456" s="44">
        <v>1</v>
      </c>
      <c r="AH456" s="44">
        <v>7</v>
      </c>
      <c r="AI456" s="42">
        <f t="shared" si="246"/>
        <v>0.6954022988505747</v>
      </c>
      <c r="AJ456" s="42">
        <f t="shared" si="247"/>
        <v>0.16954022988505746</v>
      </c>
      <c r="AK456" s="40">
        <f t="shared" ref="AK456:AK474" si="271">AC456*O456/1000</f>
        <v>0.20027586206896553</v>
      </c>
      <c r="AL456" s="51">
        <v>39</v>
      </c>
      <c r="AM456" s="52">
        <f t="shared" ref="AM456:AM474" si="272">AL456*O456/1000</f>
        <v>3.2275862068965516E-2</v>
      </c>
      <c r="AN456" s="42">
        <f t="shared" si="248"/>
        <v>0.11206896551724138</v>
      </c>
      <c r="AO456" s="53">
        <f t="shared" si="249"/>
        <v>39</v>
      </c>
      <c r="AP456" s="52">
        <f t="shared" si="250"/>
        <v>3.2275862068965516E-2</v>
      </c>
      <c r="AQ456" s="42">
        <f t="shared" si="251"/>
        <v>0.86494252873563215</v>
      </c>
      <c r="AR456" s="46">
        <v>46254</v>
      </c>
      <c r="AS456" s="46">
        <v>46254</v>
      </c>
      <c r="AT456" s="50">
        <f t="shared" si="252"/>
        <v>17</v>
      </c>
      <c r="AU456" s="50">
        <f t="shared" ref="AU456:AU474" si="273">IF(M456=0,"",RANK(M456,$M$8:$M$474))</f>
        <v>467</v>
      </c>
      <c r="AV456" s="50">
        <f t="shared" si="253"/>
        <v>343</v>
      </c>
      <c r="AW456" s="54">
        <f t="shared" si="254"/>
        <v>124</v>
      </c>
    </row>
    <row r="457" spans="1:49" x14ac:dyDescent="0.25">
      <c r="A457" s="33" t="s">
        <v>63</v>
      </c>
      <c r="B457" s="33" t="s">
        <v>102</v>
      </c>
      <c r="C457" s="33" t="s">
        <v>132</v>
      </c>
      <c r="D457" s="33" t="s">
        <v>581</v>
      </c>
      <c r="E457" s="34">
        <f>COUNTIF('Detalle por artículo'!$K$8:$K$592,D457)</f>
        <v>1</v>
      </c>
      <c r="F457" s="35">
        <f t="shared" si="255"/>
        <v>0</v>
      </c>
      <c r="G457" s="36">
        <f>SUMIF('Detalle por artículo'!$K$8:$K$592,$D457,'Detalle por artículo'!$E$8:$E$592)</f>
        <v>0</v>
      </c>
      <c r="H457" s="35">
        <f t="shared" si="256"/>
        <v>0</v>
      </c>
      <c r="I457" s="35">
        <f t="shared" si="257"/>
        <v>0</v>
      </c>
      <c r="J457" s="35">
        <f t="shared" si="258"/>
        <v>0</v>
      </c>
      <c r="K457" s="37">
        <f t="shared" si="259"/>
        <v>0</v>
      </c>
      <c r="L457" s="36">
        <f>SUMIF('Detalle por artículo'!$K$8:$K$592,$D457,'Detalle por artículo'!$O$8:$O$592)</f>
        <v>645.79999999999995</v>
      </c>
      <c r="M457" s="38">
        <f>SUMIF('Detalle por artículo'!$K$8:$K$592,$D457,'Detalle por artículo'!$I$8:$I$592)</f>
        <v>987</v>
      </c>
      <c r="N457" s="38">
        <f>SUMIF('Detalle por artículo'!$K$8:$K$592,$D457,'Detalle por artículo'!$M$8:$M$592)</f>
        <v>33</v>
      </c>
      <c r="O457" s="39">
        <f t="shared" si="260"/>
        <v>0</v>
      </c>
      <c r="P457" s="40">
        <f t="shared" si="261"/>
        <v>654.30597771023304</v>
      </c>
      <c r="Q457" s="41">
        <f t="shared" si="262"/>
        <v>0</v>
      </c>
      <c r="R457" s="40">
        <f t="shared" si="263"/>
        <v>0</v>
      </c>
      <c r="S457" s="42">
        <f>IFERROR(SUM($G$8:G457)/$G$6,0)</f>
        <v>1</v>
      </c>
      <c r="T457" s="43" t="str">
        <f t="shared" si="264"/>
        <v>C</v>
      </c>
      <c r="U457" s="44">
        <v>987</v>
      </c>
      <c r="V457" s="45">
        <f t="shared" si="245"/>
        <v>0</v>
      </c>
      <c r="W457" s="46">
        <v>46198</v>
      </c>
      <c r="X457" s="46">
        <v>46198</v>
      </c>
      <c r="Y457" s="47">
        <v>0</v>
      </c>
      <c r="Z457" s="48">
        <f t="shared" si="265"/>
        <v>0</v>
      </c>
      <c r="AA457" s="49">
        <f t="shared" si="266"/>
        <v>0</v>
      </c>
      <c r="AB457" s="44">
        <v>639</v>
      </c>
      <c r="AC457" s="44">
        <f t="shared" si="267"/>
        <v>410</v>
      </c>
      <c r="AD457" s="44">
        <f t="shared" si="268"/>
        <v>220</v>
      </c>
      <c r="AE457" s="50">
        <f t="shared" si="269"/>
        <v>47</v>
      </c>
      <c r="AF457" s="41">
        <f t="shared" si="270"/>
        <v>0.94</v>
      </c>
      <c r="AG457" s="44">
        <v>1</v>
      </c>
      <c r="AH457" s="44">
        <v>8</v>
      </c>
      <c r="AI457" s="42">
        <f t="shared" si="246"/>
        <v>0.41540020263424521</v>
      </c>
      <c r="AJ457" s="42">
        <f t="shared" si="247"/>
        <v>0.22289766970618036</v>
      </c>
      <c r="AK457" s="40">
        <f t="shared" si="271"/>
        <v>0</v>
      </c>
      <c r="AL457" s="51">
        <v>347</v>
      </c>
      <c r="AM457" s="52">
        <f t="shared" si="272"/>
        <v>0</v>
      </c>
      <c r="AN457" s="42">
        <f t="shared" si="248"/>
        <v>0.35157041540020262</v>
      </c>
      <c r="AO457" s="53">
        <f t="shared" si="249"/>
        <v>348</v>
      </c>
      <c r="AP457" s="52">
        <f t="shared" si="250"/>
        <v>0</v>
      </c>
      <c r="AQ457" s="42">
        <f t="shared" si="251"/>
        <v>0.63829787234042556</v>
      </c>
      <c r="AR457" s="46">
        <v>46213</v>
      </c>
      <c r="AS457" s="46">
        <v>46213</v>
      </c>
      <c r="AT457" s="50">
        <f t="shared" si="252"/>
        <v>15</v>
      </c>
      <c r="AU457" s="50">
        <f t="shared" si="273"/>
        <v>174</v>
      </c>
      <c r="AV457" s="50">
        <f t="shared" si="253"/>
        <v>162</v>
      </c>
      <c r="AW457" s="54">
        <f t="shared" si="254"/>
        <v>12</v>
      </c>
    </row>
    <row r="458" spans="1:49" x14ac:dyDescent="0.25">
      <c r="A458" s="33" t="s">
        <v>63</v>
      </c>
      <c r="B458" s="33" t="s">
        <v>102</v>
      </c>
      <c r="C458" s="33" t="s">
        <v>132</v>
      </c>
      <c r="D458" s="33" t="s">
        <v>582</v>
      </c>
      <c r="E458" s="34">
        <f>COUNTIF('Detalle por artículo'!$K$8:$K$592,D458)</f>
        <v>1</v>
      </c>
      <c r="F458" s="35">
        <f t="shared" si="255"/>
        <v>0</v>
      </c>
      <c r="G458" s="36">
        <f>SUMIF('Detalle por artículo'!$K$8:$K$592,$D458,'Detalle por artículo'!$E$8:$E$592)</f>
        <v>0</v>
      </c>
      <c r="H458" s="35">
        <f t="shared" si="256"/>
        <v>0</v>
      </c>
      <c r="I458" s="35">
        <f t="shared" si="257"/>
        <v>0</v>
      </c>
      <c r="J458" s="35">
        <f t="shared" si="258"/>
        <v>0</v>
      </c>
      <c r="K458" s="37">
        <f t="shared" si="259"/>
        <v>0</v>
      </c>
      <c r="L458" s="36">
        <f>SUMIF('Detalle por artículo'!$K$8:$K$592,$D458,'Detalle por artículo'!$O$8:$O$592)</f>
        <v>651.30000000000007</v>
      </c>
      <c r="M458" s="38">
        <f>SUMIF('Detalle por artículo'!$K$8:$K$592,$D458,'Detalle por artículo'!$I$8:$I$592)</f>
        <v>957</v>
      </c>
      <c r="N458" s="38">
        <f>SUMIF('Detalle por artículo'!$K$8:$K$592,$D458,'Detalle por artículo'!$M$8:$M$592)</f>
        <v>34</v>
      </c>
      <c r="O458" s="39">
        <f t="shared" si="260"/>
        <v>0</v>
      </c>
      <c r="P458" s="40">
        <f t="shared" si="261"/>
        <v>680.56426332288413</v>
      </c>
      <c r="Q458" s="41">
        <f t="shared" si="262"/>
        <v>0</v>
      </c>
      <c r="R458" s="40">
        <f t="shared" si="263"/>
        <v>0</v>
      </c>
      <c r="S458" s="42">
        <f>IFERROR(SUM($G$8:G458)/$G$6,0)</f>
        <v>1</v>
      </c>
      <c r="T458" s="43" t="str">
        <f t="shared" si="264"/>
        <v>C</v>
      </c>
      <c r="U458" s="44">
        <v>957</v>
      </c>
      <c r="V458" s="45">
        <f t="shared" si="245"/>
        <v>0</v>
      </c>
      <c r="W458" s="46">
        <v>46198</v>
      </c>
      <c r="X458" s="46">
        <v>46198</v>
      </c>
      <c r="Y458" s="47">
        <v>0</v>
      </c>
      <c r="Z458" s="48">
        <f t="shared" si="265"/>
        <v>0</v>
      </c>
      <c r="AA458" s="49">
        <f t="shared" si="266"/>
        <v>0</v>
      </c>
      <c r="AB458" s="44">
        <v>865</v>
      </c>
      <c r="AC458" s="44">
        <f t="shared" si="267"/>
        <v>460</v>
      </c>
      <c r="AD458" s="44">
        <f t="shared" si="268"/>
        <v>402</v>
      </c>
      <c r="AE458" s="50">
        <f t="shared" si="269"/>
        <v>48</v>
      </c>
      <c r="AF458" s="41">
        <f t="shared" si="270"/>
        <v>0.96</v>
      </c>
      <c r="AG458" s="44">
        <v>3</v>
      </c>
      <c r="AH458" s="44">
        <v>0</v>
      </c>
      <c r="AI458" s="42">
        <f t="shared" si="246"/>
        <v>0.48066875653082547</v>
      </c>
      <c r="AJ458" s="42">
        <f t="shared" si="247"/>
        <v>0.42006269592476492</v>
      </c>
      <c r="AK458" s="40">
        <f t="shared" si="271"/>
        <v>0</v>
      </c>
      <c r="AL458" s="51">
        <v>91</v>
      </c>
      <c r="AM458" s="52">
        <f t="shared" si="272"/>
        <v>0</v>
      </c>
      <c r="AN458" s="42">
        <f t="shared" si="248"/>
        <v>9.5088819226750262E-2</v>
      </c>
      <c r="AO458" s="53">
        <f t="shared" si="249"/>
        <v>92</v>
      </c>
      <c r="AP458" s="52">
        <f t="shared" si="250"/>
        <v>0</v>
      </c>
      <c r="AQ458" s="42">
        <f t="shared" si="251"/>
        <v>0.90073145245559039</v>
      </c>
      <c r="AR458" s="46">
        <v>46213</v>
      </c>
      <c r="AS458" s="46">
        <v>46213</v>
      </c>
      <c r="AT458" s="50">
        <f t="shared" si="252"/>
        <v>15</v>
      </c>
      <c r="AU458" s="50">
        <f t="shared" si="273"/>
        <v>181</v>
      </c>
      <c r="AV458" s="50">
        <f t="shared" si="253"/>
        <v>83</v>
      </c>
      <c r="AW458" s="54">
        <f t="shared" si="254"/>
        <v>98</v>
      </c>
    </row>
    <row r="459" spans="1:49" x14ac:dyDescent="0.25">
      <c r="A459" s="33" t="s">
        <v>63</v>
      </c>
      <c r="B459" s="33" t="s">
        <v>102</v>
      </c>
      <c r="C459" s="33" t="s">
        <v>132</v>
      </c>
      <c r="D459" s="33" t="s">
        <v>583</v>
      </c>
      <c r="E459" s="34">
        <f>COUNTIF('Detalle por artículo'!$K$8:$K$592,D459)</f>
        <v>1</v>
      </c>
      <c r="F459" s="35">
        <f t="shared" si="255"/>
        <v>0</v>
      </c>
      <c r="G459" s="36">
        <f>SUMIF('Detalle por artículo'!$K$8:$K$592,$D459,'Detalle por artículo'!$E$8:$E$592)</f>
        <v>0</v>
      </c>
      <c r="H459" s="35">
        <f t="shared" si="256"/>
        <v>0</v>
      </c>
      <c r="I459" s="35">
        <f t="shared" si="257"/>
        <v>0</v>
      </c>
      <c r="J459" s="35">
        <f t="shared" si="258"/>
        <v>0</v>
      </c>
      <c r="K459" s="37">
        <f t="shared" si="259"/>
        <v>0</v>
      </c>
      <c r="L459" s="36">
        <f>SUMIF('Detalle por artículo'!$K$8:$K$592,$D459,'Detalle por artículo'!$O$8:$O$592)</f>
        <v>892.19999999999993</v>
      </c>
      <c r="M459" s="38">
        <f>SUMIF('Detalle por artículo'!$K$8:$K$592,$D459,'Detalle por artículo'!$I$8:$I$592)</f>
        <v>1257</v>
      </c>
      <c r="N459" s="38">
        <f>SUMIF('Detalle por artículo'!$K$8:$K$592,$D459,'Detalle por artículo'!$M$8:$M$592)</f>
        <v>46</v>
      </c>
      <c r="O459" s="39">
        <f t="shared" si="260"/>
        <v>0</v>
      </c>
      <c r="P459" s="40">
        <f t="shared" si="261"/>
        <v>709.78520286396179</v>
      </c>
      <c r="Q459" s="41">
        <f t="shared" si="262"/>
        <v>0</v>
      </c>
      <c r="R459" s="40">
        <f t="shared" si="263"/>
        <v>0</v>
      </c>
      <c r="S459" s="42">
        <f>IFERROR(SUM($G$8:G459)/$G$6,0)</f>
        <v>1</v>
      </c>
      <c r="T459" s="43" t="str">
        <f t="shared" si="264"/>
        <v>C</v>
      </c>
      <c r="U459" s="44">
        <v>1257</v>
      </c>
      <c r="V459" s="45">
        <f t="shared" si="245"/>
        <v>0</v>
      </c>
      <c r="W459" s="46">
        <v>46198</v>
      </c>
      <c r="X459" s="46">
        <v>46198</v>
      </c>
      <c r="Y459" s="47">
        <v>0</v>
      </c>
      <c r="Z459" s="48">
        <f t="shared" si="265"/>
        <v>0</v>
      </c>
      <c r="AA459" s="49">
        <f t="shared" si="266"/>
        <v>0</v>
      </c>
      <c r="AB459" s="44">
        <v>861</v>
      </c>
      <c r="AC459" s="44">
        <f t="shared" si="267"/>
        <v>498</v>
      </c>
      <c r="AD459" s="44">
        <f t="shared" si="268"/>
        <v>360</v>
      </c>
      <c r="AE459" s="50">
        <f t="shared" si="269"/>
        <v>49</v>
      </c>
      <c r="AF459" s="41">
        <f t="shared" si="270"/>
        <v>0.98</v>
      </c>
      <c r="AG459" s="44">
        <v>3</v>
      </c>
      <c r="AH459" s="44">
        <v>0</v>
      </c>
      <c r="AI459" s="42">
        <f t="shared" si="246"/>
        <v>0.39618138424821003</v>
      </c>
      <c r="AJ459" s="42">
        <f t="shared" si="247"/>
        <v>0.28639618138424822</v>
      </c>
      <c r="AK459" s="40">
        <f t="shared" si="271"/>
        <v>0</v>
      </c>
      <c r="AL459" s="51">
        <v>395</v>
      </c>
      <c r="AM459" s="52">
        <f t="shared" si="272"/>
        <v>0</v>
      </c>
      <c r="AN459" s="42">
        <f t="shared" si="248"/>
        <v>0.31424025457438343</v>
      </c>
      <c r="AO459" s="53">
        <f t="shared" si="249"/>
        <v>396</v>
      </c>
      <c r="AP459" s="52">
        <f t="shared" si="250"/>
        <v>0</v>
      </c>
      <c r="AQ459" s="42">
        <f t="shared" si="251"/>
        <v>0.68257756563245819</v>
      </c>
      <c r="AR459" s="46">
        <v>46213</v>
      </c>
      <c r="AS459" s="46">
        <v>46213</v>
      </c>
      <c r="AT459" s="50">
        <f t="shared" si="252"/>
        <v>15</v>
      </c>
      <c r="AU459" s="50">
        <f t="shared" si="273"/>
        <v>130</v>
      </c>
      <c r="AV459" s="50">
        <f t="shared" si="253"/>
        <v>84</v>
      </c>
      <c r="AW459" s="54">
        <f t="shared" si="254"/>
        <v>46</v>
      </c>
    </row>
    <row r="460" spans="1:49" x14ac:dyDescent="0.25">
      <c r="A460" s="33" t="s">
        <v>63</v>
      </c>
      <c r="B460" s="33" t="s">
        <v>102</v>
      </c>
      <c r="C460" s="33" t="s">
        <v>132</v>
      </c>
      <c r="D460" s="33" t="s">
        <v>584</v>
      </c>
      <c r="E460" s="34">
        <f>COUNTIF('Detalle por artículo'!$K$8:$K$592,D460)</f>
        <v>1</v>
      </c>
      <c r="F460" s="35">
        <f t="shared" si="255"/>
        <v>0</v>
      </c>
      <c r="G460" s="36">
        <f>SUMIF('Detalle por artículo'!$K$8:$K$592,$D460,'Detalle por artículo'!$E$8:$E$592)</f>
        <v>0</v>
      </c>
      <c r="H460" s="35">
        <f t="shared" si="256"/>
        <v>0</v>
      </c>
      <c r="I460" s="35">
        <f t="shared" si="257"/>
        <v>0</v>
      </c>
      <c r="J460" s="35">
        <f t="shared" si="258"/>
        <v>0</v>
      </c>
      <c r="K460" s="37">
        <f t="shared" si="259"/>
        <v>0</v>
      </c>
      <c r="L460" s="36">
        <f>SUMIF('Detalle por artículo'!$K$8:$K$592,$D460,'Detalle por artículo'!$O$8:$O$592)</f>
        <v>833</v>
      </c>
      <c r="M460" s="38">
        <f>SUMIF('Detalle por artículo'!$K$8:$K$592,$D460,'Detalle por artículo'!$I$8:$I$592)</f>
        <v>1231</v>
      </c>
      <c r="N460" s="38">
        <f>SUMIF('Detalle por artículo'!$K$8:$K$592,$D460,'Detalle por artículo'!$M$8:$M$592)</f>
        <v>43</v>
      </c>
      <c r="O460" s="39">
        <f t="shared" si="260"/>
        <v>0</v>
      </c>
      <c r="P460" s="40">
        <f t="shared" si="261"/>
        <v>676.68562144597888</v>
      </c>
      <c r="Q460" s="41">
        <f t="shared" si="262"/>
        <v>0</v>
      </c>
      <c r="R460" s="40">
        <f t="shared" si="263"/>
        <v>0</v>
      </c>
      <c r="S460" s="42">
        <f>IFERROR(SUM($G$8:G460)/$G$6,0)</f>
        <v>1</v>
      </c>
      <c r="T460" s="43" t="str">
        <f t="shared" si="264"/>
        <v>C</v>
      </c>
      <c r="U460" s="44">
        <v>1231</v>
      </c>
      <c r="V460" s="45">
        <f t="shared" si="245"/>
        <v>0</v>
      </c>
      <c r="W460" s="46">
        <v>46198</v>
      </c>
      <c r="X460" s="46">
        <v>46198</v>
      </c>
      <c r="Y460" s="47">
        <v>0</v>
      </c>
      <c r="Z460" s="48">
        <f t="shared" si="265"/>
        <v>0</v>
      </c>
      <c r="AA460" s="49">
        <f t="shared" si="266"/>
        <v>0</v>
      </c>
      <c r="AB460" s="44">
        <v>902</v>
      </c>
      <c r="AC460" s="44">
        <f t="shared" si="267"/>
        <v>414</v>
      </c>
      <c r="AD460" s="44">
        <f t="shared" si="268"/>
        <v>476</v>
      </c>
      <c r="AE460" s="50">
        <f t="shared" si="269"/>
        <v>48</v>
      </c>
      <c r="AF460" s="41">
        <f t="shared" si="270"/>
        <v>0.96</v>
      </c>
      <c r="AG460" s="44">
        <v>4</v>
      </c>
      <c r="AH460" s="44">
        <v>8</v>
      </c>
      <c r="AI460" s="42">
        <f t="shared" si="246"/>
        <v>0.33631194151096672</v>
      </c>
      <c r="AJ460" s="42">
        <f t="shared" si="247"/>
        <v>0.38667749796913081</v>
      </c>
      <c r="AK460" s="40">
        <f t="shared" si="271"/>
        <v>0</v>
      </c>
      <c r="AL460" s="51">
        <v>328</v>
      </c>
      <c r="AM460" s="52">
        <f t="shared" si="272"/>
        <v>0</v>
      </c>
      <c r="AN460" s="42">
        <f t="shared" si="248"/>
        <v>0.26645004061738425</v>
      </c>
      <c r="AO460" s="53">
        <f t="shared" si="249"/>
        <v>329</v>
      </c>
      <c r="AP460" s="52">
        <f t="shared" si="250"/>
        <v>0</v>
      </c>
      <c r="AQ460" s="42">
        <f t="shared" si="251"/>
        <v>0.72298943948009753</v>
      </c>
      <c r="AR460" s="46">
        <v>46213</v>
      </c>
      <c r="AS460" s="46">
        <v>46213</v>
      </c>
      <c r="AT460" s="50">
        <f t="shared" si="252"/>
        <v>15</v>
      </c>
      <c r="AU460" s="50">
        <f t="shared" si="273"/>
        <v>133</v>
      </c>
      <c r="AV460" s="50">
        <f t="shared" si="253"/>
        <v>81</v>
      </c>
      <c r="AW460" s="54">
        <f t="shared" si="254"/>
        <v>52</v>
      </c>
    </row>
    <row r="461" spans="1:49" x14ac:dyDescent="0.25">
      <c r="A461" s="33" t="s">
        <v>63</v>
      </c>
      <c r="B461" s="33" t="s">
        <v>102</v>
      </c>
      <c r="C461" s="33" t="s">
        <v>132</v>
      </c>
      <c r="D461" s="33" t="s">
        <v>585</v>
      </c>
      <c r="E461" s="34">
        <f>COUNTIF('Detalle por artículo'!$K$8:$K$592,D461)</f>
        <v>1</v>
      </c>
      <c r="F461" s="35">
        <f t="shared" si="255"/>
        <v>0</v>
      </c>
      <c r="G461" s="36">
        <f>SUMIF('Detalle por artículo'!$K$8:$K$592,$D461,'Detalle por artículo'!$E$8:$E$592)</f>
        <v>0</v>
      </c>
      <c r="H461" s="35">
        <f t="shared" si="256"/>
        <v>0</v>
      </c>
      <c r="I461" s="35">
        <f t="shared" si="257"/>
        <v>0</v>
      </c>
      <c r="J461" s="35">
        <f t="shared" si="258"/>
        <v>0</v>
      </c>
      <c r="K461" s="37">
        <f t="shared" si="259"/>
        <v>0</v>
      </c>
      <c r="L461" s="36">
        <f>SUMIF('Detalle por artículo'!$K$8:$K$592,$D461,'Detalle por artículo'!$O$8:$O$592)</f>
        <v>686.5</v>
      </c>
      <c r="M461" s="38">
        <f>SUMIF('Detalle por artículo'!$K$8:$K$592,$D461,'Detalle por artículo'!$I$8:$I$592)</f>
        <v>964</v>
      </c>
      <c r="N461" s="38">
        <f>SUMIF('Detalle por artículo'!$K$8:$K$592,$D461,'Detalle por artículo'!$M$8:$M$592)</f>
        <v>36</v>
      </c>
      <c r="O461" s="39">
        <f t="shared" si="260"/>
        <v>0</v>
      </c>
      <c r="P461" s="40">
        <f t="shared" si="261"/>
        <v>712.13692946058097</v>
      </c>
      <c r="Q461" s="41">
        <f t="shared" si="262"/>
        <v>0</v>
      </c>
      <c r="R461" s="40">
        <f t="shared" si="263"/>
        <v>0</v>
      </c>
      <c r="S461" s="42">
        <f>IFERROR(SUM($G$8:G461)/$G$6,0)</f>
        <v>1</v>
      </c>
      <c r="T461" s="43" t="str">
        <f t="shared" si="264"/>
        <v>C</v>
      </c>
      <c r="U461" s="44">
        <v>964</v>
      </c>
      <c r="V461" s="45">
        <f t="shared" si="245"/>
        <v>0</v>
      </c>
      <c r="W461" s="46">
        <v>46198</v>
      </c>
      <c r="X461" s="46">
        <v>46198</v>
      </c>
      <c r="Y461" s="47">
        <v>0</v>
      </c>
      <c r="Z461" s="48">
        <f t="shared" si="265"/>
        <v>0</v>
      </c>
      <c r="AA461" s="49">
        <f t="shared" si="266"/>
        <v>0</v>
      </c>
      <c r="AB461" s="44">
        <v>812</v>
      </c>
      <c r="AC461" s="44">
        <f t="shared" si="267"/>
        <v>458</v>
      </c>
      <c r="AD461" s="44">
        <f t="shared" si="268"/>
        <v>353</v>
      </c>
      <c r="AE461" s="50">
        <f t="shared" si="269"/>
        <v>48</v>
      </c>
      <c r="AF461" s="41">
        <f t="shared" si="270"/>
        <v>0.96</v>
      </c>
      <c r="AG461" s="44">
        <v>1</v>
      </c>
      <c r="AH461" s="44">
        <v>0</v>
      </c>
      <c r="AI461" s="42">
        <f t="shared" si="246"/>
        <v>0.475103734439834</v>
      </c>
      <c r="AJ461" s="42">
        <f t="shared" si="247"/>
        <v>0.36618257261410786</v>
      </c>
      <c r="AK461" s="40">
        <f t="shared" si="271"/>
        <v>0</v>
      </c>
      <c r="AL461" s="51">
        <v>149</v>
      </c>
      <c r="AM461" s="52">
        <f t="shared" si="272"/>
        <v>0</v>
      </c>
      <c r="AN461" s="42">
        <f t="shared" si="248"/>
        <v>0.1545643153526971</v>
      </c>
      <c r="AO461" s="53">
        <f t="shared" si="249"/>
        <v>152</v>
      </c>
      <c r="AP461" s="52">
        <f t="shared" si="250"/>
        <v>0</v>
      </c>
      <c r="AQ461" s="42">
        <f t="shared" si="251"/>
        <v>0.84128630705394192</v>
      </c>
      <c r="AR461" s="46">
        <v>46213</v>
      </c>
      <c r="AS461" s="46">
        <v>46213</v>
      </c>
      <c r="AT461" s="50">
        <f t="shared" si="252"/>
        <v>15</v>
      </c>
      <c r="AU461" s="50">
        <f t="shared" si="273"/>
        <v>180</v>
      </c>
      <c r="AV461" s="50">
        <f t="shared" si="253"/>
        <v>94</v>
      </c>
      <c r="AW461" s="54">
        <f t="shared" si="254"/>
        <v>86</v>
      </c>
    </row>
    <row r="462" spans="1:49" x14ac:dyDescent="0.25">
      <c r="A462" s="33" t="s">
        <v>63</v>
      </c>
      <c r="B462" s="33" t="s">
        <v>102</v>
      </c>
      <c r="C462" s="33" t="s">
        <v>132</v>
      </c>
      <c r="D462" s="33" t="s">
        <v>586</v>
      </c>
      <c r="E462" s="34">
        <f>COUNTIF('Detalle por artículo'!$K$8:$K$592,D462)</f>
        <v>1</v>
      </c>
      <c r="F462" s="35">
        <f t="shared" si="255"/>
        <v>0</v>
      </c>
      <c r="G462" s="36">
        <f>SUMIF('Detalle por artículo'!$K$8:$K$592,$D462,'Detalle por artículo'!$E$8:$E$592)</f>
        <v>0</v>
      </c>
      <c r="H462" s="35">
        <f t="shared" si="256"/>
        <v>0</v>
      </c>
      <c r="I462" s="35">
        <f t="shared" si="257"/>
        <v>0</v>
      </c>
      <c r="J462" s="35">
        <f t="shared" si="258"/>
        <v>0</v>
      </c>
      <c r="K462" s="37">
        <f t="shared" si="259"/>
        <v>0</v>
      </c>
      <c r="L462" s="36">
        <f>SUMIF('Detalle por artículo'!$K$8:$K$592,$D462,'Detalle por artículo'!$O$8:$O$592)</f>
        <v>520.6</v>
      </c>
      <c r="M462" s="38">
        <f>SUMIF('Detalle por artículo'!$K$8:$K$592,$D462,'Detalle por artículo'!$I$8:$I$592)</f>
        <v>669</v>
      </c>
      <c r="N462" s="38">
        <f>SUMIF('Detalle por artículo'!$K$8:$K$592,$D462,'Detalle por artículo'!$M$8:$M$592)</f>
        <v>27</v>
      </c>
      <c r="O462" s="39">
        <f t="shared" si="260"/>
        <v>0</v>
      </c>
      <c r="P462" s="40">
        <f t="shared" si="261"/>
        <v>778.17638266068764</v>
      </c>
      <c r="Q462" s="41">
        <f t="shared" si="262"/>
        <v>0</v>
      </c>
      <c r="R462" s="40">
        <f t="shared" si="263"/>
        <v>0</v>
      </c>
      <c r="S462" s="42">
        <f>IFERROR(SUM($G$8:G462)/$G$6,0)</f>
        <v>1</v>
      </c>
      <c r="T462" s="43" t="str">
        <f t="shared" si="264"/>
        <v>C</v>
      </c>
      <c r="U462" s="44">
        <v>669</v>
      </c>
      <c r="V462" s="45">
        <f t="shared" si="245"/>
        <v>0</v>
      </c>
      <c r="W462" s="46">
        <v>46198</v>
      </c>
      <c r="X462" s="46">
        <v>46198</v>
      </c>
      <c r="Y462" s="47">
        <v>0</v>
      </c>
      <c r="Z462" s="48">
        <f t="shared" si="265"/>
        <v>0</v>
      </c>
      <c r="AA462" s="49">
        <f t="shared" si="266"/>
        <v>0</v>
      </c>
      <c r="AB462" s="44">
        <v>669</v>
      </c>
      <c r="AC462" s="44">
        <f t="shared" si="267"/>
        <v>536</v>
      </c>
      <c r="AD462" s="44">
        <f t="shared" si="268"/>
        <v>122</v>
      </c>
      <c r="AE462" s="50">
        <f t="shared" si="269"/>
        <v>48</v>
      </c>
      <c r="AF462" s="41">
        <f t="shared" si="270"/>
        <v>0.96</v>
      </c>
      <c r="AG462" s="44">
        <v>0</v>
      </c>
      <c r="AH462" s="44">
        <v>11</v>
      </c>
      <c r="AI462" s="42">
        <f t="shared" si="246"/>
        <v>0.80119581464872947</v>
      </c>
      <c r="AJ462" s="42">
        <f t="shared" si="247"/>
        <v>0.18236173393124067</v>
      </c>
      <c r="AK462" s="40">
        <f t="shared" si="271"/>
        <v>0</v>
      </c>
      <c r="AL462" s="51">
        <v>0</v>
      </c>
      <c r="AM462" s="52">
        <f t="shared" si="272"/>
        <v>0</v>
      </c>
      <c r="AN462" s="42">
        <f t="shared" si="248"/>
        <v>0</v>
      </c>
      <c r="AO462" s="53">
        <f t="shared" si="249"/>
        <v>0</v>
      </c>
      <c r="AP462" s="52">
        <f t="shared" si="250"/>
        <v>0</v>
      </c>
      <c r="AQ462" s="42">
        <f t="shared" si="251"/>
        <v>0.98355754857997013</v>
      </c>
      <c r="AR462" s="46">
        <v>46219</v>
      </c>
      <c r="AS462" s="46">
        <v>46219</v>
      </c>
      <c r="AT462" s="50">
        <f t="shared" si="252"/>
        <v>21</v>
      </c>
      <c r="AU462" s="50">
        <f t="shared" si="273"/>
        <v>345</v>
      </c>
      <c r="AV462" s="50">
        <f t="shared" si="253"/>
        <v>143</v>
      </c>
      <c r="AW462" s="54">
        <f t="shared" si="254"/>
        <v>202</v>
      </c>
    </row>
    <row r="463" spans="1:49" x14ac:dyDescent="0.25">
      <c r="A463" s="33" t="s">
        <v>63</v>
      </c>
      <c r="B463" s="33" t="s">
        <v>102</v>
      </c>
      <c r="C463" s="33" t="s">
        <v>132</v>
      </c>
      <c r="D463" s="33" t="s">
        <v>587</v>
      </c>
      <c r="E463" s="34">
        <f>COUNTIF('Detalle por artículo'!$K$8:$K$592,D463)</f>
        <v>1</v>
      </c>
      <c r="F463" s="35">
        <f t="shared" si="255"/>
        <v>0</v>
      </c>
      <c r="G463" s="36">
        <f>SUMIF('Detalle por artículo'!$K$8:$K$592,$D463,'Detalle por artículo'!$E$8:$E$592)</f>
        <v>0</v>
      </c>
      <c r="H463" s="35">
        <f t="shared" si="256"/>
        <v>0</v>
      </c>
      <c r="I463" s="35">
        <f t="shared" si="257"/>
        <v>0</v>
      </c>
      <c r="J463" s="35">
        <f t="shared" si="258"/>
        <v>0</v>
      </c>
      <c r="K463" s="37">
        <f t="shared" si="259"/>
        <v>0</v>
      </c>
      <c r="L463" s="36">
        <f>SUMIF('Detalle por artículo'!$K$8:$K$592,$D463,'Detalle por artículo'!$O$8:$O$592)</f>
        <v>503.59999999999997</v>
      </c>
      <c r="M463" s="38">
        <f>SUMIF('Detalle por artículo'!$K$8:$K$592,$D463,'Detalle por artículo'!$I$8:$I$592)</f>
        <v>952</v>
      </c>
      <c r="N463" s="38">
        <f>SUMIF('Detalle por artículo'!$K$8:$K$592,$D463,'Detalle por artículo'!$M$8:$M$592)</f>
        <v>26</v>
      </c>
      <c r="O463" s="39">
        <f t="shared" si="260"/>
        <v>0</v>
      </c>
      <c r="P463" s="40">
        <f t="shared" si="261"/>
        <v>528.99159663865544</v>
      </c>
      <c r="Q463" s="41">
        <f t="shared" si="262"/>
        <v>0</v>
      </c>
      <c r="R463" s="40">
        <f t="shared" si="263"/>
        <v>0</v>
      </c>
      <c r="S463" s="42">
        <f>IFERROR(SUM($G$8:G463)/$G$6,0)</f>
        <v>1</v>
      </c>
      <c r="T463" s="43" t="str">
        <f t="shared" si="264"/>
        <v>C</v>
      </c>
      <c r="U463" s="44">
        <v>952</v>
      </c>
      <c r="V463" s="45">
        <f t="shared" si="245"/>
        <v>0</v>
      </c>
      <c r="W463" s="46">
        <v>46198</v>
      </c>
      <c r="X463" s="46">
        <v>46198</v>
      </c>
      <c r="Y463" s="47">
        <v>0</v>
      </c>
      <c r="Z463" s="48">
        <f t="shared" si="265"/>
        <v>0</v>
      </c>
      <c r="AA463" s="49">
        <f t="shared" si="266"/>
        <v>0</v>
      </c>
      <c r="AB463" s="44">
        <v>700</v>
      </c>
      <c r="AC463" s="44">
        <f t="shared" si="267"/>
        <v>402</v>
      </c>
      <c r="AD463" s="44">
        <f t="shared" si="268"/>
        <v>283</v>
      </c>
      <c r="AE463" s="50">
        <f t="shared" si="269"/>
        <v>47</v>
      </c>
      <c r="AF463" s="41">
        <f t="shared" si="270"/>
        <v>0.94</v>
      </c>
      <c r="AG463" s="44">
        <v>8</v>
      </c>
      <c r="AH463" s="44">
        <v>7</v>
      </c>
      <c r="AI463" s="42">
        <f t="shared" si="246"/>
        <v>0.42226890756302521</v>
      </c>
      <c r="AJ463" s="42">
        <f t="shared" si="247"/>
        <v>0.29726890756302521</v>
      </c>
      <c r="AK463" s="40">
        <f t="shared" si="271"/>
        <v>0</v>
      </c>
      <c r="AL463" s="51">
        <v>252</v>
      </c>
      <c r="AM463" s="52">
        <f t="shared" si="272"/>
        <v>0</v>
      </c>
      <c r="AN463" s="42">
        <f t="shared" si="248"/>
        <v>0.26470588235294118</v>
      </c>
      <c r="AO463" s="53">
        <f t="shared" si="249"/>
        <v>252</v>
      </c>
      <c r="AP463" s="52">
        <f t="shared" si="250"/>
        <v>0</v>
      </c>
      <c r="AQ463" s="42">
        <f t="shared" si="251"/>
        <v>0.71953781512605042</v>
      </c>
      <c r="AR463" s="46">
        <v>46219</v>
      </c>
      <c r="AS463" s="46">
        <v>46219</v>
      </c>
      <c r="AT463" s="50">
        <f t="shared" si="252"/>
        <v>21</v>
      </c>
      <c r="AU463" s="50">
        <f t="shared" si="273"/>
        <v>183</v>
      </c>
      <c r="AV463" s="50">
        <f t="shared" si="253"/>
        <v>122</v>
      </c>
      <c r="AW463" s="54">
        <f t="shared" si="254"/>
        <v>61</v>
      </c>
    </row>
    <row r="464" spans="1:49" x14ac:dyDescent="0.25">
      <c r="A464" s="33" t="s">
        <v>63</v>
      </c>
      <c r="B464" s="33" t="s">
        <v>102</v>
      </c>
      <c r="C464" s="33" t="s">
        <v>132</v>
      </c>
      <c r="D464" s="33" t="s">
        <v>588</v>
      </c>
      <c r="E464" s="34">
        <f>COUNTIF('Detalle por artículo'!$K$8:$K$592,D464)</f>
        <v>1</v>
      </c>
      <c r="F464" s="35">
        <f t="shared" si="255"/>
        <v>0</v>
      </c>
      <c r="G464" s="36">
        <f>SUMIF('Detalle por artículo'!$K$8:$K$592,$D464,'Detalle por artículo'!$E$8:$E$592)</f>
        <v>0</v>
      </c>
      <c r="H464" s="35">
        <f t="shared" si="256"/>
        <v>0</v>
      </c>
      <c r="I464" s="35">
        <f t="shared" si="257"/>
        <v>0</v>
      </c>
      <c r="J464" s="35">
        <f t="shared" si="258"/>
        <v>0</v>
      </c>
      <c r="K464" s="37">
        <f t="shared" si="259"/>
        <v>0</v>
      </c>
      <c r="L464" s="36">
        <f>SUMIF('Detalle por artículo'!$K$8:$K$592,$D464,'Detalle por artículo'!$O$8:$O$592)</f>
        <v>783.19999999999993</v>
      </c>
      <c r="M464" s="38">
        <f>SUMIF('Detalle por artículo'!$K$8:$K$592,$D464,'Detalle por artículo'!$I$8:$I$592)</f>
        <v>1271</v>
      </c>
      <c r="N464" s="38">
        <f>SUMIF('Detalle por artículo'!$K$8:$K$592,$D464,'Detalle por artículo'!$M$8:$M$592)</f>
        <v>43</v>
      </c>
      <c r="O464" s="39">
        <f t="shared" si="260"/>
        <v>0</v>
      </c>
      <c r="P464" s="40">
        <f t="shared" si="261"/>
        <v>616.20771046420134</v>
      </c>
      <c r="Q464" s="41">
        <f t="shared" si="262"/>
        <v>0</v>
      </c>
      <c r="R464" s="40">
        <f t="shared" si="263"/>
        <v>0</v>
      </c>
      <c r="S464" s="42">
        <f>IFERROR(SUM($G$8:G464)/$G$6,0)</f>
        <v>1</v>
      </c>
      <c r="T464" s="43" t="str">
        <f t="shared" si="264"/>
        <v>C</v>
      </c>
      <c r="U464" s="44">
        <v>1271</v>
      </c>
      <c r="V464" s="45">
        <f t="shared" si="245"/>
        <v>0</v>
      </c>
      <c r="W464" s="46">
        <v>46237</v>
      </c>
      <c r="X464" s="46">
        <v>46237</v>
      </c>
      <c r="Y464" s="47">
        <v>0</v>
      </c>
      <c r="Z464" s="48">
        <f t="shared" si="265"/>
        <v>0</v>
      </c>
      <c r="AA464" s="49">
        <f t="shared" si="266"/>
        <v>0</v>
      </c>
      <c r="AB464" s="44">
        <v>917</v>
      </c>
      <c r="AC464" s="44">
        <f t="shared" si="267"/>
        <v>574</v>
      </c>
      <c r="AD464" s="44">
        <f t="shared" si="268"/>
        <v>343</v>
      </c>
      <c r="AE464" s="50">
        <f t="shared" si="269"/>
        <v>48</v>
      </c>
      <c r="AF464" s="41">
        <f t="shared" si="270"/>
        <v>0.96</v>
      </c>
      <c r="AG464" s="44">
        <v>0</v>
      </c>
      <c r="AH464" s="44">
        <v>0</v>
      </c>
      <c r="AI464" s="42">
        <f t="shared" si="246"/>
        <v>0.45161290322580644</v>
      </c>
      <c r="AJ464" s="42">
        <f t="shared" si="247"/>
        <v>0.26986624704956724</v>
      </c>
      <c r="AK464" s="40">
        <f t="shared" si="271"/>
        <v>0</v>
      </c>
      <c r="AL464" s="51">
        <v>354</v>
      </c>
      <c r="AM464" s="52">
        <f t="shared" si="272"/>
        <v>0</v>
      </c>
      <c r="AN464" s="42">
        <f t="shared" si="248"/>
        <v>0.27852084972462626</v>
      </c>
      <c r="AO464" s="53">
        <f t="shared" si="249"/>
        <v>354</v>
      </c>
      <c r="AP464" s="52">
        <f t="shared" si="250"/>
        <v>0</v>
      </c>
      <c r="AQ464" s="42">
        <f t="shared" si="251"/>
        <v>0.72147915027537368</v>
      </c>
      <c r="AR464" s="46">
        <v>46238</v>
      </c>
      <c r="AS464" s="46">
        <v>46238</v>
      </c>
      <c r="AT464" s="50">
        <f t="shared" si="252"/>
        <v>1</v>
      </c>
      <c r="AU464" s="50">
        <f t="shared" si="273"/>
        <v>126</v>
      </c>
      <c r="AV464" s="50">
        <f t="shared" si="253"/>
        <v>78</v>
      </c>
      <c r="AW464" s="54">
        <f t="shared" si="254"/>
        <v>48</v>
      </c>
    </row>
    <row r="465" spans="1:49" x14ac:dyDescent="0.25">
      <c r="A465" s="33" t="s">
        <v>63</v>
      </c>
      <c r="B465" s="33" t="s">
        <v>102</v>
      </c>
      <c r="C465" s="33" t="s">
        <v>132</v>
      </c>
      <c r="D465" s="33" t="s">
        <v>589</v>
      </c>
      <c r="E465" s="34">
        <f>COUNTIF('Detalle por artículo'!$K$8:$K$592,D465)</f>
        <v>1</v>
      </c>
      <c r="F465" s="35">
        <f t="shared" si="255"/>
        <v>0</v>
      </c>
      <c r="G465" s="36">
        <f>SUMIF('Detalle por artículo'!$K$8:$K$592,$D465,'Detalle por artículo'!$E$8:$E$592)</f>
        <v>0</v>
      </c>
      <c r="H465" s="35">
        <f t="shared" si="256"/>
        <v>0</v>
      </c>
      <c r="I465" s="35">
        <f t="shared" si="257"/>
        <v>0</v>
      </c>
      <c r="J465" s="35">
        <f t="shared" si="258"/>
        <v>0</v>
      </c>
      <c r="K465" s="37">
        <f t="shared" si="259"/>
        <v>0</v>
      </c>
      <c r="L465" s="36">
        <f>SUMIF('Detalle por artículo'!$K$8:$K$592,$D465,'Detalle por artículo'!$O$8:$O$592)</f>
        <v>812.6</v>
      </c>
      <c r="M465" s="38">
        <f>SUMIF('Detalle por artículo'!$K$8:$K$592,$D465,'Detalle por artículo'!$I$8:$I$592)</f>
        <v>1185</v>
      </c>
      <c r="N465" s="38">
        <f>SUMIF('Detalle por artículo'!$K$8:$K$592,$D465,'Detalle por artículo'!$M$8:$M$592)</f>
        <v>45</v>
      </c>
      <c r="O465" s="39">
        <f t="shared" si="260"/>
        <v>0</v>
      </c>
      <c r="P465" s="40">
        <f t="shared" si="261"/>
        <v>685.73839662447256</v>
      </c>
      <c r="Q465" s="41">
        <f t="shared" si="262"/>
        <v>0</v>
      </c>
      <c r="R465" s="40">
        <f t="shared" si="263"/>
        <v>0</v>
      </c>
      <c r="S465" s="42">
        <f>IFERROR(SUM($G$8:G465)/$G$6,0)</f>
        <v>1</v>
      </c>
      <c r="T465" s="43" t="str">
        <f t="shared" si="264"/>
        <v>C</v>
      </c>
      <c r="U465" s="44">
        <v>1185</v>
      </c>
      <c r="V465" s="45">
        <f t="shared" si="245"/>
        <v>0</v>
      </c>
      <c r="W465" s="46">
        <v>46237</v>
      </c>
      <c r="X465" s="46">
        <v>46237</v>
      </c>
      <c r="Y465" s="47">
        <v>0</v>
      </c>
      <c r="Z465" s="48">
        <f t="shared" si="265"/>
        <v>0</v>
      </c>
      <c r="AA465" s="49">
        <f t="shared" si="266"/>
        <v>0</v>
      </c>
      <c r="AB465" s="44">
        <v>886</v>
      </c>
      <c r="AC465" s="44">
        <f t="shared" si="267"/>
        <v>467</v>
      </c>
      <c r="AD465" s="44">
        <f t="shared" si="268"/>
        <v>409</v>
      </c>
      <c r="AE465" s="50">
        <f t="shared" si="269"/>
        <v>49</v>
      </c>
      <c r="AF465" s="41">
        <f t="shared" si="270"/>
        <v>0.98</v>
      </c>
      <c r="AG465" s="44">
        <v>1</v>
      </c>
      <c r="AH465" s="44">
        <v>9</v>
      </c>
      <c r="AI465" s="42">
        <f t="shared" si="246"/>
        <v>0.39409282700421944</v>
      </c>
      <c r="AJ465" s="42">
        <f t="shared" si="247"/>
        <v>0.34514767932489454</v>
      </c>
      <c r="AK465" s="40">
        <f t="shared" si="271"/>
        <v>0</v>
      </c>
      <c r="AL465" s="51">
        <v>299</v>
      </c>
      <c r="AM465" s="52">
        <f t="shared" si="272"/>
        <v>0</v>
      </c>
      <c r="AN465" s="42">
        <f t="shared" si="248"/>
        <v>0.25232067510548523</v>
      </c>
      <c r="AO465" s="53">
        <f t="shared" si="249"/>
        <v>299</v>
      </c>
      <c r="AP465" s="52">
        <f t="shared" si="250"/>
        <v>0</v>
      </c>
      <c r="AQ465" s="42">
        <f t="shared" si="251"/>
        <v>0.73924050632911398</v>
      </c>
      <c r="AR465" s="46">
        <v>46246</v>
      </c>
      <c r="AS465" s="46">
        <v>46246</v>
      </c>
      <c r="AT465" s="50">
        <f t="shared" si="252"/>
        <v>9</v>
      </c>
      <c r="AU465" s="50">
        <f t="shared" si="273"/>
        <v>141</v>
      </c>
      <c r="AV465" s="50">
        <f t="shared" si="253"/>
        <v>82</v>
      </c>
      <c r="AW465" s="54">
        <f t="shared" si="254"/>
        <v>59</v>
      </c>
    </row>
    <row r="466" spans="1:49" x14ac:dyDescent="0.25">
      <c r="A466" s="33" t="s">
        <v>63</v>
      </c>
      <c r="B466" s="33" t="s">
        <v>102</v>
      </c>
      <c r="C466" s="33" t="s">
        <v>132</v>
      </c>
      <c r="D466" s="33" t="s">
        <v>590</v>
      </c>
      <c r="E466" s="34">
        <f>COUNTIF('Detalle por artículo'!$K$8:$K$592,D466)</f>
        <v>1</v>
      </c>
      <c r="F466" s="35">
        <f t="shared" si="255"/>
        <v>0</v>
      </c>
      <c r="G466" s="36">
        <f>SUMIF('Detalle por artículo'!$K$8:$K$592,$D466,'Detalle por artículo'!$E$8:$E$592)</f>
        <v>0</v>
      </c>
      <c r="H466" s="35">
        <f t="shared" si="256"/>
        <v>0</v>
      </c>
      <c r="I466" s="35">
        <f t="shared" si="257"/>
        <v>0</v>
      </c>
      <c r="J466" s="35">
        <f t="shared" si="258"/>
        <v>0</v>
      </c>
      <c r="K466" s="37">
        <f t="shared" si="259"/>
        <v>0</v>
      </c>
      <c r="L466" s="36">
        <f>SUMIF('Detalle por artículo'!$K$8:$K$592,$D466,'Detalle por artículo'!$O$8:$O$592)</f>
        <v>1155</v>
      </c>
      <c r="M466" s="38">
        <f>SUMIF('Detalle por artículo'!$K$8:$K$592,$D466,'Detalle por artículo'!$I$8:$I$592)</f>
        <v>1450</v>
      </c>
      <c r="N466" s="38">
        <f>SUMIF('Detalle por artículo'!$K$8:$K$592,$D466,'Detalle por artículo'!$M$8:$M$592)</f>
        <v>63</v>
      </c>
      <c r="O466" s="39">
        <f t="shared" si="260"/>
        <v>0</v>
      </c>
      <c r="P466" s="40">
        <f t="shared" si="261"/>
        <v>796.55172413793105</v>
      </c>
      <c r="Q466" s="41">
        <f t="shared" si="262"/>
        <v>0</v>
      </c>
      <c r="R466" s="40">
        <f t="shared" si="263"/>
        <v>0</v>
      </c>
      <c r="S466" s="42">
        <f>IFERROR(SUM($G$8:G466)/$G$6,0)</f>
        <v>1</v>
      </c>
      <c r="T466" s="43" t="str">
        <f t="shared" si="264"/>
        <v>C</v>
      </c>
      <c r="U466" s="44">
        <v>1450</v>
      </c>
      <c r="V466" s="45">
        <f t="shared" si="245"/>
        <v>0</v>
      </c>
      <c r="W466" s="46">
        <v>46237</v>
      </c>
      <c r="X466" s="46">
        <v>46237</v>
      </c>
      <c r="Y466" s="47">
        <v>0</v>
      </c>
      <c r="Z466" s="48">
        <f t="shared" si="265"/>
        <v>0</v>
      </c>
      <c r="AA466" s="49">
        <f t="shared" si="266"/>
        <v>0</v>
      </c>
      <c r="AB466" s="44">
        <v>631</v>
      </c>
      <c r="AC466" s="44">
        <f t="shared" si="267"/>
        <v>446</v>
      </c>
      <c r="AD466" s="44">
        <f t="shared" si="268"/>
        <v>172</v>
      </c>
      <c r="AE466" s="50">
        <f t="shared" si="269"/>
        <v>49</v>
      </c>
      <c r="AF466" s="41">
        <f t="shared" si="270"/>
        <v>0.98</v>
      </c>
      <c r="AG466" s="44">
        <v>4</v>
      </c>
      <c r="AH466" s="44">
        <v>9</v>
      </c>
      <c r="AI466" s="42">
        <f t="shared" si="246"/>
        <v>0.30758620689655175</v>
      </c>
      <c r="AJ466" s="42">
        <f t="shared" si="247"/>
        <v>0.11862068965517242</v>
      </c>
      <c r="AK466" s="40">
        <f t="shared" si="271"/>
        <v>0</v>
      </c>
      <c r="AL466" s="51">
        <v>819</v>
      </c>
      <c r="AM466" s="52">
        <f t="shared" si="272"/>
        <v>0</v>
      </c>
      <c r="AN466" s="42">
        <f t="shared" si="248"/>
        <v>0.56482758620689655</v>
      </c>
      <c r="AO466" s="53">
        <f t="shared" si="249"/>
        <v>819</v>
      </c>
      <c r="AP466" s="52">
        <f t="shared" si="250"/>
        <v>0</v>
      </c>
      <c r="AQ466" s="42">
        <f t="shared" si="251"/>
        <v>0.42620689655172411</v>
      </c>
      <c r="AR466" s="46">
        <v>46254</v>
      </c>
      <c r="AS466" s="46">
        <v>46255</v>
      </c>
      <c r="AT466" s="50">
        <f t="shared" si="252"/>
        <v>18</v>
      </c>
      <c r="AU466" s="50">
        <f t="shared" si="273"/>
        <v>107</v>
      </c>
      <c r="AV466" s="50">
        <f t="shared" si="253"/>
        <v>166</v>
      </c>
      <c r="AW466" s="54">
        <f t="shared" si="254"/>
        <v>-59</v>
      </c>
    </row>
    <row r="467" spans="1:49" x14ac:dyDescent="0.25">
      <c r="A467" s="33" t="s">
        <v>63</v>
      </c>
      <c r="B467" s="33" t="s">
        <v>102</v>
      </c>
      <c r="C467" s="33" t="s">
        <v>132</v>
      </c>
      <c r="D467" s="33" t="s">
        <v>591</v>
      </c>
      <c r="E467" s="34">
        <f>COUNTIF('Detalle por artículo'!$K$8:$K$592,D467)</f>
        <v>1</v>
      </c>
      <c r="F467" s="35">
        <f t="shared" si="255"/>
        <v>0</v>
      </c>
      <c r="G467" s="36">
        <f>SUMIF('Detalle por artículo'!$K$8:$K$592,$D467,'Detalle por artículo'!$E$8:$E$592)</f>
        <v>0</v>
      </c>
      <c r="H467" s="35">
        <f t="shared" si="256"/>
        <v>0</v>
      </c>
      <c r="I467" s="35">
        <f t="shared" si="257"/>
        <v>0</v>
      </c>
      <c r="J467" s="35">
        <f t="shared" si="258"/>
        <v>0</v>
      </c>
      <c r="K467" s="37">
        <f t="shared" si="259"/>
        <v>0</v>
      </c>
      <c r="L467" s="36">
        <f>SUMIF('Detalle por artículo'!$K$8:$K$592,$D467,'Detalle por artículo'!$O$8:$O$592)</f>
        <v>595.69999999999993</v>
      </c>
      <c r="M467" s="38">
        <f>SUMIF('Detalle por artículo'!$K$8:$K$592,$D467,'Detalle por artículo'!$I$8:$I$592)</f>
        <v>917</v>
      </c>
      <c r="N467" s="38">
        <f>SUMIF('Detalle por artículo'!$K$8:$K$592,$D467,'Detalle por artículo'!$M$8:$M$592)</f>
        <v>33</v>
      </c>
      <c r="O467" s="39">
        <f t="shared" si="260"/>
        <v>0</v>
      </c>
      <c r="P467" s="40">
        <f t="shared" si="261"/>
        <v>649.61832061068696</v>
      </c>
      <c r="Q467" s="41">
        <f t="shared" si="262"/>
        <v>0</v>
      </c>
      <c r="R467" s="40">
        <f t="shared" si="263"/>
        <v>0</v>
      </c>
      <c r="S467" s="42">
        <f>IFERROR(SUM($G$8:G467)/$G$6,0)</f>
        <v>1</v>
      </c>
      <c r="T467" s="43" t="str">
        <f t="shared" si="264"/>
        <v>C</v>
      </c>
      <c r="U467" s="44">
        <v>917</v>
      </c>
      <c r="V467" s="45">
        <f t="shared" si="245"/>
        <v>0</v>
      </c>
      <c r="W467" s="46">
        <v>46237</v>
      </c>
      <c r="X467" s="46">
        <v>46237</v>
      </c>
      <c r="Y467" s="47">
        <v>0</v>
      </c>
      <c r="Z467" s="48">
        <f t="shared" si="265"/>
        <v>0</v>
      </c>
      <c r="AA467" s="49">
        <f t="shared" si="266"/>
        <v>0</v>
      </c>
      <c r="AB467" s="44">
        <v>835</v>
      </c>
      <c r="AC467" s="44">
        <f t="shared" si="267"/>
        <v>605</v>
      </c>
      <c r="AD467" s="44">
        <f t="shared" si="268"/>
        <v>227</v>
      </c>
      <c r="AE467" s="50">
        <f t="shared" si="269"/>
        <v>48</v>
      </c>
      <c r="AF467" s="41">
        <f t="shared" si="270"/>
        <v>0.96</v>
      </c>
      <c r="AG467" s="44">
        <v>3</v>
      </c>
      <c r="AH467" s="44">
        <v>0</v>
      </c>
      <c r="AI467" s="42">
        <f t="shared" si="246"/>
        <v>0.65976008724100332</v>
      </c>
      <c r="AJ467" s="42">
        <f t="shared" si="247"/>
        <v>0.24754634678298801</v>
      </c>
      <c r="AK467" s="40">
        <f t="shared" si="271"/>
        <v>0</v>
      </c>
      <c r="AL467" s="51">
        <v>82</v>
      </c>
      <c r="AM467" s="52">
        <f t="shared" si="272"/>
        <v>0</v>
      </c>
      <c r="AN467" s="42">
        <f t="shared" si="248"/>
        <v>8.9422028353326063E-2</v>
      </c>
      <c r="AO467" s="53">
        <f t="shared" si="249"/>
        <v>82</v>
      </c>
      <c r="AP467" s="52">
        <f t="shared" si="250"/>
        <v>0</v>
      </c>
      <c r="AQ467" s="42">
        <f t="shared" si="251"/>
        <v>0.90730643402399125</v>
      </c>
      <c r="AR467" s="46">
        <v>46238</v>
      </c>
      <c r="AS467" s="46">
        <v>46238</v>
      </c>
      <c r="AT467" s="50">
        <f t="shared" si="252"/>
        <v>1</v>
      </c>
      <c r="AU467" s="50">
        <f t="shared" si="273"/>
        <v>192</v>
      </c>
      <c r="AV467" s="50">
        <f t="shared" si="253"/>
        <v>90</v>
      </c>
      <c r="AW467" s="54">
        <f t="shared" si="254"/>
        <v>102</v>
      </c>
    </row>
    <row r="468" spans="1:49" x14ac:dyDescent="0.25">
      <c r="A468" s="55" t="s">
        <v>63</v>
      </c>
      <c r="B468" s="55" t="s">
        <v>102</v>
      </c>
      <c r="C468" s="55" t="s">
        <v>132</v>
      </c>
      <c r="D468" s="55" t="s">
        <v>592</v>
      </c>
      <c r="E468" s="56">
        <f>COUNTIF('Detalle por artículo'!$K$8:$K$592,D468)</f>
        <v>1</v>
      </c>
      <c r="F468" s="57">
        <f t="shared" si="255"/>
        <v>0</v>
      </c>
      <c r="G468" s="58">
        <f>SUMIF('Detalle por artículo'!$K$8:$K$592,$D468,'Detalle por artículo'!$E$8:$E$592)</f>
        <v>0</v>
      </c>
      <c r="H468" s="57">
        <f t="shared" si="256"/>
        <v>0</v>
      </c>
      <c r="I468" s="57">
        <f t="shared" si="257"/>
        <v>0</v>
      </c>
      <c r="J468" s="57">
        <f t="shared" si="258"/>
        <v>0</v>
      </c>
      <c r="K468" s="59">
        <f t="shared" si="259"/>
        <v>0</v>
      </c>
      <c r="L468" s="58">
        <f>SUMIF('Detalle por artículo'!$K$8:$K$592,$D468,'Detalle por artículo'!$O$8:$O$592)</f>
        <v>875.4</v>
      </c>
      <c r="M468" s="60">
        <f>SUMIF('Detalle por artículo'!$K$8:$K$592,$D468,'Detalle por artículo'!$I$8:$I$592)</f>
        <v>1506</v>
      </c>
      <c r="N468" s="60">
        <f>SUMIF('Detalle por artículo'!$K$8:$K$592,$D468,'Detalle por artículo'!$M$8:$M$592)</f>
        <v>48</v>
      </c>
      <c r="O468" s="61">
        <f t="shared" si="260"/>
        <v>0</v>
      </c>
      <c r="P468" s="62">
        <f t="shared" si="261"/>
        <v>581.27490039840632</v>
      </c>
      <c r="Q468" s="63">
        <f t="shared" si="262"/>
        <v>0</v>
      </c>
      <c r="R468" s="62">
        <f t="shared" si="263"/>
        <v>0</v>
      </c>
      <c r="S468" s="64">
        <f>IFERROR(SUM($G$8:G468)/$G$6,0)</f>
        <v>1</v>
      </c>
      <c r="T468" s="65" t="str">
        <f t="shared" si="264"/>
        <v>C</v>
      </c>
      <c r="U468" s="66">
        <v>0</v>
      </c>
      <c r="V468" s="67"/>
      <c r="W468" s="68"/>
      <c r="X468" s="68"/>
      <c r="Y468" s="69">
        <v>0</v>
      </c>
      <c r="Z468" s="70">
        <f t="shared" si="265"/>
        <v>0</v>
      </c>
      <c r="AA468" s="71">
        <f t="shared" si="266"/>
        <v>0</v>
      </c>
      <c r="AB468" s="66">
        <v>0</v>
      </c>
      <c r="AC468" s="66">
        <f t="shared" si="267"/>
        <v>0</v>
      </c>
      <c r="AD468" s="66">
        <f t="shared" si="268"/>
        <v>0</v>
      </c>
      <c r="AE468" s="72">
        <f t="shared" si="269"/>
        <v>0</v>
      </c>
      <c r="AF468" s="63">
        <f t="shared" si="270"/>
        <v>0</v>
      </c>
      <c r="AG468" s="66">
        <v>0</v>
      </c>
      <c r="AH468" s="66">
        <v>0</v>
      </c>
      <c r="AI468" s="64"/>
      <c r="AJ468" s="64"/>
      <c r="AK468" s="62">
        <f t="shared" si="271"/>
        <v>0</v>
      </c>
      <c r="AL468" s="73">
        <v>0</v>
      </c>
      <c r="AM468" s="74">
        <f t="shared" si="272"/>
        <v>0</v>
      </c>
      <c r="AN468" s="64"/>
      <c r="AO468" s="75"/>
      <c r="AP468" s="74"/>
      <c r="AQ468" s="64"/>
      <c r="AR468" s="68"/>
      <c r="AS468" s="68"/>
      <c r="AT468" s="72"/>
      <c r="AU468" s="72">
        <f t="shared" si="273"/>
        <v>93</v>
      </c>
      <c r="AV468" s="72"/>
      <c r="AW468" s="76"/>
    </row>
    <row r="469" spans="1:49" x14ac:dyDescent="0.25">
      <c r="A469" s="55" t="s">
        <v>63</v>
      </c>
      <c r="B469" s="55" t="s">
        <v>102</v>
      </c>
      <c r="C469" s="55" t="s">
        <v>132</v>
      </c>
      <c r="D469" s="55" t="s">
        <v>593</v>
      </c>
      <c r="E469" s="56">
        <f>COUNTIF('Detalle por artículo'!$K$8:$K$592,D469)</f>
        <v>1</v>
      </c>
      <c r="F469" s="57">
        <f t="shared" si="255"/>
        <v>0</v>
      </c>
      <c r="G469" s="58">
        <f>SUMIF('Detalle por artículo'!$K$8:$K$592,$D469,'Detalle por artículo'!$E$8:$E$592)</f>
        <v>0</v>
      </c>
      <c r="H469" s="57">
        <f t="shared" si="256"/>
        <v>0</v>
      </c>
      <c r="I469" s="57">
        <f t="shared" si="257"/>
        <v>0</v>
      </c>
      <c r="J469" s="57">
        <f t="shared" si="258"/>
        <v>0</v>
      </c>
      <c r="K469" s="59">
        <f t="shared" si="259"/>
        <v>0</v>
      </c>
      <c r="L469" s="58">
        <f>SUMIF('Detalle por artículo'!$K$8:$K$592,$D469,'Detalle por artículo'!$O$8:$O$592)</f>
        <v>753</v>
      </c>
      <c r="M469" s="60">
        <f>SUMIF('Detalle por artículo'!$K$8:$K$592,$D469,'Detalle por artículo'!$I$8:$I$592)</f>
        <v>985</v>
      </c>
      <c r="N469" s="60">
        <f>SUMIF('Detalle por artículo'!$K$8:$K$592,$D469,'Detalle por artículo'!$M$8:$M$592)</f>
        <v>41</v>
      </c>
      <c r="O469" s="61">
        <f t="shared" si="260"/>
        <v>0</v>
      </c>
      <c r="P469" s="62">
        <f t="shared" si="261"/>
        <v>764.46700507614219</v>
      </c>
      <c r="Q469" s="63">
        <f t="shared" si="262"/>
        <v>0</v>
      </c>
      <c r="R469" s="62">
        <f t="shared" si="263"/>
        <v>0</v>
      </c>
      <c r="S469" s="64">
        <f>IFERROR(SUM($G$8:G469)/$G$6,0)</f>
        <v>1</v>
      </c>
      <c r="T469" s="65" t="str">
        <f t="shared" si="264"/>
        <v>C</v>
      </c>
      <c r="U469" s="66">
        <v>0</v>
      </c>
      <c r="V469" s="67"/>
      <c r="W469" s="68"/>
      <c r="X469" s="68"/>
      <c r="Y469" s="69">
        <v>0</v>
      </c>
      <c r="Z469" s="70">
        <f t="shared" si="265"/>
        <v>0</v>
      </c>
      <c r="AA469" s="71">
        <f t="shared" si="266"/>
        <v>0</v>
      </c>
      <c r="AB469" s="66">
        <v>0</v>
      </c>
      <c r="AC469" s="66">
        <f t="shared" si="267"/>
        <v>0</v>
      </c>
      <c r="AD469" s="66">
        <f t="shared" si="268"/>
        <v>0</v>
      </c>
      <c r="AE469" s="72">
        <f t="shared" si="269"/>
        <v>0</v>
      </c>
      <c r="AF469" s="63">
        <f t="shared" si="270"/>
        <v>0</v>
      </c>
      <c r="AG469" s="66">
        <v>0</v>
      </c>
      <c r="AH469" s="66">
        <v>0</v>
      </c>
      <c r="AI469" s="64"/>
      <c r="AJ469" s="64"/>
      <c r="AK469" s="62">
        <f t="shared" si="271"/>
        <v>0</v>
      </c>
      <c r="AL469" s="73">
        <v>0</v>
      </c>
      <c r="AM469" s="74">
        <f t="shared" si="272"/>
        <v>0</v>
      </c>
      <c r="AN469" s="64"/>
      <c r="AO469" s="75"/>
      <c r="AP469" s="74"/>
      <c r="AQ469" s="64"/>
      <c r="AR469" s="68"/>
      <c r="AS469" s="68"/>
      <c r="AT469" s="72"/>
      <c r="AU469" s="72">
        <f t="shared" si="273"/>
        <v>175</v>
      </c>
      <c r="AV469" s="72"/>
      <c r="AW469" s="76"/>
    </row>
    <row r="470" spans="1:49" x14ac:dyDescent="0.25">
      <c r="A470" s="33" t="s">
        <v>63</v>
      </c>
      <c r="B470" s="33" t="s">
        <v>102</v>
      </c>
      <c r="C470" s="33" t="s">
        <v>220</v>
      </c>
      <c r="D470" s="33" t="s">
        <v>594</v>
      </c>
      <c r="E470" s="34">
        <f>COUNTIF('Detalle por artículo'!$K$8:$K$592,D470)</f>
        <v>1</v>
      </c>
      <c r="F470" s="35">
        <f t="shared" si="255"/>
        <v>0</v>
      </c>
      <c r="G470" s="36">
        <f>SUMIF('Detalle por artículo'!$K$8:$K$592,$D470,'Detalle por artículo'!$E$8:$E$592)</f>
        <v>0</v>
      </c>
      <c r="H470" s="35">
        <f t="shared" si="256"/>
        <v>0</v>
      </c>
      <c r="I470" s="35">
        <f t="shared" si="257"/>
        <v>0</v>
      </c>
      <c r="J470" s="35">
        <f t="shared" si="258"/>
        <v>0</v>
      </c>
      <c r="K470" s="37">
        <f t="shared" si="259"/>
        <v>0</v>
      </c>
      <c r="L470" s="36">
        <f>SUMIF('Detalle por artículo'!$K$8:$K$592,$D470,'Detalle por artículo'!$O$8:$O$592)</f>
        <v>492.6</v>
      </c>
      <c r="M470" s="38">
        <f>SUMIF('Detalle por artículo'!$K$8:$K$592,$D470,'Detalle por artículo'!$I$8:$I$592)</f>
        <v>765</v>
      </c>
      <c r="N470" s="38">
        <f>SUMIF('Detalle por artículo'!$K$8:$K$592,$D470,'Detalle por artículo'!$M$8:$M$592)</f>
        <v>27</v>
      </c>
      <c r="O470" s="39">
        <f t="shared" si="260"/>
        <v>0</v>
      </c>
      <c r="P470" s="40">
        <f t="shared" si="261"/>
        <v>643.92156862745094</v>
      </c>
      <c r="Q470" s="41">
        <f t="shared" si="262"/>
        <v>0</v>
      </c>
      <c r="R470" s="40">
        <f t="shared" si="263"/>
        <v>0</v>
      </c>
      <c r="S470" s="42">
        <f>IFERROR(SUM($G$8:G470)/$G$6,0)</f>
        <v>1</v>
      </c>
      <c r="T470" s="43" t="str">
        <f t="shared" si="264"/>
        <v>C</v>
      </c>
      <c r="U470" s="44">
        <v>765</v>
      </c>
      <c r="V470" s="45">
        <f>U470-M470</f>
        <v>0</v>
      </c>
      <c r="W470" s="46">
        <v>46237</v>
      </c>
      <c r="X470" s="46">
        <v>46237</v>
      </c>
      <c r="Y470" s="47">
        <v>0</v>
      </c>
      <c r="Z470" s="48">
        <f t="shared" si="265"/>
        <v>0</v>
      </c>
      <c r="AA470" s="49">
        <f t="shared" si="266"/>
        <v>0</v>
      </c>
      <c r="AB470" s="44">
        <v>721</v>
      </c>
      <c r="AC470" s="44">
        <f t="shared" si="267"/>
        <v>396</v>
      </c>
      <c r="AD470" s="44">
        <f t="shared" si="268"/>
        <v>324</v>
      </c>
      <c r="AE470" s="50">
        <f t="shared" si="269"/>
        <v>46</v>
      </c>
      <c r="AF470" s="41">
        <f t="shared" si="270"/>
        <v>0.92</v>
      </c>
      <c r="AG470" s="44">
        <v>1</v>
      </c>
      <c r="AH470" s="44">
        <v>0</v>
      </c>
      <c r="AI470" s="42">
        <f>IFERROR(AC470/M470,0)</f>
        <v>0.51764705882352946</v>
      </c>
      <c r="AJ470" s="42">
        <f>IFERROR(AD470/M470,0)</f>
        <v>0.42352941176470588</v>
      </c>
      <c r="AK470" s="40">
        <f t="shared" si="271"/>
        <v>0</v>
      </c>
      <c r="AL470" s="51">
        <v>43</v>
      </c>
      <c r="AM470" s="52">
        <f t="shared" si="272"/>
        <v>0</v>
      </c>
      <c r="AN470" s="42">
        <f>IFERROR(AL470/U470,0)</f>
        <v>5.6209150326797387E-2</v>
      </c>
      <c r="AO470" s="53">
        <f>M470-AB470</f>
        <v>44</v>
      </c>
      <c r="AP470" s="52">
        <f>AO470*O470/1000</f>
        <v>0</v>
      </c>
      <c r="AQ470" s="42">
        <f>IFERROR((AC470+AD470)/M470,0)</f>
        <v>0.94117647058823528</v>
      </c>
      <c r="AR470" s="46">
        <v>46244</v>
      </c>
      <c r="AS470" s="46">
        <v>46245</v>
      </c>
      <c r="AT470" s="50">
        <f>IF(OR(W470="",AS470=""),"",AS470-W470)</f>
        <v>8</v>
      </c>
      <c r="AU470" s="50">
        <f t="shared" si="273"/>
        <v>264</v>
      </c>
      <c r="AV470" s="50">
        <f>IF(AB470=0,"",RANK(AB470,$AB$8:$AB$474))</f>
        <v>115</v>
      </c>
      <c r="AW470" s="54">
        <f>IF(OR(AU470="",AV470=""),"",AU470-AV470)</f>
        <v>149</v>
      </c>
    </row>
    <row r="471" spans="1:49" x14ac:dyDescent="0.25">
      <c r="A471" s="33" t="s">
        <v>63</v>
      </c>
      <c r="B471" s="33" t="s">
        <v>102</v>
      </c>
      <c r="C471" s="33" t="s">
        <v>132</v>
      </c>
      <c r="D471" s="33" t="s">
        <v>595</v>
      </c>
      <c r="E471" s="34">
        <f>COUNTIF('Detalle por artículo'!$K$8:$K$592,D471)</f>
        <v>1</v>
      </c>
      <c r="F471" s="35">
        <f t="shared" si="255"/>
        <v>0</v>
      </c>
      <c r="G471" s="36">
        <f>SUMIF('Detalle por artículo'!$K$8:$K$592,$D471,'Detalle por artículo'!$E$8:$E$592)</f>
        <v>0</v>
      </c>
      <c r="H471" s="35">
        <f t="shared" si="256"/>
        <v>0</v>
      </c>
      <c r="I471" s="35">
        <f t="shared" si="257"/>
        <v>0</v>
      </c>
      <c r="J471" s="35">
        <f t="shared" si="258"/>
        <v>0</v>
      </c>
      <c r="K471" s="37">
        <f t="shared" si="259"/>
        <v>0</v>
      </c>
      <c r="L471" s="36">
        <f>SUMIF('Detalle por artículo'!$K$8:$K$592,$D471,'Detalle por artículo'!$O$8:$O$592)</f>
        <v>727</v>
      </c>
      <c r="M471" s="38">
        <f>SUMIF('Detalle por artículo'!$K$8:$K$592,$D471,'Detalle por artículo'!$I$8:$I$592)</f>
        <v>1267</v>
      </c>
      <c r="N471" s="38">
        <f>SUMIF('Detalle por artículo'!$K$8:$K$592,$D471,'Detalle por artículo'!$M$8:$M$592)</f>
        <v>40</v>
      </c>
      <c r="O471" s="39">
        <f t="shared" si="260"/>
        <v>0</v>
      </c>
      <c r="P471" s="40">
        <f t="shared" si="261"/>
        <v>573.79636937647979</v>
      </c>
      <c r="Q471" s="41">
        <f t="shared" si="262"/>
        <v>0</v>
      </c>
      <c r="R471" s="40">
        <f t="shared" si="263"/>
        <v>0</v>
      </c>
      <c r="S471" s="42">
        <f>IFERROR(SUM($G$8:G471)/$G$6,0)</f>
        <v>1</v>
      </c>
      <c r="T471" s="43" t="str">
        <f t="shared" si="264"/>
        <v>C</v>
      </c>
      <c r="U471" s="44">
        <v>1267</v>
      </c>
      <c r="V471" s="45">
        <f>U471-M471</f>
        <v>0</v>
      </c>
      <c r="W471" s="46">
        <v>46237</v>
      </c>
      <c r="X471" s="46">
        <v>46237</v>
      </c>
      <c r="Y471" s="47">
        <v>0</v>
      </c>
      <c r="Z471" s="48">
        <f t="shared" si="265"/>
        <v>0</v>
      </c>
      <c r="AA471" s="49">
        <f t="shared" si="266"/>
        <v>0</v>
      </c>
      <c r="AB471" s="44">
        <v>980</v>
      </c>
      <c r="AC471" s="44">
        <f t="shared" si="267"/>
        <v>550</v>
      </c>
      <c r="AD471" s="44">
        <f t="shared" si="268"/>
        <v>424</v>
      </c>
      <c r="AE471" s="50">
        <f t="shared" si="269"/>
        <v>49</v>
      </c>
      <c r="AF471" s="41">
        <f t="shared" si="270"/>
        <v>0.98</v>
      </c>
      <c r="AG471" s="44">
        <v>6</v>
      </c>
      <c r="AH471" s="44">
        <v>0</v>
      </c>
      <c r="AI471" s="42">
        <f>IFERROR(AC471/M471,0)</f>
        <v>0.43409629044988163</v>
      </c>
      <c r="AJ471" s="42">
        <f>IFERROR(AD471/M471,0)</f>
        <v>0.33464877663772691</v>
      </c>
      <c r="AK471" s="40">
        <f t="shared" si="271"/>
        <v>0</v>
      </c>
      <c r="AL471" s="51">
        <v>287</v>
      </c>
      <c r="AM471" s="52">
        <f t="shared" si="272"/>
        <v>0</v>
      </c>
      <c r="AN471" s="42">
        <f>IFERROR(AL471/U471,0)</f>
        <v>0.22651933701657459</v>
      </c>
      <c r="AO471" s="53">
        <f>M471-AB471</f>
        <v>287</v>
      </c>
      <c r="AP471" s="52">
        <f>AO471*O471/1000</f>
        <v>0</v>
      </c>
      <c r="AQ471" s="42">
        <f>IFERROR((AC471+AD471)/M471,0)</f>
        <v>0.76874506708760848</v>
      </c>
      <c r="AR471" s="46">
        <v>46238</v>
      </c>
      <c r="AS471" s="46">
        <v>46238</v>
      </c>
      <c r="AT471" s="50">
        <f>IF(OR(W471="",AS471=""),"",AS471-W471)</f>
        <v>1</v>
      </c>
      <c r="AU471" s="50">
        <f t="shared" si="273"/>
        <v>128</v>
      </c>
      <c r="AV471" s="50">
        <f>IF(AB471=0,"",RANK(AB471,$AB$8:$AB$474))</f>
        <v>68</v>
      </c>
      <c r="AW471" s="54">
        <f>IF(OR(AU471="",AV471=""),"",AU471-AV471)</f>
        <v>60</v>
      </c>
    </row>
    <row r="472" spans="1:49" x14ac:dyDescent="0.25">
      <c r="A472" s="33" t="s">
        <v>63</v>
      </c>
      <c r="B472" s="33" t="s">
        <v>102</v>
      </c>
      <c r="C472" s="33" t="s">
        <v>132</v>
      </c>
      <c r="D472" s="33" t="s">
        <v>596</v>
      </c>
      <c r="E472" s="34">
        <f>COUNTIF('Detalle por artículo'!$K$8:$K$592,D472)</f>
        <v>1</v>
      </c>
      <c r="F472" s="35">
        <f t="shared" si="255"/>
        <v>0</v>
      </c>
      <c r="G472" s="36">
        <f>SUMIF('Detalle por artículo'!$K$8:$K$592,$D472,'Detalle por artículo'!$E$8:$E$592)</f>
        <v>0</v>
      </c>
      <c r="H472" s="35">
        <f t="shared" si="256"/>
        <v>0</v>
      </c>
      <c r="I472" s="35">
        <f t="shared" si="257"/>
        <v>0</v>
      </c>
      <c r="J472" s="35">
        <f t="shared" si="258"/>
        <v>0</v>
      </c>
      <c r="K472" s="37">
        <f t="shared" si="259"/>
        <v>0</v>
      </c>
      <c r="L472" s="36">
        <f>SUMIF('Detalle por artículo'!$K$8:$K$592,$D472,'Detalle por artículo'!$O$8:$O$592)</f>
        <v>849.3</v>
      </c>
      <c r="M472" s="38">
        <f>SUMIF('Detalle por artículo'!$K$8:$K$592,$D472,'Detalle por artículo'!$I$8:$I$592)</f>
        <v>1596</v>
      </c>
      <c r="N472" s="38">
        <f>SUMIF('Detalle por artículo'!$K$8:$K$592,$D472,'Detalle por artículo'!$M$8:$M$592)</f>
        <v>46</v>
      </c>
      <c r="O472" s="39">
        <f t="shared" si="260"/>
        <v>0</v>
      </c>
      <c r="P472" s="40">
        <f t="shared" si="261"/>
        <v>532.14285714285711</v>
      </c>
      <c r="Q472" s="41">
        <f t="shared" si="262"/>
        <v>0</v>
      </c>
      <c r="R472" s="40">
        <f t="shared" si="263"/>
        <v>0</v>
      </c>
      <c r="S472" s="42">
        <f>IFERROR(SUM($G$8:G472)/$G$6,0)</f>
        <v>1</v>
      </c>
      <c r="T472" s="43" t="str">
        <f t="shared" si="264"/>
        <v>C</v>
      </c>
      <c r="U472" s="44">
        <v>1596</v>
      </c>
      <c r="V472" s="45">
        <f>U472-M472</f>
        <v>0</v>
      </c>
      <c r="W472" s="46">
        <v>46237</v>
      </c>
      <c r="X472" s="46">
        <v>46237</v>
      </c>
      <c r="Y472" s="47">
        <v>0</v>
      </c>
      <c r="Z472" s="48">
        <f t="shared" si="265"/>
        <v>0</v>
      </c>
      <c r="AA472" s="49">
        <f t="shared" si="266"/>
        <v>0</v>
      </c>
      <c r="AB472" s="44">
        <v>987</v>
      </c>
      <c r="AC472" s="44">
        <f t="shared" si="267"/>
        <v>717</v>
      </c>
      <c r="AD472" s="44">
        <f t="shared" si="268"/>
        <v>270</v>
      </c>
      <c r="AE472" s="50">
        <f t="shared" si="269"/>
        <v>49</v>
      </c>
      <c r="AF472" s="41">
        <f t="shared" si="270"/>
        <v>0.98</v>
      </c>
      <c r="AG472" s="44">
        <v>0</v>
      </c>
      <c r="AH472" s="44">
        <v>0</v>
      </c>
      <c r="AI472" s="42">
        <f>IFERROR(AC472/M472,0)</f>
        <v>0.4492481203007519</v>
      </c>
      <c r="AJ472" s="42">
        <f>IFERROR(AD472/M472,0)</f>
        <v>0.16917293233082706</v>
      </c>
      <c r="AK472" s="40">
        <f t="shared" si="271"/>
        <v>0</v>
      </c>
      <c r="AL472" s="51">
        <v>608</v>
      </c>
      <c r="AM472" s="52">
        <f t="shared" si="272"/>
        <v>0</v>
      </c>
      <c r="AN472" s="42">
        <f>IFERROR(AL472/U472,0)</f>
        <v>0.38095238095238093</v>
      </c>
      <c r="AO472" s="53">
        <f>M472-AB472</f>
        <v>609</v>
      </c>
      <c r="AP472" s="52">
        <f>AO472*O472/1000</f>
        <v>0</v>
      </c>
      <c r="AQ472" s="42">
        <f>IFERROR((AC472+AD472)/M472,0)</f>
        <v>0.61842105263157898</v>
      </c>
      <c r="AR472" s="46">
        <v>46238</v>
      </c>
      <c r="AS472" s="46">
        <v>46238</v>
      </c>
      <c r="AT472" s="50">
        <f>IF(OR(W472="",AS472=""),"",AS472-W472)</f>
        <v>1</v>
      </c>
      <c r="AU472" s="50">
        <f t="shared" si="273"/>
        <v>81</v>
      </c>
      <c r="AV472" s="50">
        <f>IF(AB472=0,"",RANK(AB472,$AB$8:$AB$474))</f>
        <v>67</v>
      </c>
      <c r="AW472" s="54">
        <f>IF(OR(AU472="",AV472=""),"",AU472-AV472)</f>
        <v>14</v>
      </c>
    </row>
    <row r="473" spans="1:49" x14ac:dyDescent="0.25">
      <c r="A473" s="33" t="s">
        <v>120</v>
      </c>
      <c r="B473" s="33" t="s">
        <v>576</v>
      </c>
      <c r="C473" s="33" t="s">
        <v>264</v>
      </c>
      <c r="D473" s="33" t="s">
        <v>597</v>
      </c>
      <c r="E473" s="34">
        <f>COUNTIF('Detalle por artículo'!$K$8:$K$592,D473)</f>
        <v>1</v>
      </c>
      <c r="F473" s="35">
        <f t="shared" si="255"/>
        <v>0</v>
      </c>
      <c r="G473" s="36">
        <f>SUMIF('Detalle por artículo'!$K$8:$K$592,$D473,'Detalle por artículo'!$E$8:$E$592)</f>
        <v>0</v>
      </c>
      <c r="H473" s="35">
        <f t="shared" si="256"/>
        <v>0</v>
      </c>
      <c r="I473" s="35">
        <f t="shared" si="257"/>
        <v>0</v>
      </c>
      <c r="J473" s="35">
        <f t="shared" si="258"/>
        <v>0</v>
      </c>
      <c r="K473" s="37">
        <f t="shared" si="259"/>
        <v>0</v>
      </c>
      <c r="L473" s="36">
        <f>SUMIF('Detalle por artículo'!$K$8:$K$592,$D473,'Detalle por artículo'!$O$8:$O$592)</f>
        <v>55.040000000000006</v>
      </c>
      <c r="M473" s="38">
        <f>SUMIF('Detalle por artículo'!$K$8:$K$592,$D473,'Detalle por artículo'!$I$8:$I$592)</f>
        <v>371</v>
      </c>
      <c r="N473" s="38">
        <f>SUMIF('Detalle por artículo'!$K$8:$K$592,$D473,'Detalle por artículo'!$M$8:$M$592)</f>
        <v>4</v>
      </c>
      <c r="O473" s="39">
        <f t="shared" si="260"/>
        <v>0</v>
      </c>
      <c r="P473" s="40">
        <f t="shared" si="261"/>
        <v>148.35579514824798</v>
      </c>
      <c r="Q473" s="41">
        <f t="shared" si="262"/>
        <v>0</v>
      </c>
      <c r="R473" s="40">
        <f t="shared" si="263"/>
        <v>0</v>
      </c>
      <c r="S473" s="42">
        <f>IFERROR(SUM($G$8:G473)/$G$6,0)</f>
        <v>1</v>
      </c>
      <c r="T473" s="43" t="str">
        <f t="shared" si="264"/>
        <v>C</v>
      </c>
      <c r="U473" s="44">
        <v>371</v>
      </c>
      <c r="V473" s="45">
        <f>U473-M473</f>
        <v>0</v>
      </c>
      <c r="W473" s="46">
        <v>46247</v>
      </c>
      <c r="X473" s="46">
        <v>46247</v>
      </c>
      <c r="Y473" s="47">
        <v>0</v>
      </c>
      <c r="Z473" s="48">
        <f t="shared" si="265"/>
        <v>0</v>
      </c>
      <c r="AA473" s="49">
        <f t="shared" si="266"/>
        <v>0</v>
      </c>
      <c r="AB473" s="44">
        <v>298</v>
      </c>
      <c r="AC473" s="44">
        <f t="shared" si="267"/>
        <v>244</v>
      </c>
      <c r="AD473" s="44">
        <f t="shared" si="268"/>
        <v>46</v>
      </c>
      <c r="AE473" s="50">
        <f t="shared" si="269"/>
        <v>33</v>
      </c>
      <c r="AF473" s="41">
        <f t="shared" si="270"/>
        <v>0.66</v>
      </c>
      <c r="AG473" s="44">
        <v>2</v>
      </c>
      <c r="AH473" s="44">
        <v>6</v>
      </c>
      <c r="AI473" s="42">
        <f>IFERROR(AC473/M473,0)</f>
        <v>0.65768194070080865</v>
      </c>
      <c r="AJ473" s="42">
        <f>IFERROR(AD473/M473,0)</f>
        <v>0.12398921832884097</v>
      </c>
      <c r="AK473" s="40">
        <f t="shared" si="271"/>
        <v>0</v>
      </c>
      <c r="AL473" s="51">
        <v>72</v>
      </c>
      <c r="AM473" s="52">
        <f t="shared" si="272"/>
        <v>0</v>
      </c>
      <c r="AN473" s="42">
        <f>IFERROR(AL473/U473,0)</f>
        <v>0.19407008086253369</v>
      </c>
      <c r="AO473" s="53">
        <f>M473-AB473</f>
        <v>73</v>
      </c>
      <c r="AP473" s="52">
        <f>AO473*O473/1000</f>
        <v>0</v>
      </c>
      <c r="AQ473" s="42">
        <f>IFERROR((AC473+AD473)/M473,0)</f>
        <v>0.78167115902964956</v>
      </c>
      <c r="AR473" s="46">
        <v>46254</v>
      </c>
      <c r="AS473" s="46">
        <v>46254</v>
      </c>
      <c r="AT473" s="50">
        <f>IF(OR(W473="",AS473=""),"",AS473-W473)</f>
        <v>7</v>
      </c>
      <c r="AU473" s="50">
        <f t="shared" si="273"/>
        <v>464</v>
      </c>
      <c r="AV473" s="50">
        <f>IF(AB473=0,"",RANK(AB473,$AB$8:$AB$474))</f>
        <v>345</v>
      </c>
      <c r="AW473" s="54">
        <f>IF(OR(AU473="",AV473=""),"",AU473-AV473)</f>
        <v>119</v>
      </c>
    </row>
    <row r="474" spans="1:49" x14ac:dyDescent="0.25">
      <c r="A474" s="33" t="s">
        <v>120</v>
      </c>
      <c r="B474" s="33" t="s">
        <v>507</v>
      </c>
      <c r="C474" s="33" t="s">
        <v>427</v>
      </c>
      <c r="D474" s="33" t="s">
        <v>598</v>
      </c>
      <c r="E474" s="34">
        <f>COUNTIF('Detalle por artículo'!$K$8:$K$592,D474)</f>
        <v>1</v>
      </c>
      <c r="F474" s="35">
        <f t="shared" si="255"/>
        <v>0</v>
      </c>
      <c r="G474" s="36">
        <f>SUMIF('Detalle por artículo'!$K$8:$K$592,$D474,'Detalle por artículo'!$E$8:$E$592)</f>
        <v>0</v>
      </c>
      <c r="H474" s="35">
        <f t="shared" si="256"/>
        <v>0</v>
      </c>
      <c r="I474" s="35">
        <f t="shared" si="257"/>
        <v>0</v>
      </c>
      <c r="J474" s="35">
        <f t="shared" si="258"/>
        <v>0</v>
      </c>
      <c r="K474" s="37">
        <f t="shared" si="259"/>
        <v>0</v>
      </c>
      <c r="L474" s="36">
        <f>SUMIF('Detalle por artículo'!$K$8:$K$592,$D474,'Detalle por artículo'!$O$8:$O$592)</f>
        <v>120.78999999999999</v>
      </c>
      <c r="M474" s="38">
        <f>SUMIF('Detalle por artículo'!$K$8:$K$592,$D474,'Detalle por artículo'!$I$8:$I$592)</f>
        <v>366</v>
      </c>
      <c r="N474" s="38">
        <f>SUMIF('Detalle por artículo'!$K$8:$K$592,$D474,'Detalle por artículo'!$M$8:$M$592)</f>
        <v>8</v>
      </c>
      <c r="O474" s="39">
        <f t="shared" si="260"/>
        <v>0</v>
      </c>
      <c r="P474" s="40">
        <f t="shared" si="261"/>
        <v>330.02732240437155</v>
      </c>
      <c r="Q474" s="41">
        <f t="shared" si="262"/>
        <v>0</v>
      </c>
      <c r="R474" s="40">
        <f t="shared" si="263"/>
        <v>0</v>
      </c>
      <c r="S474" s="42">
        <f>IFERROR(SUM($G$8:G474)/$G$6,0)</f>
        <v>1</v>
      </c>
      <c r="T474" s="43" t="str">
        <f t="shared" si="264"/>
        <v>C</v>
      </c>
      <c r="U474" s="44">
        <v>366</v>
      </c>
      <c r="V474" s="45">
        <f>U474-M474</f>
        <v>0</v>
      </c>
      <c r="W474" s="46">
        <v>46247</v>
      </c>
      <c r="X474" s="46">
        <v>46247</v>
      </c>
      <c r="Y474" s="47">
        <v>0</v>
      </c>
      <c r="Z474" s="48">
        <f t="shared" si="265"/>
        <v>0</v>
      </c>
      <c r="AA474" s="49">
        <f t="shared" si="266"/>
        <v>0</v>
      </c>
      <c r="AB474" s="44">
        <v>307</v>
      </c>
      <c r="AC474" s="44">
        <f t="shared" si="267"/>
        <v>256</v>
      </c>
      <c r="AD474" s="44">
        <f t="shared" si="268"/>
        <v>39</v>
      </c>
      <c r="AE474" s="50">
        <f t="shared" si="269"/>
        <v>33</v>
      </c>
      <c r="AF474" s="41">
        <f t="shared" si="270"/>
        <v>0.66</v>
      </c>
      <c r="AG474" s="44">
        <v>5</v>
      </c>
      <c r="AH474" s="44">
        <v>7</v>
      </c>
      <c r="AI474" s="42">
        <f>IFERROR(AC474/M474,0)</f>
        <v>0.69945355191256831</v>
      </c>
      <c r="AJ474" s="42">
        <f>IFERROR(AD474/M474,0)</f>
        <v>0.10655737704918032</v>
      </c>
      <c r="AK474" s="40">
        <f t="shared" si="271"/>
        <v>0</v>
      </c>
      <c r="AL474" s="51">
        <v>57</v>
      </c>
      <c r="AM474" s="52">
        <f t="shared" si="272"/>
        <v>0</v>
      </c>
      <c r="AN474" s="42">
        <f>IFERROR(AL474/U474,0)</f>
        <v>0.15573770491803279</v>
      </c>
      <c r="AO474" s="53">
        <f>M474-AB474</f>
        <v>59</v>
      </c>
      <c r="AP474" s="52">
        <f>AO474*O474/1000</f>
        <v>0</v>
      </c>
      <c r="AQ474" s="42">
        <f>IFERROR((AC474+AD474)/M474,0)</f>
        <v>0.80601092896174864</v>
      </c>
      <c r="AR474" s="46">
        <v>46254</v>
      </c>
      <c r="AS474" s="46">
        <v>46254</v>
      </c>
      <c r="AT474" s="50">
        <f>IF(OR(W474="",AS474=""),"",AS474-W474)</f>
        <v>7</v>
      </c>
      <c r="AU474" s="50">
        <f t="shared" si="273"/>
        <v>465</v>
      </c>
      <c r="AV474" s="50">
        <f>IF(AB474=0,"",RANK(AB474,$AB$8:$AB$474))</f>
        <v>344</v>
      </c>
      <c r="AW474" s="54">
        <f>IF(OR(AU474="",AV474=""),"",AU474-AV474)</f>
        <v>121</v>
      </c>
    </row>
  </sheetData>
  <autoFilter ref="A7:AW474" xr:uid="{00000000-0009-0000-0000-000000000000}"/>
  <conditionalFormatting sqref="F8:F474">
    <cfRule type="colorScale" priority="4">
      <colorScale>
        <cfvo type="min"/>
        <cfvo type="percentile" val="50"/>
        <cfvo type="max"/>
        <color rgb="FFDDEBF7"/>
        <color rgb="FF9BC2E6"/>
        <color rgb="FF2F75B5"/>
      </colorScale>
    </cfRule>
  </conditionalFormatting>
  <conditionalFormatting sqref="G8:G474">
    <cfRule type="dataBar" priority="6">
      <dataBar>
        <cfvo type="min"/>
        <cfvo type="max"/>
        <color rgb="FF5B9BD5"/>
      </dataBar>
    </cfRule>
  </conditionalFormatting>
  <conditionalFormatting sqref="O8:O474">
    <cfRule type="colorScale" priority="5">
      <colorScale>
        <cfvo type="min"/>
        <cfvo type="percentile" val="50"/>
        <cfvo type="max"/>
        <color rgb="FFFFF2CC"/>
        <color rgb="FFFFD966"/>
        <color rgb="FFBF8F00"/>
      </colorScale>
    </cfRule>
  </conditionalFormatting>
  <conditionalFormatting sqref="T8:T474">
    <cfRule type="cellIs" dxfId="3" priority="7" operator="equal">
      <formula>"A"</formula>
    </cfRule>
  </conditionalFormatting>
  <conditionalFormatting sqref="V8:V474">
    <cfRule type="cellIs" dxfId="2" priority="8" operator="lessThan">
      <formula>0</formula>
    </cfRule>
  </conditionalFormatting>
  <conditionalFormatting sqref="AI8:AI4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8:AN47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:AQ4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:AW474">
    <cfRule type="colorScale" priority="9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0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15" width="12" customWidth="1"/>
  </cols>
  <sheetData>
    <row r="1" spans="1:8" ht="18" x14ac:dyDescent="0.25">
      <c r="A1" s="13" t="s">
        <v>599</v>
      </c>
    </row>
    <row r="2" spans="1:8" x14ac:dyDescent="0.25">
      <c r="A2" s="14" t="s">
        <v>600</v>
      </c>
    </row>
    <row r="4" spans="1:8" x14ac:dyDescent="0.25">
      <c r="A4" s="77" t="s">
        <v>601</v>
      </c>
    </row>
    <row r="5" spans="1:8" ht="30" customHeight="1" x14ac:dyDescent="0.25">
      <c r="A5" s="30" t="s">
        <v>602</v>
      </c>
      <c r="B5" s="30" t="s">
        <v>603</v>
      </c>
      <c r="C5" s="30" t="s">
        <v>604</v>
      </c>
      <c r="D5" s="30" t="s">
        <v>605</v>
      </c>
      <c r="E5" s="30" t="s">
        <v>606</v>
      </c>
      <c r="F5" s="30" t="s">
        <v>607</v>
      </c>
      <c r="G5" s="30" t="s">
        <v>608</v>
      </c>
      <c r="H5" s="30" t="s">
        <v>609</v>
      </c>
    </row>
    <row r="6" spans="1:8" x14ac:dyDescent="0.25">
      <c r="A6" s="78" t="s">
        <v>610</v>
      </c>
      <c r="B6" s="38">
        <f>'MASTER por modelo'!$M$6</f>
        <v>543206</v>
      </c>
      <c r="C6" s="79">
        <f>'MASTER por modelo'!$G$6</f>
        <v>2721.3566000000174</v>
      </c>
      <c r="D6" s="80">
        <f t="shared" ref="D6:D15" si="0">IFERROR(B6/$B$6,0)</f>
        <v>1</v>
      </c>
      <c r="E6" s="80">
        <f t="shared" ref="E6:E15" si="1">IFERROR(B6/$B$7,0)</f>
        <v>1.0353782081216822</v>
      </c>
      <c r="F6" s="81">
        <f t="shared" ref="F6:F15" si="2">C6/28</f>
        <v>97.191307142857767</v>
      </c>
      <c r="G6" s="38">
        <f t="shared" ref="G6:G15" si="3">ROUNDUP(C6/1.54,0)</f>
        <v>1768</v>
      </c>
      <c r="H6" s="14" t="s">
        <v>611</v>
      </c>
    </row>
    <row r="7" spans="1:8" x14ac:dyDescent="0.25">
      <c r="A7" s="78" t="s">
        <v>612</v>
      </c>
      <c r="B7" s="38">
        <f>'MASTER por modelo'!$U$6</f>
        <v>524645</v>
      </c>
      <c r="C7" s="79">
        <f>SUMPRODUCT('MASTER por modelo'!$U$8:$U$474,'MASTER por modelo'!$O$8:$O$474)/1000</f>
        <v>2654.618479110366</v>
      </c>
      <c r="D7" s="80">
        <f t="shared" si="0"/>
        <v>0.96583064251867612</v>
      </c>
      <c r="E7" s="80">
        <f t="shared" si="1"/>
        <v>1</v>
      </c>
      <c r="F7" s="81">
        <f t="shared" si="2"/>
        <v>94.807802825370217</v>
      </c>
      <c r="G7" s="38">
        <f t="shared" si="3"/>
        <v>1724</v>
      </c>
      <c r="H7" s="14" t="s">
        <v>613</v>
      </c>
    </row>
    <row r="8" spans="1:8" x14ac:dyDescent="0.25">
      <c r="A8" s="78" t="s">
        <v>614</v>
      </c>
      <c r="B8" s="38">
        <f>'MASTER por modelo'!$Y$6</f>
        <v>53198</v>
      </c>
      <c r="C8" s="79">
        <f>SUMPRODUCT('MASTER por modelo'!$Y$8:$Y$474,'MASTER por modelo'!$O$8:$O$474)/1000</f>
        <v>312.15697542201701</v>
      </c>
      <c r="D8" s="80">
        <f t="shared" si="0"/>
        <v>9.7933380706398676E-2</v>
      </c>
      <c r="E8" s="80">
        <f t="shared" si="1"/>
        <v>0.10139808823108959</v>
      </c>
      <c r="F8" s="81">
        <f t="shared" si="2"/>
        <v>11.14846340792918</v>
      </c>
      <c r="G8" s="38">
        <f t="shared" si="3"/>
        <v>203</v>
      </c>
      <c r="H8" s="14" t="s">
        <v>615</v>
      </c>
    </row>
    <row r="9" spans="1:8" x14ac:dyDescent="0.25">
      <c r="A9" s="78" t="s">
        <v>616</v>
      </c>
      <c r="B9" s="38">
        <f>'MASTER por modelo'!$AB$6</f>
        <v>278739</v>
      </c>
      <c r="C9" s="79">
        <f>SUMPRODUCT('MASTER por modelo'!$AB$8:$AB$474,'MASTER por modelo'!$O$8:$O$474)/1000</f>
        <v>1080.1711267759904</v>
      </c>
      <c r="D9" s="80">
        <f t="shared" si="0"/>
        <v>0.51313682102185909</v>
      </c>
      <c r="E9" s="80">
        <f t="shared" si="1"/>
        <v>0.53129068227086884</v>
      </c>
      <c r="F9" s="81">
        <f t="shared" si="2"/>
        <v>38.577540241999657</v>
      </c>
      <c r="G9" s="38">
        <f t="shared" si="3"/>
        <v>702</v>
      </c>
      <c r="H9" s="14" t="s">
        <v>617</v>
      </c>
    </row>
    <row r="10" spans="1:8" x14ac:dyDescent="0.25">
      <c r="A10" s="43" t="s">
        <v>618</v>
      </c>
      <c r="B10" s="38">
        <f>'MASTER por modelo'!$AC$6</f>
        <v>191199</v>
      </c>
      <c r="C10" s="79">
        <f>SUMPRODUCT('MASTER por modelo'!$AC$8:$AC$474,'MASTER por modelo'!$O$8:$O$474)/1000</f>
        <v>745.16204493350733</v>
      </c>
      <c r="D10" s="80">
        <f t="shared" si="0"/>
        <v>0.35198248914776348</v>
      </c>
      <c r="E10" s="80">
        <f t="shared" si="1"/>
        <v>0.36443499890402081</v>
      </c>
      <c r="F10" s="81">
        <f t="shared" si="2"/>
        <v>26.612930176196691</v>
      </c>
      <c r="G10" s="38">
        <f t="shared" si="3"/>
        <v>484</v>
      </c>
      <c r="H10" s="14" t="s">
        <v>619</v>
      </c>
    </row>
    <row r="11" spans="1:8" x14ac:dyDescent="0.25">
      <c r="A11" s="43" t="s">
        <v>620</v>
      </c>
      <c r="B11" s="38">
        <f>'MASTER por modelo'!$AD$6</f>
        <v>84069</v>
      </c>
      <c r="C11" s="79">
        <f>SUMPRODUCT('MASTER por modelo'!$AD$8:$AD$474,'MASTER por modelo'!$O$8:$O$474)/1000</f>
        <v>322.12668413134094</v>
      </c>
      <c r="D11" s="80">
        <f t="shared" si="0"/>
        <v>0.15476449081932084</v>
      </c>
      <c r="E11" s="80">
        <f t="shared" si="1"/>
        <v>0.16023978118537296</v>
      </c>
      <c r="F11" s="81">
        <f t="shared" si="2"/>
        <v>11.504524433262176</v>
      </c>
      <c r="G11" s="38">
        <f t="shared" si="3"/>
        <v>210</v>
      </c>
      <c r="H11" s="14" t="s">
        <v>621</v>
      </c>
    </row>
    <row r="12" spans="1:8" x14ac:dyDescent="0.25">
      <c r="A12" s="43" t="s">
        <v>622</v>
      </c>
      <c r="B12" s="38">
        <f>'MASTER por modelo'!$AG$6</f>
        <v>1531</v>
      </c>
      <c r="C12" s="79">
        <f>SUMPRODUCT('MASTER por modelo'!$AG$8:$AG$474,'MASTER por modelo'!$O$8:$O$474)/1000</f>
        <v>7.1613460888435769</v>
      </c>
      <c r="D12" s="80">
        <f t="shared" si="0"/>
        <v>2.8184519316796944E-3</v>
      </c>
      <c r="E12" s="80">
        <f t="shared" si="1"/>
        <v>2.918163710699616E-3</v>
      </c>
      <c r="F12" s="81">
        <f t="shared" si="2"/>
        <v>0.25576236031584204</v>
      </c>
      <c r="G12" s="38">
        <f t="shared" si="3"/>
        <v>5</v>
      </c>
      <c r="H12" s="14" t="s">
        <v>623</v>
      </c>
    </row>
    <row r="13" spans="1:8" x14ac:dyDescent="0.25">
      <c r="A13" s="43" t="s">
        <v>624</v>
      </c>
      <c r="B13" s="38">
        <f>'MASTER por modelo'!$AH$6</f>
        <v>4638</v>
      </c>
      <c r="C13" s="79">
        <f>SUMPRODUCT('MASTER por modelo'!$AH$8:$AH$474,'MASTER por modelo'!$O$8:$O$474)/1000</f>
        <v>18.117231117338889</v>
      </c>
      <c r="D13" s="80">
        <f t="shared" si="0"/>
        <v>8.5381972953170616E-3</v>
      </c>
      <c r="E13" s="80">
        <f t="shared" si="1"/>
        <v>8.8402634162147737E-3</v>
      </c>
      <c r="F13" s="81">
        <f t="shared" si="2"/>
        <v>0.6470439684763889</v>
      </c>
      <c r="G13" s="38">
        <f t="shared" si="3"/>
        <v>12</v>
      </c>
      <c r="H13" s="14" t="s">
        <v>625</v>
      </c>
    </row>
    <row r="14" spans="1:8" x14ac:dyDescent="0.25">
      <c r="A14" s="78" t="s">
        <v>626</v>
      </c>
      <c r="B14" s="38">
        <f>'MASTER por modelo'!$AL$6</f>
        <v>245432</v>
      </c>
      <c r="C14" s="79">
        <f>SUMPRODUCT('MASTER por modelo'!$AL$8:$AL$474,'MASTER por modelo'!$O$8:$O$474)/1000</f>
        <v>1573.3121507230069</v>
      </c>
      <c r="D14" s="80">
        <f t="shared" si="0"/>
        <v>0.45182122436055566</v>
      </c>
      <c r="E14" s="80">
        <f t="shared" si="1"/>
        <v>0.46780584966977673</v>
      </c>
      <c r="F14" s="81">
        <f t="shared" si="2"/>
        <v>56.189719668678819</v>
      </c>
      <c r="G14" s="38">
        <f t="shared" si="3"/>
        <v>1022</v>
      </c>
      <c r="H14" s="14" t="s">
        <v>627</v>
      </c>
    </row>
    <row r="15" spans="1:8" x14ac:dyDescent="0.25">
      <c r="A15" s="78" t="s">
        <v>628</v>
      </c>
      <c r="B15" s="38">
        <f>'MASTER por modelo'!$AO$6</f>
        <v>259031</v>
      </c>
      <c r="C15" s="79">
        <f>SUMPRODUCT('MASTER por modelo'!$AO$8:$AO$474,'MASTER por modelo'!$O$8:$O$474)/1000</f>
        <v>1630.7644732240112</v>
      </c>
      <c r="D15" s="80">
        <f t="shared" si="0"/>
        <v>0.47685592574456098</v>
      </c>
      <c r="E15" s="80">
        <f t="shared" si="1"/>
        <v>0.49372623392960957</v>
      </c>
      <c r="F15" s="81">
        <f t="shared" si="2"/>
        <v>58.241588329428971</v>
      </c>
      <c r="G15" s="38">
        <f t="shared" si="3"/>
        <v>1059</v>
      </c>
      <c r="H15" s="14" t="s">
        <v>629</v>
      </c>
    </row>
    <row r="17" spans="1:8" x14ac:dyDescent="0.25">
      <c r="A17" s="77" t="s">
        <v>630</v>
      </c>
    </row>
    <row r="18" spans="1:8" ht="30" customHeight="1" x14ac:dyDescent="0.25">
      <c r="A18" s="30" t="s">
        <v>631</v>
      </c>
      <c r="B18" s="30" t="s">
        <v>632</v>
      </c>
      <c r="C18" s="30"/>
      <c r="D18" s="30"/>
      <c r="E18" s="30"/>
      <c r="F18" s="30"/>
      <c r="G18" s="30"/>
      <c r="H18" s="30" t="s">
        <v>609</v>
      </c>
    </row>
    <row r="19" spans="1:8" x14ac:dyDescent="0.25">
      <c r="A19" s="43" t="s">
        <v>633</v>
      </c>
      <c r="B19" s="82">
        <f>IFERROR(B10/B6,0)</f>
        <v>0.35198248914776348</v>
      </c>
      <c r="H19" s="14" t="s">
        <v>634</v>
      </c>
    </row>
    <row r="20" spans="1:8" x14ac:dyDescent="0.25">
      <c r="A20" s="43" t="s">
        <v>635</v>
      </c>
      <c r="B20" s="82">
        <f>IFERROR(B11/B6,0)</f>
        <v>0.15476449081932084</v>
      </c>
      <c r="H20" s="14" t="s">
        <v>636</v>
      </c>
    </row>
    <row r="21" spans="1:8" x14ac:dyDescent="0.25">
      <c r="A21" s="43" t="s">
        <v>637</v>
      </c>
      <c r="B21" s="82">
        <f>IFERROR(C10/C6,0)</f>
        <v>0.27382006640860762</v>
      </c>
      <c r="H21" s="14" t="s">
        <v>638</v>
      </c>
    </row>
    <row r="22" spans="1:8" x14ac:dyDescent="0.25">
      <c r="A22" s="43" t="s">
        <v>639</v>
      </c>
      <c r="B22" s="82">
        <f>IFERROR(B14/B7,0)</f>
        <v>0.46780584966977673</v>
      </c>
      <c r="H22" s="14" t="s">
        <v>640</v>
      </c>
    </row>
    <row r="23" spans="1:8" x14ac:dyDescent="0.25">
      <c r="A23" s="43" t="s">
        <v>641</v>
      </c>
      <c r="B23" s="82">
        <f>IFERROR((B10+B11)/B6,0)</f>
        <v>0.50674697996708429</v>
      </c>
      <c r="H23" s="14" t="s">
        <v>642</v>
      </c>
    </row>
    <row r="24" spans="1:8" x14ac:dyDescent="0.25">
      <c r="A24" s="43" t="s">
        <v>643</v>
      </c>
      <c r="B24" s="83">
        <f>AVERAGE('MASTER por modelo'!$AF$8:$AF$474)</f>
        <v>0.74942184154175562</v>
      </c>
      <c r="H24" s="14" t="s">
        <v>644</v>
      </c>
    </row>
    <row r="25" spans="1:8" x14ac:dyDescent="0.25">
      <c r="A25" s="43" t="s">
        <v>645</v>
      </c>
      <c r="B25" s="82">
        <f>IFERROR(C15/C6,0)</f>
        <v>0.59924688782940128</v>
      </c>
      <c r="H25" s="14" t="s">
        <v>646</v>
      </c>
    </row>
    <row r="26" spans="1:8" x14ac:dyDescent="0.25">
      <c r="A26" s="43" t="s">
        <v>647</v>
      </c>
      <c r="B26" s="84">
        <f>F7</f>
        <v>94.807802825370217</v>
      </c>
      <c r="H26" s="14" t="s">
        <v>648</v>
      </c>
    </row>
    <row r="27" spans="1:8" x14ac:dyDescent="0.25">
      <c r="A27" s="43" t="s">
        <v>649</v>
      </c>
      <c r="B27" s="84">
        <f>F8</f>
        <v>11.14846340792918</v>
      </c>
      <c r="H27" s="14" t="s">
        <v>650</v>
      </c>
    </row>
    <row r="28" spans="1:8" x14ac:dyDescent="0.25">
      <c r="A28" s="43" t="s">
        <v>651</v>
      </c>
      <c r="B28" s="84">
        <f>'MASTER por modelo'!$AT$6</f>
        <v>10.753554502369669</v>
      </c>
      <c r="H28" s="14" t="s">
        <v>652</v>
      </c>
    </row>
    <row r="29" spans="1:8" x14ac:dyDescent="0.25">
      <c r="A29" s="43" t="s">
        <v>653</v>
      </c>
      <c r="B29" s="84">
        <f>MEDIAN('MASTER por modelo'!$AT$8:$AT$474)</f>
        <v>8</v>
      </c>
      <c r="H29" s="14" t="s">
        <v>654</v>
      </c>
    </row>
    <row r="30" spans="1:8" x14ac:dyDescent="0.25">
      <c r="A30" s="43" t="s">
        <v>655</v>
      </c>
      <c r="B30" s="85">
        <f>'MASTER por modelo'!$F$6</f>
        <v>139.91250540263536</v>
      </c>
      <c r="H30" s="14" t="s">
        <v>656</v>
      </c>
    </row>
    <row r="31" spans="1:8" x14ac:dyDescent="0.25">
      <c r="A31" s="43" t="s">
        <v>657</v>
      </c>
      <c r="B31" s="86">
        <f>'MASTER por modelo'!$O$6</f>
        <v>5.0098058563418251</v>
      </c>
      <c r="H31" s="14" t="s">
        <v>658</v>
      </c>
    </row>
    <row r="32" spans="1:8" x14ac:dyDescent="0.25">
      <c r="A32" s="43" t="s">
        <v>659</v>
      </c>
      <c r="B32" s="87">
        <f>COUNTIF('MASTER por modelo'!$T$8:$T$474,"A")</f>
        <v>44</v>
      </c>
      <c r="H32" s="14" t="s">
        <v>660</v>
      </c>
    </row>
    <row r="33" spans="1:15" x14ac:dyDescent="0.25">
      <c r="A33" s="43" t="s">
        <v>661</v>
      </c>
      <c r="B33" s="87">
        <f>COUNTIF('MASTER por modelo'!$T$8:$T$474,"A")+COUNTIF('MASTER por modelo'!$T$8:$T$474,"B")</f>
        <v>191</v>
      </c>
      <c r="H33" s="14"/>
    </row>
    <row r="34" spans="1:15" x14ac:dyDescent="0.25">
      <c r="A34" s="43" t="s">
        <v>662</v>
      </c>
      <c r="B34" s="87">
        <f>COUNTIFS('MASTER por modelo'!$AB$8:$AB$474,0,'MASTER por modelo'!$U$8:$U$474,"&gt;0")</f>
        <v>17</v>
      </c>
      <c r="H34" s="14" t="s">
        <v>663</v>
      </c>
    </row>
    <row r="36" spans="1:15" x14ac:dyDescent="0.25">
      <c r="A36" s="77" t="s">
        <v>664</v>
      </c>
    </row>
    <row r="37" spans="1:15" ht="39.950000000000003" customHeight="1" x14ac:dyDescent="0.25">
      <c r="A37" s="30" t="s">
        <v>665</v>
      </c>
      <c r="B37" s="30" t="s">
        <v>666</v>
      </c>
      <c r="C37" s="30" t="s">
        <v>667</v>
      </c>
      <c r="D37" s="30" t="s">
        <v>668</v>
      </c>
      <c r="E37" s="30" t="s">
        <v>669</v>
      </c>
      <c r="F37" s="30" t="s">
        <v>670</v>
      </c>
      <c r="G37" s="30" t="s">
        <v>671</v>
      </c>
      <c r="H37" s="30" t="s">
        <v>672</v>
      </c>
      <c r="I37" s="30" t="s">
        <v>673</v>
      </c>
      <c r="J37" s="30" t="s">
        <v>674</v>
      </c>
      <c r="K37" s="30" t="s">
        <v>633</v>
      </c>
      <c r="L37" s="30" t="s">
        <v>639</v>
      </c>
      <c r="M37" s="30" t="s">
        <v>675</v>
      </c>
      <c r="N37" s="30" t="s">
        <v>676</v>
      </c>
      <c r="O37" s="30" t="s">
        <v>677</v>
      </c>
    </row>
    <row r="38" spans="1:15" x14ac:dyDescent="0.25">
      <c r="A38" s="43" t="s">
        <v>64</v>
      </c>
      <c r="B38" s="34">
        <f>COUNTIF('MASTER por modelo'!$B$8:$B$474,$A38)</f>
        <v>64</v>
      </c>
      <c r="C38" s="38">
        <f>SUMIF('MASTER por modelo'!$B$8:$B$474,$A38,'MASTER por modelo'!$M$8:$M$474)</f>
        <v>116452</v>
      </c>
      <c r="D38" s="79">
        <f>SUMIF('MASTER por modelo'!$B$8:$B$474,$A38,'MASTER por modelo'!$G$8:$G$474)</f>
        <v>990.60479999999961</v>
      </c>
      <c r="E38" s="38">
        <f>SUMIF('MASTER por modelo'!$B$8:$B$474,$A38,'MASTER por modelo'!$U$8:$U$474)</f>
        <v>113153</v>
      </c>
      <c r="F38" s="38">
        <f>SUMIF('MASTER por modelo'!$B$8:$B$474,$A38,'MASTER por modelo'!$Y$8:$Y$474)</f>
        <v>25240</v>
      </c>
      <c r="G38" s="38">
        <f>SUMIF('MASTER por modelo'!$B$8:$B$474,$A38,'MASTER por modelo'!$AB$8:$AB$474)</f>
        <v>45653</v>
      </c>
      <c r="H38" s="38">
        <f>SUMIF('MASTER por modelo'!$B$8:$B$474,$A38,'MASTER por modelo'!$AC$8:$AC$474)</f>
        <v>28637</v>
      </c>
      <c r="I38" s="38">
        <f>SUMIF('MASTER por modelo'!$B$8:$B$474,$A38,'MASTER por modelo'!$AD$8:$AD$474)</f>
        <v>16613</v>
      </c>
      <c r="J38" s="38">
        <f>SUMIF('MASTER por modelo'!$B$8:$B$474,$A38,'MASTER por modelo'!$AL$8:$AL$474)</f>
        <v>67506</v>
      </c>
      <c r="K38" s="80">
        <f t="shared" ref="K38:K71" si="4">IFERROR(H38/C38,0)</f>
        <v>0.24591247896128876</v>
      </c>
      <c r="L38" s="80">
        <f t="shared" ref="L38:L71" si="5">IFERROR(J38/E38,0)</f>
        <v>0.59659045716861236</v>
      </c>
      <c r="M38" s="80">
        <f t="shared" ref="M38:M71" si="6">IFERROR((H38+I38)/C38,0)</f>
        <v>0.3885721155497544</v>
      </c>
      <c r="N38" s="81">
        <f>SUMIF('MASTER por modelo'!$B$8:$B$474,$A38,'MASTER por modelo'!$AA$8:$AA$474)</f>
        <v>6.3978103908540893</v>
      </c>
      <c r="O38" s="80">
        <f>IFERROR(D38/'MASTER por modelo'!$G$6,0)</f>
        <v>0.3640113904954585</v>
      </c>
    </row>
    <row r="39" spans="1:15" x14ac:dyDescent="0.25">
      <c r="A39" s="43" t="s">
        <v>56</v>
      </c>
      <c r="B39" s="34">
        <f>COUNTIF('MASTER por modelo'!$B$8:$B$474,$A39)</f>
        <v>38</v>
      </c>
      <c r="C39" s="38">
        <f>SUMIF('MASTER por modelo'!$B$8:$B$474,$A39,'MASTER por modelo'!$M$8:$M$474)</f>
        <v>67577</v>
      </c>
      <c r="D39" s="79">
        <f>SUMIF('MASTER por modelo'!$B$8:$B$474,$A39,'MASTER por modelo'!$G$8:$G$474)</f>
        <v>698.42900000000009</v>
      </c>
      <c r="E39" s="38">
        <f>SUMIF('MASTER por modelo'!$B$8:$B$474,$A39,'MASTER por modelo'!$U$8:$U$474)</f>
        <v>67597</v>
      </c>
      <c r="F39" s="38">
        <f>SUMIF('MASTER por modelo'!$B$8:$B$474,$A39,'MASTER por modelo'!$Y$8:$Y$474)</f>
        <v>4716</v>
      </c>
      <c r="G39" s="38">
        <f>SUMIF('MASTER por modelo'!$B$8:$B$474,$A39,'MASTER por modelo'!$AB$8:$AB$474)</f>
        <v>22728</v>
      </c>
      <c r="H39" s="38">
        <f>SUMIF('MASTER por modelo'!$B$8:$B$474,$A39,'MASTER por modelo'!$AC$8:$AC$474)</f>
        <v>17016</v>
      </c>
      <c r="I39" s="38">
        <f>SUMIF('MASTER por modelo'!$B$8:$B$474,$A39,'MASTER por modelo'!$AD$8:$AD$474)</f>
        <v>5250</v>
      </c>
      <c r="J39" s="38">
        <f>SUMIF('MASTER por modelo'!$B$8:$B$474,$A39,'MASTER por modelo'!$AL$8:$AL$474)</f>
        <v>44797</v>
      </c>
      <c r="K39" s="80">
        <f t="shared" si="4"/>
        <v>0.2518016484898708</v>
      </c>
      <c r="L39" s="80">
        <f t="shared" si="5"/>
        <v>0.66270692486352945</v>
      </c>
      <c r="M39" s="80">
        <f t="shared" si="6"/>
        <v>0.32949080308388951</v>
      </c>
      <c r="N39" s="81">
        <f>SUMIF('MASTER por modelo'!$B$8:$B$474,$A39,'MASTER por modelo'!$AA$8:$AA$474)</f>
        <v>1.7484450701572951</v>
      </c>
      <c r="O39" s="80">
        <f>IFERROR(D39/'MASTER por modelo'!$G$6,0)</f>
        <v>0.25664736477387623</v>
      </c>
    </row>
    <row r="40" spans="1:15" x14ac:dyDescent="0.25">
      <c r="A40" s="43" t="s">
        <v>110</v>
      </c>
      <c r="B40" s="34">
        <f>COUNTIF('MASTER por modelo'!$B$8:$B$474,$A40)</f>
        <v>34</v>
      </c>
      <c r="C40" s="38">
        <f>SUMIF('MASTER por modelo'!$B$8:$B$474,$A40,'MASTER por modelo'!$M$8:$M$474)</f>
        <v>50669</v>
      </c>
      <c r="D40" s="79">
        <f>SUMIF('MASTER por modelo'!$B$8:$B$474,$A40,'MASTER por modelo'!$G$8:$G$474)</f>
        <v>189.73620000000003</v>
      </c>
      <c r="E40" s="38">
        <f>SUMIF('MASTER por modelo'!$B$8:$B$474,$A40,'MASTER por modelo'!$U$8:$U$474)</f>
        <v>49293</v>
      </c>
      <c r="F40" s="38">
        <f>SUMIF('MASTER por modelo'!$B$8:$B$474,$A40,'MASTER por modelo'!$Y$8:$Y$474)</f>
        <v>2353</v>
      </c>
      <c r="G40" s="38">
        <f>SUMIF('MASTER por modelo'!$B$8:$B$474,$A40,'MASTER por modelo'!$AB$8:$AB$474)</f>
        <v>15118</v>
      </c>
      <c r="H40" s="38">
        <f>SUMIF('MASTER por modelo'!$B$8:$B$474,$A40,'MASTER por modelo'!$AC$8:$AC$474)</f>
        <v>11367</v>
      </c>
      <c r="I40" s="38">
        <f>SUMIF('MASTER por modelo'!$B$8:$B$474,$A40,'MASTER por modelo'!$AD$8:$AD$474)</f>
        <v>3461</v>
      </c>
      <c r="J40" s="38">
        <f>SUMIF('MASTER por modelo'!$B$8:$B$474,$A40,'MASTER por modelo'!$AL$8:$AL$474)</f>
        <v>34224</v>
      </c>
      <c r="K40" s="80">
        <f t="shared" si="4"/>
        <v>0.22433835283901399</v>
      </c>
      <c r="L40" s="80">
        <f t="shared" si="5"/>
        <v>0.69429736473738668</v>
      </c>
      <c r="M40" s="80">
        <f t="shared" si="6"/>
        <v>0.29264441769129051</v>
      </c>
      <c r="N40" s="81">
        <f>SUMIF('MASTER por modelo'!$B$8:$B$474,$A40,'MASTER por modelo'!$AA$8:$AA$474)</f>
        <v>0.3071509665739347</v>
      </c>
      <c r="O40" s="80">
        <f>IFERROR(D40/'MASTER por modelo'!$G$6,0)</f>
        <v>6.9721182442609247E-2</v>
      </c>
    </row>
    <row r="41" spans="1:15" x14ac:dyDescent="0.25">
      <c r="A41" s="43" t="s">
        <v>102</v>
      </c>
      <c r="B41" s="34">
        <f>COUNTIF('MASTER por modelo'!$B$8:$B$474,$A41)</f>
        <v>54</v>
      </c>
      <c r="C41" s="38">
        <f>SUMIF('MASTER por modelo'!$B$8:$B$474,$A41,'MASTER por modelo'!$M$8:$M$474)</f>
        <v>71256</v>
      </c>
      <c r="D41" s="79">
        <f>SUMIF('MASTER por modelo'!$B$8:$B$474,$A41,'MASTER por modelo'!$G$8:$G$474)</f>
        <v>149.887</v>
      </c>
      <c r="E41" s="38">
        <f>SUMIF('MASTER por modelo'!$B$8:$B$474,$A41,'MASTER por modelo'!$U$8:$U$474)</f>
        <v>68784</v>
      </c>
      <c r="F41" s="38">
        <f>SUMIF('MASTER por modelo'!$B$8:$B$474,$A41,'MASTER por modelo'!$Y$8:$Y$474)</f>
        <v>43</v>
      </c>
      <c r="G41" s="38">
        <f>SUMIF('MASTER por modelo'!$B$8:$B$474,$A41,'MASTER por modelo'!$AB$8:$AB$474)</f>
        <v>42173</v>
      </c>
      <c r="H41" s="38">
        <f>SUMIF('MASTER por modelo'!$B$8:$B$474,$A41,'MASTER por modelo'!$AC$8:$AC$474)</f>
        <v>25311</v>
      </c>
      <c r="I41" s="38">
        <f>SUMIF('MASTER por modelo'!$B$8:$B$474,$A41,'MASTER por modelo'!$AD$8:$AD$474)</f>
        <v>16311</v>
      </c>
      <c r="J41" s="38">
        <f>SUMIF('MASTER por modelo'!$B$8:$B$474,$A41,'MASTER por modelo'!$AL$8:$AL$474)</f>
        <v>26482</v>
      </c>
      <c r="K41" s="80">
        <f t="shared" si="4"/>
        <v>0.3552121926574604</v>
      </c>
      <c r="L41" s="80">
        <f t="shared" si="5"/>
        <v>0.38500232612235402</v>
      </c>
      <c r="M41" s="80">
        <f t="shared" si="6"/>
        <v>0.5841192320646682</v>
      </c>
      <c r="N41" s="81">
        <f>SUMIF('MASTER por modelo'!$B$8:$B$474,$A41,'MASTER por modelo'!$AA$8:$AA$474)</f>
        <v>4.2500669181279333E-3</v>
      </c>
      <c r="O41" s="80">
        <f>IFERROR(D41/'MASTER por modelo'!$G$6,0)</f>
        <v>5.5078044531172078E-2</v>
      </c>
    </row>
    <row r="42" spans="1:15" x14ac:dyDescent="0.25">
      <c r="A42" s="43" t="s">
        <v>84</v>
      </c>
      <c r="B42" s="34">
        <f>COUNTIF('MASTER por modelo'!$B$8:$B$474,$A42)</f>
        <v>29</v>
      </c>
      <c r="C42" s="38">
        <f>SUMIF('MASTER por modelo'!$B$8:$B$474,$A42,'MASTER por modelo'!$M$8:$M$474)</f>
        <v>31563</v>
      </c>
      <c r="D42" s="79">
        <f>SUMIF('MASTER por modelo'!$B$8:$B$474,$A42,'MASTER por modelo'!$G$8:$G$474)</f>
        <v>126.61759999999997</v>
      </c>
      <c r="E42" s="38">
        <f>SUMIF('MASTER por modelo'!$B$8:$B$474,$A42,'MASTER por modelo'!$U$8:$U$474)</f>
        <v>26806</v>
      </c>
      <c r="F42" s="38">
        <f>SUMIF('MASTER por modelo'!$B$8:$B$474,$A42,'MASTER por modelo'!$Y$8:$Y$474)</f>
        <v>4802</v>
      </c>
      <c r="G42" s="38">
        <f>SUMIF('MASTER por modelo'!$B$8:$B$474,$A42,'MASTER por modelo'!$AB$8:$AB$474)</f>
        <v>15940</v>
      </c>
      <c r="H42" s="38">
        <f>SUMIF('MASTER por modelo'!$B$8:$B$474,$A42,'MASTER por modelo'!$AC$8:$AC$474)</f>
        <v>9619</v>
      </c>
      <c r="I42" s="38">
        <f>SUMIF('MASTER por modelo'!$B$8:$B$474,$A42,'MASTER por modelo'!$AD$8:$AD$474)</f>
        <v>6065</v>
      </c>
      <c r="J42" s="38">
        <f>SUMIF('MASTER por modelo'!$B$8:$B$474,$A42,'MASTER por modelo'!$AL$8:$AL$474)</f>
        <v>10852</v>
      </c>
      <c r="K42" s="80">
        <f t="shared" si="4"/>
        <v>0.3047555682286221</v>
      </c>
      <c r="L42" s="80">
        <f t="shared" si="5"/>
        <v>0.40483473849138252</v>
      </c>
      <c r="M42" s="80">
        <f t="shared" si="6"/>
        <v>0.49691094002471248</v>
      </c>
      <c r="N42" s="81">
        <f>SUMIF('MASTER por modelo'!$B$8:$B$474,$A42,'MASTER por modelo'!$AA$8:$AA$474)</f>
        <v>0.62592560101020067</v>
      </c>
      <c r="O42" s="80">
        <f>IFERROR(D42/'MASTER por modelo'!$G$6,0)</f>
        <v>4.6527382703170604E-2</v>
      </c>
    </row>
    <row r="43" spans="1:15" x14ac:dyDescent="0.25">
      <c r="A43" s="43" t="s">
        <v>99</v>
      </c>
      <c r="B43" s="34">
        <f>COUNTIF('MASTER por modelo'!$B$8:$B$474,$A43)</f>
        <v>27</v>
      </c>
      <c r="C43" s="38">
        <f>SUMIF('MASTER por modelo'!$B$8:$B$474,$A43,'MASTER por modelo'!$M$8:$M$474)</f>
        <v>26994</v>
      </c>
      <c r="D43" s="79">
        <f>SUMIF('MASTER por modelo'!$B$8:$B$474,$A43,'MASTER por modelo'!$G$8:$G$474)</f>
        <v>101.66000000000003</v>
      </c>
      <c r="E43" s="38">
        <f>SUMIF('MASTER por modelo'!$B$8:$B$474,$A43,'MASTER por modelo'!$U$8:$U$474)</f>
        <v>26993</v>
      </c>
      <c r="F43" s="38">
        <f>SUMIF('MASTER por modelo'!$B$8:$B$474,$A43,'MASTER por modelo'!$Y$8:$Y$474)</f>
        <v>32</v>
      </c>
      <c r="G43" s="38">
        <f>SUMIF('MASTER por modelo'!$B$8:$B$474,$A43,'MASTER por modelo'!$AB$8:$AB$474)</f>
        <v>10177</v>
      </c>
      <c r="H43" s="38">
        <f>SUMIF('MASTER por modelo'!$B$8:$B$474,$A43,'MASTER por modelo'!$AC$8:$AC$474)</f>
        <v>8189</v>
      </c>
      <c r="I43" s="38">
        <f>SUMIF('MASTER por modelo'!$B$8:$B$474,$A43,'MASTER por modelo'!$AD$8:$AD$474)</f>
        <v>1548</v>
      </c>
      <c r="J43" s="38">
        <f>SUMIF('MASTER por modelo'!$B$8:$B$474,$A43,'MASTER por modelo'!$AL$8:$AL$474)</f>
        <v>16812</v>
      </c>
      <c r="K43" s="80">
        <f t="shared" si="4"/>
        <v>0.30336371045417498</v>
      </c>
      <c r="L43" s="80">
        <f t="shared" si="5"/>
        <v>0.62282814062905201</v>
      </c>
      <c r="M43" s="80">
        <f t="shared" si="6"/>
        <v>0.36070978736015413</v>
      </c>
      <c r="N43" s="81">
        <f>SUMIF('MASTER por modelo'!$B$8:$B$474,$A43,'MASTER por modelo'!$AA$8:$AA$474)</f>
        <v>5.7777337207099598E-3</v>
      </c>
      <c r="O43" s="80">
        <f>IFERROR(D43/'MASTER por modelo'!$G$6,0)</f>
        <v>3.7356368511204809E-2</v>
      </c>
    </row>
    <row r="44" spans="1:15" x14ac:dyDescent="0.25">
      <c r="A44" s="43" t="s">
        <v>255</v>
      </c>
      <c r="B44" s="34">
        <f>COUNTIF('MASTER por modelo'!$B$8:$B$474,$A44)</f>
        <v>44</v>
      </c>
      <c r="C44" s="38">
        <f>SUMIF('MASTER por modelo'!$B$8:$B$474,$A44,'MASTER por modelo'!$M$8:$M$474)</f>
        <v>38388</v>
      </c>
      <c r="D44" s="79">
        <f>SUMIF('MASTER por modelo'!$B$8:$B$474,$A44,'MASTER por modelo'!$G$8:$G$474)</f>
        <v>86.205399999999969</v>
      </c>
      <c r="E44" s="38">
        <f>SUMIF('MASTER por modelo'!$B$8:$B$474,$A44,'MASTER por modelo'!$U$8:$U$474)</f>
        <v>36435</v>
      </c>
      <c r="F44" s="38">
        <f>SUMIF('MASTER por modelo'!$B$8:$B$474,$A44,'MASTER por modelo'!$Y$8:$Y$474)</f>
        <v>1994</v>
      </c>
      <c r="G44" s="38">
        <f>SUMIF('MASTER por modelo'!$B$8:$B$474,$A44,'MASTER por modelo'!$AB$8:$AB$474)</f>
        <v>26265</v>
      </c>
      <c r="H44" s="38">
        <f>SUMIF('MASTER por modelo'!$B$8:$B$474,$A44,'MASTER por modelo'!$AC$8:$AC$474)</f>
        <v>17895</v>
      </c>
      <c r="I44" s="38">
        <f>SUMIF('MASTER por modelo'!$B$8:$B$474,$A44,'MASTER por modelo'!$AD$8:$AD$474)</f>
        <v>8203</v>
      </c>
      <c r="J44" s="38">
        <f>SUMIF('MASTER por modelo'!$B$8:$B$474,$A44,'MASTER por modelo'!$AL$8:$AL$474)</f>
        <v>10150</v>
      </c>
      <c r="K44" s="80">
        <f t="shared" si="4"/>
        <v>0.46616130040637699</v>
      </c>
      <c r="L44" s="80">
        <f t="shared" si="5"/>
        <v>0.27857829010566765</v>
      </c>
      <c r="M44" s="80">
        <f t="shared" si="6"/>
        <v>0.67984786912576844</v>
      </c>
      <c r="N44" s="81">
        <f>SUMIF('MASTER por modelo'!$B$8:$B$474,$A44,'MASTER por modelo'!$AA$8:$AA$474)</f>
        <v>0.18718361887387452</v>
      </c>
      <c r="O44" s="80">
        <f>IFERROR(D44/'MASTER por modelo'!$G$6,0)</f>
        <v>3.1677362680068988E-2</v>
      </c>
    </row>
    <row r="45" spans="1:15" x14ac:dyDescent="0.25">
      <c r="A45" s="43" t="s">
        <v>171</v>
      </c>
      <c r="B45" s="34">
        <f>COUNTIF('MASTER por modelo'!$B$8:$B$474,$A45)</f>
        <v>21</v>
      </c>
      <c r="C45" s="38">
        <f>SUMIF('MASTER por modelo'!$B$8:$B$474,$A45,'MASTER por modelo'!$M$8:$M$474)</f>
        <v>17128</v>
      </c>
      <c r="D45" s="79">
        <f>SUMIF('MASTER por modelo'!$B$8:$B$474,$A45,'MASTER por modelo'!$G$8:$G$474)</f>
        <v>51.958599999999997</v>
      </c>
      <c r="E45" s="38">
        <f>SUMIF('MASTER por modelo'!$B$8:$B$474,$A45,'MASTER por modelo'!$U$8:$U$474)</f>
        <v>17877</v>
      </c>
      <c r="F45" s="38">
        <f>SUMIF('MASTER por modelo'!$B$8:$B$474,$A45,'MASTER por modelo'!$Y$8:$Y$474)</f>
        <v>2149</v>
      </c>
      <c r="G45" s="38">
        <f>SUMIF('MASTER por modelo'!$B$8:$B$474,$A45,'MASTER por modelo'!$AB$8:$AB$474)</f>
        <v>14259</v>
      </c>
      <c r="H45" s="38">
        <f>SUMIF('MASTER por modelo'!$B$8:$B$474,$A45,'MASTER por modelo'!$AC$8:$AC$474)</f>
        <v>10494</v>
      </c>
      <c r="I45" s="38">
        <f>SUMIF('MASTER por modelo'!$B$8:$B$474,$A45,'MASTER por modelo'!$AD$8:$AD$474)</f>
        <v>3461</v>
      </c>
      <c r="J45" s="38">
        <f>SUMIF('MASTER por modelo'!$B$8:$B$474,$A45,'MASTER por modelo'!$AL$8:$AL$474)</f>
        <v>3565</v>
      </c>
      <c r="K45" s="80">
        <f t="shared" si="4"/>
        <v>0.61268099019149935</v>
      </c>
      <c r="L45" s="80">
        <f t="shared" si="5"/>
        <v>0.19941824690943671</v>
      </c>
      <c r="M45" s="80">
        <f t="shared" si="6"/>
        <v>0.81474778141055582</v>
      </c>
      <c r="N45" s="81">
        <f>SUMIF('MASTER por modelo'!$B$8:$B$474,$A45,'MASTER por modelo'!$AA$8:$AA$474)</f>
        <v>0.35993203622928832</v>
      </c>
      <c r="O45" s="80">
        <f>IFERROR(D45/'MASTER por modelo'!$G$6,0)</f>
        <v>1.9092903884775581E-2</v>
      </c>
    </row>
    <row r="46" spans="1:15" x14ac:dyDescent="0.25">
      <c r="A46" s="43" t="s">
        <v>93</v>
      </c>
      <c r="B46" s="34">
        <f>COUNTIF('MASTER por modelo'!$B$8:$B$474,$A46)</f>
        <v>7</v>
      </c>
      <c r="C46" s="38">
        <f>SUMIF('MASTER por modelo'!$B$8:$B$474,$A46,'MASTER por modelo'!$M$8:$M$474)</f>
        <v>8390</v>
      </c>
      <c r="D46" s="79">
        <f>SUMIF('MASTER por modelo'!$B$8:$B$474,$A46,'MASTER por modelo'!$G$8:$G$474)</f>
        <v>49.572000000000003</v>
      </c>
      <c r="E46" s="38">
        <f>SUMIF('MASTER por modelo'!$B$8:$B$474,$A46,'MASTER por modelo'!$U$8:$U$474)</f>
        <v>8395</v>
      </c>
      <c r="F46" s="38">
        <f>SUMIF('MASTER por modelo'!$B$8:$B$474,$A46,'MASTER por modelo'!$Y$8:$Y$474)</f>
        <v>14</v>
      </c>
      <c r="G46" s="38">
        <f>SUMIF('MASTER por modelo'!$B$8:$B$474,$A46,'MASTER por modelo'!$AB$8:$AB$474)</f>
        <v>7021</v>
      </c>
      <c r="H46" s="38">
        <f>SUMIF('MASTER por modelo'!$B$8:$B$474,$A46,'MASTER por modelo'!$AC$8:$AC$474)</f>
        <v>3371</v>
      </c>
      <c r="I46" s="38">
        <f>SUMIF('MASTER por modelo'!$B$8:$B$474,$A46,'MASTER por modelo'!$AD$8:$AD$474)</f>
        <v>3493</v>
      </c>
      <c r="J46" s="38">
        <f>SUMIF('MASTER por modelo'!$B$8:$B$474,$A46,'MASTER por modelo'!$AL$8:$AL$474)</f>
        <v>1362</v>
      </c>
      <c r="K46" s="80">
        <f t="shared" si="4"/>
        <v>0.40178784266984507</v>
      </c>
      <c r="L46" s="80">
        <f t="shared" si="5"/>
        <v>0.16223942823108994</v>
      </c>
      <c r="M46" s="80">
        <f t="shared" si="6"/>
        <v>0.81811680572109657</v>
      </c>
      <c r="N46" s="81">
        <f>SUMIF('MASTER por modelo'!$B$8:$B$474,$A46,'MASTER por modelo'!$AA$8:$AA$474)</f>
        <v>3.2506930693069307E-3</v>
      </c>
      <c r="O46" s="80">
        <f>IFERROR(D46/'MASTER por modelo'!$G$6,0)</f>
        <v>1.8215914812487157E-2</v>
      </c>
    </row>
    <row r="47" spans="1:15" x14ac:dyDescent="0.25">
      <c r="A47" s="43" t="s">
        <v>105</v>
      </c>
      <c r="B47" s="34">
        <f>COUNTIF('MASTER por modelo'!$B$8:$B$474,$A47)</f>
        <v>4</v>
      </c>
      <c r="C47" s="38">
        <f>SUMIF('MASTER por modelo'!$B$8:$B$474,$A47,'MASTER por modelo'!$M$8:$M$474)</f>
        <v>3524</v>
      </c>
      <c r="D47" s="79">
        <f>SUMIF('MASTER por modelo'!$B$8:$B$474,$A47,'MASTER por modelo'!$G$8:$G$474)</f>
        <v>41.507999999999996</v>
      </c>
      <c r="E47" s="38">
        <f>SUMIF('MASTER por modelo'!$B$8:$B$474,$A47,'MASTER por modelo'!$U$8:$U$474)</f>
        <v>3540</v>
      </c>
      <c r="F47" s="38">
        <f>SUMIF('MASTER por modelo'!$B$8:$B$474,$A47,'MASTER por modelo'!$Y$8:$Y$474)</f>
        <v>28</v>
      </c>
      <c r="G47" s="38">
        <f>SUMIF('MASTER por modelo'!$B$8:$B$474,$A47,'MASTER por modelo'!$AB$8:$AB$474)</f>
        <v>2236</v>
      </c>
      <c r="H47" s="38">
        <f>SUMIF('MASTER por modelo'!$B$8:$B$474,$A47,'MASTER por modelo'!$AC$8:$AC$474)</f>
        <v>1959</v>
      </c>
      <c r="I47" s="38">
        <f>SUMIF('MASTER por modelo'!$B$8:$B$474,$A47,'MASTER por modelo'!$AD$8:$AD$474)</f>
        <v>277</v>
      </c>
      <c r="J47" s="38">
        <f>SUMIF('MASTER por modelo'!$B$8:$B$474,$A47,'MASTER por modelo'!$AL$8:$AL$474)</f>
        <v>1271</v>
      </c>
      <c r="K47" s="80">
        <f t="shared" si="4"/>
        <v>0.5559023836549376</v>
      </c>
      <c r="L47" s="80">
        <f t="shared" si="5"/>
        <v>0.35903954802259885</v>
      </c>
      <c r="M47" s="80">
        <f t="shared" si="6"/>
        <v>0.63450624290578883</v>
      </c>
      <c r="N47" s="81">
        <f>SUMIF('MASTER por modelo'!$B$8:$B$474,$A47,'MASTER por modelo'!$AA$8:$AA$474)</f>
        <v>1.1935978059451055E-2</v>
      </c>
      <c r="O47" s="80">
        <f>IFERROR(D47/'MASTER por modelo'!$G$6,0)</f>
        <v>1.5252686840085468E-2</v>
      </c>
    </row>
    <row r="48" spans="1:15" x14ac:dyDescent="0.25">
      <c r="A48" s="43" t="s">
        <v>314</v>
      </c>
      <c r="B48" s="34">
        <f>COUNTIF('MASTER por modelo'!$B$8:$B$474,$A48)</f>
        <v>29</v>
      </c>
      <c r="C48" s="38">
        <f>SUMIF('MASTER por modelo'!$B$8:$B$474,$A48,'MASTER por modelo'!$M$8:$M$474)</f>
        <v>26233</v>
      </c>
      <c r="D48" s="79">
        <f>SUMIF('MASTER por modelo'!$B$8:$B$474,$A48,'MASTER por modelo'!$G$8:$G$474)</f>
        <v>36.251999999999995</v>
      </c>
      <c r="E48" s="38">
        <f>SUMIF('MASTER por modelo'!$B$8:$B$474,$A48,'MASTER por modelo'!$U$8:$U$474)</f>
        <v>26238</v>
      </c>
      <c r="F48" s="38">
        <f>SUMIF('MASTER por modelo'!$B$8:$B$474,$A48,'MASTER por modelo'!$Y$8:$Y$474)</f>
        <v>2</v>
      </c>
      <c r="G48" s="38">
        <f>SUMIF('MASTER por modelo'!$B$8:$B$474,$A48,'MASTER por modelo'!$AB$8:$AB$474)</f>
        <v>20646</v>
      </c>
      <c r="H48" s="38">
        <f>SUMIF('MASTER por modelo'!$B$8:$B$474,$A48,'MASTER por modelo'!$AC$8:$AC$474)</f>
        <v>14490</v>
      </c>
      <c r="I48" s="38">
        <f>SUMIF('MASTER por modelo'!$B$8:$B$474,$A48,'MASTER por modelo'!$AD$8:$AD$474)</f>
        <v>5506</v>
      </c>
      <c r="J48" s="38">
        <f>SUMIF('MASTER por modelo'!$B$8:$B$474,$A48,'MASTER por modelo'!$AL$8:$AL$474)</f>
        <v>5558</v>
      </c>
      <c r="K48" s="80">
        <f t="shared" si="4"/>
        <v>0.55235771737887396</v>
      </c>
      <c r="L48" s="80">
        <f t="shared" si="5"/>
        <v>0.21183016998246817</v>
      </c>
      <c r="M48" s="80">
        <f t="shared" si="6"/>
        <v>0.76224602599778901</v>
      </c>
      <c r="N48" s="81">
        <f>SUMIF('MASTER por modelo'!$B$8:$B$474,$A48,'MASTER por modelo'!$AA$8:$AA$474)</f>
        <v>9.3506493506493506E-5</v>
      </c>
      <c r="O48" s="80">
        <f>IFERROR(D48/'MASTER por modelo'!$G$6,0)</f>
        <v>1.3321297179502225E-2</v>
      </c>
    </row>
    <row r="49" spans="1:15" x14ac:dyDescent="0.25">
      <c r="A49" s="43" t="s">
        <v>139</v>
      </c>
      <c r="B49" s="34">
        <f>COUNTIF('MASTER por modelo'!$B$8:$B$474,$A49)</f>
        <v>7</v>
      </c>
      <c r="C49" s="38">
        <f>SUMIF('MASTER por modelo'!$B$8:$B$474,$A49,'MASTER por modelo'!$M$8:$M$474)</f>
        <v>5274</v>
      </c>
      <c r="D49" s="79">
        <f>SUMIF('MASTER por modelo'!$B$8:$B$474,$A49,'MASTER por modelo'!$G$8:$G$474)</f>
        <v>35.96</v>
      </c>
      <c r="E49" s="38">
        <f>SUMIF('MASTER por modelo'!$B$8:$B$474,$A49,'MASTER por modelo'!$U$8:$U$474)</f>
        <v>5279</v>
      </c>
      <c r="F49" s="38">
        <f>SUMIF('MASTER por modelo'!$B$8:$B$474,$A49,'MASTER por modelo'!$Y$8:$Y$474)</f>
        <v>1273</v>
      </c>
      <c r="G49" s="38">
        <f>SUMIF('MASTER por modelo'!$B$8:$B$474,$A49,'MASTER por modelo'!$AB$8:$AB$474)</f>
        <v>1655</v>
      </c>
      <c r="H49" s="38">
        <f>SUMIF('MASTER por modelo'!$B$8:$B$474,$A49,'MASTER por modelo'!$AC$8:$AC$474)</f>
        <v>1571</v>
      </c>
      <c r="I49" s="38">
        <f>SUMIF('MASTER por modelo'!$B$8:$B$474,$A49,'MASTER por modelo'!$AD$8:$AD$474)</f>
        <v>129</v>
      </c>
      <c r="J49" s="38">
        <f>SUMIF('MASTER por modelo'!$B$8:$B$474,$A49,'MASTER por modelo'!$AL$8:$AL$474)</f>
        <v>3624</v>
      </c>
      <c r="K49" s="80">
        <f t="shared" si="4"/>
        <v>0.29787637466818356</v>
      </c>
      <c r="L49" s="80">
        <f t="shared" si="5"/>
        <v>0.68649365410115548</v>
      </c>
      <c r="M49" s="80">
        <f t="shared" si="6"/>
        <v>0.32233598786499812</v>
      </c>
      <c r="N49" s="81">
        <f>SUMIF('MASTER por modelo'!$B$8:$B$474,$A49,'MASTER por modelo'!$AA$8:$AA$474)</f>
        <v>0.35749124779351826</v>
      </c>
      <c r="O49" s="80">
        <f>IFERROR(D49/'MASTER por modelo'!$G$6,0)</f>
        <v>1.3213997753914269E-2</v>
      </c>
    </row>
    <row r="50" spans="1:15" x14ac:dyDescent="0.25">
      <c r="A50" s="43" t="s">
        <v>263</v>
      </c>
      <c r="B50" s="34">
        <f>COUNTIF('MASTER por modelo'!$B$8:$B$474,$A50)</f>
        <v>17</v>
      </c>
      <c r="C50" s="38">
        <f>SUMIF('MASTER por modelo'!$B$8:$B$474,$A50,'MASTER por modelo'!$M$8:$M$474)</f>
        <v>19332</v>
      </c>
      <c r="D50" s="79">
        <f>SUMIF('MASTER por modelo'!$B$8:$B$474,$A50,'MASTER por modelo'!$G$8:$G$474)</f>
        <v>31.096000000000011</v>
      </c>
      <c r="E50" s="38">
        <f>SUMIF('MASTER por modelo'!$B$8:$B$474,$A50,'MASTER por modelo'!$U$8:$U$474)</f>
        <v>19337</v>
      </c>
      <c r="F50" s="38">
        <f>SUMIF('MASTER por modelo'!$B$8:$B$474,$A50,'MASTER por modelo'!$Y$8:$Y$474)</f>
        <v>1523</v>
      </c>
      <c r="G50" s="38">
        <f>SUMIF('MASTER por modelo'!$B$8:$B$474,$A50,'MASTER por modelo'!$AB$8:$AB$474)</f>
        <v>16391</v>
      </c>
      <c r="H50" s="38">
        <f>SUMIF('MASTER por modelo'!$B$8:$B$474,$A50,'MASTER por modelo'!$AC$8:$AC$474)</f>
        <v>11039</v>
      </c>
      <c r="I50" s="38">
        <f>SUMIF('MASTER por modelo'!$B$8:$B$474,$A50,'MASTER por modelo'!$AD$8:$AD$474)</f>
        <v>4889</v>
      </c>
      <c r="J50" s="38">
        <f>SUMIF('MASTER por modelo'!$B$8:$B$474,$A50,'MASTER por modelo'!$AL$8:$AL$474)</f>
        <v>2914</v>
      </c>
      <c r="K50" s="80">
        <f t="shared" si="4"/>
        <v>0.5710221394578936</v>
      </c>
      <c r="L50" s="80">
        <f t="shared" si="5"/>
        <v>0.1506955577390495</v>
      </c>
      <c r="M50" s="80">
        <f t="shared" si="6"/>
        <v>0.82391889095799709</v>
      </c>
      <c r="N50" s="81">
        <f>SUMIF('MASTER por modelo'!$B$8:$B$474,$A50,'MASTER por modelo'!$AA$8:$AA$474)</f>
        <v>0.10002076167031823</v>
      </c>
      <c r="O50" s="80">
        <f>IFERROR(D50/'MASTER por modelo'!$G$6,0)</f>
        <v>1.1426653897545E-2</v>
      </c>
    </row>
    <row r="51" spans="1:15" x14ac:dyDescent="0.25">
      <c r="A51" s="43" t="s">
        <v>121</v>
      </c>
      <c r="B51" s="34">
        <f>COUNTIF('MASTER por modelo'!$B$8:$B$474,$A51)</f>
        <v>4</v>
      </c>
      <c r="C51" s="38">
        <f>SUMIF('MASTER por modelo'!$B$8:$B$474,$A51,'MASTER por modelo'!$M$8:$M$474)</f>
        <v>3468</v>
      </c>
      <c r="D51" s="79">
        <f>SUMIF('MASTER por modelo'!$B$8:$B$474,$A51,'MASTER por modelo'!$G$8:$G$474)</f>
        <v>25.248000000000001</v>
      </c>
      <c r="E51" s="38">
        <f>SUMIF('MASTER por modelo'!$B$8:$B$474,$A51,'MASTER por modelo'!$U$8:$U$474)</f>
        <v>3467</v>
      </c>
      <c r="F51" s="38">
        <f>SUMIF('MASTER por modelo'!$B$8:$B$474,$A51,'MASTER por modelo'!$Y$8:$Y$474)</f>
        <v>2445</v>
      </c>
      <c r="G51" s="38">
        <f>SUMIF('MASTER por modelo'!$B$8:$B$474,$A51,'MASTER por modelo'!$AB$8:$AB$474)</f>
        <v>727</v>
      </c>
      <c r="H51" s="38">
        <f>SUMIF('MASTER por modelo'!$B$8:$B$474,$A51,'MASTER por modelo'!$AC$8:$AC$474)</f>
        <v>660</v>
      </c>
      <c r="I51" s="38">
        <f>SUMIF('MASTER por modelo'!$B$8:$B$474,$A51,'MASTER por modelo'!$AD$8:$AD$474)</f>
        <v>126</v>
      </c>
      <c r="J51" s="38">
        <f>SUMIF('MASTER por modelo'!$B$8:$B$474,$A51,'MASTER por modelo'!$AL$8:$AL$474)</f>
        <v>2744</v>
      </c>
      <c r="K51" s="80">
        <f t="shared" si="4"/>
        <v>0.19031141868512111</v>
      </c>
      <c r="L51" s="80">
        <f t="shared" si="5"/>
        <v>0.79146235938852039</v>
      </c>
      <c r="M51" s="80">
        <f t="shared" si="6"/>
        <v>0.22664359861591696</v>
      </c>
      <c r="N51" s="81">
        <f>SUMIF('MASTER por modelo'!$B$8:$B$474,$A51,'MASTER por modelo'!$AA$8:$AA$474)</f>
        <v>0.62808561454541145</v>
      </c>
      <c r="O51" s="80">
        <f>IFERROR(D51/'MASTER por modelo'!$G$6,0)</f>
        <v>9.2777256754957588E-3</v>
      </c>
    </row>
    <row r="52" spans="1:15" x14ac:dyDescent="0.25">
      <c r="A52" s="43" t="s">
        <v>288</v>
      </c>
      <c r="B52" s="34">
        <f>COUNTIF('MASTER por modelo'!$B$8:$B$474,$A52)</f>
        <v>12</v>
      </c>
      <c r="C52" s="38">
        <f>SUMIF('MASTER por modelo'!$B$8:$B$474,$A52,'MASTER por modelo'!$M$8:$M$474)</f>
        <v>10927</v>
      </c>
      <c r="D52" s="79">
        <f>SUMIF('MASTER por modelo'!$B$8:$B$474,$A52,'MASTER por modelo'!$G$8:$G$474)</f>
        <v>22.622000000000003</v>
      </c>
      <c r="E52" s="38">
        <f>SUMIF('MASTER por modelo'!$B$8:$B$474,$A52,'MASTER por modelo'!$U$8:$U$474)</f>
        <v>10332</v>
      </c>
      <c r="F52" s="38">
        <f>SUMIF('MASTER por modelo'!$B$8:$B$474,$A52,'MASTER por modelo'!$Y$8:$Y$474)</f>
        <v>1408</v>
      </c>
      <c r="G52" s="38">
        <f>SUMIF('MASTER por modelo'!$B$8:$B$474,$A52,'MASTER por modelo'!$AB$8:$AB$474)</f>
        <v>8834</v>
      </c>
      <c r="H52" s="38">
        <f>SUMIF('MASTER por modelo'!$B$8:$B$474,$A52,'MASTER por modelo'!$AC$8:$AC$474)</f>
        <v>6308</v>
      </c>
      <c r="I52" s="38">
        <f>SUMIF('MASTER por modelo'!$B$8:$B$474,$A52,'MASTER por modelo'!$AD$8:$AD$474)</f>
        <v>2515</v>
      </c>
      <c r="J52" s="38">
        <f>SUMIF('MASTER por modelo'!$B$8:$B$474,$A52,'MASTER por modelo'!$AL$8:$AL$474)</f>
        <v>1469</v>
      </c>
      <c r="K52" s="80">
        <f t="shared" si="4"/>
        <v>0.57728562276928708</v>
      </c>
      <c r="L52" s="80">
        <f t="shared" si="5"/>
        <v>0.14217963608207509</v>
      </c>
      <c r="M52" s="80">
        <f t="shared" si="6"/>
        <v>0.80744943717397277</v>
      </c>
      <c r="N52" s="81">
        <f>SUMIF('MASTER por modelo'!$B$8:$B$474,$A52,'MASTER por modelo'!$AA$8:$AA$474)</f>
        <v>0.12203383573922712</v>
      </c>
      <c r="O52" s="80">
        <f>IFERROR(D52/'MASTER por modelo'!$G$6,0)</f>
        <v>8.3127657727766584E-3</v>
      </c>
    </row>
    <row r="53" spans="1:15" x14ac:dyDescent="0.25">
      <c r="A53" s="43" t="s">
        <v>302</v>
      </c>
      <c r="B53" s="34">
        <f>COUNTIF('MASTER por modelo'!$B$8:$B$474,$A53)</f>
        <v>16</v>
      </c>
      <c r="C53" s="38">
        <f>SUMIF('MASTER por modelo'!$B$8:$B$474,$A53,'MASTER por modelo'!$M$8:$M$474)</f>
        <v>10221</v>
      </c>
      <c r="D53" s="79">
        <f>SUMIF('MASTER por modelo'!$B$8:$B$474,$A53,'MASTER por modelo'!$G$8:$G$474)</f>
        <v>20.821999999999992</v>
      </c>
      <c r="E53" s="38">
        <f>SUMIF('MASTER por modelo'!$B$8:$B$474,$A53,'MASTER por modelo'!$U$8:$U$474)</f>
        <v>9079</v>
      </c>
      <c r="F53" s="38">
        <f>SUMIF('MASTER por modelo'!$B$8:$B$474,$A53,'MASTER por modelo'!$Y$8:$Y$474)</f>
        <v>1161</v>
      </c>
      <c r="G53" s="38">
        <f>SUMIF('MASTER por modelo'!$B$8:$B$474,$A53,'MASTER por modelo'!$AB$8:$AB$474)</f>
        <v>6960</v>
      </c>
      <c r="H53" s="38">
        <f>SUMIF('MASTER por modelo'!$B$8:$B$474,$A53,'MASTER por modelo'!$AC$8:$AC$474)</f>
        <v>6132</v>
      </c>
      <c r="I53" s="38">
        <f>SUMIF('MASTER por modelo'!$B$8:$B$474,$A53,'MASTER por modelo'!$AD$8:$AD$474)</f>
        <v>1260</v>
      </c>
      <c r="J53" s="38">
        <f>SUMIF('MASTER por modelo'!$B$8:$B$474,$A53,'MASTER por modelo'!$AL$8:$AL$474)</f>
        <v>2074</v>
      </c>
      <c r="K53" s="80">
        <f t="shared" si="4"/>
        <v>0.59994129732902846</v>
      </c>
      <c r="L53" s="80">
        <f t="shared" si="5"/>
        <v>0.22843925542460625</v>
      </c>
      <c r="M53" s="80">
        <f t="shared" si="6"/>
        <v>0.72321690636923985</v>
      </c>
      <c r="N53" s="81">
        <f>SUMIF('MASTER por modelo'!$B$8:$B$474,$A53,'MASTER por modelo'!$AA$8:$AA$474)</f>
        <v>0.10466682342502218</v>
      </c>
      <c r="O53" s="80">
        <f>IFERROR(D53/'MASTER por modelo'!$G$6,0)</f>
        <v>7.6513309575084202E-3</v>
      </c>
    </row>
    <row r="54" spans="1:15" x14ac:dyDescent="0.25">
      <c r="A54" s="43" t="s">
        <v>329</v>
      </c>
      <c r="B54" s="34">
        <f>COUNTIF('MASTER por modelo'!$B$8:$B$474,$A54)</f>
        <v>8</v>
      </c>
      <c r="C54" s="38">
        <f>SUMIF('MASTER por modelo'!$B$8:$B$474,$A54,'MASTER por modelo'!$M$8:$M$474)</f>
        <v>6713</v>
      </c>
      <c r="D54" s="79">
        <f>SUMIF('MASTER por modelo'!$B$8:$B$474,$A54,'MASTER por modelo'!$G$8:$G$474)</f>
        <v>10.741999999999999</v>
      </c>
      <c r="E54" s="38">
        <f>SUMIF('MASTER por modelo'!$B$8:$B$474,$A54,'MASTER por modelo'!$U$8:$U$474)</f>
        <v>6714</v>
      </c>
      <c r="F54" s="38">
        <f>SUMIF('MASTER por modelo'!$B$8:$B$474,$A54,'MASTER por modelo'!$Y$8:$Y$474)</f>
        <v>0</v>
      </c>
      <c r="G54" s="38">
        <f>SUMIF('MASTER por modelo'!$B$8:$B$474,$A54,'MASTER por modelo'!$AB$8:$AB$474)</f>
        <v>5064</v>
      </c>
      <c r="H54" s="38">
        <f>SUMIF('MASTER por modelo'!$B$8:$B$474,$A54,'MASTER por modelo'!$AC$8:$AC$474)</f>
        <v>3240</v>
      </c>
      <c r="I54" s="38">
        <f>SUMIF('MASTER por modelo'!$B$8:$B$474,$A54,'MASTER por modelo'!$AD$8:$AD$474)</f>
        <v>1774</v>
      </c>
      <c r="J54" s="38">
        <f>SUMIF('MASTER por modelo'!$B$8:$B$474,$A54,'MASTER por modelo'!$AL$8:$AL$474)</f>
        <v>1642</v>
      </c>
      <c r="K54" s="80">
        <f t="shared" si="4"/>
        <v>0.48264561298972142</v>
      </c>
      <c r="L54" s="80">
        <f t="shared" si="5"/>
        <v>0.24456359845099793</v>
      </c>
      <c r="M54" s="80">
        <f t="shared" si="6"/>
        <v>0.7469089825711307</v>
      </c>
      <c r="N54" s="81">
        <f>SUMIF('MASTER por modelo'!$B$8:$B$474,$A54,'MASTER por modelo'!$AA$8:$AA$474)</f>
        <v>0</v>
      </c>
      <c r="O54" s="80">
        <f>IFERROR(D54/'MASTER por modelo'!$G$6,0)</f>
        <v>3.9472959920063139E-3</v>
      </c>
    </row>
    <row r="55" spans="1:15" x14ac:dyDescent="0.25">
      <c r="A55" s="43" t="s">
        <v>182</v>
      </c>
      <c r="B55" s="34">
        <f>COUNTIF('MASTER por modelo'!$B$8:$B$474,$A55)</f>
        <v>2</v>
      </c>
      <c r="C55" s="38">
        <f>SUMIF('MASTER por modelo'!$B$8:$B$474,$A55,'MASTER por modelo'!$M$8:$M$474)</f>
        <v>800</v>
      </c>
      <c r="D55" s="79">
        <f>SUMIF('MASTER por modelo'!$B$8:$B$474,$A55,'MASTER por modelo'!$G$8:$G$474)</f>
        <v>10.147</v>
      </c>
      <c r="E55" s="38">
        <f>SUMIF('MASTER por modelo'!$B$8:$B$474,$A55,'MASTER por modelo'!$U$8:$U$474)</f>
        <v>800</v>
      </c>
      <c r="F55" s="38">
        <f>SUMIF('MASTER por modelo'!$B$8:$B$474,$A55,'MASTER por modelo'!$Y$8:$Y$474)</f>
        <v>0</v>
      </c>
      <c r="G55" s="38">
        <f>SUMIF('MASTER por modelo'!$B$8:$B$474,$A55,'MASTER por modelo'!$AB$8:$AB$474)</f>
        <v>300</v>
      </c>
      <c r="H55" s="38">
        <f>SUMIF('MASTER por modelo'!$B$8:$B$474,$A55,'MASTER por modelo'!$AC$8:$AC$474)</f>
        <v>189</v>
      </c>
      <c r="I55" s="38">
        <f>SUMIF('MASTER por modelo'!$B$8:$B$474,$A55,'MASTER por modelo'!$AD$8:$AD$474)</f>
        <v>105</v>
      </c>
      <c r="J55" s="38">
        <f>SUMIF('MASTER por modelo'!$B$8:$B$474,$A55,'MASTER por modelo'!$AL$8:$AL$474)</f>
        <v>500</v>
      </c>
      <c r="K55" s="80">
        <f t="shared" si="4"/>
        <v>0.23624999999999999</v>
      </c>
      <c r="L55" s="80">
        <f t="shared" si="5"/>
        <v>0.625</v>
      </c>
      <c r="M55" s="80">
        <f t="shared" si="6"/>
        <v>0.36749999999999999</v>
      </c>
      <c r="N55" s="81">
        <f>SUMIF('MASTER por modelo'!$B$8:$B$474,$A55,'MASTER por modelo'!$AA$8:$AA$474)</f>
        <v>0</v>
      </c>
      <c r="O55" s="80">
        <f>IFERROR(D55/'MASTER por modelo'!$G$6,0)</f>
        <v>3.7286550391815373E-3</v>
      </c>
    </row>
    <row r="56" spans="1:15" x14ac:dyDescent="0.25">
      <c r="A56" s="43" t="s">
        <v>509</v>
      </c>
      <c r="B56" s="34">
        <f>COUNTIF('MASTER por modelo'!$B$8:$B$474,$A56)</f>
        <v>13</v>
      </c>
      <c r="C56" s="38">
        <f>SUMIF('MASTER por modelo'!$B$8:$B$474,$A56,'MASTER por modelo'!$M$8:$M$474)</f>
        <v>8132</v>
      </c>
      <c r="D56" s="79">
        <f>SUMIF('MASTER por modelo'!$B$8:$B$474,$A56,'MASTER por modelo'!$G$8:$G$474)</f>
        <v>6.838000000000001</v>
      </c>
      <c r="E56" s="38">
        <f>SUMIF('MASTER por modelo'!$B$8:$B$474,$A56,'MASTER por modelo'!$U$8:$U$474)</f>
        <v>8138</v>
      </c>
      <c r="F56" s="38">
        <f>SUMIF('MASTER por modelo'!$B$8:$B$474,$A56,'MASTER por modelo'!$Y$8:$Y$474)</f>
        <v>1988</v>
      </c>
      <c r="G56" s="38">
        <f>SUMIF('MASTER por modelo'!$B$8:$B$474,$A56,'MASTER por modelo'!$AB$8:$AB$474)</f>
        <v>7396</v>
      </c>
      <c r="H56" s="38">
        <f>SUMIF('MASTER por modelo'!$B$8:$B$474,$A56,'MASTER por modelo'!$AC$8:$AC$474)</f>
        <v>5361</v>
      </c>
      <c r="I56" s="38">
        <f>SUMIF('MASTER por modelo'!$B$8:$B$474,$A56,'MASTER por modelo'!$AD$8:$AD$474)</f>
        <v>1819</v>
      </c>
      <c r="J56" s="38">
        <f>SUMIF('MASTER por modelo'!$B$8:$B$474,$A56,'MASTER por modelo'!$AL$8:$AL$474)</f>
        <v>725</v>
      </c>
      <c r="K56" s="80">
        <f t="shared" si="4"/>
        <v>0.65924741760944416</v>
      </c>
      <c r="L56" s="80">
        <f t="shared" si="5"/>
        <v>8.9088228065863848E-2</v>
      </c>
      <c r="M56" s="80">
        <f t="shared" si="6"/>
        <v>0.88293162813575998</v>
      </c>
      <c r="N56" s="81">
        <f>SUMIF('MASTER por modelo'!$B$8:$B$474,$A56,'MASTER por modelo'!$AA$8:$AA$474)</f>
        <v>4.5396288760259348E-2</v>
      </c>
      <c r="O56" s="80">
        <f>IFERROR(D56/'MASTER por modelo'!$G$6,0)</f>
        <v>2.5127173704467681E-3</v>
      </c>
    </row>
    <row r="57" spans="1:15" x14ac:dyDescent="0.25">
      <c r="A57" s="43" t="s">
        <v>393</v>
      </c>
      <c r="B57" s="34">
        <f>COUNTIF('MASTER por modelo'!$B$8:$B$474,$A57)</f>
        <v>4</v>
      </c>
      <c r="C57" s="38">
        <f>SUMIF('MASTER por modelo'!$B$8:$B$474,$A57,'MASTER por modelo'!$M$8:$M$474)</f>
        <v>2835</v>
      </c>
      <c r="D57" s="79">
        <f>SUMIF('MASTER por modelo'!$B$8:$B$474,$A57,'MASTER por modelo'!$G$8:$G$474)</f>
        <v>5.8330000000000002</v>
      </c>
      <c r="E57" s="38">
        <f>SUMIF('MASTER por modelo'!$B$8:$B$474,$A57,'MASTER por modelo'!$U$8:$U$474)</f>
        <v>2871</v>
      </c>
      <c r="F57" s="38">
        <f>SUMIF('MASTER por modelo'!$B$8:$B$474,$A57,'MASTER por modelo'!$Y$8:$Y$474)</f>
        <v>0</v>
      </c>
      <c r="G57" s="38">
        <f>SUMIF('MASTER por modelo'!$B$8:$B$474,$A57,'MASTER por modelo'!$AB$8:$AB$474)</f>
        <v>1458</v>
      </c>
      <c r="H57" s="38">
        <f>SUMIF('MASTER por modelo'!$B$8:$B$474,$A57,'MASTER por modelo'!$AC$8:$AC$474)</f>
        <v>1282</v>
      </c>
      <c r="I57" s="38">
        <f>SUMIF('MASTER por modelo'!$B$8:$B$474,$A57,'MASTER por modelo'!$AD$8:$AD$474)</f>
        <v>157</v>
      </c>
      <c r="J57" s="38">
        <f>SUMIF('MASTER por modelo'!$B$8:$B$474,$A57,'MASTER por modelo'!$AL$8:$AL$474)</f>
        <v>1396</v>
      </c>
      <c r="K57" s="80">
        <f t="shared" si="4"/>
        <v>0.45220458553791887</v>
      </c>
      <c r="L57" s="80">
        <f t="shared" si="5"/>
        <v>0.48624172762103796</v>
      </c>
      <c r="M57" s="80">
        <f t="shared" si="6"/>
        <v>0.50758377425044088</v>
      </c>
      <c r="N57" s="81">
        <f>SUMIF('MASTER por modelo'!$B$8:$B$474,$A57,'MASTER por modelo'!$AA$8:$AA$474)</f>
        <v>0</v>
      </c>
      <c r="O57" s="80">
        <f>IFERROR(D57/'MASTER por modelo'!$G$6,0)</f>
        <v>2.1434162652553372E-3</v>
      </c>
    </row>
    <row r="58" spans="1:15" x14ac:dyDescent="0.25">
      <c r="A58" s="43" t="s">
        <v>426</v>
      </c>
      <c r="B58" s="34">
        <f>COUNTIF('MASTER por modelo'!$B$8:$B$474,$A58)</f>
        <v>3</v>
      </c>
      <c r="C58" s="38">
        <f>SUMIF('MASTER por modelo'!$B$8:$B$474,$A58,'MASTER por modelo'!$M$8:$M$474)</f>
        <v>1312</v>
      </c>
      <c r="D58" s="79">
        <f>SUMIF('MASTER por modelo'!$B$8:$B$474,$A58,'MASTER por modelo'!$G$8:$G$474)</f>
        <v>3.2919999999999998</v>
      </c>
      <c r="E58" s="38">
        <f>SUMIF('MASTER por modelo'!$B$8:$B$474,$A58,'MASTER por modelo'!$U$8:$U$474)</f>
        <v>1312</v>
      </c>
      <c r="F58" s="38">
        <f>SUMIF('MASTER por modelo'!$B$8:$B$474,$A58,'MASTER por modelo'!$Y$8:$Y$474)</f>
        <v>0</v>
      </c>
      <c r="G58" s="38">
        <f>SUMIF('MASTER por modelo'!$B$8:$B$474,$A58,'MASTER por modelo'!$AB$8:$AB$474)</f>
        <v>839</v>
      </c>
      <c r="H58" s="38">
        <f>SUMIF('MASTER por modelo'!$B$8:$B$474,$A58,'MASTER por modelo'!$AC$8:$AC$474)</f>
        <v>656</v>
      </c>
      <c r="I58" s="38">
        <f>SUMIF('MASTER por modelo'!$B$8:$B$474,$A58,'MASTER por modelo'!$AD$8:$AD$474)</f>
        <v>163</v>
      </c>
      <c r="J58" s="38">
        <f>SUMIF('MASTER por modelo'!$B$8:$B$474,$A58,'MASTER por modelo'!$AL$8:$AL$474)</f>
        <v>467</v>
      </c>
      <c r="K58" s="80">
        <f t="shared" si="4"/>
        <v>0.5</v>
      </c>
      <c r="L58" s="80">
        <f t="shared" si="5"/>
        <v>0.35594512195121952</v>
      </c>
      <c r="M58" s="80">
        <f t="shared" si="6"/>
        <v>0.62423780487804881</v>
      </c>
      <c r="N58" s="81">
        <f>SUMIF('MASTER por modelo'!$B$8:$B$474,$A58,'MASTER por modelo'!$AA$8:$AA$474)</f>
        <v>0</v>
      </c>
      <c r="O58" s="80">
        <f>IFERROR(D58/'MASTER por modelo'!$G$6,0)</f>
        <v>1.2096907843683474E-3</v>
      </c>
    </row>
    <row r="59" spans="1:15" x14ac:dyDescent="0.25">
      <c r="A59" s="43" t="s">
        <v>470</v>
      </c>
      <c r="B59" s="34">
        <f>COUNTIF('MASTER por modelo'!$B$8:$B$474,$A59)</f>
        <v>4</v>
      </c>
      <c r="C59" s="38">
        <f>SUMIF('MASTER por modelo'!$B$8:$B$474,$A59,'MASTER por modelo'!$M$8:$M$474)</f>
        <v>1717</v>
      </c>
      <c r="D59" s="79">
        <f>SUMIF('MASTER por modelo'!$B$8:$B$474,$A59,'MASTER por modelo'!$G$8:$G$474)</f>
        <v>3.1790000000000003</v>
      </c>
      <c r="E59" s="38">
        <f>SUMIF('MASTER por modelo'!$B$8:$B$474,$A59,'MASTER por modelo'!$U$8:$U$474)</f>
        <v>1745</v>
      </c>
      <c r="F59" s="38">
        <f>SUMIF('MASTER por modelo'!$B$8:$B$474,$A59,'MASTER por modelo'!$Y$8:$Y$474)</f>
        <v>0</v>
      </c>
      <c r="G59" s="38">
        <f>SUMIF('MASTER por modelo'!$B$8:$B$474,$A59,'MASTER por modelo'!$AB$8:$AB$474)</f>
        <v>1119</v>
      </c>
      <c r="H59" s="38">
        <f>SUMIF('MASTER por modelo'!$B$8:$B$474,$A59,'MASTER por modelo'!$AC$8:$AC$474)</f>
        <v>1006</v>
      </c>
      <c r="I59" s="38">
        <f>SUMIF('MASTER por modelo'!$B$8:$B$474,$A59,'MASTER por modelo'!$AD$8:$AD$474)</f>
        <v>106</v>
      </c>
      <c r="J59" s="38">
        <f>SUMIF('MASTER por modelo'!$B$8:$B$474,$A59,'MASTER por modelo'!$AL$8:$AL$474)</f>
        <v>626</v>
      </c>
      <c r="K59" s="80">
        <f t="shared" si="4"/>
        <v>0.58590564938846823</v>
      </c>
      <c r="L59" s="80">
        <f t="shared" si="5"/>
        <v>0.35873925501432663</v>
      </c>
      <c r="M59" s="80">
        <f t="shared" si="6"/>
        <v>0.64764123471170643</v>
      </c>
      <c r="N59" s="81">
        <f>SUMIF('MASTER por modelo'!$B$8:$B$474,$A59,'MASTER por modelo'!$AA$8:$AA$474)</f>
        <v>0</v>
      </c>
      <c r="O59" s="80">
        <f>IFERROR(D59/'MASTER por modelo'!$G$6,0)</f>
        <v>1.1681673765209528E-3</v>
      </c>
    </row>
    <row r="60" spans="1:15" x14ac:dyDescent="0.25">
      <c r="A60" s="43" t="s">
        <v>519</v>
      </c>
      <c r="B60" s="34">
        <f>COUNTIF('MASTER por modelo'!$B$8:$B$474,$A60)</f>
        <v>4</v>
      </c>
      <c r="C60" s="38">
        <f>SUMIF('MASTER por modelo'!$B$8:$B$474,$A60,'MASTER por modelo'!$M$8:$M$474)</f>
        <v>1564</v>
      </c>
      <c r="D60" s="79">
        <f>SUMIF('MASTER por modelo'!$B$8:$B$474,$A60,'MASTER por modelo'!$G$8:$G$474)</f>
        <v>2.88</v>
      </c>
      <c r="E60" s="38">
        <f>SUMIF('MASTER por modelo'!$B$8:$B$474,$A60,'MASTER por modelo'!$U$8:$U$474)</f>
        <v>1579</v>
      </c>
      <c r="F60" s="38">
        <f>SUMIF('MASTER por modelo'!$B$8:$B$474,$A60,'MASTER por modelo'!$Y$8:$Y$474)</f>
        <v>0</v>
      </c>
      <c r="G60" s="38">
        <f>SUMIF('MASTER por modelo'!$B$8:$B$474,$A60,'MASTER por modelo'!$AB$8:$AB$474)</f>
        <v>1057</v>
      </c>
      <c r="H60" s="38">
        <f>SUMIF('MASTER por modelo'!$B$8:$B$474,$A60,'MASTER por modelo'!$AC$8:$AC$474)</f>
        <v>977</v>
      </c>
      <c r="I60" s="38">
        <f>SUMIF('MASTER por modelo'!$B$8:$B$474,$A60,'MASTER por modelo'!$AD$8:$AD$474)</f>
        <v>50</v>
      </c>
      <c r="J60" s="38">
        <f>SUMIF('MASTER por modelo'!$B$8:$B$474,$A60,'MASTER por modelo'!$AL$8:$AL$474)</f>
        <v>521</v>
      </c>
      <c r="K60" s="80">
        <f t="shared" si="4"/>
        <v>0.6246803069053708</v>
      </c>
      <c r="L60" s="80">
        <f t="shared" si="5"/>
        <v>0.3299556681443952</v>
      </c>
      <c r="M60" s="80">
        <f t="shared" si="6"/>
        <v>0.65664961636828645</v>
      </c>
      <c r="N60" s="81">
        <f>SUMIF('MASTER por modelo'!$B$8:$B$474,$A60,'MASTER por modelo'!$AA$8:$AA$474)</f>
        <v>0</v>
      </c>
      <c r="O60" s="80">
        <f>IFERROR(D60/'MASTER por modelo'!$G$6,0)</f>
        <v>1.058295704429174E-3</v>
      </c>
    </row>
    <row r="61" spans="1:15" x14ac:dyDescent="0.25">
      <c r="A61" s="43" t="s">
        <v>540</v>
      </c>
      <c r="B61" s="34">
        <f>COUNTIF('MASTER por modelo'!$B$8:$B$474,$A61)</f>
        <v>3</v>
      </c>
      <c r="C61" s="38">
        <f>SUMIF('MASTER por modelo'!$B$8:$B$474,$A61,'MASTER por modelo'!$M$8:$M$474)</f>
        <v>2600</v>
      </c>
      <c r="D61" s="79">
        <f>SUMIF('MASTER por modelo'!$B$8:$B$474,$A61,'MASTER por modelo'!$G$8:$G$474)</f>
        <v>2.177</v>
      </c>
      <c r="E61" s="38">
        <f>SUMIF('MASTER por modelo'!$B$8:$B$474,$A61,'MASTER por modelo'!$U$8:$U$474)</f>
        <v>1600</v>
      </c>
      <c r="F61" s="38">
        <f>SUMIF('MASTER por modelo'!$B$8:$B$474,$A61,'MASTER por modelo'!$Y$8:$Y$474)</f>
        <v>0</v>
      </c>
      <c r="G61" s="38">
        <f>SUMIF('MASTER por modelo'!$B$8:$B$474,$A61,'MASTER por modelo'!$AB$8:$AB$474)</f>
        <v>933</v>
      </c>
      <c r="H61" s="38">
        <f>SUMIF('MASTER por modelo'!$B$8:$B$474,$A61,'MASTER por modelo'!$AC$8:$AC$474)</f>
        <v>916</v>
      </c>
      <c r="I61" s="38">
        <f>SUMIF('MASTER por modelo'!$B$8:$B$474,$A61,'MASTER por modelo'!$AD$8:$AD$474)</f>
        <v>348</v>
      </c>
      <c r="J61" s="38">
        <f>SUMIF('MASTER por modelo'!$B$8:$B$474,$A61,'MASTER por modelo'!$AL$8:$AL$474)</f>
        <v>664</v>
      </c>
      <c r="K61" s="80">
        <f t="shared" si="4"/>
        <v>0.35230769230769232</v>
      </c>
      <c r="L61" s="80">
        <f t="shared" si="5"/>
        <v>0.41499999999999998</v>
      </c>
      <c r="M61" s="80">
        <f t="shared" si="6"/>
        <v>0.48615384615384616</v>
      </c>
      <c r="N61" s="81">
        <f>SUMIF('MASTER por modelo'!$B$8:$B$474,$A61,'MASTER por modelo'!$AA$8:$AA$474)</f>
        <v>0</v>
      </c>
      <c r="O61" s="80">
        <f>IFERROR(D61/'MASTER por modelo'!$G$6,0)</f>
        <v>7.9996866268830264E-4</v>
      </c>
    </row>
    <row r="62" spans="1:15" x14ac:dyDescent="0.25">
      <c r="A62" s="43" t="s">
        <v>442</v>
      </c>
      <c r="B62" s="34">
        <f>COUNTIF('MASTER por modelo'!$B$8:$B$474,$A62)</f>
        <v>2</v>
      </c>
      <c r="C62" s="38">
        <f>SUMIF('MASTER por modelo'!$B$8:$B$474,$A62,'MASTER por modelo'!$M$8:$M$474)</f>
        <v>1621</v>
      </c>
      <c r="D62" s="79">
        <f>SUMIF('MASTER por modelo'!$B$8:$B$474,$A62,'MASTER por modelo'!$G$8:$G$474)</f>
        <v>2.12</v>
      </c>
      <c r="E62" s="38">
        <f>SUMIF('MASTER por modelo'!$B$8:$B$474,$A62,'MASTER por modelo'!$U$8:$U$474)</f>
        <v>0</v>
      </c>
      <c r="F62" s="38">
        <f>SUMIF('MASTER por modelo'!$B$8:$B$474,$A62,'MASTER por modelo'!$Y$8:$Y$474)</f>
        <v>1621</v>
      </c>
      <c r="G62" s="38">
        <f>SUMIF('MASTER por modelo'!$B$8:$B$474,$A62,'MASTER por modelo'!$AB$8:$AB$474)</f>
        <v>0</v>
      </c>
      <c r="H62" s="38">
        <f>SUMIF('MASTER por modelo'!$B$8:$B$474,$A62,'MASTER por modelo'!$AC$8:$AC$474)</f>
        <v>0</v>
      </c>
      <c r="I62" s="38">
        <f>SUMIF('MASTER por modelo'!$B$8:$B$474,$A62,'MASTER por modelo'!$AD$8:$AD$474)</f>
        <v>0</v>
      </c>
      <c r="J62" s="38">
        <f>SUMIF('MASTER por modelo'!$B$8:$B$474,$A62,'MASTER por modelo'!$AL$8:$AL$474)</f>
        <v>0</v>
      </c>
      <c r="K62" s="80">
        <f t="shared" si="4"/>
        <v>0</v>
      </c>
      <c r="L62" s="80">
        <f t="shared" si="5"/>
        <v>0</v>
      </c>
      <c r="M62" s="80">
        <f t="shared" si="6"/>
        <v>0</v>
      </c>
      <c r="N62" s="81">
        <f>SUMIF('MASTER por modelo'!$B$8:$B$474,$A62,'MASTER por modelo'!$AA$8:$AA$474)</f>
        <v>7.5714285714285706E-2</v>
      </c>
      <c r="O62" s="80">
        <f>IFERROR(D62/'MASTER por modelo'!$G$6,0)</f>
        <v>7.7902322687147527E-4</v>
      </c>
    </row>
    <row r="63" spans="1:15" x14ac:dyDescent="0.25">
      <c r="A63" s="43" t="s">
        <v>502</v>
      </c>
      <c r="B63" s="34">
        <f>COUNTIF('MASTER por modelo'!$B$8:$B$474,$A63)</f>
        <v>2</v>
      </c>
      <c r="C63" s="38">
        <f>SUMIF('MASTER por modelo'!$B$8:$B$474,$A63,'MASTER por modelo'!$M$8:$M$474)</f>
        <v>776</v>
      </c>
      <c r="D63" s="79">
        <f>SUMIF('MASTER por modelo'!$B$8:$B$474,$A63,'MASTER por modelo'!$G$8:$G$474)</f>
        <v>1.92</v>
      </c>
      <c r="E63" s="38">
        <f>SUMIF('MASTER por modelo'!$B$8:$B$474,$A63,'MASTER por modelo'!$U$8:$U$474)</f>
        <v>777</v>
      </c>
      <c r="F63" s="38">
        <f>SUMIF('MASTER por modelo'!$B$8:$B$474,$A63,'MASTER por modelo'!$Y$8:$Y$474)</f>
        <v>0</v>
      </c>
      <c r="G63" s="38">
        <f>SUMIF('MASTER por modelo'!$B$8:$B$474,$A63,'MASTER por modelo'!$AB$8:$AB$474)</f>
        <v>452</v>
      </c>
      <c r="H63" s="38">
        <f>SUMIF('MASTER por modelo'!$B$8:$B$474,$A63,'MASTER por modelo'!$AC$8:$AC$474)</f>
        <v>416</v>
      </c>
      <c r="I63" s="38">
        <f>SUMIF('MASTER por modelo'!$B$8:$B$474,$A63,'MASTER por modelo'!$AD$8:$AD$474)</f>
        <v>22</v>
      </c>
      <c r="J63" s="38">
        <f>SUMIF('MASTER por modelo'!$B$8:$B$474,$A63,'MASTER por modelo'!$AL$8:$AL$474)</f>
        <v>325</v>
      </c>
      <c r="K63" s="80">
        <f t="shared" si="4"/>
        <v>0.53608247422680411</v>
      </c>
      <c r="L63" s="80">
        <f t="shared" si="5"/>
        <v>0.41827541827541825</v>
      </c>
      <c r="M63" s="80">
        <f t="shared" si="6"/>
        <v>0.56443298969072164</v>
      </c>
      <c r="N63" s="81">
        <f>SUMIF('MASTER por modelo'!$B$8:$B$474,$A63,'MASTER por modelo'!$AA$8:$AA$474)</f>
        <v>0</v>
      </c>
      <c r="O63" s="80">
        <f>IFERROR(D63/'MASTER por modelo'!$G$6,0)</f>
        <v>7.0553046961944923E-4</v>
      </c>
    </row>
    <row r="64" spans="1:15" x14ac:dyDescent="0.25">
      <c r="A64" s="43" t="s">
        <v>407</v>
      </c>
      <c r="B64" s="34">
        <f>COUNTIF('MASTER por modelo'!$B$8:$B$474,$A64)</f>
        <v>1</v>
      </c>
      <c r="C64" s="38">
        <f>SUMIF('MASTER por modelo'!$B$8:$B$474,$A64,'MASTER por modelo'!$M$8:$M$474)</f>
        <v>402</v>
      </c>
      <c r="D64" s="79">
        <f>SUMIF('MASTER por modelo'!$B$8:$B$474,$A64,'MASTER por modelo'!$G$8:$G$474)</f>
        <v>1.764</v>
      </c>
      <c r="E64" s="38">
        <f>SUMIF('MASTER por modelo'!$B$8:$B$474,$A64,'MASTER por modelo'!$U$8:$U$474)</f>
        <v>401</v>
      </c>
      <c r="F64" s="38">
        <f>SUMIF('MASTER por modelo'!$B$8:$B$474,$A64,'MASTER por modelo'!$Y$8:$Y$474)</f>
        <v>403</v>
      </c>
      <c r="G64" s="38">
        <f>SUMIF('MASTER por modelo'!$B$8:$B$474,$A64,'MASTER por modelo'!$AB$8:$AB$474)</f>
        <v>227</v>
      </c>
      <c r="H64" s="38">
        <f>SUMIF('MASTER por modelo'!$B$8:$B$474,$A64,'MASTER por modelo'!$AC$8:$AC$474)</f>
        <v>210</v>
      </c>
      <c r="I64" s="38">
        <f>SUMIF('MASTER por modelo'!$B$8:$B$474,$A64,'MASTER por modelo'!$AD$8:$AD$474)</f>
        <v>11</v>
      </c>
      <c r="J64" s="38">
        <f>SUMIF('MASTER por modelo'!$B$8:$B$474,$A64,'MASTER por modelo'!$AL$8:$AL$474)</f>
        <v>174</v>
      </c>
      <c r="K64" s="80">
        <f t="shared" si="4"/>
        <v>0.52238805970149249</v>
      </c>
      <c r="L64" s="80">
        <f t="shared" si="5"/>
        <v>0.43391521197007482</v>
      </c>
      <c r="M64" s="80">
        <f t="shared" si="6"/>
        <v>0.54975124378109452</v>
      </c>
      <c r="N64" s="81">
        <f>SUMIF('MASTER por modelo'!$B$8:$B$474,$A64,'MASTER por modelo'!$AA$8:$AA$474)</f>
        <v>6.3156716417910444E-2</v>
      </c>
      <c r="O64" s="80">
        <f>IFERROR(D64/'MASTER por modelo'!$G$6,0)</f>
        <v>6.4820611896286898E-4</v>
      </c>
    </row>
    <row r="65" spans="1:15" x14ac:dyDescent="0.25">
      <c r="A65" s="43" t="s">
        <v>492</v>
      </c>
      <c r="B65" s="34">
        <f>COUNTIF('MASTER por modelo'!$B$8:$B$474,$A65)</f>
        <v>2</v>
      </c>
      <c r="C65" s="38">
        <f>SUMIF('MASTER por modelo'!$B$8:$B$474,$A65,'MASTER por modelo'!$M$8:$M$474)</f>
        <v>851</v>
      </c>
      <c r="D65" s="79">
        <f>SUMIF('MASTER por modelo'!$B$8:$B$474,$A65,'MASTER por modelo'!$G$8:$G$474)</f>
        <v>1.6320000000000001</v>
      </c>
      <c r="E65" s="38">
        <f>SUMIF('MASTER por modelo'!$B$8:$B$474,$A65,'MASTER por modelo'!$U$8:$U$474)</f>
        <v>857</v>
      </c>
      <c r="F65" s="38">
        <f>SUMIF('MASTER por modelo'!$B$8:$B$474,$A65,'MASTER por modelo'!$Y$8:$Y$474)</f>
        <v>1</v>
      </c>
      <c r="G65" s="38">
        <f>SUMIF('MASTER por modelo'!$B$8:$B$474,$A65,'MASTER por modelo'!$AB$8:$AB$474)</f>
        <v>500</v>
      </c>
      <c r="H65" s="38">
        <f>SUMIF('MASTER por modelo'!$B$8:$B$474,$A65,'MASTER por modelo'!$AC$8:$AC$474)</f>
        <v>466</v>
      </c>
      <c r="I65" s="38">
        <f>SUMIF('MASTER por modelo'!$B$8:$B$474,$A65,'MASTER por modelo'!$AD$8:$AD$474)</f>
        <v>20</v>
      </c>
      <c r="J65" s="38">
        <f>SUMIF('MASTER por modelo'!$B$8:$B$474,$A65,'MASTER por modelo'!$AL$8:$AL$474)</f>
        <v>356</v>
      </c>
      <c r="K65" s="80">
        <f t="shared" si="4"/>
        <v>0.54759106933019974</v>
      </c>
      <c r="L65" s="80">
        <f t="shared" si="5"/>
        <v>0.41540256709451573</v>
      </c>
      <c r="M65" s="80">
        <f t="shared" si="6"/>
        <v>0.57109283196239713</v>
      </c>
      <c r="N65" s="81">
        <f>SUMIF('MASTER por modelo'!$B$8:$B$474,$A65,'MASTER por modelo'!$AA$8:$AA$474)</f>
        <v>8.1809730399752103E-5</v>
      </c>
      <c r="O65" s="80">
        <f>IFERROR(D65/'MASTER por modelo'!$G$6,0)</f>
        <v>5.9970089917653195E-4</v>
      </c>
    </row>
    <row r="66" spans="1:15" x14ac:dyDescent="0.25">
      <c r="A66" s="43" t="s">
        <v>507</v>
      </c>
      <c r="B66" s="34">
        <f>COUNTIF('MASTER por modelo'!$B$8:$B$474,$A66)</f>
        <v>3</v>
      </c>
      <c r="C66" s="38">
        <f>SUMIF('MASTER por modelo'!$B$8:$B$474,$A66,'MASTER por modelo'!$M$8:$M$474)</f>
        <v>1167</v>
      </c>
      <c r="D66" s="79">
        <f>SUMIF('MASTER por modelo'!$B$8:$B$474,$A66,'MASTER por modelo'!$G$8:$G$474)</f>
        <v>1.516</v>
      </c>
      <c r="E66" s="38">
        <f>SUMIF('MASTER por modelo'!$B$8:$B$474,$A66,'MASTER por modelo'!$U$8:$U$474)</f>
        <v>1167</v>
      </c>
      <c r="F66" s="38">
        <f>SUMIF('MASTER por modelo'!$B$8:$B$474,$A66,'MASTER por modelo'!$Y$8:$Y$474)</f>
        <v>0</v>
      </c>
      <c r="G66" s="38">
        <f>SUMIF('MASTER por modelo'!$B$8:$B$474,$A66,'MASTER por modelo'!$AB$8:$AB$474)</f>
        <v>865</v>
      </c>
      <c r="H66" s="38">
        <f>SUMIF('MASTER por modelo'!$B$8:$B$474,$A66,'MASTER por modelo'!$AC$8:$AC$474)</f>
        <v>769</v>
      </c>
      <c r="I66" s="38">
        <f>SUMIF('MASTER por modelo'!$B$8:$B$474,$A66,'MASTER por modelo'!$AD$8:$AD$474)</f>
        <v>70</v>
      </c>
      <c r="J66" s="38">
        <f>SUMIF('MASTER por modelo'!$B$8:$B$474,$A66,'MASTER por modelo'!$AL$8:$AL$474)</f>
        <v>300</v>
      </c>
      <c r="K66" s="80">
        <f t="shared" si="4"/>
        <v>0.65895458440445587</v>
      </c>
      <c r="L66" s="80">
        <f t="shared" si="5"/>
        <v>0.25706940874035988</v>
      </c>
      <c r="M66" s="80">
        <f t="shared" si="6"/>
        <v>0.71893744644387314</v>
      </c>
      <c r="N66" s="81">
        <f>SUMIF('MASTER por modelo'!$B$8:$B$474,$A66,'MASTER por modelo'!$AA$8:$AA$474)</f>
        <v>0</v>
      </c>
      <c r="O66" s="80">
        <f>IFERROR(D66/'MASTER por modelo'!$G$6,0)</f>
        <v>5.5707509997035684E-4</v>
      </c>
    </row>
    <row r="67" spans="1:15" x14ac:dyDescent="0.25">
      <c r="A67" s="43" t="s">
        <v>528</v>
      </c>
      <c r="B67" s="34">
        <f>COUNTIF('MASTER por modelo'!$B$8:$B$474,$A67)</f>
        <v>2</v>
      </c>
      <c r="C67" s="38">
        <f>SUMIF('MASTER por modelo'!$B$8:$B$474,$A67,'MASTER por modelo'!$M$8:$M$474)</f>
        <v>1450</v>
      </c>
      <c r="D67" s="79">
        <f>SUMIF('MASTER por modelo'!$B$8:$B$474,$A67,'MASTER por modelo'!$G$8:$G$474)</f>
        <v>1.1099999999999999</v>
      </c>
      <c r="E67" s="38">
        <f>SUMIF('MASTER por modelo'!$B$8:$B$474,$A67,'MASTER por modelo'!$U$8:$U$474)</f>
        <v>1450</v>
      </c>
      <c r="F67" s="38">
        <f>SUMIF('MASTER por modelo'!$B$8:$B$474,$A67,'MASTER por modelo'!$Y$8:$Y$474)</f>
        <v>0</v>
      </c>
      <c r="G67" s="38">
        <f>SUMIF('MASTER por modelo'!$B$8:$B$474,$A67,'MASTER por modelo'!$AB$8:$AB$474)</f>
        <v>12</v>
      </c>
      <c r="H67" s="38">
        <f>SUMIF('MASTER por modelo'!$B$8:$B$474,$A67,'MASTER por modelo'!$AC$8:$AC$474)</f>
        <v>282</v>
      </c>
      <c r="I67" s="38">
        <f>SUMIF('MASTER por modelo'!$B$8:$B$474,$A67,'MASTER por modelo'!$AD$8:$AD$474)</f>
        <v>0</v>
      </c>
      <c r="J67" s="38">
        <f>SUMIF('MASTER por modelo'!$B$8:$B$474,$A67,'MASTER por modelo'!$AL$8:$AL$474)</f>
        <v>1438</v>
      </c>
      <c r="K67" s="80">
        <f t="shared" si="4"/>
        <v>0.19448275862068964</v>
      </c>
      <c r="L67" s="80">
        <f t="shared" si="5"/>
        <v>0.99172413793103453</v>
      </c>
      <c r="M67" s="80">
        <f t="shared" si="6"/>
        <v>0.19448275862068964</v>
      </c>
      <c r="N67" s="81">
        <f>SUMIF('MASTER por modelo'!$B$8:$B$474,$A67,'MASTER por modelo'!$AA$8:$AA$474)</f>
        <v>0</v>
      </c>
      <c r="O67" s="80">
        <f>IFERROR(D67/'MASTER por modelo'!$G$6,0)</f>
        <v>4.0788480274874406E-4</v>
      </c>
    </row>
    <row r="68" spans="1:15" x14ac:dyDescent="0.25">
      <c r="A68" s="43" t="s">
        <v>569</v>
      </c>
      <c r="B68" s="34">
        <f>COUNTIF('MASTER por modelo'!$B$8:$B$474,$A68)</f>
        <v>2</v>
      </c>
      <c r="C68" s="38">
        <f>SUMIF('MASTER por modelo'!$B$8:$B$474,$A68,'MASTER por modelo'!$M$8:$M$474)</f>
        <v>836</v>
      </c>
      <c r="D68" s="79">
        <f>SUMIF('MASTER por modelo'!$B$8:$B$474,$A68,'MASTER por modelo'!$G$8:$G$474)</f>
        <v>0.76800000000000002</v>
      </c>
      <c r="E68" s="38">
        <f>SUMIF('MASTER por modelo'!$B$8:$B$474,$A68,'MASTER por modelo'!$U$8:$U$474)</f>
        <v>836</v>
      </c>
      <c r="F68" s="38">
        <f>SUMIF('MASTER por modelo'!$B$8:$B$474,$A68,'MASTER por modelo'!$Y$8:$Y$474)</f>
        <v>0</v>
      </c>
      <c r="G68" s="38">
        <f>SUMIF('MASTER por modelo'!$B$8:$B$474,$A68,'MASTER por modelo'!$AB$8:$AB$474)</f>
        <v>584</v>
      </c>
      <c r="H68" s="38">
        <f>SUMIF('MASTER por modelo'!$B$8:$B$474,$A68,'MASTER por modelo'!$AC$8:$AC$474)</f>
        <v>479</v>
      </c>
      <c r="I68" s="38">
        <f>SUMIF('MASTER por modelo'!$B$8:$B$474,$A68,'MASTER por modelo'!$AD$8:$AD$474)</f>
        <v>91</v>
      </c>
      <c r="J68" s="38">
        <f>SUMIF('MASTER por modelo'!$B$8:$B$474,$A68,'MASTER por modelo'!$AL$8:$AL$474)</f>
        <v>252</v>
      </c>
      <c r="K68" s="80">
        <f t="shared" si="4"/>
        <v>0.57296650717703346</v>
      </c>
      <c r="L68" s="80">
        <f t="shared" si="5"/>
        <v>0.30143540669856461</v>
      </c>
      <c r="M68" s="80">
        <f t="shared" si="6"/>
        <v>0.68181818181818177</v>
      </c>
      <c r="N68" s="81">
        <f>SUMIF('MASTER por modelo'!$B$8:$B$474,$A68,'MASTER por modelo'!$AA$8:$AA$474)</f>
        <v>0</v>
      </c>
      <c r="O68" s="80">
        <f>IFERROR(D68/'MASTER por modelo'!$G$6,0)</f>
        <v>2.822121878477797E-4</v>
      </c>
    </row>
    <row r="69" spans="1:15" x14ac:dyDescent="0.25">
      <c r="A69" s="43" t="s">
        <v>576</v>
      </c>
      <c r="B69" s="34">
        <f>COUNTIF('MASTER por modelo'!$B$8:$B$474,$A69)</f>
        <v>3</v>
      </c>
      <c r="C69" s="38">
        <f>SUMIF('MASTER por modelo'!$B$8:$B$474,$A69,'MASTER por modelo'!$M$8:$M$474)</f>
        <v>1145</v>
      </c>
      <c r="D69" s="79">
        <f>SUMIF('MASTER por modelo'!$B$8:$B$474,$A69,'MASTER por modelo'!$G$8:$G$474)</f>
        <v>0.64799999999999991</v>
      </c>
      <c r="E69" s="38">
        <f>SUMIF('MASTER por modelo'!$B$8:$B$474,$A69,'MASTER por modelo'!$U$8:$U$474)</f>
        <v>1143</v>
      </c>
      <c r="F69" s="38">
        <f>SUMIF('MASTER por modelo'!$B$8:$B$474,$A69,'MASTER por modelo'!$Y$8:$Y$474)</f>
        <v>2</v>
      </c>
      <c r="G69" s="38">
        <f>SUMIF('MASTER por modelo'!$B$8:$B$474,$A69,'MASTER por modelo'!$AB$8:$AB$474)</f>
        <v>876</v>
      </c>
      <c r="H69" s="38">
        <f>SUMIF('MASTER por modelo'!$B$8:$B$474,$A69,'MASTER por modelo'!$AC$8:$AC$474)</f>
        <v>694</v>
      </c>
      <c r="I69" s="38">
        <f>SUMIF('MASTER por modelo'!$B$8:$B$474,$A69,'MASTER por modelo'!$AD$8:$AD$474)</f>
        <v>158</v>
      </c>
      <c r="J69" s="38">
        <f>SUMIF('MASTER por modelo'!$B$8:$B$474,$A69,'MASTER por modelo'!$AL$8:$AL$474)</f>
        <v>266</v>
      </c>
      <c r="K69" s="80">
        <f t="shared" si="4"/>
        <v>0.60611353711790394</v>
      </c>
      <c r="L69" s="80">
        <f t="shared" si="5"/>
        <v>0.2327209098862642</v>
      </c>
      <c r="M69" s="80">
        <f t="shared" si="6"/>
        <v>0.74410480349344976</v>
      </c>
      <c r="N69" s="81">
        <f>SUMIF('MASTER por modelo'!$B$8:$B$474,$A69,'MASTER por modelo'!$AA$8:$AA$474)</f>
        <v>6.0362173038229371E-5</v>
      </c>
      <c r="O69" s="80">
        <f>IFERROR(D69/'MASTER por modelo'!$G$6,0)</f>
        <v>2.3811653349656409E-4</v>
      </c>
    </row>
    <row r="70" spans="1:15" x14ac:dyDescent="0.25">
      <c r="A70" s="43" t="s">
        <v>566</v>
      </c>
      <c r="B70" s="34">
        <f>COUNTIF('MASTER por modelo'!$B$8:$B$474,$A70)</f>
        <v>1</v>
      </c>
      <c r="C70" s="38">
        <f>SUMIF('MASTER por modelo'!$B$8:$B$474,$A70,'MASTER por modelo'!$M$8:$M$474)</f>
        <v>650</v>
      </c>
      <c r="D70" s="79">
        <f>SUMIF('MASTER por modelo'!$B$8:$B$474,$A70,'MASTER por modelo'!$G$8:$G$474)</f>
        <v>0.41199999999999998</v>
      </c>
      <c r="E70" s="38">
        <f>SUMIF('MASTER por modelo'!$B$8:$B$474,$A70,'MASTER por modelo'!$U$8:$U$474)</f>
        <v>650</v>
      </c>
      <c r="F70" s="38">
        <f>SUMIF('MASTER por modelo'!$B$8:$B$474,$A70,'MASTER por modelo'!$Y$8:$Y$474)</f>
        <v>0</v>
      </c>
      <c r="G70" s="38">
        <f>SUMIF('MASTER por modelo'!$B$8:$B$474,$A70,'MASTER por modelo'!$AB$8:$AB$474)</f>
        <v>274</v>
      </c>
      <c r="H70" s="38">
        <f>SUMIF('MASTER por modelo'!$B$8:$B$474,$A70,'MASTER por modelo'!$AC$8:$AC$474)</f>
        <v>198</v>
      </c>
      <c r="I70" s="38">
        <f>SUMIF('MASTER por modelo'!$B$8:$B$474,$A70,'MASTER por modelo'!$AD$8:$AD$474)</f>
        <v>68</v>
      </c>
      <c r="J70" s="38">
        <f>SUMIF('MASTER por modelo'!$B$8:$B$474,$A70,'MASTER por modelo'!$AL$8:$AL$474)</f>
        <v>376</v>
      </c>
      <c r="K70" s="80">
        <f t="shared" si="4"/>
        <v>0.30461538461538462</v>
      </c>
      <c r="L70" s="80">
        <f t="shared" si="5"/>
        <v>0.57846153846153847</v>
      </c>
      <c r="M70" s="80">
        <f t="shared" si="6"/>
        <v>0.40923076923076923</v>
      </c>
      <c r="N70" s="81">
        <f>SUMIF('MASTER por modelo'!$B$8:$B$474,$A70,'MASTER por modelo'!$AA$8:$AA$474)</f>
        <v>0</v>
      </c>
      <c r="O70" s="80">
        <f>IFERROR(D70/'MASTER por modelo'!$G$6,0)</f>
        <v>1.5139507993917347E-4</v>
      </c>
    </row>
    <row r="71" spans="1:15" x14ac:dyDescent="0.25">
      <c r="A71" s="88" t="s">
        <v>5</v>
      </c>
      <c r="B71" s="16">
        <f t="shared" ref="B71:J71" si="7">SUM(B38:B70)</f>
        <v>466</v>
      </c>
      <c r="C71" s="17">
        <f t="shared" si="7"/>
        <v>541967</v>
      </c>
      <c r="D71" s="89">
        <f t="shared" si="7"/>
        <v>2715.1566000000003</v>
      </c>
      <c r="E71" s="17">
        <f t="shared" si="7"/>
        <v>524645</v>
      </c>
      <c r="F71" s="17">
        <f t="shared" si="7"/>
        <v>53198</v>
      </c>
      <c r="G71" s="17">
        <f t="shared" si="7"/>
        <v>278739</v>
      </c>
      <c r="H71" s="17">
        <f t="shared" si="7"/>
        <v>191199</v>
      </c>
      <c r="I71" s="17">
        <f t="shared" si="7"/>
        <v>84069</v>
      </c>
      <c r="J71" s="17">
        <f t="shared" si="7"/>
        <v>245432</v>
      </c>
      <c r="K71" s="22">
        <f t="shared" si="4"/>
        <v>0.35278716231800089</v>
      </c>
      <c r="L71" s="22">
        <f t="shared" si="5"/>
        <v>0.46780584966977673</v>
      </c>
      <c r="M71" s="22">
        <f t="shared" si="6"/>
        <v>0.50790546287873617</v>
      </c>
      <c r="N71" s="90">
        <f>SUM(N38:N70)</f>
        <v>11.148463407929174</v>
      </c>
      <c r="O71" s="22">
        <f>SUM(O38:O70)</f>
        <v>0.99772172452518104</v>
      </c>
    </row>
    <row r="73" spans="1:15" x14ac:dyDescent="0.25">
      <c r="A73" s="77" t="s">
        <v>678</v>
      </c>
    </row>
    <row r="74" spans="1:15" ht="39.950000000000003" customHeight="1" x14ac:dyDescent="0.25">
      <c r="A74" s="30" t="s">
        <v>665</v>
      </c>
      <c r="B74" s="30" t="s">
        <v>666</v>
      </c>
      <c r="C74" s="30" t="s">
        <v>667</v>
      </c>
      <c r="D74" s="30" t="s">
        <v>668</v>
      </c>
      <c r="E74" s="30" t="s">
        <v>669</v>
      </c>
      <c r="F74" s="30" t="s">
        <v>670</v>
      </c>
      <c r="G74" s="30" t="s">
        <v>671</v>
      </c>
      <c r="H74" s="30" t="s">
        <v>672</v>
      </c>
      <c r="I74" s="30" t="s">
        <v>673</v>
      </c>
      <c r="J74" s="30" t="s">
        <v>674</v>
      </c>
      <c r="K74" s="30" t="s">
        <v>633</v>
      </c>
      <c r="L74" s="30" t="s">
        <v>639</v>
      </c>
      <c r="M74" s="30" t="s">
        <v>675</v>
      </c>
      <c r="N74" s="30" t="s">
        <v>676</v>
      </c>
      <c r="O74" s="30" t="s">
        <v>677</v>
      </c>
    </row>
    <row r="75" spans="1:15" x14ac:dyDescent="0.25">
      <c r="A75" s="43" t="s">
        <v>57</v>
      </c>
      <c r="B75" s="34">
        <f>COUNTIF('MASTER por modelo'!$C$8:$C$474,$A75)</f>
        <v>32</v>
      </c>
      <c r="C75" s="38">
        <f>SUMIF('MASTER por modelo'!$C$8:$C$474,$A75,'MASTER por modelo'!$M$8:$M$474)</f>
        <v>82298</v>
      </c>
      <c r="D75" s="79">
        <f>SUMIF('MASTER por modelo'!$C$8:$C$474,$A75,'MASTER por modelo'!$G$8:$G$474)</f>
        <v>926.62189999999975</v>
      </c>
      <c r="E75" s="38">
        <f>SUMIF('MASTER por modelo'!$C$8:$C$474,$A75,'MASTER por modelo'!$U$8:$U$474)</f>
        <v>88016</v>
      </c>
      <c r="F75" s="38">
        <f>SUMIF('MASTER por modelo'!$C$8:$C$474,$A75,'MASTER por modelo'!$Y$8:$Y$474)</f>
        <v>1812</v>
      </c>
      <c r="G75" s="38">
        <f>SUMIF('MASTER por modelo'!$C$8:$C$474,$A75,'MASTER por modelo'!$AB$8:$AB$474)</f>
        <v>20420</v>
      </c>
      <c r="H75" s="38">
        <f>SUMIF('MASTER por modelo'!$C$8:$C$474,$A75,'MASTER por modelo'!$AC$8:$AC$474)</f>
        <v>13233</v>
      </c>
      <c r="I75" s="38">
        <f>SUMIF('MASTER por modelo'!$C$8:$C$474,$A75,'MASTER por modelo'!$AD$8:$AD$474)</f>
        <v>6843</v>
      </c>
      <c r="J75" s="38">
        <f>SUMIF('MASTER por modelo'!$C$8:$C$474,$A75,'MASTER por modelo'!$AL$8:$AL$474)</f>
        <v>67610</v>
      </c>
      <c r="K75" s="80">
        <f t="shared" ref="K75:K114" si="8">IFERROR(H75/C75,0)</f>
        <v>0.16079370094048459</v>
      </c>
      <c r="L75" s="80">
        <f t="shared" ref="L75:L114" si="9">IFERROR(J75/E75,0)</f>
        <v>0.76815578985638977</v>
      </c>
      <c r="M75" s="80">
        <f t="shared" ref="M75:M114" si="10">IFERROR((H75+I75)/C75,0)</f>
        <v>0.24394274465965152</v>
      </c>
      <c r="N75" s="81">
        <f>SUMIF('MASTER por modelo'!$C$8:$C$474,$A75,'MASTER por modelo'!$AA$8:$AA$474)</f>
        <v>0.82304937614527296</v>
      </c>
      <c r="O75" s="80">
        <f>IFERROR(D75/'MASTER por modelo'!$G$6,0)</f>
        <v>0.34049999180555529</v>
      </c>
    </row>
    <row r="76" spans="1:15" x14ac:dyDescent="0.25">
      <c r="A76" s="43" t="s">
        <v>66</v>
      </c>
      <c r="B76" s="34">
        <f>COUNTIF('MASTER por modelo'!$C$8:$C$474,$A76)</f>
        <v>55</v>
      </c>
      <c r="C76" s="38">
        <f>SUMIF('MASTER por modelo'!$C$8:$C$474,$A76,'MASTER por modelo'!$M$8:$M$474)</f>
        <v>80206</v>
      </c>
      <c r="D76" s="79">
        <f>SUMIF('MASTER por modelo'!$C$8:$C$474,$A76,'MASTER por modelo'!$G$8:$G$474)</f>
        <v>567.23189999999988</v>
      </c>
      <c r="E76" s="38">
        <f>SUMIF('MASTER por modelo'!$C$8:$C$474,$A76,'MASTER por modelo'!$U$8:$U$474)</f>
        <v>71907</v>
      </c>
      <c r="F76" s="38">
        <f>SUMIF('MASTER por modelo'!$C$8:$C$474,$A76,'MASTER por modelo'!$Y$8:$Y$474)</f>
        <v>26308</v>
      </c>
      <c r="G76" s="38">
        <f>SUMIF('MASTER por modelo'!$C$8:$C$474,$A76,'MASTER por modelo'!$AB$8:$AB$474)</f>
        <v>38390</v>
      </c>
      <c r="H76" s="38">
        <f>SUMIF('MASTER por modelo'!$C$8:$C$474,$A76,'MASTER por modelo'!$AC$8:$AC$474)</f>
        <v>25533</v>
      </c>
      <c r="I76" s="38">
        <f>SUMIF('MASTER por modelo'!$C$8:$C$474,$A76,'MASTER por modelo'!$AD$8:$AD$474)</f>
        <v>12571</v>
      </c>
      <c r="J76" s="38">
        <f>SUMIF('MASTER por modelo'!$C$8:$C$474,$A76,'MASTER por modelo'!$AL$8:$AL$474)</f>
        <v>33439</v>
      </c>
      <c r="K76" s="80">
        <f t="shared" si="8"/>
        <v>0.3183427673740119</v>
      </c>
      <c r="L76" s="80">
        <f t="shared" si="9"/>
        <v>0.4650312208825288</v>
      </c>
      <c r="M76" s="80">
        <f t="shared" si="10"/>
        <v>0.47507667755529509</v>
      </c>
      <c r="N76" s="81">
        <f>SUMIF('MASTER por modelo'!$C$8:$C$474,$A76,'MASTER por modelo'!$AA$8:$AA$474)</f>
        <v>6.9863803908472502</v>
      </c>
      <c r="O76" s="80">
        <f>IFERROR(D76/'MASTER por modelo'!$G$6,0)</f>
        <v>0.2084371816615273</v>
      </c>
    </row>
    <row r="77" spans="1:15" x14ac:dyDescent="0.25">
      <c r="A77" s="43" t="s">
        <v>100</v>
      </c>
      <c r="B77" s="34">
        <f>COUNTIF('MASTER por modelo'!$C$8:$C$474,$A77)</f>
        <v>51</v>
      </c>
      <c r="C77" s="38">
        <f>SUMIF('MASTER por modelo'!$C$8:$C$474,$A77,'MASTER por modelo'!$M$8:$M$474)</f>
        <v>61593</v>
      </c>
      <c r="D77" s="79">
        <f>SUMIF('MASTER por modelo'!$C$8:$C$474,$A77,'MASTER por modelo'!$G$8:$G$474)</f>
        <v>223.12220000000013</v>
      </c>
      <c r="E77" s="38">
        <f>SUMIF('MASTER por modelo'!$C$8:$C$474,$A77,'MASTER por modelo'!$U$8:$U$474)</f>
        <v>60949</v>
      </c>
      <c r="F77" s="38">
        <f>SUMIF('MASTER por modelo'!$C$8:$C$474,$A77,'MASTER por modelo'!$Y$8:$Y$474)</f>
        <v>1537</v>
      </c>
      <c r="G77" s="38">
        <f>SUMIF('MASTER por modelo'!$C$8:$C$474,$A77,'MASTER por modelo'!$AB$8:$AB$474)</f>
        <v>21616</v>
      </c>
      <c r="H77" s="38">
        <f>SUMIF('MASTER por modelo'!$C$8:$C$474,$A77,'MASTER por modelo'!$AC$8:$AC$474)</f>
        <v>16856</v>
      </c>
      <c r="I77" s="38">
        <f>SUMIF('MASTER por modelo'!$C$8:$C$474,$A77,'MASTER por modelo'!$AD$8:$AD$474)</f>
        <v>4180</v>
      </c>
      <c r="J77" s="38">
        <f>SUMIF('MASTER por modelo'!$C$8:$C$474,$A77,'MASTER por modelo'!$AL$8:$AL$474)</f>
        <v>39376</v>
      </c>
      <c r="K77" s="80">
        <f t="shared" si="8"/>
        <v>0.27366746221161498</v>
      </c>
      <c r="L77" s="80">
        <f t="shared" si="9"/>
        <v>0.6460483354936094</v>
      </c>
      <c r="M77" s="80">
        <f t="shared" si="10"/>
        <v>0.34153231698407288</v>
      </c>
      <c r="N77" s="81">
        <f>SUMIF('MASTER por modelo'!$C$8:$C$474,$A77,'MASTER por modelo'!$AA$8:$AA$474)</f>
        <v>0.19482078014297063</v>
      </c>
      <c r="O77" s="80">
        <f>IFERROR(D77/'MASTER por modelo'!$G$6,0)</f>
        <v>8.1989328410689982E-2</v>
      </c>
    </row>
    <row r="78" spans="1:15" x14ac:dyDescent="0.25">
      <c r="A78" s="43" t="s">
        <v>132</v>
      </c>
      <c r="B78" s="34">
        <f>COUNTIF('MASTER por modelo'!$C$8:$C$474,$A78)</f>
        <v>76</v>
      </c>
      <c r="C78" s="38">
        <f>SUMIF('MASTER por modelo'!$C$8:$C$474,$A78,'MASTER por modelo'!$M$8:$M$474)</f>
        <v>81020</v>
      </c>
      <c r="D78" s="79">
        <f>SUMIF('MASTER por modelo'!$C$8:$C$474,$A78,'MASTER por modelo'!$G$8:$G$474)</f>
        <v>166.82840000000013</v>
      </c>
      <c r="E78" s="38">
        <f>SUMIF('MASTER por modelo'!$C$8:$C$474,$A78,'MASTER por modelo'!$U$8:$U$474)</f>
        <v>76582</v>
      </c>
      <c r="F78" s="38">
        <f>SUMIF('MASTER por modelo'!$C$8:$C$474,$A78,'MASTER por modelo'!$Y$8:$Y$474)</f>
        <v>2017</v>
      </c>
      <c r="G78" s="38">
        <f>SUMIF('MASTER por modelo'!$C$8:$C$474,$A78,'MASTER por modelo'!$AB$8:$AB$474)</f>
        <v>49081</v>
      </c>
      <c r="H78" s="38">
        <f>SUMIF('MASTER por modelo'!$C$8:$C$474,$A78,'MASTER por modelo'!$AC$8:$AC$474)</f>
        <v>32064</v>
      </c>
      <c r="I78" s="38">
        <f>SUMIF('MASTER por modelo'!$C$8:$C$474,$A78,'MASTER por modelo'!$AD$8:$AD$474)</f>
        <v>16385</v>
      </c>
      <c r="J78" s="38">
        <f>SUMIF('MASTER por modelo'!$C$8:$C$474,$A78,'MASTER por modelo'!$AL$8:$AL$474)</f>
        <v>27406</v>
      </c>
      <c r="K78" s="80">
        <f t="shared" si="8"/>
        <v>0.39575413478153543</v>
      </c>
      <c r="L78" s="80">
        <f t="shared" si="9"/>
        <v>0.35786477240082526</v>
      </c>
      <c r="M78" s="80">
        <f t="shared" si="10"/>
        <v>0.59798815107380898</v>
      </c>
      <c r="N78" s="81">
        <f>SUMIF('MASTER por modelo'!$C$8:$C$474,$A78,'MASTER por modelo'!$AA$8:$AA$474)</f>
        <v>0.19004315740870892</v>
      </c>
      <c r="O78" s="80">
        <f>IFERROR(D78/'MASTER por modelo'!$G$6,0)</f>
        <v>6.1303395519719493E-2</v>
      </c>
    </row>
    <row r="79" spans="1:15" x14ac:dyDescent="0.25">
      <c r="A79" s="43" t="s">
        <v>94</v>
      </c>
      <c r="B79" s="34">
        <f>COUNTIF('MASTER por modelo'!$C$8:$C$474,$A79)</f>
        <v>15</v>
      </c>
      <c r="C79" s="38">
        <f>SUMIF('MASTER por modelo'!$C$8:$C$474,$A79,'MASTER por modelo'!$M$8:$M$474)</f>
        <v>16067</v>
      </c>
      <c r="D79" s="79">
        <f>SUMIF('MASTER por modelo'!$C$8:$C$474,$A79,'MASTER por modelo'!$G$8:$G$474)</f>
        <v>85.836799999999997</v>
      </c>
      <c r="E79" s="38">
        <f>SUMIF('MASTER por modelo'!$C$8:$C$474,$A79,'MASTER por modelo'!$U$8:$U$474)</f>
        <v>15053</v>
      </c>
      <c r="F79" s="38">
        <f>SUMIF('MASTER por modelo'!$C$8:$C$474,$A79,'MASTER por modelo'!$Y$8:$Y$474)</f>
        <v>1059</v>
      </c>
      <c r="G79" s="38">
        <f>SUMIF('MASTER por modelo'!$C$8:$C$474,$A79,'MASTER por modelo'!$AB$8:$AB$474)</f>
        <v>11634</v>
      </c>
      <c r="H79" s="38">
        <f>SUMIF('MASTER por modelo'!$C$8:$C$474,$A79,'MASTER por modelo'!$AC$8:$AC$474)</f>
        <v>6038</v>
      </c>
      <c r="I79" s="38">
        <f>SUMIF('MASTER por modelo'!$C$8:$C$474,$A79,'MASTER por modelo'!$AD$8:$AD$474)</f>
        <v>5373</v>
      </c>
      <c r="J79" s="38">
        <f>SUMIF('MASTER por modelo'!$C$8:$C$474,$A79,'MASTER por modelo'!$AL$8:$AL$474)</f>
        <v>3406</v>
      </c>
      <c r="K79" s="80">
        <f t="shared" si="8"/>
        <v>0.3758013319225742</v>
      </c>
      <c r="L79" s="80">
        <f t="shared" si="9"/>
        <v>0.22626718926459841</v>
      </c>
      <c r="M79" s="80">
        <f t="shared" si="10"/>
        <v>0.71021348104811099</v>
      </c>
      <c r="N79" s="81">
        <f>SUMIF('MASTER por modelo'!$C$8:$C$474,$A79,'MASTER por modelo'!$AA$8:$AA$474)</f>
        <v>0.15857527839796365</v>
      </c>
      <c r="O79" s="80">
        <f>IFERROR(D79/'MASTER por modelo'!$G$6,0)</f>
        <v>3.1541915528453514E-2</v>
      </c>
    </row>
    <row r="80" spans="1:15" x14ac:dyDescent="0.25">
      <c r="A80" s="43" t="s">
        <v>71</v>
      </c>
      <c r="B80" s="34">
        <f>COUNTIF('MASTER por modelo'!$C$8:$C$474,$A80)</f>
        <v>3</v>
      </c>
      <c r="C80" s="38">
        <f>SUMIF('MASTER por modelo'!$C$8:$C$474,$A80,'MASTER por modelo'!$M$8:$M$474)</f>
        <v>6197</v>
      </c>
      <c r="D80" s="79">
        <f>SUMIF('MASTER por modelo'!$C$8:$C$474,$A80,'MASTER por modelo'!$G$8:$G$474)</f>
        <v>73.296999999999997</v>
      </c>
      <c r="E80" s="38">
        <f>SUMIF('MASTER por modelo'!$C$8:$C$474,$A80,'MASTER por modelo'!$U$8:$U$474)</f>
        <v>6200</v>
      </c>
      <c r="F80" s="38">
        <f>SUMIF('MASTER por modelo'!$C$8:$C$474,$A80,'MASTER por modelo'!$Y$8:$Y$474)</f>
        <v>32</v>
      </c>
      <c r="G80" s="38">
        <f>SUMIF('MASTER por modelo'!$C$8:$C$474,$A80,'MASTER por modelo'!$AB$8:$AB$474)</f>
        <v>1038</v>
      </c>
      <c r="H80" s="38">
        <f>SUMIF('MASTER por modelo'!$C$8:$C$474,$A80,'MASTER por modelo'!$AC$8:$AC$474)</f>
        <v>949</v>
      </c>
      <c r="I80" s="38">
        <f>SUMIF('MASTER por modelo'!$C$8:$C$474,$A80,'MASTER por modelo'!$AD$8:$AD$474)</f>
        <v>74</v>
      </c>
      <c r="J80" s="38">
        <f>SUMIF('MASTER por modelo'!$C$8:$C$474,$A80,'MASTER por modelo'!$AL$8:$AL$474)</f>
        <v>5162</v>
      </c>
      <c r="K80" s="80">
        <f t="shared" si="8"/>
        <v>0.1531386154590931</v>
      </c>
      <c r="L80" s="80">
        <f t="shared" si="9"/>
        <v>0.83258064516129038</v>
      </c>
      <c r="M80" s="80">
        <f t="shared" si="10"/>
        <v>0.16507987736001292</v>
      </c>
      <c r="N80" s="81">
        <f>SUMIF('MASTER por modelo'!$C$8:$C$474,$A80,'MASTER por modelo'!$AA$8:$AA$474)</f>
        <v>1.5361432301380082E-2</v>
      </c>
      <c r="O80" s="80">
        <f>IFERROR(D80/'MASTER por modelo'!$G$6,0)</f>
        <v>2.6933993141508735E-2</v>
      </c>
    </row>
    <row r="81" spans="1:15" x14ac:dyDescent="0.25">
      <c r="A81" s="43" t="s">
        <v>87</v>
      </c>
      <c r="B81" s="34">
        <f>COUNTIF('MASTER por modelo'!$C$8:$C$474,$A81)</f>
        <v>15</v>
      </c>
      <c r="C81" s="38">
        <f>SUMIF('MASTER por modelo'!$C$8:$C$474,$A81,'MASTER por modelo'!$M$8:$M$474)</f>
        <v>14834</v>
      </c>
      <c r="D81" s="79">
        <f>SUMIF('MASTER por modelo'!$C$8:$C$474,$A81,'MASTER por modelo'!$G$8:$G$474)</f>
        <v>70.738200000000006</v>
      </c>
      <c r="E81" s="38">
        <f>SUMIF('MASTER por modelo'!$C$8:$C$474,$A81,'MASTER por modelo'!$U$8:$U$474)</f>
        <v>12209</v>
      </c>
      <c r="F81" s="38">
        <f>SUMIF('MASTER por modelo'!$C$8:$C$474,$A81,'MASTER por modelo'!$Y$8:$Y$474)</f>
        <v>2912</v>
      </c>
      <c r="G81" s="38">
        <f>SUMIF('MASTER por modelo'!$C$8:$C$474,$A81,'MASTER por modelo'!$AB$8:$AB$474)</f>
        <v>8798</v>
      </c>
      <c r="H81" s="38">
        <f>SUMIF('MASTER por modelo'!$C$8:$C$474,$A81,'MASTER por modelo'!$AC$8:$AC$474)</f>
        <v>5607</v>
      </c>
      <c r="I81" s="38">
        <f>SUMIF('MASTER por modelo'!$C$8:$C$474,$A81,'MASTER por modelo'!$AD$8:$AD$474)</f>
        <v>3060</v>
      </c>
      <c r="J81" s="38">
        <f>SUMIF('MASTER por modelo'!$C$8:$C$474,$A81,'MASTER por modelo'!$AL$8:$AL$474)</f>
        <v>3397</v>
      </c>
      <c r="K81" s="80">
        <f t="shared" si="8"/>
        <v>0.37798301199946072</v>
      </c>
      <c r="L81" s="80">
        <f t="shared" si="9"/>
        <v>0.27823736587763126</v>
      </c>
      <c r="M81" s="80">
        <f t="shared" si="10"/>
        <v>0.58426587569098021</v>
      </c>
      <c r="N81" s="81">
        <f>SUMIF('MASTER por modelo'!$C$8:$C$474,$A81,'MASTER por modelo'!$AA$8:$AA$474)</f>
        <v>0.37464997600319599</v>
      </c>
      <c r="O81" s="80">
        <f>IFERROR(D81/'MASTER por modelo'!$G$6,0)</f>
        <v>2.5993726805226318E-2</v>
      </c>
    </row>
    <row r="82" spans="1:15" x14ac:dyDescent="0.25">
      <c r="A82" s="43" t="s">
        <v>111</v>
      </c>
      <c r="B82" s="34">
        <f>COUNTIF('MASTER por modelo'!$C$8:$C$474,$A82)</f>
        <v>9</v>
      </c>
      <c r="C82" s="38">
        <f>SUMIF('MASTER por modelo'!$C$8:$C$474,$A82,'MASTER por modelo'!$M$8:$M$474)</f>
        <v>15368</v>
      </c>
      <c r="D82" s="79">
        <f>SUMIF('MASTER por modelo'!$C$8:$C$474,$A82,'MASTER por modelo'!$G$8:$G$474)</f>
        <v>66.353999999999999</v>
      </c>
      <c r="E82" s="38">
        <f>SUMIF('MASTER por modelo'!$C$8:$C$474,$A82,'MASTER por modelo'!$U$8:$U$474)</f>
        <v>14634</v>
      </c>
      <c r="F82" s="38">
        <f>SUMIF('MASTER por modelo'!$C$8:$C$474,$A82,'MASTER por modelo'!$Y$8:$Y$474)</f>
        <v>848</v>
      </c>
      <c r="G82" s="38">
        <f>SUMIF('MASTER por modelo'!$C$8:$C$474,$A82,'MASTER por modelo'!$AB$8:$AB$474)</f>
        <v>3257</v>
      </c>
      <c r="H82" s="38">
        <f>SUMIF('MASTER por modelo'!$C$8:$C$474,$A82,'MASTER por modelo'!$AC$8:$AC$474)</f>
        <v>2404</v>
      </c>
      <c r="I82" s="38">
        <f>SUMIF('MASTER por modelo'!$C$8:$C$474,$A82,'MASTER por modelo'!$AD$8:$AD$474)</f>
        <v>724</v>
      </c>
      <c r="J82" s="38">
        <f>SUMIF('MASTER por modelo'!$C$8:$C$474,$A82,'MASTER por modelo'!$AL$8:$AL$474)</f>
        <v>11379</v>
      </c>
      <c r="K82" s="80">
        <f t="shared" si="8"/>
        <v>0.15642894325871942</v>
      </c>
      <c r="L82" s="80">
        <f t="shared" si="9"/>
        <v>0.77757277572775729</v>
      </c>
      <c r="M82" s="80">
        <f t="shared" si="10"/>
        <v>0.20353982300884957</v>
      </c>
      <c r="N82" s="81">
        <f>SUMIF('MASTER por modelo'!$C$8:$C$474,$A82,'MASTER por modelo'!$AA$8:$AA$474)</f>
        <v>0.11810792015167403</v>
      </c>
      <c r="O82" s="80">
        <f>IFERROR(D82/'MASTER por modelo'!$G$6,0)</f>
        <v>2.4382692073504655E-2</v>
      </c>
    </row>
    <row r="83" spans="1:15" x14ac:dyDescent="0.25">
      <c r="A83" s="43" t="s">
        <v>122</v>
      </c>
      <c r="B83" s="34">
        <f>COUNTIF('MASTER por modelo'!$C$8:$C$474,$A83)</f>
        <v>14</v>
      </c>
      <c r="C83" s="38">
        <f>SUMIF('MASTER por modelo'!$C$8:$C$474,$A83,'MASTER por modelo'!$M$8:$M$474)</f>
        <v>11078</v>
      </c>
      <c r="D83" s="79">
        <f>SUMIF('MASTER por modelo'!$C$8:$C$474,$A83,'MASTER por modelo'!$G$8:$G$474)</f>
        <v>64.256999999999991</v>
      </c>
      <c r="E83" s="38">
        <f>SUMIF('MASTER por modelo'!$C$8:$C$474,$A83,'MASTER por modelo'!$U$8:$U$474)</f>
        <v>11118</v>
      </c>
      <c r="F83" s="38">
        <f>SUMIF('MASTER por modelo'!$C$8:$C$474,$A83,'MASTER por modelo'!$Y$8:$Y$474)</f>
        <v>3718</v>
      </c>
      <c r="G83" s="38">
        <f>SUMIF('MASTER por modelo'!$C$8:$C$474,$A83,'MASTER por modelo'!$AB$8:$AB$474)</f>
        <v>3840</v>
      </c>
      <c r="H83" s="38">
        <f>SUMIF('MASTER por modelo'!$C$8:$C$474,$A83,'MASTER por modelo'!$AC$8:$AC$474)</f>
        <v>3462</v>
      </c>
      <c r="I83" s="38">
        <f>SUMIF('MASTER por modelo'!$C$8:$C$474,$A83,'MASTER por modelo'!$AD$8:$AD$474)</f>
        <v>412</v>
      </c>
      <c r="J83" s="38">
        <f>SUMIF('MASTER por modelo'!$C$8:$C$474,$A83,'MASTER por modelo'!$AL$8:$AL$474)</f>
        <v>7265</v>
      </c>
      <c r="K83" s="80">
        <f t="shared" si="8"/>
        <v>0.31251128362520308</v>
      </c>
      <c r="L83" s="80">
        <f t="shared" si="9"/>
        <v>0.65344486418420578</v>
      </c>
      <c r="M83" s="80">
        <f t="shared" si="10"/>
        <v>0.34970211229463805</v>
      </c>
      <c r="N83" s="81">
        <f>SUMIF('MASTER por modelo'!$C$8:$C$474,$A83,'MASTER por modelo'!$AA$8:$AA$474)</f>
        <v>0.98557686233892972</v>
      </c>
      <c r="O83" s="80">
        <f>IFERROR(D83/'MASTER por modelo'!$G$6,0)</f>
        <v>2.3612120513717159E-2</v>
      </c>
    </row>
    <row r="84" spans="1:15" x14ac:dyDescent="0.25">
      <c r="A84" s="43" t="s">
        <v>80</v>
      </c>
      <c r="B84" s="34">
        <f>COUNTIF('MASTER por modelo'!$C$8:$C$474,$A84)</f>
        <v>6</v>
      </c>
      <c r="C84" s="38">
        <f>SUMIF('MASTER por modelo'!$C$8:$C$474,$A84,'MASTER por modelo'!$M$8:$M$474)</f>
        <v>6872</v>
      </c>
      <c r="D84" s="79">
        <f>SUMIF('MASTER por modelo'!$C$8:$C$474,$A84,'MASTER por modelo'!$G$8:$G$474)</f>
        <v>63.936000000000007</v>
      </c>
      <c r="E84" s="38">
        <f>SUMIF('MASTER por modelo'!$C$8:$C$474,$A84,'MASTER por modelo'!$U$8:$U$474)</f>
        <v>6872</v>
      </c>
      <c r="F84" s="38">
        <f>SUMIF('MASTER por modelo'!$C$8:$C$474,$A84,'MASTER por modelo'!$Y$8:$Y$474)</f>
        <v>0</v>
      </c>
      <c r="G84" s="38">
        <f>SUMIF('MASTER por modelo'!$C$8:$C$474,$A84,'MASTER por modelo'!$AB$8:$AB$474)</f>
        <v>2782</v>
      </c>
      <c r="H84" s="38">
        <f>SUMIF('MASTER por modelo'!$C$8:$C$474,$A84,'MASTER por modelo'!$AC$8:$AC$474)</f>
        <v>2326</v>
      </c>
      <c r="I84" s="38">
        <f>SUMIF('MASTER por modelo'!$C$8:$C$474,$A84,'MASTER por modelo'!$AD$8:$AD$474)</f>
        <v>389</v>
      </c>
      <c r="J84" s="38">
        <f>SUMIF('MASTER por modelo'!$C$8:$C$474,$A84,'MASTER por modelo'!$AL$8:$AL$474)</f>
        <v>4090</v>
      </c>
      <c r="K84" s="80">
        <f t="shared" si="8"/>
        <v>0.33847497089639117</v>
      </c>
      <c r="L84" s="80">
        <f t="shared" si="9"/>
        <v>0.59516880093131552</v>
      </c>
      <c r="M84" s="80">
        <f t="shared" si="10"/>
        <v>0.395081490104773</v>
      </c>
      <c r="N84" s="81">
        <f>SUMIF('MASTER por modelo'!$C$8:$C$474,$A84,'MASTER por modelo'!$AA$8:$AA$474)</f>
        <v>0</v>
      </c>
      <c r="O84" s="80">
        <f>IFERROR(D84/'MASTER por modelo'!$G$6,0)</f>
        <v>2.3494164638327663E-2</v>
      </c>
    </row>
    <row r="85" spans="1:15" x14ac:dyDescent="0.25">
      <c r="A85" s="43" t="s">
        <v>85</v>
      </c>
      <c r="B85" s="34">
        <f>COUNTIF('MASTER por modelo'!$C$8:$C$474,$A85)</f>
        <v>9</v>
      </c>
      <c r="C85" s="38">
        <f>SUMIF('MASTER por modelo'!$C$8:$C$474,$A85,'MASTER por modelo'!$M$8:$M$474)</f>
        <v>14399</v>
      </c>
      <c r="D85" s="79">
        <f>SUMIF('MASTER por modelo'!$C$8:$C$474,$A85,'MASTER por modelo'!$G$8:$G$474)</f>
        <v>60.191599999999994</v>
      </c>
      <c r="E85" s="38">
        <f>SUMIF('MASTER por modelo'!$C$8:$C$474,$A85,'MASTER por modelo'!$U$8:$U$474)</f>
        <v>13219</v>
      </c>
      <c r="F85" s="38">
        <f>SUMIF('MASTER por modelo'!$C$8:$C$474,$A85,'MASTER por modelo'!$Y$8:$Y$474)</f>
        <v>1196</v>
      </c>
      <c r="G85" s="38">
        <f>SUMIF('MASTER por modelo'!$C$8:$C$474,$A85,'MASTER por modelo'!$AB$8:$AB$474)</f>
        <v>6094</v>
      </c>
      <c r="H85" s="38">
        <f>SUMIF('MASTER por modelo'!$C$8:$C$474,$A85,'MASTER por modelo'!$AC$8:$AC$474)</f>
        <v>3359</v>
      </c>
      <c r="I85" s="38">
        <f>SUMIF('MASTER por modelo'!$C$8:$C$474,$A85,'MASTER por modelo'!$AD$8:$AD$474)</f>
        <v>2600</v>
      </c>
      <c r="J85" s="38">
        <f>SUMIF('MASTER por modelo'!$C$8:$C$474,$A85,'MASTER por modelo'!$AL$8:$AL$474)</f>
        <v>7124</v>
      </c>
      <c r="K85" s="80">
        <f t="shared" si="8"/>
        <v>0.23328008889506216</v>
      </c>
      <c r="L85" s="80">
        <f t="shared" si="9"/>
        <v>0.53892124971631739</v>
      </c>
      <c r="M85" s="80">
        <f t="shared" si="10"/>
        <v>0.41384818390165984</v>
      </c>
      <c r="N85" s="81">
        <f>SUMIF('MASTER por modelo'!$C$8:$C$474,$A85,'MASTER por modelo'!$AA$8:$AA$474)</f>
        <v>0.14420101568154403</v>
      </c>
      <c r="O85" s="80">
        <f>IFERROR(D85/'MASTER por modelo'!$G$6,0)</f>
        <v>2.2118233237055227E-2</v>
      </c>
    </row>
    <row r="86" spans="1:15" x14ac:dyDescent="0.25">
      <c r="A86" s="43" t="s">
        <v>103</v>
      </c>
      <c r="B86" s="34">
        <f>COUNTIF('MASTER por modelo'!$C$8:$C$474,$A86)</f>
        <v>11</v>
      </c>
      <c r="C86" s="38">
        <f>SUMIF('MASTER por modelo'!$C$8:$C$474,$A86,'MASTER por modelo'!$M$8:$M$474)</f>
        <v>18325</v>
      </c>
      <c r="D86" s="79">
        <f>SUMIF('MASTER por modelo'!$C$8:$C$474,$A86,'MASTER por modelo'!$G$8:$G$474)</f>
        <v>48.767999999999994</v>
      </c>
      <c r="E86" s="38">
        <f>SUMIF('MASTER por modelo'!$C$8:$C$474,$A86,'MASTER por modelo'!$U$8:$U$474)</f>
        <v>18334</v>
      </c>
      <c r="F86" s="38">
        <f>SUMIF('MASTER por modelo'!$C$8:$C$474,$A86,'MASTER por modelo'!$Y$8:$Y$474)</f>
        <v>2</v>
      </c>
      <c r="G86" s="38">
        <f>SUMIF('MASTER por modelo'!$C$8:$C$474,$A86,'MASTER por modelo'!$AB$8:$AB$474)</f>
        <v>12766</v>
      </c>
      <c r="H86" s="38">
        <f>SUMIF('MASTER por modelo'!$C$8:$C$474,$A86,'MASTER por modelo'!$AC$8:$AC$474)</f>
        <v>6748</v>
      </c>
      <c r="I86" s="38">
        <f>SUMIF('MASTER por modelo'!$C$8:$C$474,$A86,'MASTER por modelo'!$AD$8:$AD$474)</f>
        <v>6094</v>
      </c>
      <c r="J86" s="38">
        <f>SUMIF('MASTER por modelo'!$C$8:$C$474,$A86,'MASTER por modelo'!$AL$8:$AL$474)</f>
        <v>5521</v>
      </c>
      <c r="K86" s="80">
        <f t="shared" si="8"/>
        <v>0.36824010914051841</v>
      </c>
      <c r="L86" s="80">
        <f t="shared" si="9"/>
        <v>0.30113450419984727</v>
      </c>
      <c r="M86" s="80">
        <f t="shared" si="10"/>
        <v>0.7007912687585266</v>
      </c>
      <c r="N86" s="81">
        <f>SUMIF('MASTER por modelo'!$C$8:$C$474,$A86,'MASTER por modelo'!$AA$8:$AA$474)</f>
        <v>2.1199944575308298E-4</v>
      </c>
      <c r="O86" s="80">
        <f>IFERROR(D86/'MASTER por modelo'!$G$6,0)</f>
        <v>1.792047392833401E-2</v>
      </c>
    </row>
    <row r="87" spans="1:15" x14ac:dyDescent="0.25">
      <c r="A87" s="43" t="s">
        <v>315</v>
      </c>
      <c r="B87" s="34">
        <f>COUNTIF('MASTER por modelo'!$C$8:$C$474,$A87)</f>
        <v>27</v>
      </c>
      <c r="C87" s="38">
        <f>SUMIF('MASTER por modelo'!$C$8:$C$474,$A87,'MASTER por modelo'!$M$8:$M$474)</f>
        <v>24865</v>
      </c>
      <c r="D87" s="79">
        <f>SUMIF('MASTER por modelo'!$C$8:$C$474,$A87,'MASTER por modelo'!$G$8:$G$474)</f>
        <v>34.072000000000003</v>
      </c>
      <c r="E87" s="38">
        <f>SUMIF('MASTER por modelo'!$C$8:$C$474,$A87,'MASTER por modelo'!$U$8:$U$474)</f>
        <v>24870</v>
      </c>
      <c r="F87" s="38">
        <f>SUMIF('MASTER por modelo'!$C$8:$C$474,$A87,'MASTER por modelo'!$Y$8:$Y$474)</f>
        <v>2</v>
      </c>
      <c r="G87" s="38">
        <f>SUMIF('MASTER por modelo'!$C$8:$C$474,$A87,'MASTER por modelo'!$AB$8:$AB$474)</f>
        <v>19555</v>
      </c>
      <c r="H87" s="38">
        <f>SUMIF('MASTER por modelo'!$C$8:$C$474,$A87,'MASTER por modelo'!$AC$8:$AC$474)</f>
        <v>13707</v>
      </c>
      <c r="I87" s="38">
        <f>SUMIF('MASTER por modelo'!$C$8:$C$474,$A87,'MASTER por modelo'!$AD$8:$AD$474)</f>
        <v>5244</v>
      </c>
      <c r="J87" s="38">
        <f>SUMIF('MASTER por modelo'!$C$8:$C$474,$A87,'MASTER por modelo'!$AL$8:$AL$474)</f>
        <v>5281</v>
      </c>
      <c r="K87" s="80">
        <f t="shared" si="8"/>
        <v>0.55125678664789868</v>
      </c>
      <c r="L87" s="80">
        <f t="shared" si="9"/>
        <v>0.21234418978689185</v>
      </c>
      <c r="M87" s="80">
        <f t="shared" si="10"/>
        <v>0.76215564045847572</v>
      </c>
      <c r="N87" s="81">
        <f>SUMIF('MASTER por modelo'!$C$8:$C$474,$A87,'MASTER por modelo'!$AA$8:$AA$474)</f>
        <v>9.3506493506493506E-5</v>
      </c>
      <c r="O87" s="80">
        <f>IFERROR(D87/'MASTER por modelo'!$G$6,0)</f>
        <v>1.2520226125455145E-2</v>
      </c>
    </row>
    <row r="88" spans="1:15" x14ac:dyDescent="0.25">
      <c r="A88" s="43" t="s">
        <v>264</v>
      </c>
      <c r="B88" s="34">
        <f>COUNTIF('MASTER por modelo'!$C$8:$C$474,$A88)</f>
        <v>22</v>
      </c>
      <c r="C88" s="38">
        <f>SUMIF('MASTER por modelo'!$C$8:$C$474,$A88,'MASTER por modelo'!$M$8:$M$474)</f>
        <v>21313</v>
      </c>
      <c r="D88" s="79">
        <f>SUMIF('MASTER por modelo'!$C$8:$C$474,$A88,'MASTER por modelo'!$G$8:$G$474)</f>
        <v>32.512000000000008</v>
      </c>
      <c r="E88" s="38">
        <f>SUMIF('MASTER por modelo'!$C$8:$C$474,$A88,'MASTER por modelo'!$U$8:$U$474)</f>
        <v>21316</v>
      </c>
      <c r="F88" s="38">
        <f>SUMIF('MASTER por modelo'!$C$8:$C$474,$A88,'MASTER por modelo'!$Y$8:$Y$474)</f>
        <v>1525</v>
      </c>
      <c r="G88" s="38">
        <f>SUMIF('MASTER por modelo'!$C$8:$C$474,$A88,'MASTER por modelo'!$AB$8:$AB$474)</f>
        <v>17851</v>
      </c>
      <c r="H88" s="38">
        <f>SUMIF('MASTER por modelo'!$C$8:$C$474,$A88,'MASTER por modelo'!$AC$8:$AC$474)</f>
        <v>12212</v>
      </c>
      <c r="I88" s="38">
        <f>SUMIF('MASTER por modelo'!$C$8:$C$474,$A88,'MASTER por modelo'!$AD$8:$AD$474)</f>
        <v>5138</v>
      </c>
      <c r="J88" s="38">
        <f>SUMIF('MASTER por modelo'!$C$8:$C$474,$A88,'MASTER por modelo'!$AL$8:$AL$474)</f>
        <v>3432</v>
      </c>
      <c r="K88" s="80">
        <f t="shared" si="8"/>
        <v>0.57298362501759492</v>
      </c>
      <c r="L88" s="80">
        <f t="shared" si="9"/>
        <v>0.16100581722649654</v>
      </c>
      <c r="M88" s="80">
        <f t="shared" si="10"/>
        <v>0.81405714821939656</v>
      </c>
      <c r="N88" s="81">
        <f>SUMIF('MASTER por modelo'!$C$8:$C$474,$A88,'MASTER por modelo'!$AA$8:$AA$474)</f>
        <v>0.10008112384335646</v>
      </c>
      <c r="O88" s="80">
        <f>IFERROR(D88/'MASTER por modelo'!$G$6,0)</f>
        <v>1.1946982618889344E-2</v>
      </c>
    </row>
    <row r="89" spans="1:15" x14ac:dyDescent="0.25">
      <c r="A89" s="43" t="s">
        <v>172</v>
      </c>
      <c r="B89" s="34">
        <f>COUNTIF('MASTER por modelo'!$C$8:$C$474,$A89)</f>
        <v>6</v>
      </c>
      <c r="C89" s="38">
        <f>SUMIF('MASTER por modelo'!$C$8:$C$474,$A89,'MASTER por modelo'!$M$8:$M$474)</f>
        <v>5987</v>
      </c>
      <c r="D89" s="79">
        <f>SUMIF('MASTER por modelo'!$C$8:$C$474,$A89,'MASTER por modelo'!$G$8:$G$474)</f>
        <v>28.469000000000001</v>
      </c>
      <c r="E89" s="38">
        <f>SUMIF('MASTER por modelo'!$C$8:$C$474,$A89,'MASTER por modelo'!$U$8:$U$474)</f>
        <v>5984</v>
      </c>
      <c r="F89" s="38">
        <f>SUMIF('MASTER por modelo'!$C$8:$C$474,$A89,'MASTER por modelo'!$Y$8:$Y$474)</f>
        <v>1865</v>
      </c>
      <c r="G89" s="38">
        <f>SUMIF('MASTER por modelo'!$C$8:$C$474,$A89,'MASTER por modelo'!$AB$8:$AB$474)</f>
        <v>4104</v>
      </c>
      <c r="H89" s="38">
        <f>SUMIF('MASTER por modelo'!$C$8:$C$474,$A89,'MASTER por modelo'!$AC$8:$AC$474)</f>
        <v>3083</v>
      </c>
      <c r="I89" s="38">
        <f>SUMIF('MASTER por modelo'!$C$8:$C$474,$A89,'MASTER por modelo'!$AD$8:$AD$474)</f>
        <v>928</v>
      </c>
      <c r="J89" s="38">
        <f>SUMIF('MASTER por modelo'!$C$8:$C$474,$A89,'MASTER por modelo'!$AL$8:$AL$474)</f>
        <v>1870</v>
      </c>
      <c r="K89" s="80">
        <f t="shared" si="8"/>
        <v>0.51494905628862531</v>
      </c>
      <c r="L89" s="80">
        <f t="shared" si="9"/>
        <v>0.3125</v>
      </c>
      <c r="M89" s="80">
        <f t="shared" si="10"/>
        <v>0.66995156171705361</v>
      </c>
      <c r="N89" s="81">
        <f>SUMIF('MASTER por modelo'!$C$8:$C$474,$A89,'MASTER por modelo'!$AA$8:$AA$474)</f>
        <v>0.3680162158750851</v>
      </c>
      <c r="O89" s="80">
        <f>IFERROR(D89/'MASTER por modelo'!$G$6,0)</f>
        <v>1.0461326531039636E-2</v>
      </c>
    </row>
    <row r="90" spans="1:15" x14ac:dyDescent="0.25">
      <c r="A90" s="43" t="s">
        <v>303</v>
      </c>
      <c r="B90" s="34">
        <f>COUNTIF('MASTER por modelo'!$C$8:$C$474,$A90)</f>
        <v>28</v>
      </c>
      <c r="C90" s="38">
        <f>SUMIF('MASTER por modelo'!$C$8:$C$474,$A90,'MASTER por modelo'!$M$8:$M$474)</f>
        <v>17910</v>
      </c>
      <c r="D90" s="79">
        <f>SUMIF('MASTER por modelo'!$C$8:$C$474,$A90,'MASTER por modelo'!$G$8:$G$474)</f>
        <v>27.011999999999993</v>
      </c>
      <c r="E90" s="38">
        <f>SUMIF('MASTER por modelo'!$C$8:$C$474,$A90,'MASTER por modelo'!$U$8:$U$474)</f>
        <v>16774</v>
      </c>
      <c r="F90" s="38">
        <f>SUMIF('MASTER por modelo'!$C$8:$C$474,$A90,'MASTER por modelo'!$Y$8:$Y$474)</f>
        <v>3149</v>
      </c>
      <c r="G90" s="38">
        <f>SUMIF('MASTER por modelo'!$C$8:$C$474,$A90,'MASTER por modelo'!$AB$8:$AB$474)</f>
        <v>13915</v>
      </c>
      <c r="H90" s="38">
        <f>SUMIF('MASTER por modelo'!$C$8:$C$474,$A90,'MASTER por modelo'!$AC$8:$AC$474)</f>
        <v>11113</v>
      </c>
      <c r="I90" s="38">
        <f>SUMIF('MASTER por modelo'!$C$8:$C$474,$A90,'MASTER por modelo'!$AD$8:$AD$474)</f>
        <v>3032</v>
      </c>
      <c r="J90" s="38">
        <f>SUMIF('MASTER por modelo'!$C$8:$C$474,$A90,'MASTER por modelo'!$AL$8:$AL$474)</f>
        <v>2799</v>
      </c>
      <c r="K90" s="80">
        <f t="shared" si="8"/>
        <v>0.62049134561697372</v>
      </c>
      <c r="L90" s="80">
        <f t="shared" si="9"/>
        <v>0.16686538690831049</v>
      </c>
      <c r="M90" s="80">
        <f t="shared" si="10"/>
        <v>0.7897822445561139</v>
      </c>
      <c r="N90" s="81">
        <f>SUMIF('MASTER por modelo'!$C$8:$C$474,$A90,'MASTER por modelo'!$AA$8:$AA$474)</f>
        <v>0.15006311218528154</v>
      </c>
      <c r="O90" s="80">
        <f>IFERROR(D90/'MASTER por modelo'!$G$6,0)</f>
        <v>9.9259317944586246E-3</v>
      </c>
    </row>
    <row r="91" spans="1:15" x14ac:dyDescent="0.25">
      <c r="A91" s="43" t="s">
        <v>363</v>
      </c>
      <c r="B91" s="34">
        <f>COUNTIF('MASTER por modelo'!$C$8:$C$474,$A91)</f>
        <v>16</v>
      </c>
      <c r="C91" s="38">
        <f>SUMIF('MASTER por modelo'!$C$8:$C$474,$A91,'MASTER por modelo'!$M$8:$M$474)</f>
        <v>11543</v>
      </c>
      <c r="D91" s="79">
        <f>SUMIF('MASTER por modelo'!$C$8:$C$474,$A91,'MASTER por modelo'!$G$8:$G$474)</f>
        <v>25.253599999999999</v>
      </c>
      <c r="E91" s="38">
        <f>SUMIF('MASTER por modelo'!$C$8:$C$474,$A91,'MASTER por modelo'!$U$8:$U$474)</f>
        <v>12294</v>
      </c>
      <c r="F91" s="38">
        <f>SUMIF('MASTER por modelo'!$C$8:$C$474,$A91,'MASTER por modelo'!$Y$8:$Y$474)</f>
        <v>687</v>
      </c>
      <c r="G91" s="38">
        <f>SUMIF('MASTER por modelo'!$C$8:$C$474,$A91,'MASTER por modelo'!$AB$8:$AB$474)</f>
        <v>10382</v>
      </c>
      <c r="H91" s="38">
        <f>SUMIF('MASTER por modelo'!$C$8:$C$474,$A91,'MASTER por modelo'!$AC$8:$AC$474)</f>
        <v>7621</v>
      </c>
      <c r="I91" s="38">
        <f>SUMIF('MASTER por modelo'!$C$8:$C$474,$A91,'MASTER por modelo'!$AD$8:$AD$474)</f>
        <v>2544</v>
      </c>
      <c r="J91" s="38">
        <f>SUMIF('MASTER por modelo'!$C$8:$C$474,$A91,'MASTER por modelo'!$AL$8:$AL$474)</f>
        <v>1869</v>
      </c>
      <c r="K91" s="80">
        <f t="shared" si="8"/>
        <v>0.66022697738889369</v>
      </c>
      <c r="L91" s="80">
        <f t="shared" si="9"/>
        <v>0.15202537823328452</v>
      </c>
      <c r="M91" s="80">
        <f t="shared" si="10"/>
        <v>0.88062028935285452</v>
      </c>
      <c r="N91" s="81">
        <f>SUMIF('MASTER por modelo'!$C$8:$C$474,$A91,'MASTER por modelo'!$AA$8:$AA$474)</f>
        <v>5.5072536772113635E-2</v>
      </c>
      <c r="O91" s="80">
        <f>IFERROR(D91/'MASTER por modelo'!$G$6,0)</f>
        <v>9.2797834726988139E-3</v>
      </c>
    </row>
    <row r="92" spans="1:15" x14ac:dyDescent="0.25">
      <c r="A92" s="43" t="s">
        <v>289</v>
      </c>
      <c r="B92" s="34">
        <f>COUNTIF('MASTER por modelo'!$C$8:$C$474,$A92)</f>
        <v>12</v>
      </c>
      <c r="C92" s="38">
        <f>SUMIF('MASTER por modelo'!$C$8:$C$474,$A92,'MASTER por modelo'!$M$8:$M$474)</f>
        <v>10927</v>
      </c>
      <c r="D92" s="79">
        <f>SUMIF('MASTER por modelo'!$C$8:$C$474,$A92,'MASTER por modelo'!$G$8:$G$474)</f>
        <v>22.622000000000003</v>
      </c>
      <c r="E92" s="38">
        <f>SUMIF('MASTER por modelo'!$C$8:$C$474,$A92,'MASTER por modelo'!$U$8:$U$474)</f>
        <v>10332</v>
      </c>
      <c r="F92" s="38">
        <f>SUMIF('MASTER por modelo'!$C$8:$C$474,$A92,'MASTER por modelo'!$Y$8:$Y$474)</f>
        <v>1408</v>
      </c>
      <c r="G92" s="38">
        <f>SUMIF('MASTER por modelo'!$C$8:$C$474,$A92,'MASTER por modelo'!$AB$8:$AB$474)</f>
        <v>8834</v>
      </c>
      <c r="H92" s="38">
        <f>SUMIF('MASTER por modelo'!$C$8:$C$474,$A92,'MASTER por modelo'!$AC$8:$AC$474)</f>
        <v>6308</v>
      </c>
      <c r="I92" s="38">
        <f>SUMIF('MASTER por modelo'!$C$8:$C$474,$A92,'MASTER por modelo'!$AD$8:$AD$474)</f>
        <v>2515</v>
      </c>
      <c r="J92" s="38">
        <f>SUMIF('MASTER por modelo'!$C$8:$C$474,$A92,'MASTER por modelo'!$AL$8:$AL$474)</f>
        <v>1469</v>
      </c>
      <c r="K92" s="80">
        <f t="shared" si="8"/>
        <v>0.57728562276928708</v>
      </c>
      <c r="L92" s="80">
        <f t="shared" si="9"/>
        <v>0.14217963608207509</v>
      </c>
      <c r="M92" s="80">
        <f t="shared" si="10"/>
        <v>0.80744943717397277</v>
      </c>
      <c r="N92" s="81">
        <f>SUMIF('MASTER por modelo'!$C$8:$C$474,$A92,'MASTER por modelo'!$AA$8:$AA$474)</f>
        <v>0.12203383573922712</v>
      </c>
      <c r="O92" s="80">
        <f>IFERROR(D92/'MASTER por modelo'!$G$6,0)</f>
        <v>8.3127657727766584E-3</v>
      </c>
    </row>
    <row r="93" spans="1:15" x14ac:dyDescent="0.25">
      <c r="A93" s="43" t="s">
        <v>161</v>
      </c>
      <c r="B93" s="34">
        <f>COUNTIF('MASTER por modelo'!$C$8:$C$474,$A93)</f>
        <v>3</v>
      </c>
      <c r="C93" s="38">
        <f>SUMIF('MASTER por modelo'!$C$8:$C$474,$A93,'MASTER por modelo'!$M$8:$M$474)</f>
        <v>2974</v>
      </c>
      <c r="D93" s="79">
        <f>SUMIF('MASTER por modelo'!$C$8:$C$474,$A93,'MASTER por modelo'!$G$8:$G$474)</f>
        <v>16.794</v>
      </c>
      <c r="E93" s="38">
        <f>SUMIF('MASTER por modelo'!$C$8:$C$474,$A93,'MASTER por modelo'!$U$8:$U$474)</f>
        <v>2974</v>
      </c>
      <c r="F93" s="38">
        <f>SUMIF('MASTER por modelo'!$C$8:$C$474,$A93,'MASTER por modelo'!$Y$8:$Y$474)</f>
        <v>819</v>
      </c>
      <c r="G93" s="38">
        <f>SUMIF('MASTER por modelo'!$C$8:$C$474,$A93,'MASTER por modelo'!$AB$8:$AB$474)</f>
        <v>2186</v>
      </c>
      <c r="H93" s="38">
        <f>SUMIF('MASTER por modelo'!$C$8:$C$474,$A93,'MASTER por modelo'!$AC$8:$AC$474)</f>
        <v>1649</v>
      </c>
      <c r="I93" s="38">
        <f>SUMIF('MASTER por modelo'!$C$8:$C$474,$A93,'MASTER por modelo'!$AD$8:$AD$474)</f>
        <v>511</v>
      </c>
      <c r="J93" s="38">
        <f>SUMIF('MASTER por modelo'!$C$8:$C$474,$A93,'MASTER por modelo'!$AL$8:$AL$474)</f>
        <v>788</v>
      </c>
      <c r="K93" s="80">
        <f t="shared" si="8"/>
        <v>0.55447209145931409</v>
      </c>
      <c r="L93" s="80">
        <f t="shared" si="9"/>
        <v>0.26496301277740419</v>
      </c>
      <c r="M93" s="80">
        <f t="shared" si="10"/>
        <v>0.72629455279085409</v>
      </c>
      <c r="N93" s="81">
        <f>SUMIF('MASTER por modelo'!$C$8:$C$474,$A93,'MASTER por modelo'!$AA$8:$AA$474)</f>
        <v>0.15321428571428572</v>
      </c>
      <c r="O93" s="80">
        <f>IFERROR(D93/'MASTER por modelo'!$G$6,0)</f>
        <v>6.1711868264526203E-3</v>
      </c>
    </row>
    <row r="94" spans="1:15" x14ac:dyDescent="0.25">
      <c r="A94" s="43" t="s">
        <v>106</v>
      </c>
      <c r="B94" s="34">
        <f>COUNTIF('MASTER por modelo'!$C$8:$C$474,$A94)</f>
        <v>1</v>
      </c>
      <c r="C94" s="38">
        <f>SUMIF('MASTER por modelo'!$C$8:$C$474,$A94,'MASTER por modelo'!$M$8:$M$474)</f>
        <v>1206</v>
      </c>
      <c r="D94" s="79">
        <f>SUMIF('MASTER por modelo'!$C$8:$C$474,$A94,'MASTER por modelo'!$G$8:$G$474)</f>
        <v>14.638</v>
      </c>
      <c r="E94" s="38">
        <f>SUMIF('MASTER por modelo'!$C$8:$C$474,$A94,'MASTER por modelo'!$U$8:$U$474)</f>
        <v>1226</v>
      </c>
      <c r="F94" s="38">
        <f>SUMIF('MASTER por modelo'!$C$8:$C$474,$A94,'MASTER por modelo'!$Y$8:$Y$474)</f>
        <v>10</v>
      </c>
      <c r="G94" s="38">
        <f>SUMIF('MASTER por modelo'!$C$8:$C$474,$A94,'MASTER por modelo'!$AB$8:$AB$474)</f>
        <v>990</v>
      </c>
      <c r="H94" s="38">
        <f>SUMIF('MASTER por modelo'!$C$8:$C$474,$A94,'MASTER por modelo'!$AC$8:$AC$474)</f>
        <v>878</v>
      </c>
      <c r="I94" s="38">
        <f>SUMIF('MASTER por modelo'!$C$8:$C$474,$A94,'MASTER por modelo'!$AD$8:$AD$474)</f>
        <v>97</v>
      </c>
      <c r="J94" s="38">
        <f>SUMIF('MASTER por modelo'!$C$8:$C$474,$A94,'MASTER por modelo'!$AL$8:$AL$474)</f>
        <v>209</v>
      </c>
      <c r="K94" s="80">
        <f t="shared" si="8"/>
        <v>0.72802653399668327</v>
      </c>
      <c r="L94" s="80">
        <f t="shared" si="9"/>
        <v>0.17047308319738988</v>
      </c>
      <c r="M94" s="80">
        <f t="shared" si="10"/>
        <v>0.80845771144278611</v>
      </c>
      <c r="N94" s="81">
        <f>SUMIF('MASTER por modelo'!$C$8:$C$474,$A94,'MASTER por modelo'!$AA$8:$AA$474)</f>
        <v>4.3348732527837006E-3</v>
      </c>
      <c r="O94" s="80">
        <f>IFERROR(D94/'MASTER por modelo'!$G$6,0)</f>
        <v>5.3789349032757807E-3</v>
      </c>
    </row>
    <row r="95" spans="1:15" x14ac:dyDescent="0.25">
      <c r="A95" s="43" t="s">
        <v>347</v>
      </c>
      <c r="B95" s="34">
        <f>COUNTIF('MASTER por modelo'!$C$8:$C$474,$A95)</f>
        <v>8</v>
      </c>
      <c r="C95" s="38">
        <f>SUMIF('MASTER por modelo'!$C$8:$C$474,$A95,'MASTER por modelo'!$M$8:$M$474)</f>
        <v>7569</v>
      </c>
      <c r="D95" s="79">
        <f>SUMIF('MASTER por modelo'!$C$8:$C$474,$A95,'MASTER por modelo'!$G$8:$G$474)</f>
        <v>14.555999999999999</v>
      </c>
      <c r="E95" s="38">
        <f>SUMIF('MASTER por modelo'!$C$8:$C$474,$A95,'MASTER por modelo'!$U$8:$U$474)</f>
        <v>7571</v>
      </c>
      <c r="F95" s="38">
        <f>SUMIF('MASTER por modelo'!$C$8:$C$474,$A95,'MASTER por modelo'!$Y$8:$Y$474)</f>
        <v>18</v>
      </c>
      <c r="G95" s="38">
        <f>SUMIF('MASTER por modelo'!$C$8:$C$474,$A95,'MASTER por modelo'!$AB$8:$AB$474)</f>
        <v>4316</v>
      </c>
      <c r="H95" s="38">
        <f>SUMIF('MASTER por modelo'!$C$8:$C$474,$A95,'MASTER por modelo'!$AC$8:$AC$474)</f>
        <v>2917</v>
      </c>
      <c r="I95" s="38">
        <f>SUMIF('MASTER por modelo'!$C$8:$C$474,$A95,'MASTER por modelo'!$AD$8:$AD$474)</f>
        <v>1272</v>
      </c>
      <c r="J95" s="38">
        <f>SUMIF('MASTER por modelo'!$C$8:$C$474,$A95,'MASTER por modelo'!$AL$8:$AL$474)</f>
        <v>3252</v>
      </c>
      <c r="K95" s="80">
        <f t="shared" si="8"/>
        <v>0.38538776588717133</v>
      </c>
      <c r="L95" s="80">
        <f t="shared" si="9"/>
        <v>0.42953374719323734</v>
      </c>
      <c r="M95" s="80">
        <f t="shared" si="10"/>
        <v>0.55344166996961286</v>
      </c>
      <c r="N95" s="81">
        <f>SUMIF('MASTER por modelo'!$C$8:$C$474,$A95,'MASTER por modelo'!$AA$8:$AA$474)</f>
        <v>1.1785289375404813E-3</v>
      </c>
      <c r="O95" s="80">
        <f>IFERROR(D95/'MASTER por modelo'!$G$6,0)</f>
        <v>5.3488028728024498E-3</v>
      </c>
    </row>
    <row r="96" spans="1:15" x14ac:dyDescent="0.25">
      <c r="A96" s="43" t="s">
        <v>115</v>
      </c>
      <c r="B96" s="34">
        <f>COUNTIF('MASTER por modelo'!$C$8:$C$474,$A96)</f>
        <v>1</v>
      </c>
      <c r="C96" s="38">
        <f>SUMIF('MASTER por modelo'!$C$8:$C$474,$A96,'MASTER por modelo'!$M$8:$M$474)</f>
        <v>1114</v>
      </c>
      <c r="D96" s="79">
        <f>SUMIF('MASTER por modelo'!$C$8:$C$474,$A96,'MASTER por modelo'!$G$8:$G$474)</f>
        <v>13.523999999999999</v>
      </c>
      <c r="E96" s="38">
        <f>SUMIF('MASTER por modelo'!$C$8:$C$474,$A96,'MASTER por modelo'!$U$8:$U$474)</f>
        <v>1110</v>
      </c>
      <c r="F96" s="38">
        <f>SUMIF('MASTER por modelo'!$C$8:$C$474,$A96,'MASTER por modelo'!$Y$8:$Y$474)</f>
        <v>14</v>
      </c>
      <c r="G96" s="38">
        <f>SUMIF('MASTER por modelo'!$C$8:$C$474,$A96,'MASTER por modelo'!$AB$8:$AB$474)</f>
        <v>335</v>
      </c>
      <c r="H96" s="38">
        <f>SUMIF('MASTER por modelo'!$C$8:$C$474,$A96,'MASTER por modelo'!$AC$8:$AC$474)</f>
        <v>296</v>
      </c>
      <c r="I96" s="38">
        <f>SUMIF('MASTER por modelo'!$C$8:$C$474,$A96,'MASTER por modelo'!$AD$8:$AD$474)</f>
        <v>69</v>
      </c>
      <c r="J96" s="38">
        <f>SUMIF('MASTER por modelo'!$C$8:$C$474,$A96,'MASTER por modelo'!$AL$8:$AL$474)</f>
        <v>772</v>
      </c>
      <c r="K96" s="80">
        <f t="shared" si="8"/>
        <v>0.26570915619389585</v>
      </c>
      <c r="L96" s="80">
        <f t="shared" si="9"/>
        <v>0.6954954954954955</v>
      </c>
      <c r="M96" s="80">
        <f t="shared" si="10"/>
        <v>0.32764811490125673</v>
      </c>
      <c r="N96" s="81">
        <f>SUMIF('MASTER por modelo'!$C$8:$C$474,$A96,'MASTER por modelo'!$AA$8:$AA$474)</f>
        <v>6.0700179533213642E-3</v>
      </c>
      <c r="O96" s="80">
        <f>IFERROR(D96/'MASTER por modelo'!$G$6,0)</f>
        <v>4.9695802453819955E-3</v>
      </c>
    </row>
    <row r="97" spans="1:15" x14ac:dyDescent="0.25">
      <c r="A97" s="43" t="s">
        <v>178</v>
      </c>
      <c r="B97" s="34">
        <f>COUNTIF('MASTER por modelo'!$C$8:$C$474,$A97)</f>
        <v>2</v>
      </c>
      <c r="C97" s="38">
        <f>SUMIF('MASTER por modelo'!$C$8:$C$474,$A97,'MASTER por modelo'!$M$8:$M$474)</f>
        <v>1204</v>
      </c>
      <c r="D97" s="79">
        <f>SUMIF('MASTER por modelo'!$C$8:$C$474,$A97,'MASTER por modelo'!$G$8:$G$474)</f>
        <v>13.346</v>
      </c>
      <c r="E97" s="38">
        <f>SUMIF('MASTER por modelo'!$C$8:$C$474,$A97,'MASTER por modelo'!$U$8:$U$474)</f>
        <v>1204</v>
      </c>
      <c r="F97" s="38">
        <f>SUMIF('MASTER por modelo'!$C$8:$C$474,$A97,'MASTER por modelo'!$Y$8:$Y$474)</f>
        <v>4</v>
      </c>
      <c r="G97" s="38">
        <f>SUMIF('MASTER por modelo'!$C$8:$C$474,$A97,'MASTER por modelo'!$AB$8:$AB$474)</f>
        <v>911</v>
      </c>
      <c r="H97" s="38">
        <f>SUMIF('MASTER por modelo'!$C$8:$C$474,$A97,'MASTER por modelo'!$AC$8:$AC$474)</f>
        <v>785</v>
      </c>
      <c r="I97" s="38">
        <f>SUMIF('MASTER por modelo'!$C$8:$C$474,$A97,'MASTER por modelo'!$AD$8:$AD$474)</f>
        <v>111</v>
      </c>
      <c r="J97" s="38">
        <f>SUMIF('MASTER por modelo'!$C$8:$C$474,$A97,'MASTER por modelo'!$AL$8:$AL$474)</f>
        <v>290</v>
      </c>
      <c r="K97" s="80">
        <f t="shared" si="8"/>
        <v>0.65199335548172754</v>
      </c>
      <c r="L97" s="80">
        <f t="shared" si="9"/>
        <v>0.24086378737541528</v>
      </c>
      <c r="M97" s="80">
        <f t="shared" si="10"/>
        <v>0.7441860465116279</v>
      </c>
      <c r="N97" s="81">
        <f>SUMIF('MASTER por modelo'!$C$8:$C$474,$A97,'MASTER por modelo'!$AA$8:$AA$474)</f>
        <v>1.5310868533459897E-3</v>
      </c>
      <c r="O97" s="80">
        <f>IFERROR(D97/'MASTER por modelo'!$G$6,0)</f>
        <v>4.9041716914276926E-3</v>
      </c>
    </row>
    <row r="98" spans="1:15" x14ac:dyDescent="0.25">
      <c r="A98" s="43" t="s">
        <v>427</v>
      </c>
      <c r="B98" s="34">
        <f>COUNTIF('MASTER por modelo'!$C$8:$C$474,$A98)</f>
        <v>12</v>
      </c>
      <c r="C98" s="38">
        <f>SUMIF('MASTER por modelo'!$C$8:$C$474,$A98,'MASTER por modelo'!$M$8:$M$474)</f>
        <v>5047</v>
      </c>
      <c r="D98" s="79">
        <f>SUMIF('MASTER por modelo'!$C$8:$C$474,$A98,'MASTER por modelo'!$G$8:$G$474)</f>
        <v>9.6189999999999998</v>
      </c>
      <c r="E98" s="38">
        <f>SUMIF('MASTER por modelo'!$C$8:$C$474,$A98,'MASTER por modelo'!$U$8:$U$474)</f>
        <v>5081</v>
      </c>
      <c r="F98" s="38">
        <f>SUMIF('MASTER por modelo'!$C$8:$C$474,$A98,'MASTER por modelo'!$Y$8:$Y$474)</f>
        <v>1</v>
      </c>
      <c r="G98" s="38">
        <f>SUMIF('MASTER por modelo'!$C$8:$C$474,$A98,'MASTER por modelo'!$AB$8:$AB$474)</f>
        <v>3323</v>
      </c>
      <c r="H98" s="38">
        <f>SUMIF('MASTER por modelo'!$C$8:$C$474,$A98,'MASTER por modelo'!$AC$8:$AC$474)</f>
        <v>2897</v>
      </c>
      <c r="I98" s="38">
        <f>SUMIF('MASTER por modelo'!$C$8:$C$474,$A98,'MASTER por modelo'!$AD$8:$AD$474)</f>
        <v>359</v>
      </c>
      <c r="J98" s="38">
        <f>SUMIF('MASTER por modelo'!$C$8:$C$474,$A98,'MASTER por modelo'!$AL$8:$AL$474)</f>
        <v>1749</v>
      </c>
      <c r="K98" s="80">
        <f t="shared" si="8"/>
        <v>0.57400435902516345</v>
      </c>
      <c r="L98" s="80">
        <f t="shared" si="9"/>
        <v>0.34422357803581971</v>
      </c>
      <c r="M98" s="80">
        <f t="shared" si="10"/>
        <v>0.64513572419258969</v>
      </c>
      <c r="N98" s="81">
        <f>SUMIF('MASTER por modelo'!$C$8:$C$474,$A98,'MASTER por modelo'!$AA$8:$AA$474)</f>
        <v>8.1809730399752103E-5</v>
      </c>
      <c r="O98" s="80">
        <f>IFERROR(D98/'MASTER por modelo'!$G$6,0)</f>
        <v>3.5346341600361888E-3</v>
      </c>
    </row>
    <row r="99" spans="1:15" x14ac:dyDescent="0.25">
      <c r="A99" s="43" t="s">
        <v>183</v>
      </c>
      <c r="B99" s="34">
        <f>COUNTIF('MASTER por modelo'!$C$8:$C$474,$A99)</f>
        <v>1</v>
      </c>
      <c r="C99" s="38">
        <f>SUMIF('MASTER por modelo'!$C$8:$C$474,$A99,'MASTER por modelo'!$M$8:$M$474)</f>
        <v>400</v>
      </c>
      <c r="D99" s="79">
        <f>SUMIF('MASTER por modelo'!$C$8:$C$474,$A99,'MASTER por modelo'!$G$8:$G$474)</f>
        <v>6.7039999999999997</v>
      </c>
      <c r="E99" s="38">
        <f>SUMIF('MASTER por modelo'!$C$8:$C$474,$A99,'MASTER por modelo'!$U$8:$U$474)</f>
        <v>400</v>
      </c>
      <c r="F99" s="38">
        <f>SUMIF('MASTER por modelo'!$C$8:$C$474,$A99,'MASTER por modelo'!$Y$8:$Y$474)</f>
        <v>0</v>
      </c>
      <c r="G99" s="38">
        <f>SUMIF('MASTER por modelo'!$C$8:$C$474,$A99,'MASTER por modelo'!$AB$8:$AB$474)</f>
        <v>164</v>
      </c>
      <c r="H99" s="38">
        <f>SUMIF('MASTER por modelo'!$C$8:$C$474,$A99,'MASTER por modelo'!$AC$8:$AC$474)</f>
        <v>95</v>
      </c>
      <c r="I99" s="38">
        <f>SUMIF('MASTER por modelo'!$C$8:$C$474,$A99,'MASTER por modelo'!$AD$8:$AD$474)</f>
        <v>65</v>
      </c>
      <c r="J99" s="38">
        <f>SUMIF('MASTER por modelo'!$C$8:$C$474,$A99,'MASTER por modelo'!$AL$8:$AL$474)</f>
        <v>236</v>
      </c>
      <c r="K99" s="80">
        <f t="shared" si="8"/>
        <v>0.23749999999999999</v>
      </c>
      <c r="L99" s="80">
        <f t="shared" si="9"/>
        <v>0.59</v>
      </c>
      <c r="M99" s="80">
        <f t="shared" si="10"/>
        <v>0.4</v>
      </c>
      <c r="N99" s="81">
        <f>SUMIF('MASTER por modelo'!$C$8:$C$474,$A99,'MASTER por modelo'!$AA$8:$AA$474)</f>
        <v>0</v>
      </c>
      <c r="O99" s="80">
        <f>IFERROR(D99/'MASTER por modelo'!$G$6,0)</f>
        <v>2.4634772230879101E-3</v>
      </c>
    </row>
    <row r="100" spans="1:15" x14ac:dyDescent="0.25">
      <c r="A100" s="43" t="s">
        <v>445</v>
      </c>
      <c r="B100" s="34">
        <f>COUNTIF('MASTER por modelo'!$C$8:$C$474,$A100)</f>
        <v>6</v>
      </c>
      <c r="C100" s="38">
        <f>SUMIF('MASTER por modelo'!$C$8:$C$474,$A100,'MASTER por modelo'!$M$8:$M$474)</f>
        <v>4131</v>
      </c>
      <c r="D100" s="79">
        <f>SUMIF('MASTER por modelo'!$C$8:$C$474,$A100,'MASTER por modelo'!$G$8:$G$474)</f>
        <v>6.4219999999999997</v>
      </c>
      <c r="E100" s="38">
        <f>SUMIF('MASTER por modelo'!$C$8:$C$474,$A100,'MASTER por modelo'!$U$8:$U$474)</f>
        <v>4131</v>
      </c>
      <c r="F100" s="38">
        <f>SUMIF('MASTER por modelo'!$C$8:$C$474,$A100,'MASTER por modelo'!$Y$8:$Y$474)</f>
        <v>0</v>
      </c>
      <c r="G100" s="38">
        <f>SUMIF('MASTER por modelo'!$C$8:$C$474,$A100,'MASTER por modelo'!$AB$8:$AB$474)</f>
        <v>3125</v>
      </c>
      <c r="H100" s="38">
        <f>SUMIF('MASTER por modelo'!$C$8:$C$474,$A100,'MASTER por modelo'!$AC$8:$AC$474)</f>
        <v>2374</v>
      </c>
      <c r="I100" s="38">
        <f>SUMIF('MASTER por modelo'!$C$8:$C$474,$A100,'MASTER por modelo'!$AD$8:$AD$474)</f>
        <v>722</v>
      </c>
      <c r="J100" s="38">
        <f>SUMIF('MASTER por modelo'!$C$8:$C$474,$A100,'MASTER por modelo'!$AL$8:$AL$474)</f>
        <v>999</v>
      </c>
      <c r="K100" s="80">
        <f t="shared" si="8"/>
        <v>0.57467925441781653</v>
      </c>
      <c r="L100" s="80">
        <f t="shared" si="9"/>
        <v>0.24183006535947713</v>
      </c>
      <c r="M100" s="80">
        <f t="shared" si="10"/>
        <v>0.74945533769063177</v>
      </c>
      <c r="N100" s="81">
        <f>SUMIF('MASTER por modelo'!$C$8:$C$474,$A100,'MASTER por modelo'!$AA$8:$AA$474)</f>
        <v>0</v>
      </c>
      <c r="O100" s="80">
        <f>IFERROR(D100/'MASTER por modelo'!$G$6,0)</f>
        <v>2.3598524353625537E-3</v>
      </c>
    </row>
    <row r="101" spans="1:15" x14ac:dyDescent="0.25">
      <c r="A101" s="43" t="s">
        <v>220</v>
      </c>
      <c r="B101" s="34">
        <f>COUNTIF('MASTER por modelo'!$C$8:$C$474,$A101)</f>
        <v>2</v>
      </c>
      <c r="C101" s="38">
        <f>SUMIF('MASTER por modelo'!$C$8:$C$474,$A101,'MASTER por modelo'!$M$8:$M$474)</f>
        <v>2196</v>
      </c>
      <c r="D101" s="79">
        <f>SUMIF('MASTER por modelo'!$C$8:$C$474,$A101,'MASTER por modelo'!$G$8:$G$474)</f>
        <v>5.0999999999999996</v>
      </c>
      <c r="E101" s="38">
        <f>SUMIF('MASTER por modelo'!$C$8:$C$474,$A101,'MASTER por modelo'!$U$8:$U$474)</f>
        <v>2198</v>
      </c>
      <c r="F101" s="38">
        <f>SUMIF('MASTER por modelo'!$C$8:$C$474,$A101,'MASTER por modelo'!$Y$8:$Y$474)</f>
        <v>0</v>
      </c>
      <c r="G101" s="38">
        <f>SUMIF('MASTER por modelo'!$C$8:$C$474,$A101,'MASTER por modelo'!$AB$8:$AB$474)</f>
        <v>1856</v>
      </c>
      <c r="H101" s="38">
        <f>SUMIF('MASTER por modelo'!$C$8:$C$474,$A101,'MASTER por modelo'!$AC$8:$AC$474)</f>
        <v>1173</v>
      </c>
      <c r="I101" s="38">
        <f>SUMIF('MASTER por modelo'!$C$8:$C$474,$A101,'MASTER por modelo'!$AD$8:$AD$474)</f>
        <v>665</v>
      </c>
      <c r="J101" s="38">
        <f>SUMIF('MASTER por modelo'!$C$8:$C$474,$A101,'MASTER por modelo'!$AL$8:$AL$474)</f>
        <v>338</v>
      </c>
      <c r="K101" s="80">
        <f t="shared" si="8"/>
        <v>0.53415300546448086</v>
      </c>
      <c r="L101" s="80">
        <f t="shared" si="9"/>
        <v>0.1537761601455869</v>
      </c>
      <c r="M101" s="80">
        <f t="shared" si="10"/>
        <v>0.83697632058287796</v>
      </c>
      <c r="N101" s="81">
        <f>SUMIF('MASTER por modelo'!$C$8:$C$474,$A101,'MASTER por modelo'!$AA$8:$AA$474)</f>
        <v>0</v>
      </c>
      <c r="O101" s="80">
        <f>IFERROR(D101/'MASTER por modelo'!$G$6,0)</f>
        <v>1.8740653099266621E-3</v>
      </c>
    </row>
    <row r="102" spans="1:15" x14ac:dyDescent="0.25">
      <c r="A102" s="43" t="s">
        <v>503</v>
      </c>
      <c r="B102" s="34">
        <f>COUNTIF('MASTER por modelo'!$C$8:$C$474,$A102)</f>
        <v>6</v>
      </c>
      <c r="C102" s="38">
        <f>SUMIF('MASTER por modelo'!$C$8:$C$474,$A102,'MASTER por modelo'!$M$8:$M$474)</f>
        <v>2340</v>
      </c>
      <c r="D102" s="79">
        <f>SUMIF('MASTER por modelo'!$C$8:$C$474,$A102,'MASTER por modelo'!$G$8:$G$474)</f>
        <v>4.8</v>
      </c>
      <c r="E102" s="38">
        <f>SUMIF('MASTER por modelo'!$C$8:$C$474,$A102,'MASTER por modelo'!$U$8:$U$474)</f>
        <v>2356</v>
      </c>
      <c r="F102" s="38">
        <f>SUMIF('MASTER por modelo'!$C$8:$C$474,$A102,'MASTER por modelo'!$Y$8:$Y$474)</f>
        <v>0</v>
      </c>
      <c r="G102" s="38">
        <f>SUMIF('MASTER por modelo'!$C$8:$C$474,$A102,'MASTER por modelo'!$AB$8:$AB$474)</f>
        <v>1509</v>
      </c>
      <c r="H102" s="38">
        <f>SUMIF('MASTER por modelo'!$C$8:$C$474,$A102,'MASTER por modelo'!$AC$8:$AC$474)</f>
        <v>1393</v>
      </c>
      <c r="I102" s="38">
        <f>SUMIF('MASTER por modelo'!$C$8:$C$474,$A102,'MASTER por modelo'!$AD$8:$AD$474)</f>
        <v>72</v>
      </c>
      <c r="J102" s="38">
        <f>SUMIF('MASTER por modelo'!$C$8:$C$474,$A102,'MASTER por modelo'!$AL$8:$AL$474)</f>
        <v>846</v>
      </c>
      <c r="K102" s="80">
        <f t="shared" si="8"/>
        <v>0.59529914529914529</v>
      </c>
      <c r="L102" s="80">
        <f t="shared" si="9"/>
        <v>0.35908319185059423</v>
      </c>
      <c r="M102" s="80">
        <f t="shared" si="10"/>
        <v>0.62606837606837606</v>
      </c>
      <c r="N102" s="81">
        <f>SUMIF('MASTER por modelo'!$C$8:$C$474,$A102,'MASTER por modelo'!$AA$8:$AA$474)</f>
        <v>0</v>
      </c>
      <c r="O102" s="80">
        <f>IFERROR(D102/'MASTER por modelo'!$G$6,0)</f>
        <v>1.7638261740486232E-3</v>
      </c>
    </row>
    <row r="103" spans="1:15" x14ac:dyDescent="0.25">
      <c r="A103" s="43" t="s">
        <v>330</v>
      </c>
      <c r="B103" s="34">
        <f>COUNTIF('MASTER por modelo'!$C$8:$C$474,$A103)</f>
        <v>2</v>
      </c>
      <c r="C103" s="38">
        <f>SUMIF('MASTER por modelo'!$C$8:$C$474,$A103,'MASTER por modelo'!$M$8:$M$474)</f>
        <v>2582</v>
      </c>
      <c r="D103" s="79">
        <f>SUMIF('MASTER por modelo'!$C$8:$C$474,$A103,'MASTER por modelo'!$G$8:$G$474)</f>
        <v>4.32</v>
      </c>
      <c r="E103" s="38">
        <f>SUMIF('MASTER por modelo'!$C$8:$C$474,$A103,'MASTER por modelo'!$U$8:$U$474)</f>
        <v>2583</v>
      </c>
      <c r="F103" s="38">
        <f>SUMIF('MASTER por modelo'!$C$8:$C$474,$A103,'MASTER por modelo'!$Y$8:$Y$474)</f>
        <v>0</v>
      </c>
      <c r="G103" s="38">
        <f>SUMIF('MASTER por modelo'!$C$8:$C$474,$A103,'MASTER por modelo'!$AB$8:$AB$474)</f>
        <v>1939</v>
      </c>
      <c r="H103" s="38">
        <f>SUMIF('MASTER por modelo'!$C$8:$C$474,$A103,'MASTER por modelo'!$AC$8:$AC$474)</f>
        <v>866</v>
      </c>
      <c r="I103" s="38">
        <f>SUMIF('MASTER por modelo'!$C$8:$C$474,$A103,'MASTER por modelo'!$AD$8:$AD$474)</f>
        <v>1052</v>
      </c>
      <c r="J103" s="38">
        <f>SUMIF('MASTER por modelo'!$C$8:$C$474,$A103,'MASTER por modelo'!$AL$8:$AL$474)</f>
        <v>643</v>
      </c>
      <c r="K103" s="80">
        <f t="shared" si="8"/>
        <v>0.33539891556932611</v>
      </c>
      <c r="L103" s="80">
        <f t="shared" si="9"/>
        <v>0.2489353464963221</v>
      </c>
      <c r="M103" s="80">
        <f t="shared" si="10"/>
        <v>0.74283501161890009</v>
      </c>
      <c r="N103" s="81">
        <f>SUMIF('MASTER por modelo'!$C$8:$C$474,$A103,'MASTER por modelo'!$AA$8:$AA$474)</f>
        <v>0</v>
      </c>
      <c r="O103" s="80">
        <f>IFERROR(D103/'MASTER por modelo'!$G$6,0)</f>
        <v>1.587443556643761E-3</v>
      </c>
    </row>
    <row r="104" spans="1:15" x14ac:dyDescent="0.25">
      <c r="A104" s="43" t="s">
        <v>283</v>
      </c>
      <c r="B104" s="34">
        <f>COUNTIF('MASTER por modelo'!$C$8:$C$474,$A104)</f>
        <v>1</v>
      </c>
      <c r="C104" s="38">
        <f>SUMIF('MASTER por modelo'!$C$8:$C$474,$A104,'MASTER por modelo'!$M$8:$M$474)</f>
        <v>400</v>
      </c>
      <c r="D104" s="79">
        <f>SUMIF('MASTER por modelo'!$C$8:$C$474,$A104,'MASTER por modelo'!$G$8:$G$474)</f>
        <v>3.4430000000000001</v>
      </c>
      <c r="E104" s="38">
        <f>SUMIF('MASTER por modelo'!$C$8:$C$474,$A104,'MASTER por modelo'!$U$8:$U$474)</f>
        <v>400</v>
      </c>
      <c r="F104" s="38">
        <f>SUMIF('MASTER por modelo'!$C$8:$C$474,$A104,'MASTER por modelo'!$Y$8:$Y$474)</f>
        <v>0</v>
      </c>
      <c r="G104" s="38">
        <f>SUMIF('MASTER por modelo'!$C$8:$C$474,$A104,'MASTER por modelo'!$AB$8:$AB$474)</f>
        <v>136</v>
      </c>
      <c r="H104" s="38">
        <f>SUMIF('MASTER por modelo'!$C$8:$C$474,$A104,'MASTER por modelo'!$AC$8:$AC$474)</f>
        <v>94</v>
      </c>
      <c r="I104" s="38">
        <f>SUMIF('MASTER por modelo'!$C$8:$C$474,$A104,'MASTER por modelo'!$AD$8:$AD$474)</f>
        <v>40</v>
      </c>
      <c r="J104" s="38">
        <f>SUMIF('MASTER por modelo'!$C$8:$C$474,$A104,'MASTER por modelo'!$AL$8:$AL$474)</f>
        <v>264</v>
      </c>
      <c r="K104" s="80">
        <f t="shared" si="8"/>
        <v>0.23499999999999999</v>
      </c>
      <c r="L104" s="80">
        <f t="shared" si="9"/>
        <v>0.66</v>
      </c>
      <c r="M104" s="80">
        <f t="shared" si="10"/>
        <v>0.33500000000000002</v>
      </c>
      <c r="N104" s="81">
        <f>SUMIF('MASTER por modelo'!$C$8:$C$474,$A104,'MASTER por modelo'!$AA$8:$AA$474)</f>
        <v>0</v>
      </c>
      <c r="O104" s="80">
        <f>IFERROR(D104/'MASTER por modelo'!$G$6,0)</f>
        <v>1.2651778160936271E-3</v>
      </c>
    </row>
    <row r="105" spans="1:15" x14ac:dyDescent="0.25">
      <c r="A105" s="43" t="s">
        <v>286</v>
      </c>
      <c r="B105" s="34">
        <f>COUNTIF('MASTER por modelo'!$C$8:$C$474,$A105)</f>
        <v>1</v>
      </c>
      <c r="C105" s="38">
        <f>SUMIF('MASTER por modelo'!$C$8:$C$474,$A105,'MASTER por modelo'!$M$8:$M$474)</f>
        <v>634</v>
      </c>
      <c r="D105" s="79">
        <f>SUMIF('MASTER por modelo'!$C$8:$C$474,$A105,'MASTER por modelo'!$G$8:$G$474)</f>
        <v>3.36</v>
      </c>
      <c r="E105" s="38">
        <f>SUMIF('MASTER por modelo'!$C$8:$C$474,$A105,'MASTER por modelo'!$U$8:$U$474)</f>
        <v>0</v>
      </c>
      <c r="F105" s="38">
        <f>SUMIF('MASTER por modelo'!$C$8:$C$474,$A105,'MASTER por modelo'!$Y$8:$Y$474)</f>
        <v>634</v>
      </c>
      <c r="G105" s="38">
        <f>SUMIF('MASTER por modelo'!$C$8:$C$474,$A105,'MASTER por modelo'!$AB$8:$AB$474)</f>
        <v>0</v>
      </c>
      <c r="H105" s="38">
        <f>SUMIF('MASTER por modelo'!$C$8:$C$474,$A105,'MASTER por modelo'!$AC$8:$AC$474)</f>
        <v>0</v>
      </c>
      <c r="I105" s="38">
        <f>SUMIF('MASTER por modelo'!$C$8:$C$474,$A105,'MASTER por modelo'!$AD$8:$AD$474)</f>
        <v>0</v>
      </c>
      <c r="J105" s="38">
        <f>SUMIF('MASTER por modelo'!$C$8:$C$474,$A105,'MASTER por modelo'!$AL$8:$AL$474)</f>
        <v>0</v>
      </c>
      <c r="K105" s="80">
        <f t="shared" si="8"/>
        <v>0</v>
      </c>
      <c r="L105" s="80">
        <f t="shared" si="9"/>
        <v>0</v>
      </c>
      <c r="M105" s="80">
        <f t="shared" si="10"/>
        <v>0</v>
      </c>
      <c r="N105" s="81">
        <f>SUMIF('MASTER por modelo'!$C$8:$C$474,$A105,'MASTER por modelo'!$AA$8:$AA$474)</f>
        <v>0.12</v>
      </c>
      <c r="O105" s="80">
        <f>IFERROR(D105/'MASTER por modelo'!$G$6,0)</f>
        <v>1.2346783218340361E-3</v>
      </c>
    </row>
    <row r="106" spans="1:15" x14ac:dyDescent="0.25">
      <c r="A106" s="43" t="s">
        <v>480</v>
      </c>
      <c r="B106" s="34">
        <f>COUNTIF('MASTER por modelo'!$C$8:$C$474,$A106)</f>
        <v>2</v>
      </c>
      <c r="C106" s="38">
        <f>SUMIF('MASTER por modelo'!$C$8:$C$474,$A106,'MASTER por modelo'!$M$8:$M$474)</f>
        <v>1368</v>
      </c>
      <c r="D106" s="79">
        <f>SUMIF('MASTER por modelo'!$C$8:$C$474,$A106,'MASTER por modelo'!$G$8:$G$474)</f>
        <v>2.1800000000000002</v>
      </c>
      <c r="E106" s="38">
        <f>SUMIF('MASTER por modelo'!$C$8:$C$474,$A106,'MASTER por modelo'!$U$8:$U$474)</f>
        <v>1368</v>
      </c>
      <c r="F106" s="38">
        <f>SUMIF('MASTER por modelo'!$C$8:$C$474,$A106,'MASTER por modelo'!$Y$8:$Y$474)</f>
        <v>0</v>
      </c>
      <c r="G106" s="38">
        <f>SUMIF('MASTER por modelo'!$C$8:$C$474,$A106,'MASTER por modelo'!$AB$8:$AB$474)</f>
        <v>1091</v>
      </c>
      <c r="H106" s="38">
        <f>SUMIF('MASTER por modelo'!$C$8:$C$474,$A106,'MASTER por modelo'!$AC$8:$AC$474)</f>
        <v>783</v>
      </c>
      <c r="I106" s="38">
        <f>SUMIF('MASTER por modelo'!$C$8:$C$474,$A106,'MASTER por modelo'!$AD$8:$AD$474)</f>
        <v>262</v>
      </c>
      <c r="J106" s="38">
        <f>SUMIF('MASTER por modelo'!$C$8:$C$474,$A106,'MASTER por modelo'!$AL$8:$AL$474)</f>
        <v>277</v>
      </c>
      <c r="K106" s="80">
        <f t="shared" si="8"/>
        <v>0.57236842105263153</v>
      </c>
      <c r="L106" s="80">
        <f t="shared" si="9"/>
        <v>0.20248538011695907</v>
      </c>
      <c r="M106" s="80">
        <f t="shared" si="10"/>
        <v>0.76388888888888884</v>
      </c>
      <c r="N106" s="81">
        <f>SUMIF('MASTER por modelo'!$C$8:$C$474,$A106,'MASTER por modelo'!$AA$8:$AA$474)</f>
        <v>0</v>
      </c>
      <c r="O106" s="80">
        <f>IFERROR(D106/'MASTER por modelo'!$G$6,0)</f>
        <v>8.0107105404708309E-4</v>
      </c>
    </row>
    <row r="107" spans="1:15" x14ac:dyDescent="0.25">
      <c r="A107" s="43" t="s">
        <v>541</v>
      </c>
      <c r="B107" s="34">
        <f>COUNTIF('MASTER por modelo'!$C$8:$C$474,$A107)</f>
        <v>3</v>
      </c>
      <c r="C107" s="38">
        <f>SUMIF('MASTER por modelo'!$C$8:$C$474,$A107,'MASTER por modelo'!$M$8:$M$474)</f>
        <v>2600</v>
      </c>
      <c r="D107" s="79">
        <f>SUMIF('MASTER por modelo'!$C$8:$C$474,$A107,'MASTER por modelo'!$G$8:$G$474)</f>
        <v>2.177</v>
      </c>
      <c r="E107" s="38">
        <f>SUMIF('MASTER por modelo'!$C$8:$C$474,$A107,'MASTER por modelo'!$U$8:$U$474)</f>
        <v>1600</v>
      </c>
      <c r="F107" s="38">
        <f>SUMIF('MASTER por modelo'!$C$8:$C$474,$A107,'MASTER por modelo'!$Y$8:$Y$474)</f>
        <v>0</v>
      </c>
      <c r="G107" s="38">
        <f>SUMIF('MASTER por modelo'!$C$8:$C$474,$A107,'MASTER por modelo'!$AB$8:$AB$474)</f>
        <v>933</v>
      </c>
      <c r="H107" s="38">
        <f>SUMIF('MASTER por modelo'!$C$8:$C$474,$A107,'MASTER por modelo'!$AC$8:$AC$474)</f>
        <v>916</v>
      </c>
      <c r="I107" s="38">
        <f>SUMIF('MASTER por modelo'!$C$8:$C$474,$A107,'MASTER por modelo'!$AD$8:$AD$474)</f>
        <v>348</v>
      </c>
      <c r="J107" s="38">
        <f>SUMIF('MASTER por modelo'!$C$8:$C$474,$A107,'MASTER por modelo'!$AL$8:$AL$474)</f>
        <v>664</v>
      </c>
      <c r="K107" s="80">
        <f t="shared" si="8"/>
        <v>0.35230769230769232</v>
      </c>
      <c r="L107" s="80">
        <f t="shared" si="9"/>
        <v>0.41499999999999998</v>
      </c>
      <c r="M107" s="80">
        <f t="shared" si="10"/>
        <v>0.48615384615384616</v>
      </c>
      <c r="N107" s="81">
        <f>SUMIF('MASTER por modelo'!$C$8:$C$474,$A107,'MASTER por modelo'!$AA$8:$AA$474)</f>
        <v>0</v>
      </c>
      <c r="O107" s="80">
        <f>IFERROR(D107/'MASTER por modelo'!$G$6,0)</f>
        <v>7.9996866268830264E-4</v>
      </c>
    </row>
    <row r="108" spans="1:15" x14ac:dyDescent="0.25">
      <c r="A108" s="43" t="s">
        <v>443</v>
      </c>
      <c r="B108" s="34">
        <f>COUNTIF('MASTER por modelo'!$C$8:$C$474,$A108)</f>
        <v>2</v>
      </c>
      <c r="C108" s="38">
        <f>SUMIF('MASTER por modelo'!$C$8:$C$474,$A108,'MASTER por modelo'!$M$8:$M$474)</f>
        <v>1621</v>
      </c>
      <c r="D108" s="79">
        <f>SUMIF('MASTER por modelo'!$C$8:$C$474,$A108,'MASTER por modelo'!$G$8:$G$474)</f>
        <v>2.12</v>
      </c>
      <c r="E108" s="38">
        <f>SUMIF('MASTER por modelo'!$C$8:$C$474,$A108,'MASTER por modelo'!$U$8:$U$474)</f>
        <v>0</v>
      </c>
      <c r="F108" s="38">
        <f>SUMIF('MASTER por modelo'!$C$8:$C$474,$A108,'MASTER por modelo'!$Y$8:$Y$474)</f>
        <v>1621</v>
      </c>
      <c r="G108" s="38">
        <f>SUMIF('MASTER por modelo'!$C$8:$C$474,$A108,'MASTER por modelo'!$AB$8:$AB$474)</f>
        <v>0</v>
      </c>
      <c r="H108" s="38">
        <f>SUMIF('MASTER por modelo'!$C$8:$C$474,$A108,'MASTER por modelo'!$AC$8:$AC$474)</f>
        <v>0</v>
      </c>
      <c r="I108" s="38">
        <f>SUMIF('MASTER por modelo'!$C$8:$C$474,$A108,'MASTER por modelo'!$AD$8:$AD$474)</f>
        <v>0</v>
      </c>
      <c r="J108" s="38">
        <f>SUMIF('MASTER por modelo'!$C$8:$C$474,$A108,'MASTER por modelo'!$AL$8:$AL$474)</f>
        <v>0</v>
      </c>
      <c r="K108" s="80">
        <f t="shared" si="8"/>
        <v>0</v>
      </c>
      <c r="L108" s="80">
        <f t="shared" si="9"/>
        <v>0</v>
      </c>
      <c r="M108" s="80">
        <f t="shared" si="10"/>
        <v>0</v>
      </c>
      <c r="N108" s="81">
        <f>SUMIF('MASTER por modelo'!$C$8:$C$474,$A108,'MASTER por modelo'!$AA$8:$AA$474)</f>
        <v>7.5714285714285706E-2</v>
      </c>
      <c r="O108" s="80">
        <f>IFERROR(D108/'MASTER por modelo'!$G$6,0)</f>
        <v>7.7902322687147527E-4</v>
      </c>
    </row>
    <row r="109" spans="1:15" x14ac:dyDescent="0.25">
      <c r="A109" s="43" t="s">
        <v>395</v>
      </c>
      <c r="B109" s="34">
        <f>COUNTIF('MASTER por modelo'!$C$8:$C$474,$A109)</f>
        <v>1</v>
      </c>
      <c r="C109" s="38">
        <f>SUMIF('MASTER por modelo'!$C$8:$C$474,$A109,'MASTER por modelo'!$M$8:$M$474)</f>
        <v>702</v>
      </c>
      <c r="D109" s="79">
        <f>SUMIF('MASTER por modelo'!$C$8:$C$474,$A109,'MASTER por modelo'!$G$8:$G$474)</f>
        <v>1.92</v>
      </c>
      <c r="E109" s="38">
        <f>SUMIF('MASTER por modelo'!$C$8:$C$474,$A109,'MASTER por modelo'!$U$8:$U$474)</f>
        <v>703</v>
      </c>
      <c r="F109" s="38">
        <f>SUMIF('MASTER por modelo'!$C$8:$C$474,$A109,'MASTER por modelo'!$Y$8:$Y$474)</f>
        <v>0</v>
      </c>
      <c r="G109" s="38">
        <f>SUMIF('MASTER por modelo'!$C$8:$C$474,$A109,'MASTER por modelo'!$AB$8:$AB$474)</f>
        <v>422</v>
      </c>
      <c r="H109" s="38">
        <f>SUMIF('MASTER por modelo'!$C$8:$C$474,$A109,'MASTER por modelo'!$AC$8:$AC$474)</f>
        <v>296</v>
      </c>
      <c r="I109" s="38">
        <f>SUMIF('MASTER por modelo'!$C$8:$C$474,$A109,'MASTER por modelo'!$AD$8:$AD$474)</f>
        <v>105</v>
      </c>
      <c r="J109" s="38">
        <f>SUMIF('MASTER por modelo'!$C$8:$C$474,$A109,'MASTER por modelo'!$AL$8:$AL$474)</f>
        <v>281</v>
      </c>
      <c r="K109" s="80">
        <f t="shared" si="8"/>
        <v>0.42165242165242167</v>
      </c>
      <c r="L109" s="80">
        <f t="shared" si="9"/>
        <v>0.39971550497866287</v>
      </c>
      <c r="M109" s="80">
        <f t="shared" si="10"/>
        <v>0.57122507122507127</v>
      </c>
      <c r="N109" s="81">
        <f>SUMIF('MASTER por modelo'!$C$8:$C$474,$A109,'MASTER por modelo'!$AA$8:$AA$474)</f>
        <v>0</v>
      </c>
      <c r="O109" s="80">
        <f>IFERROR(D109/'MASTER por modelo'!$G$6,0)</f>
        <v>7.0553046961944923E-4</v>
      </c>
    </row>
    <row r="110" spans="1:15" x14ac:dyDescent="0.25">
      <c r="A110" s="43" t="s">
        <v>529</v>
      </c>
      <c r="B110" s="34">
        <f>COUNTIF('MASTER por modelo'!$C$8:$C$474,$A110)</f>
        <v>2</v>
      </c>
      <c r="C110" s="38">
        <f>SUMIF('MASTER por modelo'!$C$8:$C$474,$A110,'MASTER por modelo'!$M$8:$M$474)</f>
        <v>1450</v>
      </c>
      <c r="D110" s="79">
        <f>SUMIF('MASTER por modelo'!$C$8:$C$474,$A110,'MASTER por modelo'!$G$8:$G$474)</f>
        <v>1.1099999999999999</v>
      </c>
      <c r="E110" s="38">
        <f>SUMIF('MASTER por modelo'!$C$8:$C$474,$A110,'MASTER por modelo'!$U$8:$U$474)</f>
        <v>1450</v>
      </c>
      <c r="F110" s="38">
        <f>SUMIF('MASTER por modelo'!$C$8:$C$474,$A110,'MASTER por modelo'!$Y$8:$Y$474)</f>
        <v>0</v>
      </c>
      <c r="G110" s="38">
        <f>SUMIF('MASTER por modelo'!$C$8:$C$474,$A110,'MASTER por modelo'!$AB$8:$AB$474)</f>
        <v>12</v>
      </c>
      <c r="H110" s="38">
        <f>SUMIF('MASTER por modelo'!$C$8:$C$474,$A110,'MASTER por modelo'!$AC$8:$AC$474)</f>
        <v>282</v>
      </c>
      <c r="I110" s="38">
        <f>SUMIF('MASTER por modelo'!$C$8:$C$474,$A110,'MASTER por modelo'!$AD$8:$AD$474)</f>
        <v>0</v>
      </c>
      <c r="J110" s="38">
        <f>SUMIF('MASTER por modelo'!$C$8:$C$474,$A110,'MASTER por modelo'!$AL$8:$AL$474)</f>
        <v>1438</v>
      </c>
      <c r="K110" s="80">
        <f t="shared" si="8"/>
        <v>0.19448275862068964</v>
      </c>
      <c r="L110" s="80">
        <f t="shared" si="9"/>
        <v>0.99172413793103453</v>
      </c>
      <c r="M110" s="80">
        <f t="shared" si="10"/>
        <v>0.19448275862068964</v>
      </c>
      <c r="N110" s="81">
        <f>SUMIF('MASTER por modelo'!$C$8:$C$474,$A110,'MASTER por modelo'!$AA$8:$AA$474)</f>
        <v>0</v>
      </c>
      <c r="O110" s="80">
        <f>IFERROR(D110/'MASTER por modelo'!$G$6,0)</f>
        <v>4.0788480274874406E-4</v>
      </c>
    </row>
    <row r="111" spans="1:15" x14ac:dyDescent="0.25">
      <c r="A111" s="43" t="s">
        <v>525</v>
      </c>
      <c r="B111" s="34">
        <f>COUNTIF('MASTER por modelo'!$C$8:$C$474,$A111)</f>
        <v>1</v>
      </c>
      <c r="C111" s="38">
        <f>SUMIF('MASTER por modelo'!$C$8:$C$474,$A111,'MASTER por modelo'!$M$8:$M$474)</f>
        <v>534</v>
      </c>
      <c r="D111" s="79">
        <f>SUMIF('MASTER por modelo'!$C$8:$C$474,$A111,'MASTER por modelo'!$G$8:$G$474)</f>
        <v>0.84</v>
      </c>
      <c r="E111" s="38">
        <f>SUMIF('MASTER por modelo'!$C$8:$C$474,$A111,'MASTER por modelo'!$U$8:$U$474)</f>
        <v>534</v>
      </c>
      <c r="F111" s="38">
        <f>SUMIF('MASTER por modelo'!$C$8:$C$474,$A111,'MASTER por modelo'!$Y$8:$Y$474)</f>
        <v>0</v>
      </c>
      <c r="G111" s="38">
        <f>SUMIF('MASTER por modelo'!$C$8:$C$474,$A111,'MASTER por modelo'!$AB$8:$AB$474)</f>
        <v>419</v>
      </c>
      <c r="H111" s="38">
        <f>SUMIF('MASTER por modelo'!$C$8:$C$474,$A111,'MASTER por modelo'!$AC$8:$AC$474)</f>
        <v>304</v>
      </c>
      <c r="I111" s="38">
        <f>SUMIF('MASTER por modelo'!$C$8:$C$474,$A111,'MASTER por modelo'!$AD$8:$AD$474)</f>
        <v>98</v>
      </c>
      <c r="J111" s="38">
        <f>SUMIF('MASTER por modelo'!$C$8:$C$474,$A111,'MASTER por modelo'!$AL$8:$AL$474)</f>
        <v>115</v>
      </c>
      <c r="K111" s="80">
        <f t="shared" si="8"/>
        <v>0.56928838951310856</v>
      </c>
      <c r="L111" s="80">
        <f t="shared" si="9"/>
        <v>0.21535580524344569</v>
      </c>
      <c r="M111" s="80">
        <f t="shared" si="10"/>
        <v>0.7528089887640449</v>
      </c>
      <c r="N111" s="81">
        <f>SUMIF('MASTER por modelo'!$C$8:$C$474,$A111,'MASTER por modelo'!$AA$8:$AA$474)</f>
        <v>0</v>
      </c>
      <c r="O111" s="80">
        <f>IFERROR(D111/'MASTER por modelo'!$G$6,0)</f>
        <v>3.0866958045850903E-4</v>
      </c>
    </row>
    <row r="112" spans="1:15" x14ac:dyDescent="0.25">
      <c r="A112" s="43" t="s">
        <v>554</v>
      </c>
      <c r="B112" s="34">
        <f>COUNTIF('MASTER por modelo'!$C$8:$C$474,$A112)</f>
        <v>1</v>
      </c>
      <c r="C112" s="38">
        <f>SUMIF('MASTER por modelo'!$C$8:$C$474,$A112,'MASTER por modelo'!$M$8:$M$474)</f>
        <v>443</v>
      </c>
      <c r="D112" s="79">
        <f>SUMIF('MASTER por modelo'!$C$8:$C$474,$A112,'MASTER por modelo'!$G$8:$G$474)</f>
        <v>0.64800000000000002</v>
      </c>
      <c r="E112" s="38">
        <f>SUMIF('MASTER por modelo'!$C$8:$C$474,$A112,'MASTER por modelo'!$U$8:$U$474)</f>
        <v>443</v>
      </c>
      <c r="F112" s="38">
        <f>SUMIF('MASTER por modelo'!$C$8:$C$474,$A112,'MASTER por modelo'!$Y$8:$Y$474)</f>
        <v>0</v>
      </c>
      <c r="G112" s="38">
        <f>SUMIF('MASTER por modelo'!$C$8:$C$474,$A112,'MASTER por modelo'!$AB$8:$AB$474)</f>
        <v>441</v>
      </c>
      <c r="H112" s="38">
        <f>SUMIF('MASTER por modelo'!$C$8:$C$474,$A112,'MASTER por modelo'!$AC$8:$AC$474)</f>
        <v>380</v>
      </c>
      <c r="I112" s="38">
        <f>SUMIF('MASTER por modelo'!$C$8:$C$474,$A112,'MASTER por modelo'!$AD$8:$AD$474)</f>
        <v>47</v>
      </c>
      <c r="J112" s="38">
        <f>SUMIF('MASTER por modelo'!$C$8:$C$474,$A112,'MASTER por modelo'!$AL$8:$AL$474)</f>
        <v>0</v>
      </c>
      <c r="K112" s="80">
        <f t="shared" si="8"/>
        <v>0.85778781038374718</v>
      </c>
      <c r="L112" s="80">
        <f t="shared" si="9"/>
        <v>0</v>
      </c>
      <c r="M112" s="80">
        <f t="shared" si="10"/>
        <v>0.963882618510158</v>
      </c>
      <c r="N112" s="81">
        <f>SUMIF('MASTER por modelo'!$C$8:$C$474,$A112,'MASTER por modelo'!$AA$8:$AA$474)</f>
        <v>0</v>
      </c>
      <c r="O112" s="80">
        <f>IFERROR(D112/'MASTER por modelo'!$G$6,0)</f>
        <v>2.3811653349656414E-4</v>
      </c>
    </row>
    <row r="113" spans="1:15" x14ac:dyDescent="0.25">
      <c r="A113" s="43" t="s">
        <v>567</v>
      </c>
      <c r="B113" s="34">
        <f>COUNTIF('MASTER por modelo'!$C$8:$C$474,$A113)</f>
        <v>1</v>
      </c>
      <c r="C113" s="38">
        <f>SUMIF('MASTER por modelo'!$C$8:$C$474,$A113,'MASTER por modelo'!$M$8:$M$474)</f>
        <v>650</v>
      </c>
      <c r="D113" s="79">
        <f>SUMIF('MASTER por modelo'!$C$8:$C$474,$A113,'MASTER por modelo'!$G$8:$G$474)</f>
        <v>0.41199999999999998</v>
      </c>
      <c r="E113" s="38">
        <f>SUMIF('MASTER por modelo'!$C$8:$C$474,$A113,'MASTER por modelo'!$U$8:$U$474)</f>
        <v>650</v>
      </c>
      <c r="F113" s="38">
        <f>SUMIF('MASTER por modelo'!$C$8:$C$474,$A113,'MASTER por modelo'!$Y$8:$Y$474)</f>
        <v>0</v>
      </c>
      <c r="G113" s="38">
        <f>SUMIF('MASTER por modelo'!$C$8:$C$474,$A113,'MASTER por modelo'!$AB$8:$AB$474)</f>
        <v>274</v>
      </c>
      <c r="H113" s="38">
        <f>SUMIF('MASTER por modelo'!$C$8:$C$474,$A113,'MASTER por modelo'!$AC$8:$AC$474)</f>
        <v>198</v>
      </c>
      <c r="I113" s="38">
        <f>SUMIF('MASTER por modelo'!$C$8:$C$474,$A113,'MASTER por modelo'!$AD$8:$AD$474)</f>
        <v>68</v>
      </c>
      <c r="J113" s="38">
        <f>SUMIF('MASTER por modelo'!$C$8:$C$474,$A113,'MASTER por modelo'!$AL$8:$AL$474)</f>
        <v>376</v>
      </c>
      <c r="K113" s="80">
        <f t="shared" si="8"/>
        <v>0.30461538461538462</v>
      </c>
      <c r="L113" s="80">
        <f t="shared" si="9"/>
        <v>0.57846153846153847</v>
      </c>
      <c r="M113" s="80">
        <f t="shared" si="10"/>
        <v>0.40923076923076923</v>
      </c>
      <c r="N113" s="81">
        <f>SUMIF('MASTER por modelo'!$C$8:$C$474,$A113,'MASTER por modelo'!$AA$8:$AA$474)</f>
        <v>0</v>
      </c>
      <c r="O113" s="80">
        <f>IFERROR(D113/'MASTER por modelo'!$G$6,0)</f>
        <v>1.5139507993917347E-4</v>
      </c>
    </row>
    <row r="114" spans="1:15" x14ac:dyDescent="0.25">
      <c r="A114" s="88" t="s">
        <v>5</v>
      </c>
      <c r="B114" s="16">
        <f t="shared" ref="B114:J114" si="11">SUM(B75:B113)</f>
        <v>466</v>
      </c>
      <c r="C114" s="17">
        <f t="shared" si="11"/>
        <v>541967</v>
      </c>
      <c r="D114" s="89">
        <f t="shared" si="11"/>
        <v>2715.1566000000012</v>
      </c>
      <c r="E114" s="17">
        <f t="shared" si="11"/>
        <v>524645</v>
      </c>
      <c r="F114" s="17">
        <f t="shared" si="11"/>
        <v>53198</v>
      </c>
      <c r="G114" s="17">
        <f t="shared" si="11"/>
        <v>278739</v>
      </c>
      <c r="H114" s="17">
        <f t="shared" si="11"/>
        <v>191199</v>
      </c>
      <c r="I114" s="17">
        <f t="shared" si="11"/>
        <v>84069</v>
      </c>
      <c r="J114" s="17">
        <f t="shared" si="11"/>
        <v>245432</v>
      </c>
      <c r="K114" s="22">
        <f t="shared" si="8"/>
        <v>0.35278716231800089</v>
      </c>
      <c r="L114" s="22">
        <f t="shared" si="9"/>
        <v>0.46780584966977673</v>
      </c>
      <c r="M114" s="22">
        <f t="shared" si="10"/>
        <v>0.50790546287873617</v>
      </c>
      <c r="N114" s="90">
        <f>SUM(N75:N113)</f>
        <v>11.148463407929176</v>
      </c>
      <c r="O114" s="22">
        <f>SUM(O75:O113)</f>
        <v>0.99772172452518038</v>
      </c>
    </row>
    <row r="116" spans="1:15" x14ac:dyDescent="0.25">
      <c r="A116" s="77" t="s">
        <v>679</v>
      </c>
    </row>
    <row r="117" spans="1:15" ht="30" customHeight="1" x14ac:dyDescent="0.25">
      <c r="A117" s="30" t="s">
        <v>602</v>
      </c>
      <c r="B117" s="30" t="s">
        <v>666</v>
      </c>
      <c r="C117" s="30" t="s">
        <v>669</v>
      </c>
      <c r="D117" s="30" t="s">
        <v>670</v>
      </c>
      <c r="E117" s="30" t="s">
        <v>674</v>
      </c>
      <c r="F117" s="30" t="s">
        <v>671</v>
      </c>
      <c r="G117" s="30" t="s">
        <v>672</v>
      </c>
      <c r="H117" s="30" t="s">
        <v>680</v>
      </c>
    </row>
    <row r="118" spans="1:15" x14ac:dyDescent="0.25">
      <c r="A118" s="43" t="s">
        <v>681</v>
      </c>
      <c r="B118" s="44">
        <v>859</v>
      </c>
      <c r="C118" s="44">
        <v>10760</v>
      </c>
      <c r="D118" s="44">
        <v>94513</v>
      </c>
      <c r="E118" s="44">
        <v>33616</v>
      </c>
      <c r="F118" s="44">
        <v>7317</v>
      </c>
      <c r="G118" s="44">
        <v>2665</v>
      </c>
      <c r="H118" s="44" t="s">
        <v>682</v>
      </c>
    </row>
    <row r="119" spans="1:15" x14ac:dyDescent="0.25">
      <c r="A119" s="15" t="s">
        <v>683</v>
      </c>
      <c r="B119" s="17">
        <f>COUNTA('MASTER por modelo'!$D$8:$D$474)+B118</f>
        <v>1326</v>
      </c>
      <c r="C119" s="17">
        <f>'MASTER por modelo'!$U$6+C118</f>
        <v>535405</v>
      </c>
      <c r="D119" s="17">
        <f>'MASTER por modelo'!$Y$6+D118</f>
        <v>147711</v>
      </c>
      <c r="E119" s="17">
        <f>'MASTER por modelo'!$AL$6+E118</f>
        <v>279048</v>
      </c>
      <c r="F119" s="17">
        <f>'MASTER por modelo'!$AB$6+F118</f>
        <v>286056</v>
      </c>
      <c r="G119" s="17">
        <f>'MASTER por modelo'!$AC$6+G118</f>
        <v>193864</v>
      </c>
      <c r="H119" s="17"/>
    </row>
    <row r="122" spans="1:15" x14ac:dyDescent="0.25">
      <c r="A122" s="77" t="s">
        <v>684</v>
      </c>
    </row>
    <row r="123" spans="1:15" x14ac:dyDescent="0.25">
      <c r="A123" s="91" t="s">
        <v>685</v>
      </c>
    </row>
    <row r="124" spans="1:15" x14ac:dyDescent="0.25">
      <c r="A124" s="91" t="s">
        <v>686</v>
      </c>
    </row>
    <row r="125" spans="1:15" x14ac:dyDescent="0.25">
      <c r="A125" s="91" t="s">
        <v>687</v>
      </c>
    </row>
    <row r="126" spans="1:15" x14ac:dyDescent="0.25">
      <c r="A126" s="91" t="s">
        <v>688</v>
      </c>
    </row>
    <row r="127" spans="1:15" x14ac:dyDescent="0.25">
      <c r="A127" s="91" t="s">
        <v>689</v>
      </c>
    </row>
    <row r="128" spans="1:15" x14ac:dyDescent="0.25">
      <c r="A128" s="91" t="s">
        <v>690</v>
      </c>
    </row>
    <row r="129" spans="1:1" x14ac:dyDescent="0.25">
      <c r="A129" s="91" t="s">
        <v>691</v>
      </c>
    </row>
    <row r="130" spans="1:1" x14ac:dyDescent="0.25">
      <c r="A130" s="91" t="s">
        <v>692</v>
      </c>
    </row>
  </sheetData>
  <conditionalFormatting sqref="B19">
    <cfRule type="cellIs" dxfId="1" priority="2" operator="lessThan">
      <formula>0.2</formula>
    </cfRule>
    <cfRule type="cellIs" dxfId="0" priority="3" operator="greaterThanOrEqual">
      <formula>0.2</formula>
    </cfRule>
  </conditionalFormatting>
  <conditionalFormatting sqref="B23">
    <cfRule type="colorScale" priority="4">
      <colorScale>
        <cfvo type="num" val="0"/>
        <cfvo type="num" val="1"/>
        <color rgb="FFF8696B"/>
        <color rgb="FF63BE7B"/>
      </colorScale>
    </cfRule>
  </conditionalFormatting>
  <conditionalFormatting sqref="D38:D70">
    <cfRule type="dataBar" priority="8">
      <dataBar>
        <cfvo type="min"/>
        <cfvo type="max"/>
        <color rgb="FF5B9BD5"/>
      </dataBar>
    </cfRule>
  </conditionalFormatting>
  <conditionalFormatting sqref="D75:D113">
    <cfRule type="dataBar" priority="12">
      <dataBar>
        <cfvo type="min"/>
        <cfvo type="max"/>
        <color rgb="FF5B9BD5"/>
      </dataBar>
    </cfRule>
  </conditionalFormatting>
  <conditionalFormatting sqref="E9:E15">
    <cfRule type="colorScale" priority="1">
      <colorScale>
        <cfvo type="min"/>
        <cfvo type="max"/>
        <color rgb="FFFFFFFF"/>
        <color rgb="FF5B9BD5"/>
      </colorScale>
    </cfRule>
  </conditionalFormatting>
  <conditionalFormatting sqref="K38:K7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5:K1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8:L7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5:L1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:M7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5:M1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92"/>
  <sheetViews>
    <sheetView topLeftCell="G1" workbookViewId="0">
      <pane ySplit="7" topLeftCell="A8" activePane="bottomLeft" state="frozen"/>
      <selection activeCell="L13" sqref="L13"/>
      <selection pane="bottomLeft" activeCell="L13" sqref="L13"/>
    </sheetView>
  </sheetViews>
  <sheetFormatPr baseColWidth="10" defaultColWidth="8.85546875" defaultRowHeight="15" x14ac:dyDescent="0.25"/>
  <cols>
    <col min="1" max="1" width="12" customWidth="1"/>
    <col min="2" max="2" width="31" customWidth="1"/>
    <col min="3" max="3" width="22.28515625" customWidth="1"/>
    <col min="5" max="8" width="11.85546875" customWidth="1"/>
    <col min="9" max="9" width="13" customWidth="1"/>
    <col min="10" max="10" width="12.28515625" customWidth="1"/>
    <col min="11" max="11" width="14" customWidth="1"/>
    <col min="12" max="12" width="10" customWidth="1"/>
    <col min="13" max="13" width="12" customWidth="1"/>
    <col min="14" max="14" width="14" customWidth="1"/>
    <col min="15" max="15" width="10" customWidth="1"/>
    <col min="16" max="17" width="12" customWidth="1"/>
    <col min="18" max="18" width="15.28515625" customWidth="1"/>
    <col min="19" max="19" width="19.5703125" customWidth="1"/>
    <col min="21" max="21" width="17.7109375" customWidth="1"/>
  </cols>
  <sheetData>
    <row r="1" spans="1:22" ht="18.600000000000001" customHeight="1" thickBot="1" x14ac:dyDescent="0.3">
      <c r="A1" s="92" t="s">
        <v>693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 x14ac:dyDescent="0.25">
      <c r="A2" s="94" t="s">
        <v>694</v>
      </c>
      <c r="B2" s="93"/>
      <c r="C2" s="93"/>
      <c r="D2" s="93"/>
      <c r="E2" s="95" t="s">
        <v>695</v>
      </c>
      <c r="F2" s="96" t="s">
        <v>696</v>
      </c>
      <c r="G2" s="96"/>
      <c r="H2" s="96"/>
      <c r="I2" s="96"/>
      <c r="J2" s="96" t="s">
        <v>697</v>
      </c>
      <c r="K2" s="96" t="s">
        <v>698</v>
      </c>
      <c r="L2" s="96" t="s">
        <v>699</v>
      </c>
      <c r="M2" s="97"/>
      <c r="N2" s="93" t="s">
        <v>700</v>
      </c>
      <c r="O2" s="93"/>
      <c r="P2" s="93" t="s">
        <v>701</v>
      </c>
      <c r="Q2" s="93"/>
      <c r="R2" s="93"/>
      <c r="S2" s="93"/>
      <c r="T2" s="93" t="s">
        <v>702</v>
      </c>
      <c r="U2" s="93"/>
      <c r="V2" s="93"/>
    </row>
    <row r="3" spans="1:22" x14ac:dyDescent="0.25">
      <c r="A3" s="94"/>
      <c r="B3" s="93"/>
      <c r="C3" s="93"/>
      <c r="D3" s="93"/>
      <c r="E3" s="98" t="s">
        <v>703</v>
      </c>
      <c r="F3" s="93"/>
      <c r="G3" s="93"/>
      <c r="H3" s="93"/>
      <c r="I3" s="93"/>
      <c r="J3" s="93" t="s">
        <v>704</v>
      </c>
      <c r="K3" s="93"/>
      <c r="L3" s="93" t="s">
        <v>705</v>
      </c>
      <c r="M3" s="99"/>
      <c r="N3" s="93"/>
      <c r="O3" s="93"/>
      <c r="P3" s="93"/>
      <c r="Q3" s="93"/>
      <c r="R3" s="93"/>
      <c r="S3" s="93"/>
      <c r="T3" s="93"/>
      <c r="U3" s="93"/>
      <c r="V3" s="93"/>
    </row>
    <row r="4" spans="1:22" ht="15" customHeight="1" thickBot="1" x14ac:dyDescent="0.3">
      <c r="A4" s="94"/>
      <c r="B4" s="93"/>
      <c r="C4" s="93"/>
      <c r="D4" s="93"/>
      <c r="E4" s="100" t="s">
        <v>706</v>
      </c>
      <c r="F4" s="101"/>
      <c r="G4" s="101"/>
      <c r="H4" s="101"/>
      <c r="I4" s="101"/>
      <c r="J4" s="101"/>
      <c r="K4" s="101"/>
      <c r="L4" s="101"/>
      <c r="M4" s="102"/>
      <c r="N4" s="93" t="s">
        <v>707</v>
      </c>
      <c r="O4" s="93"/>
      <c r="P4" s="93"/>
      <c r="Q4" s="93"/>
      <c r="R4" s="93"/>
      <c r="S4" s="93" t="s">
        <v>708</v>
      </c>
      <c r="T4" s="93"/>
      <c r="U4" s="93"/>
      <c r="V4" s="93"/>
    </row>
    <row r="5" spans="1:22" x14ac:dyDescent="0.25">
      <c r="A5" s="94"/>
      <c r="B5" s="93"/>
      <c r="C5" s="93"/>
      <c r="D5" s="93"/>
      <c r="E5" s="93"/>
      <c r="F5" s="93"/>
      <c r="G5" s="93"/>
      <c r="H5" s="93" t="s">
        <v>709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</row>
    <row r="6" spans="1:22" x14ac:dyDescent="0.25">
      <c r="A6" s="93"/>
      <c r="B6" s="93"/>
      <c r="C6" s="93"/>
      <c r="D6" s="103">
        <f>IFERROR(O6/E6,0)</f>
        <v>139.91250540263553</v>
      </c>
      <c r="E6" s="93">
        <f>SUM(E8:E592)</f>
        <v>2721.3566000000155</v>
      </c>
      <c r="F6" s="104">
        <f>SUM(F8:F592)</f>
        <v>1767.114675324676</v>
      </c>
      <c r="G6" s="104">
        <f>SUM(G8:G592)</f>
        <v>2032</v>
      </c>
      <c r="H6" s="104"/>
      <c r="I6" s="93">
        <f>SUM(I8:I592)</f>
        <v>543206</v>
      </c>
      <c r="J6" s="93"/>
      <c r="K6" s="93"/>
      <c r="L6" s="93"/>
      <c r="M6" s="93">
        <f>SUM(M8:M592)</f>
        <v>28627</v>
      </c>
      <c r="N6" s="93">
        <f>SUM(N8:N592)</f>
        <v>415104.22</v>
      </c>
      <c r="O6" s="105">
        <f>SUM(O8:O592)</f>
        <v>380751.82000000007</v>
      </c>
      <c r="P6" s="93">
        <f>IFERROR(E6/M6,0)</f>
        <v>9.5062584273588407E-2</v>
      </c>
      <c r="Q6" s="106">
        <f>IFERROR(E6/I6,0)</f>
        <v>5.0098058563418212E-3</v>
      </c>
      <c r="R6" s="107">
        <f>Q6*1000</f>
        <v>5.0098058563418215</v>
      </c>
      <c r="S6" s="105">
        <f>IFERROR(O6/I6*1000,0)</f>
        <v>700.9344889415803</v>
      </c>
      <c r="T6" s="93"/>
      <c r="U6" s="93"/>
      <c r="V6" s="14" t="s">
        <v>710</v>
      </c>
    </row>
    <row r="7" spans="1:22" ht="43.15" customHeight="1" x14ac:dyDescent="0.25">
      <c r="A7" s="108" t="s">
        <v>6</v>
      </c>
      <c r="B7" s="108" t="s">
        <v>7</v>
      </c>
      <c r="C7" s="108" t="s">
        <v>8</v>
      </c>
      <c r="D7" s="108" t="s">
        <v>711</v>
      </c>
      <c r="E7" s="108" t="s">
        <v>712</v>
      </c>
      <c r="F7" s="108"/>
      <c r="G7" s="108" t="s">
        <v>713</v>
      </c>
      <c r="H7" s="108"/>
      <c r="I7" s="108" t="s">
        <v>714</v>
      </c>
      <c r="J7" s="108" t="s">
        <v>715</v>
      </c>
      <c r="K7" s="108" t="s">
        <v>716</v>
      </c>
      <c r="L7" s="108" t="s">
        <v>717</v>
      </c>
      <c r="M7" s="108" t="s">
        <v>19</v>
      </c>
      <c r="N7" s="108" t="s">
        <v>718</v>
      </c>
      <c r="O7" s="108" t="s">
        <v>719</v>
      </c>
      <c r="P7" s="108" t="s">
        <v>720</v>
      </c>
      <c r="Q7" s="108" t="s">
        <v>721</v>
      </c>
      <c r="R7" s="108" t="s">
        <v>722</v>
      </c>
      <c r="S7" s="108" t="s">
        <v>723</v>
      </c>
      <c r="T7" s="108" t="s">
        <v>724</v>
      </c>
      <c r="U7" s="108" t="s">
        <v>725</v>
      </c>
      <c r="V7" s="108" t="s">
        <v>726</v>
      </c>
    </row>
    <row r="8" spans="1:22" x14ac:dyDescent="0.25">
      <c r="A8" s="109" t="s">
        <v>63</v>
      </c>
      <c r="B8" s="109" t="s">
        <v>64</v>
      </c>
      <c r="C8" s="109" t="s">
        <v>66</v>
      </c>
      <c r="D8" s="103">
        <f t="shared" ref="D8:D71" si="0">IFERROR((1/R8)*S8,0)</f>
        <v>161.69495818653201</v>
      </c>
      <c r="E8" s="110">
        <v>68.33</v>
      </c>
      <c r="F8" s="110">
        <f t="shared" ref="F8:F71" si="1">E8/1.54</f>
        <v>44.370129870129865</v>
      </c>
      <c r="G8" s="110">
        <f t="shared" ref="G8:G71" si="2">ROUNDUP(F8,0)</f>
        <v>45</v>
      </c>
      <c r="H8" s="110"/>
      <c r="I8" s="111">
        <v>6643</v>
      </c>
      <c r="J8" s="109" t="str">
        <f t="shared" ref="J8:J71" si="3">LEFT(K8,2)</f>
        <v>26</v>
      </c>
      <c r="K8" s="109" t="s">
        <v>67</v>
      </c>
      <c r="L8" s="109" t="s">
        <v>727</v>
      </c>
      <c r="M8" s="111">
        <v>666</v>
      </c>
      <c r="N8" s="110">
        <v>11847.8</v>
      </c>
      <c r="O8" s="105">
        <f t="shared" ref="O8:O71" si="4">N8-(M8*1.2)</f>
        <v>11048.599999999999</v>
      </c>
      <c r="P8" s="112">
        <v>0.1026</v>
      </c>
      <c r="Q8" s="113">
        <v>1.0286E-2</v>
      </c>
      <c r="R8" s="107">
        <f t="shared" ref="R8:R71" si="5">Q8*1000</f>
        <v>10.286</v>
      </c>
      <c r="S8" s="105">
        <f t="shared" ref="S8:S71" si="6">IFERROR((O8/I8)*1000,0)</f>
        <v>1663.1943399066683</v>
      </c>
      <c r="T8" s="114">
        <f>IFERROR(INDEX('MASTER por modelo'!$AQ$8:$AQ$474,MATCH(K8,'MASTER por modelo'!$D$8:$D$474,0)),"")</f>
        <v>0.15489989462592202</v>
      </c>
      <c r="U8" s="115">
        <f>IFERROR(INDEX('MASTER por modelo'!$AC$8:$AC$474,MATCH(K8,'MASTER por modelo'!$D$8:$D$474,0))+INDEX('MASTER por modelo'!$AD$8:$AD$474,MATCH(K8,'MASTER por modelo'!$D$8:$D$474,0)),"")</f>
        <v>1029</v>
      </c>
      <c r="V8" s="93"/>
    </row>
    <row r="9" spans="1:22" x14ac:dyDescent="0.25">
      <c r="A9" s="109" t="s">
        <v>63</v>
      </c>
      <c r="B9" s="109" t="s">
        <v>64</v>
      </c>
      <c r="C9" s="109" t="s">
        <v>57</v>
      </c>
      <c r="D9" s="103">
        <f t="shared" si="0"/>
        <v>133.90700483091788</v>
      </c>
      <c r="E9" s="110">
        <v>64.25</v>
      </c>
      <c r="F9" s="110">
        <f t="shared" si="1"/>
        <v>41.720779220779221</v>
      </c>
      <c r="G9" s="110">
        <f t="shared" si="2"/>
        <v>42</v>
      </c>
      <c r="H9" s="110"/>
      <c r="I9" s="111">
        <v>5820</v>
      </c>
      <c r="J9" s="109" t="str">
        <f t="shared" si="3"/>
        <v>26</v>
      </c>
      <c r="K9" s="109" t="s">
        <v>68</v>
      </c>
      <c r="L9" s="109" t="s">
        <v>727</v>
      </c>
      <c r="M9" s="111">
        <v>583</v>
      </c>
      <c r="N9" s="110">
        <v>9303.5</v>
      </c>
      <c r="O9" s="105">
        <f t="shared" si="4"/>
        <v>8603.9</v>
      </c>
      <c r="P9" s="112">
        <v>0.11020000000000001</v>
      </c>
      <c r="Q9" s="113">
        <v>1.1039999999999999E-2</v>
      </c>
      <c r="R9" s="107">
        <f t="shared" si="5"/>
        <v>11.04</v>
      </c>
      <c r="S9" s="105">
        <f t="shared" si="6"/>
        <v>1478.3333333333333</v>
      </c>
      <c r="T9" s="114">
        <f>IFERROR(INDEX('MASTER por modelo'!$AQ$8:$AQ$474,MATCH(K9,'MASTER por modelo'!$D$8:$D$474,0)),"")</f>
        <v>0</v>
      </c>
      <c r="U9" s="115">
        <f>IFERROR(INDEX('MASTER por modelo'!$AC$8:$AC$474,MATCH(K9,'MASTER por modelo'!$D$8:$D$474,0))+INDEX('MASTER por modelo'!$AD$8:$AD$474,MATCH(K9,'MASTER por modelo'!$D$8:$D$474,0)),"")</f>
        <v>0</v>
      </c>
      <c r="V9" s="93"/>
    </row>
    <row r="10" spans="1:22" x14ac:dyDescent="0.25">
      <c r="A10" s="109" t="s">
        <v>63</v>
      </c>
      <c r="B10" s="109" t="s">
        <v>64</v>
      </c>
      <c r="C10" s="109" t="s">
        <v>57</v>
      </c>
      <c r="D10" s="103">
        <f t="shared" si="0"/>
        <v>110.08322751904448</v>
      </c>
      <c r="E10" s="110">
        <v>47.66</v>
      </c>
      <c r="F10" s="110">
        <f t="shared" si="1"/>
        <v>30.948051948051944</v>
      </c>
      <c r="G10" s="110">
        <f t="shared" si="2"/>
        <v>31</v>
      </c>
      <c r="H10" s="110"/>
      <c r="I10" s="111">
        <v>6556</v>
      </c>
      <c r="J10" s="109" t="str">
        <f t="shared" si="3"/>
        <v>26</v>
      </c>
      <c r="K10" s="109" t="s">
        <v>69</v>
      </c>
      <c r="L10" s="109" t="s">
        <v>727</v>
      </c>
      <c r="M10" s="111">
        <v>439</v>
      </c>
      <c r="N10" s="110">
        <v>5773.6</v>
      </c>
      <c r="O10" s="105">
        <f t="shared" si="4"/>
        <v>5246.8</v>
      </c>
      <c r="P10" s="112">
        <v>0.1086</v>
      </c>
      <c r="Q10" s="113">
        <v>7.2700000000000004E-3</v>
      </c>
      <c r="R10" s="107">
        <f t="shared" si="5"/>
        <v>7.2700000000000005</v>
      </c>
      <c r="S10" s="105">
        <f t="shared" si="6"/>
        <v>800.30506406345341</v>
      </c>
      <c r="T10" s="114">
        <f>IFERROR(INDEX('MASTER por modelo'!$AQ$8:$AQ$474,MATCH(K10,'MASTER por modelo'!$D$8:$D$474,0)),"")</f>
        <v>0.28508236729713238</v>
      </c>
      <c r="U10" s="115">
        <f>IFERROR(INDEX('MASTER por modelo'!$AC$8:$AC$474,MATCH(K10,'MASTER por modelo'!$D$8:$D$474,0))+INDEX('MASTER por modelo'!$AD$8:$AD$474,MATCH(K10,'MASTER por modelo'!$D$8:$D$474,0)),"")</f>
        <v>1869</v>
      </c>
      <c r="V10" s="93"/>
    </row>
    <row r="11" spans="1:22" x14ac:dyDescent="0.25">
      <c r="A11" s="109" t="s">
        <v>63</v>
      </c>
      <c r="B11" s="109" t="s">
        <v>64</v>
      </c>
      <c r="C11" s="109" t="s">
        <v>57</v>
      </c>
      <c r="D11" s="103">
        <f t="shared" si="0"/>
        <v>116.13402128083629</v>
      </c>
      <c r="E11" s="110">
        <v>47.4</v>
      </c>
      <c r="F11" s="110">
        <f t="shared" si="1"/>
        <v>30.779220779220779</v>
      </c>
      <c r="G11" s="110">
        <f t="shared" si="2"/>
        <v>31</v>
      </c>
      <c r="H11" s="110"/>
      <c r="I11" s="111">
        <v>4083</v>
      </c>
      <c r="J11" s="109" t="str">
        <f t="shared" si="3"/>
        <v>26</v>
      </c>
      <c r="K11" s="109" t="s">
        <v>70</v>
      </c>
      <c r="L11" s="109" t="s">
        <v>727</v>
      </c>
      <c r="M11" s="111">
        <v>454</v>
      </c>
      <c r="N11" s="110">
        <v>6049.5</v>
      </c>
      <c r="O11" s="105">
        <f t="shared" si="4"/>
        <v>5504.7</v>
      </c>
      <c r="P11" s="112">
        <v>0.10440000000000001</v>
      </c>
      <c r="Q11" s="113">
        <v>1.1609E-2</v>
      </c>
      <c r="R11" s="107">
        <f t="shared" si="5"/>
        <v>11.609</v>
      </c>
      <c r="S11" s="105">
        <f t="shared" si="6"/>
        <v>1348.1998530492285</v>
      </c>
      <c r="T11" s="114">
        <f>IFERROR(INDEX('MASTER por modelo'!$AQ$8:$AQ$474,MATCH(K11,'MASTER por modelo'!$D$8:$D$474,0)),"")</f>
        <v>0</v>
      </c>
      <c r="U11" s="115">
        <f>IFERROR(INDEX('MASTER por modelo'!$AC$8:$AC$474,MATCH(K11,'MASTER por modelo'!$D$8:$D$474,0))+INDEX('MASTER por modelo'!$AD$8:$AD$474,MATCH(K11,'MASTER por modelo'!$D$8:$D$474,0)),"")</f>
        <v>0</v>
      </c>
      <c r="V11" s="93"/>
    </row>
    <row r="12" spans="1:22" x14ac:dyDescent="0.25">
      <c r="A12" s="109" t="s">
        <v>63</v>
      </c>
      <c r="B12" s="109" t="s">
        <v>64</v>
      </c>
      <c r="C12" s="109" t="s">
        <v>71</v>
      </c>
      <c r="D12" s="103">
        <f t="shared" si="0"/>
        <v>164.66065353163938</v>
      </c>
      <c r="E12" s="110">
        <v>43.5</v>
      </c>
      <c r="F12" s="110">
        <f t="shared" si="1"/>
        <v>28.246753246753247</v>
      </c>
      <c r="G12" s="110">
        <f t="shared" si="2"/>
        <v>29</v>
      </c>
      <c r="H12" s="110"/>
      <c r="I12" s="111">
        <v>3746</v>
      </c>
      <c r="J12" s="109" t="str">
        <f t="shared" si="3"/>
        <v>26</v>
      </c>
      <c r="K12" s="109" t="s">
        <v>72</v>
      </c>
      <c r="L12" s="109" t="s">
        <v>727</v>
      </c>
      <c r="M12" s="111">
        <v>375</v>
      </c>
      <c r="N12" s="110">
        <v>7612.5</v>
      </c>
      <c r="O12" s="105">
        <f t="shared" si="4"/>
        <v>7162.5</v>
      </c>
      <c r="P12" s="112">
        <v>0.11600000000000001</v>
      </c>
      <c r="Q12" s="113">
        <v>1.1612000000000001E-2</v>
      </c>
      <c r="R12" s="107">
        <f t="shared" si="5"/>
        <v>11.612</v>
      </c>
      <c r="S12" s="105">
        <f t="shared" si="6"/>
        <v>1912.0395088093967</v>
      </c>
      <c r="T12" s="114">
        <f>IFERROR(INDEX('MASTER por modelo'!$AQ$8:$AQ$474,MATCH(K12,'MASTER por modelo'!$D$8:$D$474,0)),"")</f>
        <v>0</v>
      </c>
      <c r="U12" s="115">
        <f>IFERROR(INDEX('MASTER por modelo'!$AC$8:$AC$474,MATCH(K12,'MASTER por modelo'!$D$8:$D$474,0))+INDEX('MASTER por modelo'!$AD$8:$AD$474,MATCH(K12,'MASTER por modelo'!$D$8:$D$474,0)),"")</f>
        <v>0</v>
      </c>
      <c r="V12" s="93"/>
    </row>
    <row r="13" spans="1:22" x14ac:dyDescent="0.25">
      <c r="A13" s="109" t="s">
        <v>63</v>
      </c>
      <c r="B13" s="109" t="s">
        <v>64</v>
      </c>
      <c r="C13" s="109" t="s">
        <v>57</v>
      </c>
      <c r="D13" s="103">
        <f t="shared" si="0"/>
        <v>164.7471395001258</v>
      </c>
      <c r="E13" s="110">
        <v>42.28</v>
      </c>
      <c r="F13" s="110">
        <f t="shared" si="1"/>
        <v>27.454545454545453</v>
      </c>
      <c r="G13" s="110">
        <f t="shared" si="2"/>
        <v>28</v>
      </c>
      <c r="H13" s="110"/>
      <c r="I13" s="111">
        <v>4031</v>
      </c>
      <c r="J13" s="109" t="str">
        <f t="shared" si="3"/>
        <v>26</v>
      </c>
      <c r="K13" s="109" t="s">
        <v>74</v>
      </c>
      <c r="L13" s="109" t="s">
        <v>727</v>
      </c>
      <c r="M13" s="111">
        <v>405</v>
      </c>
      <c r="N13" s="110">
        <v>7451.7</v>
      </c>
      <c r="O13" s="105">
        <f t="shared" si="4"/>
        <v>6965.7</v>
      </c>
      <c r="P13" s="112">
        <v>0.10440000000000001</v>
      </c>
      <c r="Q13" s="113">
        <v>1.0489E-2</v>
      </c>
      <c r="R13" s="107">
        <f t="shared" si="5"/>
        <v>10.489000000000001</v>
      </c>
      <c r="S13" s="105">
        <f t="shared" si="6"/>
        <v>1728.0327462168198</v>
      </c>
      <c r="T13" s="114">
        <f>IFERROR(INDEX('MASTER por modelo'!$AQ$8:$AQ$474,MATCH(K13,'MASTER por modelo'!$D$8:$D$474,0)),"")</f>
        <v>0</v>
      </c>
      <c r="U13" s="115">
        <f>IFERROR(INDEX('MASTER por modelo'!$AC$8:$AC$474,MATCH(K13,'MASTER por modelo'!$D$8:$D$474,0))+INDEX('MASTER por modelo'!$AD$8:$AD$474,MATCH(K13,'MASTER por modelo'!$D$8:$D$474,0)),"")</f>
        <v>0</v>
      </c>
      <c r="V13" s="93"/>
    </row>
    <row r="14" spans="1:22" x14ac:dyDescent="0.25">
      <c r="A14" s="109" t="s">
        <v>55</v>
      </c>
      <c r="B14" s="109" t="s">
        <v>56</v>
      </c>
      <c r="C14" s="109" t="s">
        <v>57</v>
      </c>
      <c r="D14" s="103">
        <f t="shared" si="0"/>
        <v>81.119420702754041</v>
      </c>
      <c r="E14" s="110">
        <v>33.695999999999998</v>
      </c>
      <c r="F14" s="110">
        <f t="shared" si="1"/>
        <v>21.880519480519478</v>
      </c>
      <c r="G14" s="110">
        <f t="shared" si="2"/>
        <v>22</v>
      </c>
      <c r="H14" s="110"/>
      <c r="I14" s="111">
        <v>2808</v>
      </c>
      <c r="J14" s="109" t="str">
        <f t="shared" si="3"/>
        <v>26</v>
      </c>
      <c r="K14" s="109" t="s">
        <v>62</v>
      </c>
      <c r="L14" s="109" t="s">
        <v>728</v>
      </c>
      <c r="M14" s="111">
        <v>351</v>
      </c>
      <c r="N14" s="110">
        <v>3154.6</v>
      </c>
      <c r="O14" s="105">
        <f t="shared" si="4"/>
        <v>2733.4</v>
      </c>
      <c r="P14" s="112">
        <v>9.6000000000000002E-2</v>
      </c>
      <c r="Q14" s="113">
        <v>1.2E-2</v>
      </c>
      <c r="R14" s="107">
        <f t="shared" si="5"/>
        <v>12</v>
      </c>
      <c r="S14" s="105">
        <f t="shared" si="6"/>
        <v>973.4330484330485</v>
      </c>
      <c r="T14" s="114">
        <f>IFERROR(INDEX('MASTER por modelo'!$AQ$8:$AQ$474,MATCH(K14,'MASTER por modelo'!$D$8:$D$474,0)),"")</f>
        <v>0.10677344010677343</v>
      </c>
      <c r="U14" s="115">
        <f>IFERROR(INDEX('MASTER por modelo'!$AC$8:$AC$474,MATCH(K14,'MASTER por modelo'!$D$8:$D$474,0))+INDEX('MASTER por modelo'!$AD$8:$AD$474,MATCH(K14,'MASTER por modelo'!$D$8:$D$474,0)),"")</f>
        <v>640</v>
      </c>
      <c r="V14" s="93"/>
    </row>
    <row r="15" spans="1:22" x14ac:dyDescent="0.25">
      <c r="A15" s="109" t="s">
        <v>55</v>
      </c>
      <c r="B15" s="109" t="s">
        <v>56</v>
      </c>
      <c r="C15" s="109" t="s">
        <v>57</v>
      </c>
      <c r="D15" s="103">
        <f t="shared" si="0"/>
        <v>106.44304465384995</v>
      </c>
      <c r="E15" s="110">
        <v>33.543999999999997</v>
      </c>
      <c r="F15" s="110">
        <f t="shared" si="1"/>
        <v>21.781818181818178</v>
      </c>
      <c r="G15" s="110">
        <f t="shared" si="2"/>
        <v>22</v>
      </c>
      <c r="H15" s="110"/>
      <c r="I15" s="111">
        <v>2422</v>
      </c>
      <c r="J15" s="109" t="str">
        <f t="shared" si="3"/>
        <v>26</v>
      </c>
      <c r="K15" s="109" t="s">
        <v>60</v>
      </c>
      <c r="L15" s="109" t="s">
        <v>729</v>
      </c>
      <c r="M15" s="111">
        <v>346</v>
      </c>
      <c r="N15" s="110">
        <v>3985.8</v>
      </c>
      <c r="O15" s="105">
        <f t="shared" si="4"/>
        <v>3570.6000000000004</v>
      </c>
      <c r="P15" s="112">
        <v>9.69E-2</v>
      </c>
      <c r="Q15" s="113">
        <v>1.3849999999999999E-2</v>
      </c>
      <c r="R15" s="107">
        <f t="shared" si="5"/>
        <v>13.85</v>
      </c>
      <c r="S15" s="105">
        <f t="shared" si="6"/>
        <v>1474.2361684558218</v>
      </c>
      <c r="T15" s="114">
        <f>IFERROR(INDEX('MASTER por modelo'!$AQ$8:$AQ$474,MATCH(K15,'MASTER por modelo'!$D$8:$D$474,0)),"")</f>
        <v>0.2258655431397692</v>
      </c>
      <c r="U15" s="115">
        <f>IFERROR(INDEX('MASTER por modelo'!$AC$8:$AC$474,MATCH(K15,'MASTER por modelo'!$D$8:$D$474,0))+INDEX('MASTER por modelo'!$AD$8:$AD$474,MATCH(K15,'MASTER por modelo'!$D$8:$D$474,0)),"")</f>
        <v>1233</v>
      </c>
      <c r="V15" s="93"/>
    </row>
    <row r="16" spans="1:22" x14ac:dyDescent="0.25">
      <c r="A16" s="109" t="s">
        <v>63</v>
      </c>
      <c r="B16" s="109" t="s">
        <v>64</v>
      </c>
      <c r="C16" s="109" t="s">
        <v>66</v>
      </c>
      <c r="D16" s="103">
        <f t="shared" si="0"/>
        <v>164.29911101018513</v>
      </c>
      <c r="E16" s="110">
        <v>30.911999999999999</v>
      </c>
      <c r="F16" s="110">
        <f t="shared" si="1"/>
        <v>20.072727272727271</v>
      </c>
      <c r="G16" s="110">
        <f t="shared" si="2"/>
        <v>21</v>
      </c>
      <c r="H16" s="110"/>
      <c r="I16" s="111">
        <v>4804</v>
      </c>
      <c r="J16" s="109" t="str">
        <f t="shared" si="3"/>
        <v>26</v>
      </c>
      <c r="K16" s="109" t="s">
        <v>75</v>
      </c>
      <c r="L16" s="109" t="s">
        <v>730</v>
      </c>
      <c r="M16" s="111">
        <v>322</v>
      </c>
      <c r="N16" s="110">
        <v>5465.5</v>
      </c>
      <c r="O16" s="105">
        <f t="shared" si="4"/>
        <v>5079.1000000000004</v>
      </c>
      <c r="P16" s="112">
        <v>9.6000000000000002E-2</v>
      </c>
      <c r="Q16" s="113">
        <v>6.4349999999999997E-3</v>
      </c>
      <c r="R16" s="107">
        <f t="shared" si="5"/>
        <v>6.4349999999999996</v>
      </c>
      <c r="S16" s="105">
        <f t="shared" si="6"/>
        <v>1057.2647793505412</v>
      </c>
      <c r="T16" s="114">
        <f>IFERROR(INDEX('MASTER por modelo'!$AQ$8:$AQ$474,MATCH(K16,'MASTER por modelo'!$D$8:$D$474,0)),"")</f>
        <v>0.47418817651956702</v>
      </c>
      <c r="U16" s="115">
        <f>IFERROR(INDEX('MASTER por modelo'!$AC$8:$AC$474,MATCH(K16,'MASTER por modelo'!$D$8:$D$474,0))+INDEX('MASTER por modelo'!$AD$8:$AD$474,MATCH(K16,'MASTER por modelo'!$D$8:$D$474,0)),"")</f>
        <v>2278</v>
      </c>
      <c r="V16" s="93"/>
    </row>
    <row r="17" spans="1:22" x14ac:dyDescent="0.25">
      <c r="A17" s="109" t="s">
        <v>55</v>
      </c>
      <c r="B17" s="109" t="s">
        <v>56</v>
      </c>
      <c r="C17" s="109" t="s">
        <v>57</v>
      </c>
      <c r="D17" s="103">
        <f t="shared" si="0"/>
        <v>89.807024572649567</v>
      </c>
      <c r="E17" s="110">
        <v>29.952000000000002</v>
      </c>
      <c r="F17" s="110">
        <f t="shared" si="1"/>
        <v>19.449350649350649</v>
      </c>
      <c r="G17" s="110">
        <f t="shared" si="2"/>
        <v>20</v>
      </c>
      <c r="H17" s="110"/>
      <c r="I17" s="111">
        <v>2496</v>
      </c>
      <c r="J17" s="109" t="str">
        <f t="shared" si="3"/>
        <v>26</v>
      </c>
      <c r="K17" s="109" t="s">
        <v>58</v>
      </c>
      <c r="L17" s="109" t="s">
        <v>731</v>
      </c>
      <c r="M17" s="111">
        <v>312</v>
      </c>
      <c r="N17" s="110">
        <v>3064.3</v>
      </c>
      <c r="O17" s="105">
        <f t="shared" si="4"/>
        <v>2689.9</v>
      </c>
      <c r="P17" s="112">
        <v>9.6000000000000002E-2</v>
      </c>
      <c r="Q17" s="113">
        <v>1.2E-2</v>
      </c>
      <c r="R17" s="107">
        <f t="shared" si="5"/>
        <v>12</v>
      </c>
      <c r="S17" s="105">
        <f t="shared" si="6"/>
        <v>1077.6842948717949</v>
      </c>
      <c r="T17" s="114">
        <f>IFERROR(INDEX('MASTER por modelo'!$AQ$8:$AQ$474,MATCH(K17,'MASTER por modelo'!$D$8:$D$474,0)),"")</f>
        <v>0.20331767469172049</v>
      </c>
      <c r="U17" s="115">
        <f>IFERROR(INDEX('MASTER por modelo'!$AC$8:$AC$474,MATCH(K17,'MASTER por modelo'!$D$8:$D$474,0))+INDEX('MASTER por modelo'!$AD$8:$AD$474,MATCH(K17,'MASTER por modelo'!$D$8:$D$474,0)),"")</f>
        <v>1385</v>
      </c>
      <c r="V17" s="93"/>
    </row>
    <row r="18" spans="1:22" x14ac:dyDescent="0.25">
      <c r="A18" s="109" t="s">
        <v>63</v>
      </c>
      <c r="B18" s="109" t="s">
        <v>64</v>
      </c>
      <c r="C18" s="109" t="s">
        <v>66</v>
      </c>
      <c r="D18" s="103">
        <f t="shared" si="0"/>
        <v>175.47582592112911</v>
      </c>
      <c r="E18" s="110">
        <v>29.423999999999999</v>
      </c>
      <c r="F18" s="110">
        <f t="shared" si="1"/>
        <v>19.106493506493507</v>
      </c>
      <c r="G18" s="110">
        <f t="shared" si="2"/>
        <v>20</v>
      </c>
      <c r="H18" s="110"/>
      <c r="I18" s="111">
        <v>4034</v>
      </c>
      <c r="J18" s="109" t="str">
        <f t="shared" si="3"/>
        <v>26</v>
      </c>
      <c r="K18" s="109" t="s">
        <v>76</v>
      </c>
      <c r="L18" s="109" t="s">
        <v>732</v>
      </c>
      <c r="M18" s="111">
        <v>271</v>
      </c>
      <c r="N18" s="110">
        <v>5488.4</v>
      </c>
      <c r="O18" s="105">
        <f t="shared" si="4"/>
        <v>5163.2</v>
      </c>
      <c r="P18" s="112">
        <v>0.1086</v>
      </c>
      <c r="Q18" s="113">
        <v>7.2940000000000001E-3</v>
      </c>
      <c r="R18" s="107">
        <f t="shared" si="5"/>
        <v>7.2940000000000005</v>
      </c>
      <c r="S18" s="105">
        <f t="shared" si="6"/>
        <v>1279.9206742687159</v>
      </c>
      <c r="T18" s="114">
        <f>IFERROR(INDEX('MASTER por modelo'!$AQ$8:$AQ$474,MATCH(K18,'MASTER por modelo'!$D$8:$D$474,0)),"")</f>
        <v>0.55899851264253841</v>
      </c>
      <c r="U18" s="115">
        <f>IFERROR(INDEX('MASTER por modelo'!$AC$8:$AC$474,MATCH(K18,'MASTER por modelo'!$D$8:$D$474,0))+INDEX('MASTER por modelo'!$AD$8:$AD$474,MATCH(K18,'MASTER por modelo'!$D$8:$D$474,0)),"")</f>
        <v>2255</v>
      </c>
      <c r="V18" s="93"/>
    </row>
    <row r="19" spans="1:22" x14ac:dyDescent="0.25">
      <c r="A19" s="109" t="s">
        <v>55</v>
      </c>
      <c r="B19" s="109" t="s">
        <v>56</v>
      </c>
      <c r="C19" s="109" t="s">
        <v>57</v>
      </c>
      <c r="D19" s="103">
        <f t="shared" si="0"/>
        <v>65.419009287615125</v>
      </c>
      <c r="E19" s="110">
        <v>28.51</v>
      </c>
      <c r="F19" s="110">
        <f t="shared" si="1"/>
        <v>18.512987012987015</v>
      </c>
      <c r="G19" s="110">
        <f t="shared" si="2"/>
        <v>19</v>
      </c>
      <c r="H19" s="110"/>
      <c r="I19" s="111">
        <v>2077</v>
      </c>
      <c r="J19" s="109" t="str">
        <f t="shared" si="3"/>
        <v>26</v>
      </c>
      <c r="K19" s="109" t="s">
        <v>59</v>
      </c>
      <c r="L19" s="109" t="s">
        <v>733</v>
      </c>
      <c r="M19" s="111">
        <v>297</v>
      </c>
      <c r="N19" s="110">
        <v>2221.56</v>
      </c>
      <c r="O19" s="105">
        <f t="shared" si="4"/>
        <v>1865.1599999999999</v>
      </c>
      <c r="P19" s="112">
        <v>9.6000000000000002E-2</v>
      </c>
      <c r="Q19" s="113">
        <v>1.3727E-2</v>
      </c>
      <c r="R19" s="107">
        <f t="shared" si="5"/>
        <v>13.727</v>
      </c>
      <c r="S19" s="105">
        <f t="shared" si="6"/>
        <v>898.00674049109284</v>
      </c>
      <c r="T19" s="114">
        <f>IFERROR(INDEX('MASTER por modelo'!$AQ$8:$AQ$474,MATCH(K19,'MASTER por modelo'!$D$8:$D$474,0)),"")</f>
        <v>0.34338209061719588</v>
      </c>
      <c r="U19" s="115">
        <f>IFERROR(INDEX('MASTER por modelo'!$AC$8:$AC$474,MATCH(K19,'MASTER por modelo'!$D$8:$D$474,0))+INDEX('MASTER por modelo'!$AD$8:$AD$474,MATCH(K19,'MASTER por modelo'!$D$8:$D$474,0)),"")</f>
        <v>1925</v>
      </c>
      <c r="V19" s="93"/>
    </row>
    <row r="20" spans="1:22" x14ac:dyDescent="0.25">
      <c r="A20" s="109" t="s">
        <v>55</v>
      </c>
      <c r="B20" s="109" t="s">
        <v>56</v>
      </c>
      <c r="C20" s="109" t="s">
        <v>71</v>
      </c>
      <c r="D20" s="103">
        <f t="shared" si="0"/>
        <v>111.5094825990311</v>
      </c>
      <c r="E20" s="110">
        <v>25.74</v>
      </c>
      <c r="F20" s="110">
        <f t="shared" si="1"/>
        <v>16.714285714285712</v>
      </c>
      <c r="G20" s="110">
        <f t="shared" si="2"/>
        <v>17</v>
      </c>
      <c r="H20" s="110"/>
      <c r="I20" s="111">
        <v>1915</v>
      </c>
      <c r="J20" s="109" t="str">
        <f t="shared" si="3"/>
        <v>26</v>
      </c>
      <c r="K20" s="109" t="s">
        <v>77</v>
      </c>
      <c r="L20" s="109" t="s">
        <v>734</v>
      </c>
      <c r="M20" s="111">
        <v>240</v>
      </c>
      <c r="N20" s="110">
        <v>3158.2</v>
      </c>
      <c r="O20" s="105">
        <f t="shared" si="4"/>
        <v>2870.2</v>
      </c>
      <c r="P20" s="112">
        <v>0.1072</v>
      </c>
      <c r="Q20" s="113">
        <v>1.3441E-2</v>
      </c>
      <c r="R20" s="107">
        <f t="shared" si="5"/>
        <v>13.440999999999999</v>
      </c>
      <c r="S20" s="105">
        <f t="shared" si="6"/>
        <v>1498.7989556135769</v>
      </c>
      <c r="T20" s="114">
        <f>IFERROR(INDEX('MASTER por modelo'!$AQ$8:$AQ$474,MATCH(K20,'MASTER por modelo'!$D$8:$D$474,0)),"")</f>
        <v>0.30496083550913838</v>
      </c>
      <c r="U20" s="115">
        <f>IFERROR(INDEX('MASTER por modelo'!$AC$8:$AC$474,MATCH(K20,'MASTER por modelo'!$D$8:$D$474,0))+INDEX('MASTER por modelo'!$AD$8:$AD$474,MATCH(K20,'MASTER por modelo'!$D$8:$D$474,0)),"")</f>
        <v>584</v>
      </c>
      <c r="V20" s="93"/>
    </row>
    <row r="21" spans="1:22" x14ac:dyDescent="0.25">
      <c r="A21" s="109" t="s">
        <v>55</v>
      </c>
      <c r="B21" s="109" t="s">
        <v>56</v>
      </c>
      <c r="C21" s="109" t="s">
        <v>57</v>
      </c>
      <c r="D21" s="103">
        <f t="shared" si="0"/>
        <v>78.554759126521091</v>
      </c>
      <c r="E21" s="110">
        <v>22.94</v>
      </c>
      <c r="F21" s="110">
        <f t="shared" si="1"/>
        <v>14.896103896103897</v>
      </c>
      <c r="G21" s="110">
        <f t="shared" si="2"/>
        <v>15</v>
      </c>
      <c r="H21" s="110"/>
      <c r="I21" s="111">
        <v>1673</v>
      </c>
      <c r="J21" s="109" t="str">
        <f t="shared" si="3"/>
        <v>26</v>
      </c>
      <c r="K21" s="109" t="s">
        <v>61</v>
      </c>
      <c r="L21" s="109" t="s">
        <v>733</v>
      </c>
      <c r="M21" s="111">
        <v>239</v>
      </c>
      <c r="N21" s="110">
        <v>2088.86</v>
      </c>
      <c r="O21" s="105">
        <f t="shared" si="4"/>
        <v>1802.0600000000002</v>
      </c>
      <c r="P21" s="112">
        <v>9.6000000000000002E-2</v>
      </c>
      <c r="Q21" s="113">
        <v>1.3712E-2</v>
      </c>
      <c r="R21" s="107">
        <f t="shared" si="5"/>
        <v>13.712</v>
      </c>
      <c r="S21" s="105">
        <f t="shared" si="6"/>
        <v>1077.1428571428571</v>
      </c>
      <c r="T21" s="114">
        <f>IFERROR(INDEX('MASTER por modelo'!$AQ$8:$AQ$474,MATCH(K21,'MASTER por modelo'!$D$8:$D$474,0)),"")</f>
        <v>0.40771716403725528</v>
      </c>
      <c r="U21" s="115">
        <f>IFERROR(INDEX('MASTER por modelo'!$AC$8:$AC$474,MATCH(K21,'MASTER por modelo'!$D$8:$D$474,0))+INDEX('MASTER por modelo'!$AD$8:$AD$474,MATCH(K21,'MASTER por modelo'!$D$8:$D$474,0)),"")</f>
        <v>2145</v>
      </c>
      <c r="V21" s="93"/>
    </row>
    <row r="22" spans="1:22" x14ac:dyDescent="0.25">
      <c r="A22" s="109" t="s">
        <v>63</v>
      </c>
      <c r="B22" s="109" t="s">
        <v>64</v>
      </c>
      <c r="C22" s="109" t="s">
        <v>57</v>
      </c>
      <c r="D22" s="103">
        <f t="shared" si="0"/>
        <v>98.725763240012895</v>
      </c>
      <c r="E22" s="110">
        <v>22.655999999999999</v>
      </c>
      <c r="F22" s="110">
        <f t="shared" si="1"/>
        <v>14.711688311688311</v>
      </c>
      <c r="G22" s="110">
        <f t="shared" si="2"/>
        <v>15</v>
      </c>
      <c r="H22" s="110"/>
      <c r="I22" s="111">
        <v>1892</v>
      </c>
      <c r="J22" s="109" t="str">
        <f t="shared" si="3"/>
        <v>26</v>
      </c>
      <c r="K22" s="109" t="s">
        <v>65</v>
      </c>
      <c r="L22" s="109" t="s">
        <v>735</v>
      </c>
      <c r="M22" s="111">
        <v>236</v>
      </c>
      <c r="N22" s="110">
        <v>2520</v>
      </c>
      <c r="O22" s="105">
        <f t="shared" si="4"/>
        <v>2236.8000000000002</v>
      </c>
      <c r="P22" s="112">
        <v>9.6000000000000002E-2</v>
      </c>
      <c r="Q22" s="113">
        <v>1.1975E-2</v>
      </c>
      <c r="R22" s="107">
        <f t="shared" si="5"/>
        <v>11.975</v>
      </c>
      <c r="S22" s="105">
        <f t="shared" si="6"/>
        <v>1182.2410147991545</v>
      </c>
      <c r="T22" s="114">
        <f>IFERROR(INDEX('MASTER por modelo'!$AQ$8:$AQ$474,MATCH(K22,'MASTER por modelo'!$D$8:$D$474,0)),"")</f>
        <v>0.3065068493150685</v>
      </c>
      <c r="U22" s="115">
        <f>IFERROR(INDEX('MASTER por modelo'!$AC$8:$AC$474,MATCH(K22,'MASTER por modelo'!$D$8:$D$474,0))+INDEX('MASTER por modelo'!$AD$8:$AD$474,MATCH(K22,'MASTER por modelo'!$D$8:$D$474,0)),"")</f>
        <v>1790</v>
      </c>
      <c r="V22" s="93"/>
    </row>
    <row r="23" spans="1:22" x14ac:dyDescent="0.25">
      <c r="A23" s="109" t="s">
        <v>63</v>
      </c>
      <c r="B23" s="109" t="s">
        <v>64</v>
      </c>
      <c r="C23" s="109" t="s">
        <v>80</v>
      </c>
      <c r="D23" s="103">
        <f t="shared" si="0"/>
        <v>142.4261149504373</v>
      </c>
      <c r="E23" s="110">
        <v>22.463999999999999</v>
      </c>
      <c r="F23" s="110">
        <f t="shared" si="1"/>
        <v>14.587012987012987</v>
      </c>
      <c r="G23" s="110">
        <f t="shared" si="2"/>
        <v>15</v>
      </c>
      <c r="H23" s="110"/>
      <c r="I23" s="111">
        <v>1803</v>
      </c>
      <c r="J23" s="109" t="str">
        <f t="shared" si="3"/>
        <v>26</v>
      </c>
      <c r="K23" s="109" t="s">
        <v>81</v>
      </c>
      <c r="L23" s="109" t="s">
        <v>736</v>
      </c>
      <c r="M23" s="111">
        <v>234</v>
      </c>
      <c r="N23" s="110">
        <v>3480.2</v>
      </c>
      <c r="O23" s="105">
        <f t="shared" si="4"/>
        <v>3199.3999999999996</v>
      </c>
      <c r="P23" s="112">
        <v>9.6000000000000002E-2</v>
      </c>
      <c r="Q23" s="113">
        <v>1.2459E-2</v>
      </c>
      <c r="R23" s="107">
        <f t="shared" si="5"/>
        <v>12.459</v>
      </c>
      <c r="S23" s="105">
        <f t="shared" si="6"/>
        <v>1774.4869661674984</v>
      </c>
      <c r="T23" s="114">
        <f>IFERROR(INDEX('MASTER por modelo'!$AQ$8:$AQ$474,MATCH(K23,'MASTER por modelo'!$D$8:$D$474,0)),"")</f>
        <v>0.24237382140876318</v>
      </c>
      <c r="U23" s="115">
        <f>IFERROR(INDEX('MASTER por modelo'!$AC$8:$AC$474,MATCH(K23,'MASTER por modelo'!$D$8:$D$474,0))+INDEX('MASTER por modelo'!$AD$8:$AD$474,MATCH(K23,'MASTER por modelo'!$D$8:$D$474,0)),"")</f>
        <v>437</v>
      </c>
      <c r="V23" s="93"/>
    </row>
    <row r="24" spans="1:22" x14ac:dyDescent="0.25">
      <c r="A24" s="109" t="s">
        <v>63</v>
      </c>
      <c r="B24" s="109" t="s">
        <v>64</v>
      </c>
      <c r="C24" s="109" t="s">
        <v>66</v>
      </c>
      <c r="D24" s="103">
        <f t="shared" si="0"/>
        <v>126.51727868738361</v>
      </c>
      <c r="E24" s="110">
        <v>20.46</v>
      </c>
      <c r="F24" s="110">
        <f t="shared" si="1"/>
        <v>13.285714285714286</v>
      </c>
      <c r="G24" s="110">
        <f t="shared" si="2"/>
        <v>14</v>
      </c>
      <c r="H24" s="110"/>
      <c r="I24" s="111">
        <v>2546</v>
      </c>
      <c r="J24" s="109" t="str">
        <f t="shared" si="3"/>
        <v>26</v>
      </c>
      <c r="K24" s="109" t="s">
        <v>82</v>
      </c>
      <c r="L24" s="109" t="s">
        <v>727</v>
      </c>
      <c r="M24" s="111">
        <v>196</v>
      </c>
      <c r="N24" s="110">
        <v>2823.7</v>
      </c>
      <c r="O24" s="105">
        <f t="shared" si="4"/>
        <v>2588.5</v>
      </c>
      <c r="P24" s="112">
        <v>0.10440000000000001</v>
      </c>
      <c r="Q24" s="113">
        <v>8.0359999999999997E-3</v>
      </c>
      <c r="R24" s="107">
        <f t="shared" si="5"/>
        <v>8.0359999999999996</v>
      </c>
      <c r="S24" s="105">
        <f t="shared" si="6"/>
        <v>1016.6928515318145</v>
      </c>
      <c r="T24" s="114">
        <f>IFERROR(INDEX('MASTER por modelo'!$AQ$8:$AQ$474,MATCH(K24,'MASTER por modelo'!$D$8:$D$474,0)),"")</f>
        <v>0.30047132757266298</v>
      </c>
      <c r="U24" s="115">
        <f>IFERROR(INDEX('MASTER por modelo'!$AC$8:$AC$474,MATCH(K24,'MASTER por modelo'!$D$8:$D$474,0))+INDEX('MASTER por modelo'!$AD$8:$AD$474,MATCH(K24,'MASTER por modelo'!$D$8:$D$474,0)),"")</f>
        <v>765</v>
      </c>
      <c r="V24" s="93"/>
    </row>
    <row r="25" spans="1:22" x14ac:dyDescent="0.25">
      <c r="A25" s="109" t="s">
        <v>55</v>
      </c>
      <c r="B25" s="109" t="s">
        <v>56</v>
      </c>
      <c r="C25" s="109" t="s">
        <v>57</v>
      </c>
      <c r="D25" s="103">
        <f t="shared" si="0"/>
        <v>65.429378175644374</v>
      </c>
      <c r="E25" s="110">
        <v>20.059999999999999</v>
      </c>
      <c r="F25" s="110">
        <f t="shared" si="1"/>
        <v>13.025974025974024</v>
      </c>
      <c r="G25" s="110">
        <f t="shared" si="2"/>
        <v>14</v>
      </c>
      <c r="H25" s="110"/>
      <c r="I25" s="111">
        <v>1462</v>
      </c>
      <c r="J25" s="109" t="str">
        <f t="shared" si="3"/>
        <v>26</v>
      </c>
      <c r="K25" s="109" t="s">
        <v>59</v>
      </c>
      <c r="L25" s="109" t="s">
        <v>733</v>
      </c>
      <c r="M25" s="111">
        <v>209</v>
      </c>
      <c r="N25" s="110">
        <v>1563.32</v>
      </c>
      <c r="O25" s="105">
        <f t="shared" si="4"/>
        <v>1312.52</v>
      </c>
      <c r="P25" s="112">
        <v>9.6000000000000002E-2</v>
      </c>
      <c r="Q25" s="113">
        <v>1.3721000000000001E-2</v>
      </c>
      <c r="R25" s="107">
        <f t="shared" si="5"/>
        <v>13.721</v>
      </c>
      <c r="S25" s="105">
        <f t="shared" si="6"/>
        <v>897.75649794801643</v>
      </c>
      <c r="T25" s="114">
        <f>IFERROR(INDEX('MASTER por modelo'!$AQ$8:$AQ$474,MATCH(K25,'MASTER por modelo'!$D$8:$D$474,0)),"")</f>
        <v>0.34338209061719588</v>
      </c>
      <c r="U25" s="115">
        <f>IFERROR(INDEX('MASTER por modelo'!$AC$8:$AC$474,MATCH(K25,'MASTER por modelo'!$D$8:$D$474,0))+INDEX('MASTER por modelo'!$AD$8:$AD$474,MATCH(K25,'MASTER por modelo'!$D$8:$D$474,0)),"")</f>
        <v>1925</v>
      </c>
      <c r="V25" s="93"/>
    </row>
    <row r="26" spans="1:22" x14ac:dyDescent="0.25">
      <c r="A26" s="109" t="s">
        <v>55</v>
      </c>
      <c r="B26" s="109" t="s">
        <v>56</v>
      </c>
      <c r="C26" s="109" t="s">
        <v>57</v>
      </c>
      <c r="D26" s="103">
        <f t="shared" si="0"/>
        <v>78.536333369989521</v>
      </c>
      <c r="E26" s="110">
        <v>19.97</v>
      </c>
      <c r="F26" s="110">
        <f t="shared" si="1"/>
        <v>12.967532467532466</v>
      </c>
      <c r="G26" s="110">
        <f t="shared" si="2"/>
        <v>13</v>
      </c>
      <c r="H26" s="110"/>
      <c r="I26" s="111">
        <v>1452</v>
      </c>
      <c r="J26" s="109" t="str">
        <f t="shared" si="3"/>
        <v>26</v>
      </c>
      <c r="K26" s="109" t="s">
        <v>61</v>
      </c>
      <c r="L26" s="109" t="s">
        <v>733</v>
      </c>
      <c r="M26" s="111">
        <v>208</v>
      </c>
      <c r="N26" s="110">
        <v>1817.92</v>
      </c>
      <c r="O26" s="105">
        <f t="shared" si="4"/>
        <v>1568.3200000000002</v>
      </c>
      <c r="P26" s="112">
        <v>9.6000000000000002E-2</v>
      </c>
      <c r="Q26" s="113">
        <v>1.3753E-2</v>
      </c>
      <c r="R26" s="107">
        <f t="shared" si="5"/>
        <v>13.753</v>
      </c>
      <c r="S26" s="105">
        <f t="shared" si="6"/>
        <v>1080.1101928374658</v>
      </c>
      <c r="T26" s="114">
        <f>IFERROR(INDEX('MASTER por modelo'!$AQ$8:$AQ$474,MATCH(K26,'MASTER por modelo'!$D$8:$D$474,0)),"")</f>
        <v>0.40771716403725528</v>
      </c>
      <c r="U26" s="115">
        <f>IFERROR(INDEX('MASTER por modelo'!$AC$8:$AC$474,MATCH(K26,'MASTER por modelo'!$D$8:$D$474,0))+INDEX('MASTER por modelo'!$AD$8:$AD$474,MATCH(K26,'MASTER por modelo'!$D$8:$D$474,0)),"")</f>
        <v>2145</v>
      </c>
      <c r="V26" s="93"/>
    </row>
    <row r="27" spans="1:22" x14ac:dyDescent="0.25">
      <c r="A27" s="109" t="s">
        <v>55</v>
      </c>
      <c r="B27" s="109" t="s">
        <v>56</v>
      </c>
      <c r="C27" s="109" t="s">
        <v>57</v>
      </c>
      <c r="D27" s="103">
        <f t="shared" si="0"/>
        <v>80.982377181068102</v>
      </c>
      <c r="E27" s="110">
        <v>19.968</v>
      </c>
      <c r="F27" s="110">
        <f t="shared" si="1"/>
        <v>12.966233766233765</v>
      </c>
      <c r="G27" s="110">
        <f t="shared" si="2"/>
        <v>13</v>
      </c>
      <c r="H27" s="110"/>
      <c r="I27" s="111">
        <v>1661</v>
      </c>
      <c r="J27" s="109" t="str">
        <f t="shared" si="3"/>
        <v>26</v>
      </c>
      <c r="K27" s="109" t="s">
        <v>62</v>
      </c>
      <c r="L27" s="109" t="s">
        <v>728</v>
      </c>
      <c r="M27" s="111">
        <v>208</v>
      </c>
      <c r="N27" s="110">
        <v>1866.7</v>
      </c>
      <c r="O27" s="105">
        <f t="shared" si="4"/>
        <v>1617.1000000000001</v>
      </c>
      <c r="P27" s="112">
        <v>9.6000000000000002E-2</v>
      </c>
      <c r="Q27" s="113">
        <v>1.2022E-2</v>
      </c>
      <c r="R27" s="107">
        <f t="shared" si="5"/>
        <v>12.022</v>
      </c>
      <c r="S27" s="105">
        <f t="shared" si="6"/>
        <v>973.57013847080077</v>
      </c>
      <c r="T27" s="114">
        <f>IFERROR(INDEX('MASTER por modelo'!$AQ$8:$AQ$474,MATCH(K27,'MASTER por modelo'!$D$8:$D$474,0)),"")</f>
        <v>0.10677344010677343</v>
      </c>
      <c r="U27" s="115">
        <f>IFERROR(INDEX('MASTER por modelo'!$AC$8:$AC$474,MATCH(K27,'MASTER por modelo'!$D$8:$D$474,0))+INDEX('MASTER por modelo'!$AD$8:$AD$474,MATCH(K27,'MASTER por modelo'!$D$8:$D$474,0)),"")</f>
        <v>640</v>
      </c>
      <c r="V27" s="93"/>
    </row>
    <row r="28" spans="1:22" x14ac:dyDescent="0.25">
      <c r="A28" s="109" t="s">
        <v>63</v>
      </c>
      <c r="B28" s="109" t="s">
        <v>84</v>
      </c>
      <c r="C28" s="109" t="s">
        <v>85</v>
      </c>
      <c r="D28" s="103">
        <f t="shared" si="0"/>
        <v>101.02516992381236</v>
      </c>
      <c r="E28" s="110">
        <v>18.34</v>
      </c>
      <c r="F28" s="110">
        <f t="shared" si="1"/>
        <v>11.909090909090908</v>
      </c>
      <c r="G28" s="110">
        <f t="shared" si="2"/>
        <v>12</v>
      </c>
      <c r="H28" s="110"/>
      <c r="I28" s="111">
        <v>1616</v>
      </c>
      <c r="J28" s="109" t="str">
        <f t="shared" si="3"/>
        <v>26</v>
      </c>
      <c r="K28" s="109" t="s">
        <v>86</v>
      </c>
      <c r="L28" s="109" t="s">
        <v>737</v>
      </c>
      <c r="M28" s="111">
        <v>191</v>
      </c>
      <c r="N28" s="110">
        <v>2082</v>
      </c>
      <c r="O28" s="105">
        <f t="shared" si="4"/>
        <v>1852.8</v>
      </c>
      <c r="P28" s="112">
        <v>9.6000000000000002E-2</v>
      </c>
      <c r="Q28" s="113">
        <v>1.1349E-2</v>
      </c>
      <c r="R28" s="107">
        <f t="shared" si="5"/>
        <v>11.349</v>
      </c>
      <c r="S28" s="105">
        <f t="shared" si="6"/>
        <v>1146.5346534653465</v>
      </c>
      <c r="T28" s="114">
        <f>IFERROR(INDEX('MASTER por modelo'!$AQ$8:$AQ$474,MATCH(K28,'MASTER por modelo'!$D$8:$D$474,0)),"")</f>
        <v>0.43124246079613993</v>
      </c>
      <c r="U28" s="115">
        <f>IFERROR(INDEX('MASTER por modelo'!$AC$8:$AC$474,MATCH(K28,'MASTER por modelo'!$D$8:$D$474,0))+INDEX('MASTER por modelo'!$AD$8:$AD$474,MATCH(K28,'MASTER por modelo'!$D$8:$D$474,0)),"")</f>
        <v>1430</v>
      </c>
      <c r="V28" s="93"/>
    </row>
    <row r="29" spans="1:22" x14ac:dyDescent="0.25">
      <c r="A29" s="109" t="s">
        <v>63</v>
      </c>
      <c r="B29" s="109" t="s">
        <v>64</v>
      </c>
      <c r="C29" s="109" t="s">
        <v>87</v>
      </c>
      <c r="D29" s="103">
        <f t="shared" si="0"/>
        <v>114.52895861235879</v>
      </c>
      <c r="E29" s="110">
        <v>18.09</v>
      </c>
      <c r="F29" s="110">
        <f t="shared" si="1"/>
        <v>11.746753246753247</v>
      </c>
      <c r="G29" s="110">
        <f t="shared" si="2"/>
        <v>12</v>
      </c>
      <c r="H29" s="110"/>
      <c r="I29" s="111">
        <v>2014</v>
      </c>
      <c r="J29" s="109" t="str">
        <f t="shared" si="3"/>
        <v>26</v>
      </c>
      <c r="K29" s="109" t="s">
        <v>88</v>
      </c>
      <c r="L29" s="109" t="s">
        <v>738</v>
      </c>
      <c r="M29" s="111">
        <v>201</v>
      </c>
      <c r="N29" s="110">
        <v>2313</v>
      </c>
      <c r="O29" s="105">
        <f t="shared" si="4"/>
        <v>2071.8000000000002</v>
      </c>
      <c r="P29" s="112">
        <v>0.09</v>
      </c>
      <c r="Q29" s="113">
        <v>8.9820000000000004E-3</v>
      </c>
      <c r="R29" s="107">
        <f t="shared" si="5"/>
        <v>8.9820000000000011</v>
      </c>
      <c r="S29" s="105">
        <f t="shared" si="6"/>
        <v>1028.6991062562067</v>
      </c>
      <c r="T29" s="114">
        <f>IFERROR(INDEX('MASTER por modelo'!$AQ$8:$AQ$474,MATCH(K29,'MASTER por modelo'!$D$8:$D$474,0)),"")</f>
        <v>0.64399205561072492</v>
      </c>
      <c r="U29" s="115">
        <f>IFERROR(INDEX('MASTER por modelo'!$AC$8:$AC$474,MATCH(K29,'MASTER por modelo'!$D$8:$D$474,0))+INDEX('MASTER por modelo'!$AD$8:$AD$474,MATCH(K29,'MASTER por modelo'!$D$8:$D$474,0)),"")</f>
        <v>1297</v>
      </c>
      <c r="V29" s="93"/>
    </row>
    <row r="30" spans="1:22" x14ac:dyDescent="0.25">
      <c r="A30" s="109" t="s">
        <v>55</v>
      </c>
      <c r="B30" s="109" t="s">
        <v>56</v>
      </c>
      <c r="C30" s="109" t="s">
        <v>57</v>
      </c>
      <c r="D30" s="103">
        <f t="shared" si="0"/>
        <v>89.982468932776897</v>
      </c>
      <c r="E30" s="110">
        <v>18.047999999999998</v>
      </c>
      <c r="F30" s="110">
        <f t="shared" si="1"/>
        <v>11.719480519480518</v>
      </c>
      <c r="G30" s="110">
        <f t="shared" si="2"/>
        <v>12</v>
      </c>
      <c r="H30" s="110"/>
      <c r="I30" s="111">
        <v>1505</v>
      </c>
      <c r="J30" s="109" t="str">
        <f t="shared" si="3"/>
        <v>26</v>
      </c>
      <c r="K30" s="109" t="s">
        <v>58</v>
      </c>
      <c r="L30" s="109" t="s">
        <v>731</v>
      </c>
      <c r="M30" s="111">
        <v>188</v>
      </c>
      <c r="N30" s="110">
        <v>1849.6</v>
      </c>
      <c r="O30" s="105">
        <f t="shared" si="4"/>
        <v>1624</v>
      </c>
      <c r="P30" s="112">
        <v>9.6000000000000002E-2</v>
      </c>
      <c r="Q30" s="113">
        <v>1.1991999999999999E-2</v>
      </c>
      <c r="R30" s="107">
        <f t="shared" si="5"/>
        <v>11.991999999999999</v>
      </c>
      <c r="S30" s="105">
        <f t="shared" si="6"/>
        <v>1079.0697674418604</v>
      </c>
      <c r="T30" s="114">
        <f>IFERROR(INDEX('MASTER por modelo'!$AQ$8:$AQ$474,MATCH(K30,'MASTER por modelo'!$D$8:$D$474,0)),"")</f>
        <v>0.20331767469172049</v>
      </c>
      <c r="U30" s="115">
        <f>IFERROR(INDEX('MASTER por modelo'!$AC$8:$AC$474,MATCH(K30,'MASTER por modelo'!$D$8:$D$474,0))+INDEX('MASTER por modelo'!$AD$8:$AD$474,MATCH(K30,'MASTER por modelo'!$D$8:$D$474,0)),"")</f>
        <v>1385</v>
      </c>
      <c r="V30" s="93"/>
    </row>
    <row r="31" spans="1:22" x14ac:dyDescent="0.25">
      <c r="A31" s="109" t="s">
        <v>63</v>
      </c>
      <c r="B31" s="109" t="s">
        <v>64</v>
      </c>
      <c r="C31" s="109" t="s">
        <v>80</v>
      </c>
      <c r="D31" s="103">
        <f t="shared" si="0"/>
        <v>136.97952721985772</v>
      </c>
      <c r="E31" s="110">
        <v>17.856000000000002</v>
      </c>
      <c r="F31" s="110">
        <f t="shared" si="1"/>
        <v>11.594805194805195</v>
      </c>
      <c r="G31" s="110">
        <f t="shared" si="2"/>
        <v>12</v>
      </c>
      <c r="H31" s="110"/>
      <c r="I31" s="111">
        <v>1601</v>
      </c>
      <c r="J31" s="109" t="str">
        <f t="shared" si="3"/>
        <v>26</v>
      </c>
      <c r="K31" s="109" t="s">
        <v>89</v>
      </c>
      <c r="L31" s="109" t="s">
        <v>736</v>
      </c>
      <c r="M31" s="111">
        <v>186</v>
      </c>
      <c r="N31" s="110">
        <v>2669.1</v>
      </c>
      <c r="O31" s="105">
        <f t="shared" si="4"/>
        <v>2445.9</v>
      </c>
      <c r="P31" s="112">
        <v>9.6000000000000002E-2</v>
      </c>
      <c r="Q31" s="113">
        <v>1.1153E-2</v>
      </c>
      <c r="R31" s="107">
        <f t="shared" si="5"/>
        <v>11.153</v>
      </c>
      <c r="S31" s="105">
        <f t="shared" si="6"/>
        <v>1527.732667083073</v>
      </c>
      <c r="T31" s="114">
        <f>IFERROR(INDEX('MASTER por modelo'!$AQ$8:$AQ$474,MATCH(K31,'MASTER por modelo'!$D$8:$D$474,0)),"")</f>
        <v>0.23173016864459714</v>
      </c>
      <c r="U31" s="115">
        <f>IFERROR(INDEX('MASTER por modelo'!$AC$8:$AC$474,MATCH(K31,'MASTER por modelo'!$D$8:$D$474,0))+INDEX('MASTER por modelo'!$AD$8:$AD$474,MATCH(K31,'MASTER por modelo'!$D$8:$D$474,0)),"")</f>
        <v>371</v>
      </c>
      <c r="V31" s="93"/>
    </row>
    <row r="32" spans="1:22" x14ac:dyDescent="0.25">
      <c r="A32" s="109" t="s">
        <v>63</v>
      </c>
      <c r="B32" s="109" t="s">
        <v>64</v>
      </c>
      <c r="C32" s="109" t="s">
        <v>66</v>
      </c>
      <c r="D32" s="103">
        <f t="shared" si="0"/>
        <v>139.88848420790734</v>
      </c>
      <c r="E32" s="110">
        <v>17.62</v>
      </c>
      <c r="F32" s="110">
        <f t="shared" si="1"/>
        <v>11.441558441558442</v>
      </c>
      <c r="G32" s="110">
        <f t="shared" si="2"/>
        <v>12</v>
      </c>
      <c r="H32" s="110"/>
      <c r="I32" s="111">
        <v>1608</v>
      </c>
      <c r="J32" s="109" t="str">
        <f t="shared" si="3"/>
        <v>26</v>
      </c>
      <c r="K32" s="109" t="s">
        <v>90</v>
      </c>
      <c r="L32" s="109" t="s">
        <v>732</v>
      </c>
      <c r="M32" s="111">
        <v>161</v>
      </c>
      <c r="N32" s="110">
        <v>2658.1</v>
      </c>
      <c r="O32" s="105">
        <f t="shared" si="4"/>
        <v>2464.9</v>
      </c>
      <c r="P32" s="112">
        <v>0.1094</v>
      </c>
      <c r="Q32" s="113">
        <v>1.0958000000000001E-2</v>
      </c>
      <c r="R32" s="107">
        <f t="shared" si="5"/>
        <v>10.958</v>
      </c>
      <c r="S32" s="105">
        <f t="shared" si="6"/>
        <v>1532.8980099502487</v>
      </c>
      <c r="T32" s="114">
        <f>IFERROR(INDEX('MASTER por modelo'!$AQ$8:$AQ$474,MATCH(K32,'MASTER por modelo'!$D$8:$D$474,0)),"")</f>
        <v>0.51430348258706471</v>
      </c>
      <c r="U32" s="115">
        <f>IFERROR(INDEX('MASTER por modelo'!$AC$8:$AC$474,MATCH(K32,'MASTER por modelo'!$D$8:$D$474,0))+INDEX('MASTER por modelo'!$AD$8:$AD$474,MATCH(K32,'MASTER por modelo'!$D$8:$D$474,0)),"")</f>
        <v>827</v>
      </c>
      <c r="V32" s="93"/>
    </row>
    <row r="33" spans="1:22" x14ac:dyDescent="0.25">
      <c r="A33" s="109" t="s">
        <v>55</v>
      </c>
      <c r="B33" s="109" t="s">
        <v>56</v>
      </c>
      <c r="C33" s="109" t="s">
        <v>57</v>
      </c>
      <c r="D33" s="103">
        <f t="shared" si="0"/>
        <v>89.574719969162985</v>
      </c>
      <c r="E33" s="110">
        <v>17.184000000000001</v>
      </c>
      <c r="F33" s="110">
        <f t="shared" si="1"/>
        <v>11.158441558441559</v>
      </c>
      <c r="G33" s="110">
        <f t="shared" si="2"/>
        <v>12</v>
      </c>
      <c r="H33" s="110"/>
      <c r="I33" s="111">
        <v>1433</v>
      </c>
      <c r="J33" s="109" t="str">
        <f t="shared" si="3"/>
        <v>26</v>
      </c>
      <c r="K33" s="109" t="s">
        <v>58</v>
      </c>
      <c r="L33" s="109" t="s">
        <v>731</v>
      </c>
      <c r="M33" s="111">
        <v>179</v>
      </c>
      <c r="N33" s="110">
        <v>1754.1</v>
      </c>
      <c r="O33" s="105">
        <f t="shared" si="4"/>
        <v>1539.3</v>
      </c>
      <c r="P33" s="112">
        <v>9.6000000000000002E-2</v>
      </c>
      <c r="Q33" s="113">
        <v>1.1991999999999999E-2</v>
      </c>
      <c r="R33" s="107">
        <f t="shared" si="5"/>
        <v>11.991999999999999</v>
      </c>
      <c r="S33" s="105">
        <f t="shared" si="6"/>
        <v>1074.1800418702023</v>
      </c>
      <c r="T33" s="114">
        <f>IFERROR(INDEX('MASTER por modelo'!$AQ$8:$AQ$474,MATCH(K33,'MASTER por modelo'!$D$8:$D$474,0)),"")</f>
        <v>0.20331767469172049</v>
      </c>
      <c r="U33" s="115">
        <f>IFERROR(INDEX('MASTER por modelo'!$AC$8:$AC$474,MATCH(K33,'MASTER por modelo'!$D$8:$D$474,0))+INDEX('MASTER por modelo'!$AD$8:$AD$474,MATCH(K33,'MASTER por modelo'!$D$8:$D$474,0)),"")</f>
        <v>1385</v>
      </c>
      <c r="V33" s="93"/>
    </row>
    <row r="34" spans="1:22" x14ac:dyDescent="0.25">
      <c r="A34" s="109" t="s">
        <v>55</v>
      </c>
      <c r="B34" s="109" t="s">
        <v>56</v>
      </c>
      <c r="C34" s="109" t="s">
        <v>57</v>
      </c>
      <c r="D34" s="103">
        <f t="shared" si="0"/>
        <v>78.559953434225861</v>
      </c>
      <c r="E34" s="110">
        <v>17.18</v>
      </c>
      <c r="F34" s="110">
        <f t="shared" si="1"/>
        <v>11.155844155844155</v>
      </c>
      <c r="G34" s="110">
        <f t="shared" si="2"/>
        <v>12</v>
      </c>
      <c r="H34" s="110"/>
      <c r="I34" s="111">
        <v>1250</v>
      </c>
      <c r="J34" s="109" t="str">
        <f t="shared" si="3"/>
        <v>26</v>
      </c>
      <c r="K34" s="109" t="s">
        <v>61</v>
      </c>
      <c r="L34" s="109" t="s">
        <v>733</v>
      </c>
      <c r="M34" s="111">
        <v>179</v>
      </c>
      <c r="N34" s="110">
        <v>1564.46</v>
      </c>
      <c r="O34" s="105">
        <f t="shared" si="4"/>
        <v>1349.66</v>
      </c>
      <c r="P34" s="112">
        <v>9.6000000000000002E-2</v>
      </c>
      <c r="Q34" s="113">
        <v>1.3743999999999999E-2</v>
      </c>
      <c r="R34" s="107">
        <f t="shared" si="5"/>
        <v>13.744</v>
      </c>
      <c r="S34" s="105">
        <f t="shared" si="6"/>
        <v>1079.7280000000001</v>
      </c>
      <c r="T34" s="114">
        <f>IFERROR(INDEX('MASTER por modelo'!$AQ$8:$AQ$474,MATCH(K34,'MASTER por modelo'!$D$8:$D$474,0)),"")</f>
        <v>0.40771716403725528</v>
      </c>
      <c r="U34" s="115">
        <f>IFERROR(INDEX('MASTER por modelo'!$AC$8:$AC$474,MATCH(K34,'MASTER por modelo'!$D$8:$D$474,0))+INDEX('MASTER por modelo'!$AD$8:$AD$474,MATCH(K34,'MASTER por modelo'!$D$8:$D$474,0)),"")</f>
        <v>2145</v>
      </c>
      <c r="V34" s="93"/>
    </row>
    <row r="35" spans="1:22" x14ac:dyDescent="0.25">
      <c r="A35" s="109" t="s">
        <v>55</v>
      </c>
      <c r="B35" s="109" t="s">
        <v>56</v>
      </c>
      <c r="C35" s="109" t="s">
        <v>57</v>
      </c>
      <c r="D35" s="103">
        <f t="shared" si="0"/>
        <v>65.423616385803697</v>
      </c>
      <c r="E35" s="110">
        <v>16.989999999999998</v>
      </c>
      <c r="F35" s="110">
        <f t="shared" si="1"/>
        <v>11.032467532467532</v>
      </c>
      <c r="G35" s="110">
        <f t="shared" si="2"/>
        <v>12</v>
      </c>
      <c r="H35" s="110"/>
      <c r="I35" s="111">
        <v>1237</v>
      </c>
      <c r="J35" s="109" t="str">
        <f t="shared" si="3"/>
        <v>26</v>
      </c>
      <c r="K35" s="109" t="s">
        <v>59</v>
      </c>
      <c r="L35" s="109" t="s">
        <v>733</v>
      </c>
      <c r="M35" s="111">
        <v>177</v>
      </c>
      <c r="N35" s="110">
        <v>1323.96</v>
      </c>
      <c r="O35" s="105">
        <f t="shared" si="4"/>
        <v>1111.56</v>
      </c>
      <c r="P35" s="112">
        <v>9.6000000000000002E-2</v>
      </c>
      <c r="Q35" s="113">
        <v>1.3735000000000001E-2</v>
      </c>
      <c r="R35" s="107">
        <f t="shared" si="5"/>
        <v>13.735000000000001</v>
      </c>
      <c r="S35" s="105">
        <f t="shared" si="6"/>
        <v>898.59337105901375</v>
      </c>
      <c r="T35" s="114">
        <f>IFERROR(INDEX('MASTER por modelo'!$AQ$8:$AQ$474,MATCH(K35,'MASTER por modelo'!$D$8:$D$474,0)),"")</f>
        <v>0.34338209061719588</v>
      </c>
      <c r="U35" s="115">
        <f>IFERROR(INDEX('MASTER por modelo'!$AC$8:$AC$474,MATCH(K35,'MASTER por modelo'!$D$8:$D$474,0))+INDEX('MASTER por modelo'!$AD$8:$AD$474,MATCH(K35,'MASTER por modelo'!$D$8:$D$474,0)),"")</f>
        <v>1925</v>
      </c>
      <c r="V35" s="93"/>
    </row>
    <row r="36" spans="1:22" x14ac:dyDescent="0.25">
      <c r="A36" s="109" t="s">
        <v>55</v>
      </c>
      <c r="B36" s="109" t="s">
        <v>56</v>
      </c>
      <c r="C36" s="109" t="s">
        <v>57</v>
      </c>
      <c r="D36" s="103">
        <f t="shared" si="0"/>
        <v>107.10545951869271</v>
      </c>
      <c r="E36" s="110">
        <v>16.68</v>
      </c>
      <c r="F36" s="110">
        <f t="shared" si="1"/>
        <v>10.831168831168831</v>
      </c>
      <c r="G36" s="110">
        <f t="shared" si="2"/>
        <v>11</v>
      </c>
      <c r="H36" s="110"/>
      <c r="I36" s="111">
        <v>1258</v>
      </c>
      <c r="J36" s="109" t="str">
        <f t="shared" si="3"/>
        <v>26</v>
      </c>
      <c r="K36" s="109" t="s">
        <v>91</v>
      </c>
      <c r="L36" s="109" t="s">
        <v>734</v>
      </c>
      <c r="M36" s="111">
        <v>139</v>
      </c>
      <c r="N36" s="110">
        <v>1953.3</v>
      </c>
      <c r="O36" s="105">
        <f t="shared" si="4"/>
        <v>1786.5</v>
      </c>
      <c r="P36" s="112">
        <v>0.12</v>
      </c>
      <c r="Q36" s="113">
        <v>1.3259E-2</v>
      </c>
      <c r="R36" s="107">
        <f t="shared" si="5"/>
        <v>13.259</v>
      </c>
      <c r="S36" s="105">
        <f t="shared" si="6"/>
        <v>1420.1112877583466</v>
      </c>
      <c r="T36" s="114">
        <f>IFERROR(INDEX('MASTER por modelo'!$AQ$8:$AQ$474,MATCH(K36,'MASTER por modelo'!$D$8:$D$474,0)),"")</f>
        <v>0.20906200317965024</v>
      </c>
      <c r="U36" s="115">
        <f>IFERROR(INDEX('MASTER por modelo'!$AC$8:$AC$474,MATCH(K36,'MASTER por modelo'!$D$8:$D$474,0))+INDEX('MASTER por modelo'!$AD$8:$AD$474,MATCH(K36,'MASTER por modelo'!$D$8:$D$474,0)),"")</f>
        <v>263</v>
      </c>
      <c r="V36" s="93"/>
    </row>
    <row r="37" spans="1:22" x14ac:dyDescent="0.25">
      <c r="A37" s="109" t="s">
        <v>55</v>
      </c>
      <c r="B37" s="109" t="s">
        <v>56</v>
      </c>
      <c r="C37" s="109" t="s">
        <v>66</v>
      </c>
      <c r="D37" s="103">
        <f t="shared" si="0"/>
        <v>-4.5817981885169949</v>
      </c>
      <c r="E37" s="110">
        <v>16.5</v>
      </c>
      <c r="F37" s="110">
        <f t="shared" si="1"/>
        <v>10.714285714285714</v>
      </c>
      <c r="G37" s="110">
        <f t="shared" si="2"/>
        <v>11</v>
      </c>
      <c r="H37" s="110"/>
      <c r="I37" s="111">
        <v>942</v>
      </c>
      <c r="J37" s="109" t="str">
        <f t="shared" si="3"/>
        <v>26</v>
      </c>
      <c r="K37" s="109" t="s">
        <v>92</v>
      </c>
      <c r="L37" s="109" t="s">
        <v>739</v>
      </c>
      <c r="M37" s="111">
        <v>63</v>
      </c>
      <c r="N37" s="110">
        <v>0</v>
      </c>
      <c r="O37" s="105">
        <f t="shared" si="4"/>
        <v>-75.599999999999994</v>
      </c>
      <c r="P37" s="112">
        <v>0.26190000000000002</v>
      </c>
      <c r="Q37" s="113">
        <v>1.7516E-2</v>
      </c>
      <c r="R37" s="107">
        <f t="shared" si="5"/>
        <v>17.516000000000002</v>
      </c>
      <c r="S37" s="105">
        <f t="shared" si="6"/>
        <v>-80.254777070063696</v>
      </c>
      <c r="T37" s="114">
        <f>IFERROR(INDEX('MASTER por modelo'!$AQ$8:$AQ$474,MATCH(K37,'MASTER por modelo'!$D$8:$D$474,0)),"")</f>
        <v>0.72103004291845496</v>
      </c>
      <c r="U37" s="115">
        <f>IFERROR(INDEX('MASTER por modelo'!$AC$8:$AC$474,MATCH(K37,'MASTER por modelo'!$D$8:$D$474,0))+INDEX('MASTER por modelo'!$AD$8:$AD$474,MATCH(K37,'MASTER por modelo'!$D$8:$D$474,0)),"")</f>
        <v>2352</v>
      </c>
      <c r="V37" s="93"/>
    </row>
    <row r="38" spans="1:22" x14ac:dyDescent="0.25">
      <c r="A38" s="109" t="s">
        <v>55</v>
      </c>
      <c r="B38" s="109" t="s">
        <v>56</v>
      </c>
      <c r="C38" s="109" t="s">
        <v>66</v>
      </c>
      <c r="D38" s="103">
        <f t="shared" si="0"/>
        <v>122.43097719088603</v>
      </c>
      <c r="E38" s="110">
        <v>15.88</v>
      </c>
      <c r="F38" s="110">
        <f t="shared" si="1"/>
        <v>10.311688311688313</v>
      </c>
      <c r="G38" s="110">
        <f t="shared" si="2"/>
        <v>11</v>
      </c>
      <c r="H38" s="110"/>
      <c r="I38" s="111">
        <v>1888</v>
      </c>
      <c r="J38" s="109" t="str">
        <f t="shared" si="3"/>
        <v>26</v>
      </c>
      <c r="K38" s="109" t="s">
        <v>97</v>
      </c>
      <c r="L38" s="109" t="s">
        <v>734</v>
      </c>
      <c r="M38" s="111">
        <v>189</v>
      </c>
      <c r="N38" s="110">
        <v>2171</v>
      </c>
      <c r="O38" s="105">
        <f t="shared" si="4"/>
        <v>1944.2</v>
      </c>
      <c r="P38" s="112">
        <v>8.4000000000000005E-2</v>
      </c>
      <c r="Q38" s="113">
        <v>8.4110000000000001E-3</v>
      </c>
      <c r="R38" s="107">
        <f t="shared" si="5"/>
        <v>8.4109999999999996</v>
      </c>
      <c r="S38" s="105">
        <f t="shared" si="6"/>
        <v>1029.7669491525423</v>
      </c>
      <c r="T38" s="114">
        <f>IFERROR(INDEX('MASTER por modelo'!$AQ$8:$AQ$474,MATCH(K38,'MASTER por modelo'!$D$8:$D$474,0)),"")</f>
        <v>0.27754237288135591</v>
      </c>
      <c r="U38" s="115">
        <f>IFERROR(INDEX('MASTER por modelo'!$AC$8:$AC$474,MATCH(K38,'MASTER por modelo'!$D$8:$D$474,0))+INDEX('MASTER por modelo'!$AD$8:$AD$474,MATCH(K38,'MASTER por modelo'!$D$8:$D$474,0)),"")</f>
        <v>524</v>
      </c>
      <c r="V38" s="93"/>
    </row>
    <row r="39" spans="1:22" x14ac:dyDescent="0.25">
      <c r="A39" s="109" t="s">
        <v>55</v>
      </c>
      <c r="B39" s="109" t="s">
        <v>56</v>
      </c>
      <c r="C39" s="109" t="s">
        <v>57</v>
      </c>
      <c r="D39" s="103">
        <f t="shared" si="0"/>
        <v>89.286558730387583</v>
      </c>
      <c r="E39" s="110">
        <v>15.648</v>
      </c>
      <c r="F39" s="110">
        <f t="shared" si="1"/>
        <v>10.16103896103896</v>
      </c>
      <c r="G39" s="110">
        <f t="shared" si="2"/>
        <v>11</v>
      </c>
      <c r="H39" s="110"/>
      <c r="I39" s="111">
        <v>1306</v>
      </c>
      <c r="J39" s="109" t="str">
        <f t="shared" si="3"/>
        <v>26</v>
      </c>
      <c r="K39" s="109" t="s">
        <v>58</v>
      </c>
      <c r="L39" s="109" t="s">
        <v>740</v>
      </c>
      <c r="M39" s="111">
        <v>163</v>
      </c>
      <c r="N39" s="110">
        <v>1592.8</v>
      </c>
      <c r="O39" s="105">
        <f t="shared" si="4"/>
        <v>1397.2</v>
      </c>
      <c r="P39" s="112">
        <v>9.6000000000000002E-2</v>
      </c>
      <c r="Q39" s="113">
        <v>1.1982E-2</v>
      </c>
      <c r="R39" s="107">
        <f t="shared" si="5"/>
        <v>11.981999999999999</v>
      </c>
      <c r="S39" s="105">
        <f t="shared" si="6"/>
        <v>1069.831546707504</v>
      </c>
      <c r="T39" s="114">
        <f>IFERROR(INDEX('MASTER por modelo'!$AQ$8:$AQ$474,MATCH(K39,'MASTER por modelo'!$D$8:$D$474,0)),"")</f>
        <v>0.20331767469172049</v>
      </c>
      <c r="U39" s="115">
        <f>IFERROR(INDEX('MASTER por modelo'!$AC$8:$AC$474,MATCH(K39,'MASTER por modelo'!$D$8:$D$474,0))+INDEX('MASTER por modelo'!$AD$8:$AD$474,MATCH(K39,'MASTER por modelo'!$D$8:$D$474,0)),"")</f>
        <v>1385</v>
      </c>
      <c r="V39" s="93"/>
    </row>
    <row r="40" spans="1:22" x14ac:dyDescent="0.25">
      <c r="A40" s="109" t="s">
        <v>63</v>
      </c>
      <c r="B40" s="109" t="s">
        <v>64</v>
      </c>
      <c r="C40" s="109" t="s">
        <v>66</v>
      </c>
      <c r="D40" s="103">
        <f t="shared" si="0"/>
        <v>152.96598518017021</v>
      </c>
      <c r="E40" s="110">
        <v>15.55</v>
      </c>
      <c r="F40" s="110">
        <f t="shared" si="1"/>
        <v>10.097402597402597</v>
      </c>
      <c r="G40" s="110">
        <f t="shared" si="2"/>
        <v>11</v>
      </c>
      <c r="H40" s="110"/>
      <c r="I40" s="111">
        <v>2089</v>
      </c>
      <c r="J40" s="109" t="str">
        <f t="shared" si="3"/>
        <v>26</v>
      </c>
      <c r="K40" s="109" t="s">
        <v>98</v>
      </c>
      <c r="L40" s="109" t="s">
        <v>741</v>
      </c>
      <c r="M40" s="111">
        <v>162</v>
      </c>
      <c r="N40" s="110">
        <v>2573.1</v>
      </c>
      <c r="O40" s="105">
        <f t="shared" si="4"/>
        <v>2378.6999999999998</v>
      </c>
      <c r="P40" s="112">
        <v>9.6000000000000002E-2</v>
      </c>
      <c r="Q40" s="113">
        <v>7.4440000000000001E-3</v>
      </c>
      <c r="R40" s="107">
        <f t="shared" si="5"/>
        <v>7.444</v>
      </c>
      <c r="S40" s="105">
        <f t="shared" si="6"/>
        <v>1138.678793681187</v>
      </c>
      <c r="T40" s="114">
        <f>IFERROR(INDEX('MASTER por modelo'!$AQ$8:$AQ$474,MATCH(K40,'MASTER por modelo'!$D$8:$D$474,0)),"")</f>
        <v>0.7577788415509813</v>
      </c>
      <c r="U40" s="115">
        <f>IFERROR(INDEX('MASTER por modelo'!$AC$8:$AC$474,MATCH(K40,'MASTER por modelo'!$D$8:$D$474,0))+INDEX('MASTER por modelo'!$AD$8:$AD$474,MATCH(K40,'MASTER por modelo'!$D$8:$D$474,0)),"")</f>
        <v>1583</v>
      </c>
      <c r="V40" s="93"/>
    </row>
    <row r="41" spans="1:22" x14ac:dyDescent="0.25">
      <c r="A41" s="109" t="s">
        <v>63</v>
      </c>
      <c r="B41" s="109" t="s">
        <v>64</v>
      </c>
      <c r="C41" s="109" t="s">
        <v>57</v>
      </c>
      <c r="D41" s="103">
        <f t="shared" si="0"/>
        <v>101.88276397515529</v>
      </c>
      <c r="E41" s="110">
        <v>15.456</v>
      </c>
      <c r="F41" s="110">
        <f t="shared" si="1"/>
        <v>10.036363636363635</v>
      </c>
      <c r="G41" s="110">
        <f t="shared" si="2"/>
        <v>11</v>
      </c>
      <c r="H41" s="110"/>
      <c r="I41" s="111">
        <v>1280</v>
      </c>
      <c r="J41" s="109" t="str">
        <f t="shared" si="3"/>
        <v>26</v>
      </c>
      <c r="K41" s="109" t="s">
        <v>73</v>
      </c>
      <c r="L41" s="109" t="s">
        <v>742</v>
      </c>
      <c r="M41" s="111">
        <v>161</v>
      </c>
      <c r="N41" s="110">
        <v>1767.9</v>
      </c>
      <c r="O41" s="105">
        <f t="shared" si="4"/>
        <v>1574.7</v>
      </c>
      <c r="P41" s="112">
        <v>9.6000000000000002E-2</v>
      </c>
      <c r="Q41" s="113">
        <v>1.2075000000000001E-2</v>
      </c>
      <c r="R41" s="107">
        <f t="shared" si="5"/>
        <v>12.075000000000001</v>
      </c>
      <c r="S41" s="105">
        <f t="shared" si="6"/>
        <v>1230.234375</v>
      </c>
      <c r="T41" s="114">
        <f>IFERROR(INDEX('MASTER por modelo'!$AQ$8:$AQ$474,MATCH(K41,'MASTER por modelo'!$D$8:$D$474,0)),"")</f>
        <v>0.37766694375173177</v>
      </c>
      <c r="U41" s="115">
        <f>IFERROR(INDEX('MASTER por modelo'!$AC$8:$AC$474,MATCH(K41,'MASTER por modelo'!$D$8:$D$474,0))+INDEX('MASTER por modelo'!$AD$8:$AD$474,MATCH(K41,'MASTER por modelo'!$D$8:$D$474,0)),"")</f>
        <v>1363</v>
      </c>
      <c r="V41" s="93"/>
    </row>
    <row r="42" spans="1:22" x14ac:dyDescent="0.25">
      <c r="A42" s="109" t="s">
        <v>63</v>
      </c>
      <c r="B42" s="109" t="s">
        <v>64</v>
      </c>
      <c r="C42" s="109" t="s">
        <v>57</v>
      </c>
      <c r="D42" s="103">
        <f t="shared" si="0"/>
        <v>98.381066796742687</v>
      </c>
      <c r="E42" s="110">
        <v>15.167999999999999</v>
      </c>
      <c r="F42" s="110">
        <f t="shared" si="1"/>
        <v>9.8493506493506491</v>
      </c>
      <c r="G42" s="110">
        <f t="shared" si="2"/>
        <v>10</v>
      </c>
      <c r="H42" s="110"/>
      <c r="I42" s="111">
        <v>1261</v>
      </c>
      <c r="J42" s="109" t="str">
        <f t="shared" si="3"/>
        <v>26</v>
      </c>
      <c r="K42" s="109" t="s">
        <v>65</v>
      </c>
      <c r="L42" s="109" t="s">
        <v>735</v>
      </c>
      <c r="M42" s="111">
        <v>158</v>
      </c>
      <c r="N42" s="110">
        <v>1681.9</v>
      </c>
      <c r="O42" s="105">
        <f t="shared" si="4"/>
        <v>1492.3000000000002</v>
      </c>
      <c r="P42" s="112">
        <v>9.6000000000000002E-2</v>
      </c>
      <c r="Q42" s="113">
        <v>1.2029E-2</v>
      </c>
      <c r="R42" s="107">
        <f t="shared" si="5"/>
        <v>12.029</v>
      </c>
      <c r="S42" s="105">
        <f t="shared" si="6"/>
        <v>1183.4258524980178</v>
      </c>
      <c r="T42" s="114">
        <f>IFERROR(INDEX('MASTER por modelo'!$AQ$8:$AQ$474,MATCH(K42,'MASTER por modelo'!$D$8:$D$474,0)),"")</f>
        <v>0.3065068493150685</v>
      </c>
      <c r="U42" s="115">
        <f>IFERROR(INDEX('MASTER por modelo'!$AC$8:$AC$474,MATCH(K42,'MASTER por modelo'!$D$8:$D$474,0))+INDEX('MASTER por modelo'!$AD$8:$AD$474,MATCH(K42,'MASTER por modelo'!$D$8:$D$474,0)),"")</f>
        <v>1790</v>
      </c>
      <c r="V42" s="93"/>
    </row>
    <row r="43" spans="1:22" x14ac:dyDescent="0.25">
      <c r="A43" s="109" t="s">
        <v>55</v>
      </c>
      <c r="B43" s="109" t="s">
        <v>56</v>
      </c>
      <c r="C43" s="109" t="s">
        <v>57</v>
      </c>
      <c r="D43" s="103">
        <f t="shared" si="0"/>
        <v>80.047307859424848</v>
      </c>
      <c r="E43" s="110">
        <v>15.071999999999999</v>
      </c>
      <c r="F43" s="110">
        <f t="shared" si="1"/>
        <v>9.7870129870129858</v>
      </c>
      <c r="G43" s="110">
        <f t="shared" si="2"/>
        <v>10</v>
      </c>
      <c r="H43" s="110"/>
      <c r="I43" s="111">
        <v>1253</v>
      </c>
      <c r="J43" s="109" t="str">
        <f t="shared" si="3"/>
        <v>26</v>
      </c>
      <c r="K43" s="109" t="s">
        <v>62</v>
      </c>
      <c r="L43" s="109" t="s">
        <v>728</v>
      </c>
      <c r="M43" s="111">
        <v>157</v>
      </c>
      <c r="N43" s="110">
        <v>1394.9</v>
      </c>
      <c r="O43" s="105">
        <f t="shared" si="4"/>
        <v>1206.5</v>
      </c>
      <c r="P43" s="112">
        <v>9.6000000000000002E-2</v>
      </c>
      <c r="Q43" s="113">
        <v>1.2029E-2</v>
      </c>
      <c r="R43" s="107">
        <f t="shared" si="5"/>
        <v>12.029</v>
      </c>
      <c r="S43" s="105">
        <f t="shared" si="6"/>
        <v>962.88906624102151</v>
      </c>
      <c r="T43" s="114">
        <f>IFERROR(INDEX('MASTER por modelo'!$AQ$8:$AQ$474,MATCH(K43,'MASTER por modelo'!$D$8:$D$474,0)),"")</f>
        <v>0.10677344010677343</v>
      </c>
      <c r="U43" s="115">
        <f>IFERROR(INDEX('MASTER por modelo'!$AC$8:$AC$474,MATCH(K43,'MASTER por modelo'!$D$8:$D$474,0))+INDEX('MASTER por modelo'!$AD$8:$AD$474,MATCH(K43,'MASTER por modelo'!$D$8:$D$474,0)),"")</f>
        <v>640</v>
      </c>
      <c r="V43" s="93"/>
    </row>
    <row r="44" spans="1:22" x14ac:dyDescent="0.25">
      <c r="A44" s="109" t="s">
        <v>55</v>
      </c>
      <c r="B44" s="109" t="s">
        <v>56</v>
      </c>
      <c r="C44" s="109" t="s">
        <v>57</v>
      </c>
      <c r="D44" s="103">
        <f t="shared" si="0"/>
        <v>90.905448717948687</v>
      </c>
      <c r="E44" s="110">
        <v>14.976000000000001</v>
      </c>
      <c r="F44" s="110">
        <f t="shared" si="1"/>
        <v>9.7246753246753244</v>
      </c>
      <c r="G44" s="110">
        <f t="shared" si="2"/>
        <v>10</v>
      </c>
      <c r="H44" s="110"/>
      <c r="I44" s="111">
        <v>1248</v>
      </c>
      <c r="J44" s="109" t="str">
        <f t="shared" si="3"/>
        <v>26</v>
      </c>
      <c r="K44" s="109" t="s">
        <v>79</v>
      </c>
      <c r="L44" s="109" t="s">
        <v>743</v>
      </c>
      <c r="M44" s="111">
        <v>156</v>
      </c>
      <c r="N44" s="110">
        <v>1548.6</v>
      </c>
      <c r="O44" s="105">
        <f t="shared" si="4"/>
        <v>1361.3999999999999</v>
      </c>
      <c r="P44" s="112">
        <v>9.6000000000000002E-2</v>
      </c>
      <c r="Q44" s="113">
        <v>1.2E-2</v>
      </c>
      <c r="R44" s="107">
        <f t="shared" si="5"/>
        <v>12</v>
      </c>
      <c r="S44" s="105">
        <f t="shared" si="6"/>
        <v>1090.8653846153843</v>
      </c>
      <c r="T44" s="114">
        <f>IFERROR(INDEX('MASTER por modelo'!$AQ$8:$AQ$474,MATCH(K44,'MASTER por modelo'!$D$8:$D$474,0)),"")</f>
        <v>0.28536938676967649</v>
      </c>
      <c r="U44" s="115">
        <f>IFERROR(INDEX('MASTER por modelo'!$AC$8:$AC$474,MATCH(K44,'MASTER por modelo'!$D$8:$D$474,0))+INDEX('MASTER por modelo'!$AD$8:$AD$474,MATCH(K44,'MASTER por modelo'!$D$8:$D$474,0)),"")</f>
        <v>591</v>
      </c>
      <c r="V44" s="93"/>
    </row>
    <row r="45" spans="1:22" x14ac:dyDescent="0.25">
      <c r="A45" s="109" t="s">
        <v>63</v>
      </c>
      <c r="B45" s="109" t="s">
        <v>102</v>
      </c>
      <c r="C45" s="109" t="s">
        <v>103</v>
      </c>
      <c r="D45" s="103">
        <f t="shared" si="0"/>
        <v>232.40536269065478</v>
      </c>
      <c r="E45" s="110">
        <v>14.78</v>
      </c>
      <c r="F45" s="110">
        <f t="shared" si="1"/>
        <v>9.5974025974025974</v>
      </c>
      <c r="G45" s="110">
        <f t="shared" si="2"/>
        <v>10</v>
      </c>
      <c r="H45" s="110"/>
      <c r="I45" s="111">
        <v>1992</v>
      </c>
      <c r="J45" s="109" t="str">
        <f t="shared" si="3"/>
        <v>26</v>
      </c>
      <c r="K45" s="109" t="s">
        <v>104</v>
      </c>
      <c r="L45" s="109" t="s">
        <v>744</v>
      </c>
      <c r="M45" s="111">
        <v>174</v>
      </c>
      <c r="N45" s="110">
        <v>3643.9</v>
      </c>
      <c r="O45" s="105">
        <f t="shared" si="4"/>
        <v>3435.1</v>
      </c>
      <c r="P45" s="112">
        <v>8.4900000000000003E-2</v>
      </c>
      <c r="Q45" s="113">
        <v>7.4200000000000004E-3</v>
      </c>
      <c r="R45" s="107">
        <f t="shared" si="5"/>
        <v>7.4200000000000008</v>
      </c>
      <c r="S45" s="105">
        <f t="shared" si="6"/>
        <v>1724.4477911646586</v>
      </c>
      <c r="T45" s="114">
        <f>IFERROR(INDEX('MASTER por modelo'!$AQ$8:$AQ$474,MATCH(K45,'MASTER por modelo'!$D$8:$D$474,0)),"")</f>
        <v>0.644325290437891</v>
      </c>
      <c r="U45" s="115">
        <f>IFERROR(INDEX('MASTER por modelo'!$AC$8:$AC$474,MATCH(K45,'MASTER por modelo'!$D$8:$D$474,0))+INDEX('MASTER por modelo'!$AD$8:$AD$474,MATCH(K45,'MASTER por modelo'!$D$8:$D$474,0)),"")</f>
        <v>3605</v>
      </c>
      <c r="V45" s="93"/>
    </row>
    <row r="46" spans="1:22" x14ac:dyDescent="0.25">
      <c r="A46" s="109" t="s">
        <v>63</v>
      </c>
      <c r="B46" s="109" t="s">
        <v>64</v>
      </c>
      <c r="C46" s="109" t="s">
        <v>87</v>
      </c>
      <c r="D46" s="103">
        <f t="shared" si="0"/>
        <v>119.99412374455734</v>
      </c>
      <c r="E46" s="110">
        <v>14.58</v>
      </c>
      <c r="F46" s="110">
        <f t="shared" si="1"/>
        <v>9.4675324675324681</v>
      </c>
      <c r="G46" s="110">
        <f t="shared" si="2"/>
        <v>10</v>
      </c>
      <c r="H46" s="110"/>
      <c r="I46" s="111">
        <v>1619</v>
      </c>
      <c r="J46" s="109" t="str">
        <f t="shared" si="3"/>
        <v>26</v>
      </c>
      <c r="K46" s="109" t="s">
        <v>108</v>
      </c>
      <c r="L46" s="109" t="s">
        <v>738</v>
      </c>
      <c r="M46" s="111">
        <v>162</v>
      </c>
      <c r="N46" s="110">
        <v>1944</v>
      </c>
      <c r="O46" s="105">
        <f t="shared" si="4"/>
        <v>1749.6</v>
      </c>
      <c r="P46" s="112">
        <v>0.09</v>
      </c>
      <c r="Q46" s="113">
        <v>9.0060000000000001E-3</v>
      </c>
      <c r="R46" s="107">
        <f t="shared" si="5"/>
        <v>9.0060000000000002</v>
      </c>
      <c r="S46" s="105">
        <f t="shared" si="6"/>
        <v>1080.6670784434834</v>
      </c>
      <c r="T46" s="114">
        <f>IFERROR(INDEX('MASTER por modelo'!$AQ$8:$AQ$474,MATCH(K46,'MASTER por modelo'!$D$8:$D$474,0)),"")</f>
        <v>0.58987029030265592</v>
      </c>
      <c r="U46" s="115">
        <f>IFERROR(INDEX('MASTER por modelo'!$AC$8:$AC$474,MATCH(K46,'MASTER por modelo'!$D$8:$D$474,0))+INDEX('MASTER por modelo'!$AD$8:$AD$474,MATCH(K46,'MASTER por modelo'!$D$8:$D$474,0)),"")</f>
        <v>955</v>
      </c>
      <c r="V46" s="93"/>
    </row>
    <row r="47" spans="1:22" x14ac:dyDescent="0.25">
      <c r="A47" s="109" t="s">
        <v>63</v>
      </c>
      <c r="B47" s="109" t="s">
        <v>64</v>
      </c>
      <c r="C47" s="109" t="s">
        <v>57</v>
      </c>
      <c r="D47" s="103">
        <f t="shared" si="0"/>
        <v>102.07057856198401</v>
      </c>
      <c r="E47" s="110">
        <v>14.4</v>
      </c>
      <c r="F47" s="110">
        <f t="shared" si="1"/>
        <v>9.3506493506493502</v>
      </c>
      <c r="G47" s="110">
        <f t="shared" si="2"/>
        <v>10</v>
      </c>
      <c r="H47" s="110"/>
      <c r="I47" s="111">
        <v>1196</v>
      </c>
      <c r="J47" s="109" t="str">
        <f t="shared" si="3"/>
        <v>26</v>
      </c>
      <c r="K47" s="109" t="s">
        <v>73</v>
      </c>
      <c r="L47" s="109" t="s">
        <v>742</v>
      </c>
      <c r="M47" s="111">
        <v>150</v>
      </c>
      <c r="N47" s="110">
        <v>1649.8</v>
      </c>
      <c r="O47" s="105">
        <f t="shared" si="4"/>
        <v>1469.8</v>
      </c>
      <c r="P47" s="112">
        <v>9.6000000000000002E-2</v>
      </c>
      <c r="Q47" s="113">
        <v>1.204E-2</v>
      </c>
      <c r="R47" s="107">
        <f t="shared" si="5"/>
        <v>12.040000000000001</v>
      </c>
      <c r="S47" s="105">
        <f t="shared" si="6"/>
        <v>1228.9297658862877</v>
      </c>
      <c r="T47" s="114">
        <f>IFERROR(INDEX('MASTER por modelo'!$AQ$8:$AQ$474,MATCH(K47,'MASTER por modelo'!$D$8:$D$474,0)),"")</f>
        <v>0.37766694375173177</v>
      </c>
      <c r="U47" s="115">
        <f>IFERROR(INDEX('MASTER por modelo'!$AC$8:$AC$474,MATCH(K47,'MASTER por modelo'!$D$8:$D$474,0))+INDEX('MASTER por modelo'!$AD$8:$AD$474,MATCH(K47,'MASTER por modelo'!$D$8:$D$474,0)),"")</f>
        <v>1363</v>
      </c>
      <c r="V47" s="93"/>
    </row>
    <row r="48" spans="1:22" x14ac:dyDescent="0.25">
      <c r="A48" s="109" t="s">
        <v>63</v>
      </c>
      <c r="B48" s="109" t="s">
        <v>64</v>
      </c>
      <c r="C48" s="109" t="s">
        <v>57</v>
      </c>
      <c r="D48" s="103">
        <f t="shared" si="0"/>
        <v>102.92330369003379</v>
      </c>
      <c r="E48" s="110">
        <v>14.12</v>
      </c>
      <c r="F48" s="110">
        <f t="shared" si="1"/>
        <v>9.1688311688311686</v>
      </c>
      <c r="G48" s="110">
        <f t="shared" si="2"/>
        <v>10</v>
      </c>
      <c r="H48" s="110"/>
      <c r="I48" s="111">
        <v>1027</v>
      </c>
      <c r="J48" s="109" t="str">
        <f t="shared" si="3"/>
        <v>26</v>
      </c>
      <c r="K48" s="109" t="s">
        <v>109</v>
      </c>
      <c r="L48" s="109" t="s">
        <v>727</v>
      </c>
      <c r="M48" s="111">
        <v>129</v>
      </c>
      <c r="N48" s="110">
        <v>1608.1</v>
      </c>
      <c r="O48" s="105">
        <f t="shared" si="4"/>
        <v>1453.3</v>
      </c>
      <c r="P48" s="112">
        <v>0.1095</v>
      </c>
      <c r="Q48" s="113">
        <v>1.3749000000000001E-2</v>
      </c>
      <c r="R48" s="107">
        <f t="shared" si="5"/>
        <v>13.749000000000001</v>
      </c>
      <c r="S48" s="105">
        <f t="shared" si="6"/>
        <v>1415.0925024342746</v>
      </c>
      <c r="T48" s="114">
        <f>IFERROR(INDEX('MASTER por modelo'!$AQ$8:$AQ$474,MATCH(K48,'MASTER por modelo'!$D$8:$D$474,0)),"")</f>
        <v>0</v>
      </c>
      <c r="U48" s="115">
        <f>IFERROR(INDEX('MASTER por modelo'!$AC$8:$AC$474,MATCH(K48,'MASTER por modelo'!$D$8:$D$474,0))+INDEX('MASTER por modelo'!$AD$8:$AD$474,MATCH(K48,'MASTER por modelo'!$D$8:$D$474,0)),"")</f>
        <v>0</v>
      </c>
      <c r="V48" s="93"/>
    </row>
    <row r="49" spans="1:22" x14ac:dyDescent="0.25">
      <c r="A49" s="109" t="s">
        <v>55</v>
      </c>
      <c r="B49" s="109" t="s">
        <v>56</v>
      </c>
      <c r="C49" s="109" t="s">
        <v>57</v>
      </c>
      <c r="D49" s="103">
        <f t="shared" si="0"/>
        <v>122.76576054590845</v>
      </c>
      <c r="E49" s="110">
        <v>14.016</v>
      </c>
      <c r="F49" s="110">
        <f t="shared" si="1"/>
        <v>9.1012987012987008</v>
      </c>
      <c r="G49" s="110">
        <f t="shared" si="2"/>
        <v>10</v>
      </c>
      <c r="H49" s="110"/>
      <c r="I49" s="111">
        <v>1023</v>
      </c>
      <c r="J49" s="109" t="str">
        <f t="shared" si="3"/>
        <v>26</v>
      </c>
      <c r="K49" s="109" t="s">
        <v>78</v>
      </c>
      <c r="L49" s="109" t="s">
        <v>743</v>
      </c>
      <c r="M49" s="111">
        <v>146</v>
      </c>
      <c r="N49" s="110">
        <v>1895.9</v>
      </c>
      <c r="O49" s="105">
        <f t="shared" si="4"/>
        <v>1720.7</v>
      </c>
      <c r="P49" s="112">
        <v>9.6000000000000002E-2</v>
      </c>
      <c r="Q49" s="113">
        <v>1.3701E-2</v>
      </c>
      <c r="R49" s="107">
        <f t="shared" si="5"/>
        <v>13.701000000000001</v>
      </c>
      <c r="S49" s="105">
        <f t="shared" si="6"/>
        <v>1682.0136852394919</v>
      </c>
      <c r="T49" s="114">
        <f>IFERROR(INDEX('MASTER por modelo'!$AQ$8:$AQ$474,MATCH(K49,'MASTER por modelo'!$D$8:$D$474,0)),"")</f>
        <v>0.20372398685651696</v>
      </c>
      <c r="U49" s="115">
        <f>IFERROR(INDEX('MASTER por modelo'!$AC$8:$AC$474,MATCH(K49,'MASTER por modelo'!$D$8:$D$474,0))+INDEX('MASTER por modelo'!$AD$8:$AD$474,MATCH(K49,'MASTER por modelo'!$D$8:$D$474,0)),"")</f>
        <v>372</v>
      </c>
      <c r="V49" s="93"/>
    </row>
    <row r="50" spans="1:22" x14ac:dyDescent="0.25">
      <c r="A50" s="109" t="s">
        <v>63</v>
      </c>
      <c r="B50" s="109" t="s">
        <v>110</v>
      </c>
      <c r="C50" s="109" t="s">
        <v>111</v>
      </c>
      <c r="D50" s="103">
        <f t="shared" si="0"/>
        <v>150.8515484184785</v>
      </c>
      <c r="E50" s="110">
        <v>13.824</v>
      </c>
      <c r="F50" s="110">
        <f t="shared" si="1"/>
        <v>8.9766233766233761</v>
      </c>
      <c r="G50" s="110">
        <f t="shared" si="2"/>
        <v>9</v>
      </c>
      <c r="H50" s="110"/>
      <c r="I50" s="111">
        <v>3146</v>
      </c>
      <c r="J50" s="109" t="str">
        <f t="shared" si="3"/>
        <v>26</v>
      </c>
      <c r="K50" s="109" t="s">
        <v>112</v>
      </c>
      <c r="L50" s="109" t="s">
        <v>745</v>
      </c>
      <c r="M50" s="111">
        <v>144</v>
      </c>
      <c r="N50" s="110">
        <v>2258.1</v>
      </c>
      <c r="O50" s="105">
        <f t="shared" si="4"/>
        <v>2085.2999999999997</v>
      </c>
      <c r="P50" s="112">
        <v>9.6000000000000002E-2</v>
      </c>
      <c r="Q50" s="113">
        <v>4.3940000000000003E-3</v>
      </c>
      <c r="R50" s="107">
        <f t="shared" si="5"/>
        <v>4.3940000000000001</v>
      </c>
      <c r="S50" s="105">
        <f t="shared" si="6"/>
        <v>662.84170375079452</v>
      </c>
      <c r="T50" s="114">
        <f>IFERROR(INDEX('MASTER por modelo'!$AQ$8:$AQ$474,MATCH(K50,'MASTER por modelo'!$D$8:$D$474,0)),"")</f>
        <v>0.1687857596948506</v>
      </c>
      <c r="U50" s="115">
        <f>IFERROR(INDEX('MASTER por modelo'!$AC$8:$AC$474,MATCH(K50,'MASTER por modelo'!$D$8:$D$474,0))+INDEX('MASTER por modelo'!$AD$8:$AD$474,MATCH(K50,'MASTER por modelo'!$D$8:$D$474,0)),"")</f>
        <v>531</v>
      </c>
      <c r="V50" s="93"/>
    </row>
    <row r="51" spans="1:22" x14ac:dyDescent="0.25">
      <c r="A51" s="109" t="s">
        <v>63</v>
      </c>
      <c r="B51" s="109" t="s">
        <v>110</v>
      </c>
      <c r="C51" s="109" t="s">
        <v>100</v>
      </c>
      <c r="D51" s="103">
        <f t="shared" si="0"/>
        <v>171.23620867467065</v>
      </c>
      <c r="E51" s="110">
        <v>13.824</v>
      </c>
      <c r="F51" s="110">
        <f t="shared" si="1"/>
        <v>8.9766233766233761</v>
      </c>
      <c r="G51" s="110">
        <f t="shared" si="2"/>
        <v>9</v>
      </c>
      <c r="H51" s="110"/>
      <c r="I51" s="111">
        <v>4573</v>
      </c>
      <c r="J51" s="109" t="str">
        <f t="shared" si="3"/>
        <v>26</v>
      </c>
      <c r="K51" s="109" t="s">
        <v>113</v>
      </c>
      <c r="L51" s="109" t="s">
        <v>745</v>
      </c>
      <c r="M51" s="111">
        <v>144</v>
      </c>
      <c r="N51" s="110">
        <v>2540</v>
      </c>
      <c r="O51" s="105">
        <f t="shared" si="4"/>
        <v>2367.1999999999998</v>
      </c>
      <c r="P51" s="112">
        <v>9.6000000000000002E-2</v>
      </c>
      <c r="Q51" s="113">
        <v>3.0230000000000001E-3</v>
      </c>
      <c r="R51" s="107">
        <f t="shared" si="5"/>
        <v>3.0230000000000001</v>
      </c>
      <c r="S51" s="105">
        <f t="shared" si="6"/>
        <v>517.64705882352939</v>
      </c>
      <c r="T51" s="114">
        <f>IFERROR(INDEX('MASTER por modelo'!$AQ$8:$AQ$474,MATCH(K51,'MASTER por modelo'!$D$8:$D$474,0)),"")</f>
        <v>0.46555871419199651</v>
      </c>
      <c r="U51" s="115">
        <f>IFERROR(INDEX('MASTER por modelo'!$AC$8:$AC$474,MATCH(K51,'MASTER por modelo'!$D$8:$D$474,0))+INDEX('MASTER por modelo'!$AD$8:$AD$474,MATCH(K51,'MASTER por modelo'!$D$8:$D$474,0)),"")</f>
        <v>2129</v>
      </c>
      <c r="V51" s="93"/>
    </row>
    <row r="52" spans="1:22" x14ac:dyDescent="0.25">
      <c r="A52" s="109" t="s">
        <v>63</v>
      </c>
      <c r="B52" s="109" t="s">
        <v>64</v>
      </c>
      <c r="C52" s="109" t="s">
        <v>57</v>
      </c>
      <c r="D52" s="103">
        <f t="shared" si="0"/>
        <v>106.88883772119759</v>
      </c>
      <c r="E52" s="110">
        <v>13.728</v>
      </c>
      <c r="F52" s="110">
        <f t="shared" si="1"/>
        <v>8.9142857142857146</v>
      </c>
      <c r="G52" s="110">
        <f t="shared" si="2"/>
        <v>9</v>
      </c>
      <c r="H52" s="110"/>
      <c r="I52" s="111">
        <v>1421</v>
      </c>
      <c r="J52" s="109" t="str">
        <f t="shared" si="3"/>
        <v>26</v>
      </c>
      <c r="K52" s="109" t="s">
        <v>114</v>
      </c>
      <c r="L52" s="109" t="s">
        <v>746</v>
      </c>
      <c r="M52" s="111">
        <v>143</v>
      </c>
      <c r="N52" s="110">
        <v>1639</v>
      </c>
      <c r="O52" s="105">
        <f t="shared" si="4"/>
        <v>1467.4</v>
      </c>
      <c r="P52" s="112">
        <v>9.6000000000000002E-2</v>
      </c>
      <c r="Q52" s="113">
        <v>9.6609999999999994E-3</v>
      </c>
      <c r="R52" s="107">
        <f t="shared" si="5"/>
        <v>9.6609999999999996</v>
      </c>
      <c r="S52" s="105">
        <f t="shared" si="6"/>
        <v>1032.6530612244899</v>
      </c>
      <c r="T52" s="114">
        <f>IFERROR(INDEX('MASTER por modelo'!$AQ$8:$AQ$474,MATCH(K52,'MASTER por modelo'!$D$8:$D$474,0)),"")</f>
        <v>4.3508771929824559E-2</v>
      </c>
      <c r="U52" s="115">
        <f>IFERROR(INDEX('MASTER por modelo'!$AC$8:$AC$474,MATCH(K52,'MASTER por modelo'!$D$8:$D$474,0))+INDEX('MASTER por modelo'!$AD$8:$AD$474,MATCH(K52,'MASTER por modelo'!$D$8:$D$474,0)),"")</f>
        <v>62</v>
      </c>
      <c r="V52" s="93"/>
    </row>
    <row r="53" spans="1:22" x14ac:dyDescent="0.25">
      <c r="A53" s="109" t="s">
        <v>63</v>
      </c>
      <c r="B53" s="109" t="s">
        <v>64</v>
      </c>
      <c r="C53" s="109" t="s">
        <v>57</v>
      </c>
      <c r="D53" s="103">
        <f t="shared" si="0"/>
        <v>101.97871870950779</v>
      </c>
      <c r="E53" s="110">
        <v>13.632</v>
      </c>
      <c r="F53" s="110">
        <f t="shared" si="1"/>
        <v>8.8519480519480513</v>
      </c>
      <c r="G53" s="110">
        <f t="shared" si="2"/>
        <v>9</v>
      </c>
      <c r="H53" s="110"/>
      <c r="I53" s="111">
        <v>1133</v>
      </c>
      <c r="J53" s="109" t="str">
        <f t="shared" si="3"/>
        <v>26</v>
      </c>
      <c r="K53" s="109" t="s">
        <v>73</v>
      </c>
      <c r="L53" s="109" t="s">
        <v>742</v>
      </c>
      <c r="M53" s="111">
        <v>142</v>
      </c>
      <c r="N53" s="110">
        <v>1560.6</v>
      </c>
      <c r="O53" s="105">
        <f t="shared" si="4"/>
        <v>1390.1999999999998</v>
      </c>
      <c r="P53" s="112">
        <v>9.6000000000000002E-2</v>
      </c>
      <c r="Q53" s="113">
        <v>1.2031999999999999E-2</v>
      </c>
      <c r="R53" s="107">
        <f t="shared" si="5"/>
        <v>12.032</v>
      </c>
      <c r="S53" s="105">
        <f t="shared" si="6"/>
        <v>1227.0079435127977</v>
      </c>
      <c r="T53" s="114">
        <f>IFERROR(INDEX('MASTER por modelo'!$AQ$8:$AQ$474,MATCH(K53,'MASTER por modelo'!$D$8:$D$474,0)),"")</f>
        <v>0.37766694375173177</v>
      </c>
      <c r="U53" s="115">
        <f>IFERROR(INDEX('MASTER por modelo'!$AC$8:$AC$474,MATCH(K53,'MASTER por modelo'!$D$8:$D$474,0))+INDEX('MASTER por modelo'!$AD$8:$AD$474,MATCH(K53,'MASTER por modelo'!$D$8:$D$474,0)),"")</f>
        <v>1363</v>
      </c>
      <c r="V53" s="93"/>
    </row>
    <row r="54" spans="1:22" x14ac:dyDescent="0.25">
      <c r="A54" s="109" t="s">
        <v>63</v>
      </c>
      <c r="B54" s="109" t="s">
        <v>64</v>
      </c>
      <c r="C54" s="109" t="s">
        <v>66</v>
      </c>
      <c r="D54" s="103">
        <f t="shared" si="0"/>
        <v>145.64719850357866</v>
      </c>
      <c r="E54" s="110">
        <v>13.391999999999999</v>
      </c>
      <c r="F54" s="110">
        <f t="shared" si="1"/>
        <v>8.6961038961038959</v>
      </c>
      <c r="G54" s="110">
        <f t="shared" si="2"/>
        <v>9</v>
      </c>
      <c r="H54" s="110"/>
      <c r="I54" s="111">
        <v>1873</v>
      </c>
      <c r="J54" s="109" t="str">
        <f t="shared" si="3"/>
        <v>26</v>
      </c>
      <c r="K54" s="109" t="s">
        <v>117</v>
      </c>
      <c r="L54" s="109" t="s">
        <v>732</v>
      </c>
      <c r="M54" s="111">
        <v>124</v>
      </c>
      <c r="N54" s="110">
        <v>2099.3000000000002</v>
      </c>
      <c r="O54" s="105">
        <f t="shared" si="4"/>
        <v>1950.5000000000002</v>
      </c>
      <c r="P54" s="112">
        <v>0.108</v>
      </c>
      <c r="Q54" s="113">
        <v>7.1500000000000001E-3</v>
      </c>
      <c r="R54" s="107">
        <f t="shared" si="5"/>
        <v>7.15</v>
      </c>
      <c r="S54" s="105">
        <f t="shared" si="6"/>
        <v>1041.3774693005876</v>
      </c>
      <c r="T54" s="114">
        <f>IFERROR(INDEX('MASTER por modelo'!$AQ$8:$AQ$474,MATCH(K54,'MASTER por modelo'!$D$8:$D$474,0)),"")</f>
        <v>0.76294714361986116</v>
      </c>
      <c r="U54" s="115">
        <f>IFERROR(INDEX('MASTER por modelo'!$AC$8:$AC$474,MATCH(K54,'MASTER por modelo'!$D$8:$D$474,0))+INDEX('MASTER por modelo'!$AD$8:$AD$474,MATCH(K54,'MASTER por modelo'!$D$8:$D$474,0)),"")</f>
        <v>1429</v>
      </c>
      <c r="V54" s="93"/>
    </row>
    <row r="55" spans="1:22" x14ac:dyDescent="0.25">
      <c r="A55" s="109" t="s">
        <v>63</v>
      </c>
      <c r="B55" s="109" t="s">
        <v>64</v>
      </c>
      <c r="C55" s="109" t="s">
        <v>66</v>
      </c>
      <c r="D55" s="103">
        <f t="shared" si="0"/>
        <v>151.07184718645732</v>
      </c>
      <c r="E55" s="110">
        <v>13.343999999999999</v>
      </c>
      <c r="F55" s="110">
        <f t="shared" si="1"/>
        <v>8.6649350649350652</v>
      </c>
      <c r="G55" s="110">
        <f t="shared" si="2"/>
        <v>9</v>
      </c>
      <c r="H55" s="110"/>
      <c r="I55" s="111">
        <v>1810</v>
      </c>
      <c r="J55" s="109" t="str">
        <f t="shared" si="3"/>
        <v>27</v>
      </c>
      <c r="K55" s="109" t="s">
        <v>118</v>
      </c>
      <c r="L55" s="109" t="s">
        <v>747</v>
      </c>
      <c r="M55" s="111">
        <v>139</v>
      </c>
      <c r="N55" s="110">
        <v>2182.6</v>
      </c>
      <c r="O55" s="105">
        <f t="shared" si="4"/>
        <v>2015.8</v>
      </c>
      <c r="P55" s="112">
        <v>9.6000000000000002E-2</v>
      </c>
      <c r="Q55" s="113">
        <v>7.3720000000000001E-3</v>
      </c>
      <c r="R55" s="107">
        <f t="shared" si="5"/>
        <v>7.3719999999999999</v>
      </c>
      <c r="S55" s="105">
        <f t="shared" si="6"/>
        <v>1113.7016574585634</v>
      </c>
      <c r="T55" s="114">
        <f>IFERROR(INDEX('MASTER por modelo'!$AQ$8:$AQ$474,MATCH(K55,'MASTER por modelo'!$D$8:$D$474,0)),"")</f>
        <v>0</v>
      </c>
      <c r="U55" s="115">
        <f>IFERROR(INDEX('MASTER por modelo'!$AC$8:$AC$474,MATCH(K55,'MASTER por modelo'!$D$8:$D$474,0))+INDEX('MASTER por modelo'!$AD$8:$AD$474,MATCH(K55,'MASTER por modelo'!$D$8:$D$474,0)),"")</f>
        <v>0</v>
      </c>
      <c r="V55" s="93"/>
    </row>
    <row r="56" spans="1:22" x14ac:dyDescent="0.25">
      <c r="A56" s="109" t="s">
        <v>63</v>
      </c>
      <c r="B56" s="109" t="s">
        <v>64</v>
      </c>
      <c r="C56" s="109" t="s">
        <v>66</v>
      </c>
      <c r="D56" s="103">
        <f t="shared" si="0"/>
        <v>174.55071421077085</v>
      </c>
      <c r="E56" s="110">
        <v>13.343999999999999</v>
      </c>
      <c r="F56" s="110">
        <f t="shared" si="1"/>
        <v>8.6649350649350652</v>
      </c>
      <c r="G56" s="110">
        <f t="shared" si="2"/>
        <v>9</v>
      </c>
      <c r="H56" s="110"/>
      <c r="I56" s="111">
        <v>1800</v>
      </c>
      <c r="J56" s="109" t="str">
        <f t="shared" si="3"/>
        <v>27</v>
      </c>
      <c r="K56" s="109" t="s">
        <v>119</v>
      </c>
      <c r="L56" s="109" t="s">
        <v>747</v>
      </c>
      <c r="M56" s="111">
        <v>139</v>
      </c>
      <c r="N56" s="110">
        <v>2495.9</v>
      </c>
      <c r="O56" s="105">
        <f t="shared" si="4"/>
        <v>2329.1</v>
      </c>
      <c r="P56" s="112">
        <v>9.6000000000000002E-2</v>
      </c>
      <c r="Q56" s="113">
        <v>7.4130000000000003E-3</v>
      </c>
      <c r="R56" s="107">
        <f t="shared" si="5"/>
        <v>7.4130000000000003</v>
      </c>
      <c r="S56" s="105">
        <f t="shared" si="6"/>
        <v>1293.9444444444443</v>
      </c>
      <c r="T56" s="114">
        <f>IFERROR(INDEX('MASTER por modelo'!$AQ$8:$AQ$474,MATCH(K56,'MASTER por modelo'!$D$8:$D$474,0)),"")</f>
        <v>0</v>
      </c>
      <c r="U56" s="115">
        <f>IFERROR(INDEX('MASTER por modelo'!$AC$8:$AC$474,MATCH(K56,'MASTER por modelo'!$D$8:$D$474,0))+INDEX('MASTER por modelo'!$AD$8:$AD$474,MATCH(K56,'MASTER por modelo'!$D$8:$D$474,0)),"")</f>
        <v>0</v>
      </c>
      <c r="V56" s="93"/>
    </row>
    <row r="57" spans="1:22" x14ac:dyDescent="0.25">
      <c r="A57" s="109" t="s">
        <v>120</v>
      </c>
      <c r="B57" s="109" t="s">
        <v>121</v>
      </c>
      <c r="C57" s="109" t="s">
        <v>122</v>
      </c>
      <c r="D57" s="103">
        <f t="shared" si="0"/>
        <v>104.76787136601203</v>
      </c>
      <c r="E57" s="110">
        <v>13.34</v>
      </c>
      <c r="F57" s="110">
        <f t="shared" si="1"/>
        <v>8.6623376623376629</v>
      </c>
      <c r="G57" s="110">
        <f t="shared" si="2"/>
        <v>9</v>
      </c>
      <c r="H57" s="110"/>
      <c r="I57" s="111">
        <v>1869</v>
      </c>
      <c r="J57" s="109" t="str">
        <f t="shared" si="3"/>
        <v>26</v>
      </c>
      <c r="K57" s="109" t="s">
        <v>123</v>
      </c>
      <c r="L57" s="109" t="s">
        <v>748</v>
      </c>
      <c r="M57" s="111">
        <v>125</v>
      </c>
      <c r="N57" s="110">
        <v>1547.7</v>
      </c>
      <c r="O57" s="105">
        <f t="shared" si="4"/>
        <v>1397.7</v>
      </c>
      <c r="P57" s="112">
        <v>0.1067</v>
      </c>
      <c r="Q57" s="113">
        <v>7.1380000000000002E-3</v>
      </c>
      <c r="R57" s="107">
        <f t="shared" si="5"/>
        <v>7.1379999999999999</v>
      </c>
      <c r="S57" s="105">
        <f t="shared" si="6"/>
        <v>747.83306581059389</v>
      </c>
      <c r="T57" s="114">
        <f>IFERROR(INDEX('MASTER por modelo'!$AQ$8:$AQ$474,MATCH(K57,'MASTER por modelo'!$D$8:$D$474,0)),"")</f>
        <v>0.27929373996789725</v>
      </c>
      <c r="U57" s="115">
        <f>IFERROR(INDEX('MASTER por modelo'!$AC$8:$AC$474,MATCH(K57,'MASTER por modelo'!$D$8:$D$474,0))+INDEX('MASTER por modelo'!$AD$8:$AD$474,MATCH(K57,'MASTER por modelo'!$D$8:$D$474,0)),"")</f>
        <v>522</v>
      </c>
      <c r="V57" s="93"/>
    </row>
    <row r="58" spans="1:22" x14ac:dyDescent="0.25">
      <c r="A58" s="109" t="s">
        <v>63</v>
      </c>
      <c r="B58" s="109" t="s">
        <v>64</v>
      </c>
      <c r="C58" s="109" t="s">
        <v>57</v>
      </c>
      <c r="D58" s="103">
        <f t="shared" si="0"/>
        <v>97.946722822179481</v>
      </c>
      <c r="E58" s="110">
        <v>13.151999999999999</v>
      </c>
      <c r="F58" s="110">
        <f t="shared" si="1"/>
        <v>8.5402597402597404</v>
      </c>
      <c r="G58" s="110">
        <f t="shared" si="2"/>
        <v>9</v>
      </c>
      <c r="H58" s="110"/>
      <c r="I58" s="111">
        <v>1092</v>
      </c>
      <c r="J58" s="109" t="str">
        <f t="shared" si="3"/>
        <v>26</v>
      </c>
      <c r="K58" s="109" t="s">
        <v>65</v>
      </c>
      <c r="L58" s="109" t="s">
        <v>735</v>
      </c>
      <c r="M58" s="111">
        <v>137</v>
      </c>
      <c r="N58" s="110">
        <v>1452.6</v>
      </c>
      <c r="O58" s="105">
        <f t="shared" si="4"/>
        <v>1288.1999999999998</v>
      </c>
      <c r="P58" s="112">
        <v>9.6000000000000002E-2</v>
      </c>
      <c r="Q58" s="113">
        <v>1.2043999999999999E-2</v>
      </c>
      <c r="R58" s="107">
        <f t="shared" si="5"/>
        <v>12.043999999999999</v>
      </c>
      <c r="S58" s="105">
        <f t="shared" si="6"/>
        <v>1179.6703296703295</v>
      </c>
      <c r="T58" s="114">
        <f>IFERROR(INDEX('MASTER por modelo'!$AQ$8:$AQ$474,MATCH(K58,'MASTER por modelo'!$D$8:$D$474,0)),"")</f>
        <v>0.3065068493150685</v>
      </c>
      <c r="U58" s="115">
        <f>IFERROR(INDEX('MASTER por modelo'!$AC$8:$AC$474,MATCH(K58,'MASTER por modelo'!$D$8:$D$474,0))+INDEX('MASTER por modelo'!$AD$8:$AD$474,MATCH(K58,'MASTER por modelo'!$D$8:$D$474,0)),"")</f>
        <v>1790</v>
      </c>
      <c r="V58" s="93"/>
    </row>
    <row r="59" spans="1:22" x14ac:dyDescent="0.25">
      <c r="A59" s="109" t="s">
        <v>63</v>
      </c>
      <c r="B59" s="109" t="s">
        <v>64</v>
      </c>
      <c r="C59" s="109" t="s">
        <v>57</v>
      </c>
      <c r="D59" s="103">
        <f t="shared" si="0"/>
        <v>134.51734962040103</v>
      </c>
      <c r="E59" s="110">
        <v>13.15</v>
      </c>
      <c r="F59" s="110">
        <f t="shared" si="1"/>
        <v>8.5389610389610393</v>
      </c>
      <c r="G59" s="110">
        <f t="shared" si="2"/>
        <v>9</v>
      </c>
      <c r="H59" s="110"/>
      <c r="I59" s="111">
        <v>1868</v>
      </c>
      <c r="J59" s="109" t="str">
        <f t="shared" si="3"/>
        <v>26</v>
      </c>
      <c r="K59" s="109" t="s">
        <v>124</v>
      </c>
      <c r="L59" s="109" t="s">
        <v>727</v>
      </c>
      <c r="M59" s="111">
        <v>126</v>
      </c>
      <c r="N59" s="110">
        <v>1920.2</v>
      </c>
      <c r="O59" s="105">
        <f t="shared" si="4"/>
        <v>1769</v>
      </c>
      <c r="P59" s="112">
        <v>0.10440000000000001</v>
      </c>
      <c r="Q59" s="113">
        <v>7.0400000000000003E-3</v>
      </c>
      <c r="R59" s="107">
        <f t="shared" si="5"/>
        <v>7.04</v>
      </c>
      <c r="S59" s="105">
        <f t="shared" si="6"/>
        <v>947.00214132762312</v>
      </c>
      <c r="T59" s="114">
        <f>IFERROR(INDEX('MASTER por modelo'!$AQ$8:$AQ$474,MATCH(K59,'MASTER por modelo'!$D$8:$D$474,0)),"")</f>
        <v>0</v>
      </c>
      <c r="U59" s="115">
        <f>IFERROR(INDEX('MASTER por modelo'!$AC$8:$AC$474,MATCH(K59,'MASTER por modelo'!$D$8:$D$474,0))+INDEX('MASTER por modelo'!$AD$8:$AD$474,MATCH(K59,'MASTER por modelo'!$D$8:$D$474,0)),"")</f>
        <v>0</v>
      </c>
      <c r="V59" s="93"/>
    </row>
    <row r="60" spans="1:22" x14ac:dyDescent="0.25">
      <c r="A60" s="109" t="s">
        <v>63</v>
      </c>
      <c r="B60" s="109" t="s">
        <v>64</v>
      </c>
      <c r="C60" s="109" t="s">
        <v>57</v>
      </c>
      <c r="D60" s="103">
        <f t="shared" si="0"/>
        <v>98.133174941846505</v>
      </c>
      <c r="E60" s="110">
        <v>12.768000000000001</v>
      </c>
      <c r="F60" s="110">
        <f t="shared" si="1"/>
        <v>8.290909090909091</v>
      </c>
      <c r="G60" s="110">
        <f t="shared" si="2"/>
        <v>9</v>
      </c>
      <c r="H60" s="110"/>
      <c r="I60" s="111">
        <v>1059</v>
      </c>
      <c r="J60" s="109" t="str">
        <f t="shared" si="3"/>
        <v>26</v>
      </c>
      <c r="K60" s="109" t="s">
        <v>65</v>
      </c>
      <c r="L60" s="109" t="s">
        <v>735</v>
      </c>
      <c r="M60" s="111">
        <v>133</v>
      </c>
      <c r="N60" s="110">
        <v>1412.6</v>
      </c>
      <c r="O60" s="105">
        <f t="shared" si="4"/>
        <v>1253</v>
      </c>
      <c r="P60" s="112">
        <v>9.6000000000000002E-2</v>
      </c>
      <c r="Q60" s="113">
        <v>1.2057E-2</v>
      </c>
      <c r="R60" s="107">
        <f t="shared" si="5"/>
        <v>12.057</v>
      </c>
      <c r="S60" s="105">
        <f t="shared" si="6"/>
        <v>1183.1916902738433</v>
      </c>
      <c r="T60" s="114">
        <f>IFERROR(INDEX('MASTER por modelo'!$AQ$8:$AQ$474,MATCH(K60,'MASTER por modelo'!$D$8:$D$474,0)),"")</f>
        <v>0.3065068493150685</v>
      </c>
      <c r="U60" s="115">
        <f>IFERROR(INDEX('MASTER por modelo'!$AC$8:$AC$474,MATCH(K60,'MASTER por modelo'!$D$8:$D$474,0))+INDEX('MASTER por modelo'!$AD$8:$AD$474,MATCH(K60,'MASTER por modelo'!$D$8:$D$474,0)),"")</f>
        <v>1790</v>
      </c>
      <c r="V60" s="93"/>
    </row>
    <row r="61" spans="1:22" x14ac:dyDescent="0.25">
      <c r="A61" s="109" t="s">
        <v>63</v>
      </c>
      <c r="B61" s="109" t="s">
        <v>64</v>
      </c>
      <c r="C61" s="109" t="s">
        <v>57</v>
      </c>
      <c r="D61" s="103">
        <f t="shared" si="0"/>
        <v>110.85228049164805</v>
      </c>
      <c r="E61" s="110">
        <v>12.55</v>
      </c>
      <c r="F61" s="110">
        <f t="shared" si="1"/>
        <v>8.1493506493506498</v>
      </c>
      <c r="G61" s="110">
        <f t="shared" si="2"/>
        <v>9</v>
      </c>
      <c r="H61" s="110"/>
      <c r="I61" s="111">
        <v>1545</v>
      </c>
      <c r="J61" s="109" t="str">
        <f t="shared" si="3"/>
        <v>26</v>
      </c>
      <c r="K61" s="109" t="s">
        <v>125</v>
      </c>
      <c r="L61" s="109" t="s">
        <v>727</v>
      </c>
      <c r="M61" s="111">
        <v>104</v>
      </c>
      <c r="N61" s="110">
        <v>1516</v>
      </c>
      <c r="O61" s="105">
        <f t="shared" si="4"/>
        <v>1391.2</v>
      </c>
      <c r="P61" s="112">
        <v>0.1207</v>
      </c>
      <c r="Q61" s="113">
        <v>8.123E-3</v>
      </c>
      <c r="R61" s="107">
        <f t="shared" si="5"/>
        <v>8.1229999999999993</v>
      </c>
      <c r="S61" s="105">
        <f t="shared" si="6"/>
        <v>900.45307443365698</v>
      </c>
      <c r="T61" s="114">
        <f>IFERROR(INDEX('MASTER por modelo'!$AQ$8:$AQ$474,MATCH(K61,'MASTER por modelo'!$D$8:$D$474,0)),"")</f>
        <v>0</v>
      </c>
      <c r="U61" s="115">
        <f>IFERROR(INDEX('MASTER por modelo'!$AC$8:$AC$474,MATCH(K61,'MASTER por modelo'!$D$8:$D$474,0))+INDEX('MASTER por modelo'!$AD$8:$AD$474,MATCH(K61,'MASTER por modelo'!$D$8:$D$474,0)),"")</f>
        <v>0</v>
      </c>
      <c r="V61" s="93"/>
    </row>
    <row r="62" spans="1:22" x14ac:dyDescent="0.25">
      <c r="A62" s="109" t="s">
        <v>63</v>
      </c>
      <c r="B62" s="109" t="s">
        <v>84</v>
      </c>
      <c r="C62" s="109" t="s">
        <v>94</v>
      </c>
      <c r="D62" s="103">
        <f t="shared" si="0"/>
        <v>119.39547955782086</v>
      </c>
      <c r="E62" s="110">
        <v>12.48</v>
      </c>
      <c r="F62" s="110">
        <f t="shared" si="1"/>
        <v>8.1038961038961048</v>
      </c>
      <c r="G62" s="110">
        <f t="shared" si="2"/>
        <v>9</v>
      </c>
      <c r="H62" s="110"/>
      <c r="I62" s="111">
        <v>876</v>
      </c>
      <c r="J62" s="109" t="str">
        <f t="shared" si="3"/>
        <v>26</v>
      </c>
      <c r="K62" s="109" t="s">
        <v>126</v>
      </c>
      <c r="L62" s="109" t="s">
        <v>737</v>
      </c>
      <c r="M62" s="111">
        <v>130</v>
      </c>
      <c r="N62" s="110">
        <v>1646.1</v>
      </c>
      <c r="O62" s="105">
        <f t="shared" si="4"/>
        <v>1490.1</v>
      </c>
      <c r="P62" s="112">
        <v>9.6000000000000002E-2</v>
      </c>
      <c r="Q62" s="113">
        <v>1.4246999999999999E-2</v>
      </c>
      <c r="R62" s="107">
        <f t="shared" si="5"/>
        <v>14.247</v>
      </c>
      <c r="S62" s="105">
        <f t="shared" si="6"/>
        <v>1701.0273972602738</v>
      </c>
      <c r="T62" s="114">
        <f>IFERROR(INDEX('MASTER por modelo'!$AQ$8:$AQ$474,MATCH(K62,'MASTER por modelo'!$D$8:$D$474,0)),"")</f>
        <v>0.70436187399030692</v>
      </c>
      <c r="U62" s="115">
        <f>IFERROR(INDEX('MASTER por modelo'!$AC$8:$AC$474,MATCH(K62,'MASTER por modelo'!$D$8:$D$474,0))+INDEX('MASTER por modelo'!$AD$8:$AD$474,MATCH(K62,'MASTER por modelo'!$D$8:$D$474,0)),"")</f>
        <v>1744</v>
      </c>
      <c r="V62" s="93"/>
    </row>
    <row r="63" spans="1:22" x14ac:dyDescent="0.25">
      <c r="A63" s="109" t="s">
        <v>55</v>
      </c>
      <c r="B63" s="109" t="s">
        <v>56</v>
      </c>
      <c r="C63" s="109" t="s">
        <v>57</v>
      </c>
      <c r="D63" s="103">
        <f t="shared" si="0"/>
        <v>78.557208004076926</v>
      </c>
      <c r="E63" s="110">
        <v>12.19</v>
      </c>
      <c r="F63" s="110">
        <f t="shared" si="1"/>
        <v>7.9155844155844148</v>
      </c>
      <c r="G63" s="110">
        <f t="shared" si="2"/>
        <v>8</v>
      </c>
      <c r="H63" s="110"/>
      <c r="I63" s="111">
        <v>886</v>
      </c>
      <c r="J63" s="109" t="str">
        <f t="shared" si="3"/>
        <v>26</v>
      </c>
      <c r="K63" s="109" t="s">
        <v>61</v>
      </c>
      <c r="L63" s="109" t="s">
        <v>733</v>
      </c>
      <c r="M63" s="111">
        <v>127</v>
      </c>
      <c r="N63" s="110">
        <v>1109.98</v>
      </c>
      <c r="O63" s="105">
        <f t="shared" si="4"/>
        <v>957.58</v>
      </c>
      <c r="P63" s="112">
        <v>9.6000000000000002E-2</v>
      </c>
      <c r="Q63" s="113">
        <v>1.3757999999999999E-2</v>
      </c>
      <c r="R63" s="107">
        <f t="shared" si="5"/>
        <v>13.757999999999999</v>
      </c>
      <c r="S63" s="105">
        <f t="shared" si="6"/>
        <v>1080.7900677200903</v>
      </c>
      <c r="T63" s="114">
        <f>IFERROR(INDEX('MASTER por modelo'!$AQ$8:$AQ$474,MATCH(K63,'MASTER por modelo'!$D$8:$D$474,0)),"")</f>
        <v>0.40771716403725528</v>
      </c>
      <c r="U63" s="115">
        <f>IFERROR(INDEX('MASTER por modelo'!$AC$8:$AC$474,MATCH(K63,'MASTER por modelo'!$D$8:$D$474,0))+INDEX('MASTER por modelo'!$AD$8:$AD$474,MATCH(K63,'MASTER por modelo'!$D$8:$D$474,0)),"")</f>
        <v>2145</v>
      </c>
      <c r="V63" s="93"/>
    </row>
    <row r="64" spans="1:22" x14ac:dyDescent="0.25">
      <c r="A64" s="109" t="s">
        <v>63</v>
      </c>
      <c r="B64" s="109" t="s">
        <v>64</v>
      </c>
      <c r="C64" s="109" t="s">
        <v>66</v>
      </c>
      <c r="D64" s="103">
        <f t="shared" si="0"/>
        <v>152.78050009800353</v>
      </c>
      <c r="E64" s="110">
        <v>12</v>
      </c>
      <c r="F64" s="110">
        <f t="shared" si="1"/>
        <v>7.7922077922077921</v>
      </c>
      <c r="G64" s="110">
        <f t="shared" si="2"/>
        <v>8</v>
      </c>
      <c r="H64" s="110"/>
      <c r="I64" s="111">
        <v>1491</v>
      </c>
      <c r="J64" s="109" t="str">
        <f t="shared" si="3"/>
        <v>26</v>
      </c>
      <c r="K64" s="109" t="s">
        <v>129</v>
      </c>
      <c r="L64" s="109" t="s">
        <v>741</v>
      </c>
      <c r="M64" s="111">
        <v>125</v>
      </c>
      <c r="N64" s="110">
        <v>1983.3</v>
      </c>
      <c r="O64" s="105">
        <f t="shared" si="4"/>
        <v>1833.3</v>
      </c>
      <c r="P64" s="112">
        <v>9.6000000000000002E-2</v>
      </c>
      <c r="Q64" s="113">
        <v>8.0479999999999996E-3</v>
      </c>
      <c r="R64" s="107">
        <f t="shared" si="5"/>
        <v>8.048</v>
      </c>
      <c r="S64" s="105">
        <f t="shared" si="6"/>
        <v>1229.5774647887324</v>
      </c>
      <c r="T64" s="114">
        <f>IFERROR(INDEX('MASTER por modelo'!$AQ$8:$AQ$474,MATCH(K64,'MASTER por modelo'!$D$8:$D$474,0)),"")</f>
        <v>0.7665995975855131</v>
      </c>
      <c r="U64" s="115">
        <f>IFERROR(INDEX('MASTER por modelo'!$AC$8:$AC$474,MATCH(K64,'MASTER por modelo'!$D$8:$D$474,0))+INDEX('MASTER por modelo'!$AD$8:$AD$474,MATCH(K64,'MASTER por modelo'!$D$8:$D$474,0)),"")</f>
        <v>1143</v>
      </c>
      <c r="V64" s="93"/>
    </row>
    <row r="65" spans="1:22" x14ac:dyDescent="0.25">
      <c r="A65" s="109" t="s">
        <v>63</v>
      </c>
      <c r="B65" s="109" t="s">
        <v>110</v>
      </c>
      <c r="C65" s="109" t="s">
        <v>100</v>
      </c>
      <c r="D65" s="103">
        <f t="shared" si="0"/>
        <v>139.04699336395265</v>
      </c>
      <c r="E65" s="110">
        <v>11.904</v>
      </c>
      <c r="F65" s="110">
        <f t="shared" si="1"/>
        <v>7.7298701298701298</v>
      </c>
      <c r="G65" s="110">
        <f t="shared" si="2"/>
        <v>8</v>
      </c>
      <c r="H65" s="110"/>
      <c r="I65" s="111">
        <v>2749</v>
      </c>
      <c r="J65" s="109" t="str">
        <f t="shared" si="3"/>
        <v>26</v>
      </c>
      <c r="K65" s="109" t="s">
        <v>128</v>
      </c>
      <c r="L65" s="109" t="s">
        <v>749</v>
      </c>
      <c r="M65" s="111">
        <v>124</v>
      </c>
      <c r="N65" s="110">
        <v>1803.9</v>
      </c>
      <c r="O65" s="105">
        <f t="shared" si="4"/>
        <v>1655.1000000000001</v>
      </c>
      <c r="P65" s="112">
        <v>9.6000000000000002E-2</v>
      </c>
      <c r="Q65" s="113">
        <v>4.3299999999999996E-3</v>
      </c>
      <c r="R65" s="107">
        <f t="shared" si="5"/>
        <v>4.33</v>
      </c>
      <c r="S65" s="105">
        <f t="shared" si="6"/>
        <v>602.07348126591501</v>
      </c>
      <c r="T65" s="114">
        <f>IFERROR(INDEX('MASTER por modelo'!$AQ$8:$AQ$474,MATCH(K65,'MASTER por modelo'!$D$8:$D$474,0)),"")</f>
        <v>0.26010101010101011</v>
      </c>
      <c r="U65" s="115">
        <f>IFERROR(INDEX('MASTER por modelo'!$AC$8:$AC$474,MATCH(K65,'MASTER por modelo'!$D$8:$D$474,0))+INDEX('MASTER por modelo'!$AD$8:$AD$474,MATCH(K65,'MASTER por modelo'!$D$8:$D$474,0)),"")</f>
        <v>721</v>
      </c>
      <c r="V65" s="93"/>
    </row>
    <row r="66" spans="1:22" x14ac:dyDescent="0.25">
      <c r="A66" s="109" t="s">
        <v>55</v>
      </c>
      <c r="B66" s="109" t="s">
        <v>56</v>
      </c>
      <c r="C66" s="109" t="s">
        <v>57</v>
      </c>
      <c r="D66" s="103">
        <f t="shared" si="0"/>
        <v>142.98618350596331</v>
      </c>
      <c r="E66" s="110">
        <v>11.81</v>
      </c>
      <c r="F66" s="110">
        <f t="shared" si="1"/>
        <v>7.6688311688311686</v>
      </c>
      <c r="G66" s="110">
        <f t="shared" si="2"/>
        <v>8</v>
      </c>
      <c r="H66" s="110"/>
      <c r="I66" s="111">
        <v>756</v>
      </c>
      <c r="J66" s="109" t="str">
        <f t="shared" si="3"/>
        <v>26</v>
      </c>
      <c r="K66" s="109" t="s">
        <v>131</v>
      </c>
      <c r="L66" s="109" t="s">
        <v>750</v>
      </c>
      <c r="M66" s="111">
        <v>123</v>
      </c>
      <c r="N66" s="110">
        <v>1836.3</v>
      </c>
      <c r="O66" s="105">
        <f t="shared" si="4"/>
        <v>1688.7</v>
      </c>
      <c r="P66" s="112">
        <v>9.6000000000000002E-2</v>
      </c>
      <c r="Q66" s="113">
        <v>1.5622E-2</v>
      </c>
      <c r="R66" s="107">
        <f t="shared" si="5"/>
        <v>15.622</v>
      </c>
      <c r="S66" s="105">
        <f t="shared" si="6"/>
        <v>2233.7301587301586</v>
      </c>
      <c r="T66" s="114">
        <f>IFERROR(INDEX('MASTER por modelo'!$AQ$8:$AQ$474,MATCH(K66,'MASTER por modelo'!$D$8:$D$474,0)),"")</f>
        <v>5.1560379918588875E-2</v>
      </c>
      <c r="U66" s="115">
        <f>IFERROR(INDEX('MASTER por modelo'!$AC$8:$AC$474,MATCH(K66,'MASTER por modelo'!$D$8:$D$474,0))+INDEX('MASTER por modelo'!$AD$8:$AD$474,MATCH(K66,'MASTER por modelo'!$D$8:$D$474,0)),"")</f>
        <v>76</v>
      </c>
      <c r="V66" s="93"/>
    </row>
    <row r="67" spans="1:22" x14ac:dyDescent="0.25">
      <c r="A67" s="109" t="s">
        <v>55</v>
      </c>
      <c r="B67" s="109" t="s">
        <v>56</v>
      </c>
      <c r="C67" s="109" t="s">
        <v>66</v>
      </c>
      <c r="D67" s="103">
        <f t="shared" si="0"/>
        <v>233.28722709643438</v>
      </c>
      <c r="E67" s="110">
        <v>11.744999999999999</v>
      </c>
      <c r="F67" s="110">
        <f t="shared" si="1"/>
        <v>7.6266233766233755</v>
      </c>
      <c r="G67" s="110">
        <f t="shared" si="2"/>
        <v>8</v>
      </c>
      <c r="H67" s="110"/>
      <c r="I67" s="111">
        <v>2386</v>
      </c>
      <c r="J67" s="109" t="str">
        <f t="shared" si="3"/>
        <v>26</v>
      </c>
      <c r="K67" s="109" t="s">
        <v>83</v>
      </c>
      <c r="L67" s="109" t="s">
        <v>751</v>
      </c>
      <c r="M67" s="111">
        <v>150</v>
      </c>
      <c r="N67" s="110">
        <v>2919.7</v>
      </c>
      <c r="O67" s="105">
        <f t="shared" si="4"/>
        <v>2739.7</v>
      </c>
      <c r="P67" s="112">
        <v>7.8299999999999995E-2</v>
      </c>
      <c r="Q67" s="113">
        <v>4.9220000000000002E-3</v>
      </c>
      <c r="R67" s="107">
        <f t="shared" si="5"/>
        <v>4.9220000000000006</v>
      </c>
      <c r="S67" s="105">
        <f t="shared" si="6"/>
        <v>1148.2397317686502</v>
      </c>
      <c r="T67" s="114">
        <f>IFERROR(INDEX('MASTER por modelo'!$AQ$8:$AQ$474,MATCH(K67,'MASTER por modelo'!$D$8:$D$474,0)),"")</f>
        <v>0.42142116182572614</v>
      </c>
      <c r="U67" s="115">
        <f>IFERROR(INDEX('MASTER por modelo'!$AC$8:$AC$474,MATCH(K67,'MASTER por modelo'!$D$8:$D$474,0))+INDEX('MASTER por modelo'!$AD$8:$AD$474,MATCH(K67,'MASTER por modelo'!$D$8:$D$474,0)),"")</f>
        <v>1625</v>
      </c>
      <c r="V67" s="93"/>
    </row>
    <row r="68" spans="1:22" x14ac:dyDescent="0.25">
      <c r="A68" s="109" t="s">
        <v>55</v>
      </c>
      <c r="B68" s="109" t="s">
        <v>56</v>
      </c>
      <c r="C68" s="109" t="s">
        <v>57</v>
      </c>
      <c r="D68" s="103">
        <f t="shared" si="0"/>
        <v>65.439751593042715</v>
      </c>
      <c r="E68" s="110">
        <v>11.42</v>
      </c>
      <c r="F68" s="110">
        <f t="shared" si="1"/>
        <v>7.4155844155844157</v>
      </c>
      <c r="G68" s="110">
        <f t="shared" si="2"/>
        <v>8</v>
      </c>
      <c r="H68" s="110"/>
      <c r="I68" s="111">
        <v>830</v>
      </c>
      <c r="J68" s="109" t="str">
        <f t="shared" si="3"/>
        <v>26</v>
      </c>
      <c r="K68" s="109" t="s">
        <v>59</v>
      </c>
      <c r="L68" s="109" t="s">
        <v>733</v>
      </c>
      <c r="M68" s="111">
        <v>119</v>
      </c>
      <c r="N68" s="110">
        <v>890.12</v>
      </c>
      <c r="O68" s="105">
        <f t="shared" si="4"/>
        <v>747.32</v>
      </c>
      <c r="P68" s="112">
        <v>9.6000000000000002E-2</v>
      </c>
      <c r="Q68" s="113">
        <v>1.3759E-2</v>
      </c>
      <c r="R68" s="107">
        <f t="shared" si="5"/>
        <v>13.759</v>
      </c>
      <c r="S68" s="105">
        <f t="shared" si="6"/>
        <v>900.38554216867476</v>
      </c>
      <c r="T68" s="114">
        <f>IFERROR(INDEX('MASTER por modelo'!$AQ$8:$AQ$474,MATCH(K68,'MASTER por modelo'!$D$8:$D$474,0)),"")</f>
        <v>0.34338209061719588</v>
      </c>
      <c r="U68" s="115">
        <f>IFERROR(INDEX('MASTER por modelo'!$AC$8:$AC$474,MATCH(K68,'MASTER por modelo'!$D$8:$D$474,0))+INDEX('MASTER por modelo'!$AD$8:$AD$474,MATCH(K68,'MASTER por modelo'!$D$8:$D$474,0)),"")</f>
        <v>1925</v>
      </c>
      <c r="V68" s="93"/>
    </row>
    <row r="69" spans="1:22" x14ac:dyDescent="0.25">
      <c r="A69" s="109" t="s">
        <v>63</v>
      </c>
      <c r="B69" s="109" t="s">
        <v>110</v>
      </c>
      <c r="C69" s="109" t="s">
        <v>111</v>
      </c>
      <c r="D69" s="103">
        <f t="shared" si="0"/>
        <v>164.36352603770132</v>
      </c>
      <c r="E69" s="110">
        <v>11.18</v>
      </c>
      <c r="F69" s="110">
        <f t="shared" si="1"/>
        <v>7.2597402597402594</v>
      </c>
      <c r="G69" s="110">
        <f t="shared" si="2"/>
        <v>8</v>
      </c>
      <c r="H69" s="110"/>
      <c r="I69" s="111">
        <v>2393</v>
      </c>
      <c r="J69" s="109" t="str">
        <f t="shared" si="3"/>
        <v>26</v>
      </c>
      <c r="K69" s="109" t="s">
        <v>135</v>
      </c>
      <c r="L69" s="109" t="s">
        <v>752</v>
      </c>
      <c r="M69" s="111">
        <v>109</v>
      </c>
      <c r="N69" s="110">
        <v>1968.4</v>
      </c>
      <c r="O69" s="105">
        <f t="shared" si="4"/>
        <v>1837.6000000000001</v>
      </c>
      <c r="P69" s="112">
        <v>0.1026</v>
      </c>
      <c r="Q69" s="113">
        <v>4.6719999999999999E-3</v>
      </c>
      <c r="R69" s="107">
        <f t="shared" si="5"/>
        <v>4.6719999999999997</v>
      </c>
      <c r="S69" s="105">
        <f t="shared" si="6"/>
        <v>767.90639364814047</v>
      </c>
      <c r="T69" s="114">
        <f>IFERROR(INDEX('MASTER por modelo'!$AQ$8:$AQ$474,MATCH(K69,'MASTER por modelo'!$D$8:$D$474,0)),"")</f>
        <v>0.25867112411199333</v>
      </c>
      <c r="U69" s="115">
        <f>IFERROR(INDEX('MASTER por modelo'!$AC$8:$AC$474,MATCH(K69,'MASTER por modelo'!$D$8:$D$474,0))+INDEX('MASTER por modelo'!$AD$8:$AD$474,MATCH(K69,'MASTER por modelo'!$D$8:$D$474,0)),"")</f>
        <v>619</v>
      </c>
      <c r="V69" s="93"/>
    </row>
    <row r="70" spans="1:22" x14ac:dyDescent="0.25">
      <c r="A70" s="109" t="s">
        <v>55</v>
      </c>
      <c r="B70" s="109" t="s">
        <v>56</v>
      </c>
      <c r="C70" s="109" t="s">
        <v>57</v>
      </c>
      <c r="D70" s="103">
        <f t="shared" si="0"/>
        <v>110.59591331523045</v>
      </c>
      <c r="E70" s="110">
        <v>11.13</v>
      </c>
      <c r="F70" s="110">
        <f t="shared" si="1"/>
        <v>7.2272727272727275</v>
      </c>
      <c r="G70" s="110">
        <f t="shared" si="2"/>
        <v>8</v>
      </c>
      <c r="H70" s="110"/>
      <c r="I70" s="111">
        <v>798</v>
      </c>
      <c r="J70" s="109" t="str">
        <f t="shared" si="3"/>
        <v>26</v>
      </c>
      <c r="K70" s="109" t="s">
        <v>60</v>
      </c>
      <c r="L70" s="109" t="s">
        <v>729</v>
      </c>
      <c r="M70" s="111">
        <v>114</v>
      </c>
      <c r="N70" s="110">
        <v>1367.7</v>
      </c>
      <c r="O70" s="105">
        <f t="shared" si="4"/>
        <v>1230.9000000000001</v>
      </c>
      <c r="P70" s="112">
        <v>9.7600000000000006E-2</v>
      </c>
      <c r="Q70" s="113">
        <v>1.3946999999999999E-2</v>
      </c>
      <c r="R70" s="107">
        <f t="shared" si="5"/>
        <v>13.946999999999999</v>
      </c>
      <c r="S70" s="105">
        <f t="shared" si="6"/>
        <v>1542.4812030075191</v>
      </c>
      <c r="T70" s="114">
        <f>IFERROR(INDEX('MASTER por modelo'!$AQ$8:$AQ$474,MATCH(K70,'MASTER por modelo'!$D$8:$D$474,0)),"")</f>
        <v>0.2258655431397692</v>
      </c>
      <c r="U70" s="115">
        <f>IFERROR(INDEX('MASTER por modelo'!$AC$8:$AC$474,MATCH(K70,'MASTER por modelo'!$D$8:$D$474,0))+INDEX('MASTER por modelo'!$AD$8:$AD$474,MATCH(K70,'MASTER por modelo'!$D$8:$D$474,0)),"")</f>
        <v>1233</v>
      </c>
      <c r="V70" s="93"/>
    </row>
    <row r="71" spans="1:22" x14ac:dyDescent="0.25">
      <c r="A71" s="109" t="s">
        <v>55</v>
      </c>
      <c r="B71" s="109" t="s">
        <v>56</v>
      </c>
      <c r="C71" s="109" t="s">
        <v>57</v>
      </c>
      <c r="D71" s="103">
        <f t="shared" si="0"/>
        <v>108.33527300923187</v>
      </c>
      <c r="E71" s="110">
        <v>11.05</v>
      </c>
      <c r="F71" s="110">
        <f t="shared" si="1"/>
        <v>7.175324675324676</v>
      </c>
      <c r="G71" s="110">
        <f t="shared" si="2"/>
        <v>8</v>
      </c>
      <c r="H71" s="110"/>
      <c r="I71" s="111">
        <v>802</v>
      </c>
      <c r="J71" s="109" t="str">
        <f t="shared" si="3"/>
        <v>26</v>
      </c>
      <c r="K71" s="109" t="s">
        <v>60</v>
      </c>
      <c r="L71" s="109" t="s">
        <v>729</v>
      </c>
      <c r="M71" s="111">
        <v>115</v>
      </c>
      <c r="N71" s="110">
        <v>1335.1</v>
      </c>
      <c r="O71" s="105">
        <f t="shared" si="4"/>
        <v>1197.0999999999999</v>
      </c>
      <c r="P71" s="112">
        <v>9.6100000000000005E-2</v>
      </c>
      <c r="Q71" s="113">
        <v>1.3778E-2</v>
      </c>
      <c r="R71" s="107">
        <f t="shared" si="5"/>
        <v>13.778</v>
      </c>
      <c r="S71" s="105">
        <f t="shared" si="6"/>
        <v>1492.6433915211969</v>
      </c>
      <c r="T71" s="114">
        <f>IFERROR(INDEX('MASTER por modelo'!$AQ$8:$AQ$474,MATCH(K71,'MASTER por modelo'!$D$8:$D$474,0)),"")</f>
        <v>0.2258655431397692</v>
      </c>
      <c r="U71" s="115">
        <f>IFERROR(INDEX('MASTER por modelo'!$AC$8:$AC$474,MATCH(K71,'MASTER por modelo'!$D$8:$D$474,0))+INDEX('MASTER por modelo'!$AD$8:$AD$474,MATCH(K71,'MASTER por modelo'!$D$8:$D$474,0)),"")</f>
        <v>1233</v>
      </c>
      <c r="V71" s="93"/>
    </row>
    <row r="72" spans="1:22" x14ac:dyDescent="0.25">
      <c r="A72" s="109" t="s">
        <v>55</v>
      </c>
      <c r="B72" s="109" t="s">
        <v>56</v>
      </c>
      <c r="C72" s="109" t="s">
        <v>57</v>
      </c>
      <c r="D72" s="103">
        <f t="shared" ref="D72:D135" si="7">IFERROR((1/R72)*S72,0)</f>
        <v>108.26022778614181</v>
      </c>
      <c r="E72" s="110">
        <v>10.872</v>
      </c>
      <c r="F72" s="110">
        <f t="shared" ref="F72:F135" si="8">E72/1.54</f>
        <v>7.0597402597402592</v>
      </c>
      <c r="G72" s="110">
        <f t="shared" ref="G72:G135" si="9">ROUNDUP(F72,0)</f>
        <v>8</v>
      </c>
      <c r="H72" s="110"/>
      <c r="I72" s="111">
        <v>786</v>
      </c>
      <c r="J72" s="109" t="str">
        <f t="shared" ref="J72:J135" si="10">LEFT(K72,2)</f>
        <v>26</v>
      </c>
      <c r="K72" s="109" t="s">
        <v>60</v>
      </c>
      <c r="L72" s="109" t="s">
        <v>729</v>
      </c>
      <c r="M72" s="111">
        <v>112</v>
      </c>
      <c r="N72" s="110">
        <v>1311.4</v>
      </c>
      <c r="O72" s="105">
        <f t="shared" ref="O72:O135" si="11">N72-(M72*1.2)</f>
        <v>1177</v>
      </c>
      <c r="P72" s="112">
        <v>9.7100000000000006E-2</v>
      </c>
      <c r="Q72" s="113">
        <v>1.3832000000000001E-2</v>
      </c>
      <c r="R72" s="107">
        <f t="shared" ref="R72:R135" si="12">Q72*1000</f>
        <v>13.832000000000001</v>
      </c>
      <c r="S72" s="105">
        <f t="shared" ref="S72:S135" si="13">IFERROR((O72/I72)*1000,0)</f>
        <v>1497.4554707379136</v>
      </c>
      <c r="T72" s="114">
        <f>IFERROR(INDEX('MASTER por modelo'!$AQ$8:$AQ$474,MATCH(K72,'MASTER por modelo'!$D$8:$D$474,0)),"")</f>
        <v>0.2258655431397692</v>
      </c>
      <c r="U72" s="115">
        <f>IFERROR(INDEX('MASTER por modelo'!$AC$8:$AC$474,MATCH(K72,'MASTER por modelo'!$D$8:$D$474,0))+INDEX('MASTER por modelo'!$AD$8:$AD$474,MATCH(K72,'MASTER por modelo'!$D$8:$D$474,0)),"")</f>
        <v>1233</v>
      </c>
      <c r="V72" s="93"/>
    </row>
    <row r="73" spans="1:22" x14ac:dyDescent="0.25">
      <c r="A73" s="109" t="s">
        <v>55</v>
      </c>
      <c r="B73" s="109" t="s">
        <v>56</v>
      </c>
      <c r="C73" s="109" t="s">
        <v>57</v>
      </c>
      <c r="D73" s="103">
        <f t="shared" si="7"/>
        <v>124.54221771966729</v>
      </c>
      <c r="E73" s="110">
        <v>10.85</v>
      </c>
      <c r="F73" s="110">
        <f t="shared" si="8"/>
        <v>7.045454545454545</v>
      </c>
      <c r="G73" s="110">
        <f t="shared" si="9"/>
        <v>8</v>
      </c>
      <c r="H73" s="110"/>
      <c r="I73" s="111">
        <v>803</v>
      </c>
      <c r="J73" s="109" t="str">
        <f t="shared" si="10"/>
        <v>26</v>
      </c>
      <c r="K73" s="109" t="s">
        <v>78</v>
      </c>
      <c r="L73" s="109" t="s">
        <v>743</v>
      </c>
      <c r="M73" s="111">
        <v>114</v>
      </c>
      <c r="N73" s="110">
        <v>1488.1</v>
      </c>
      <c r="O73" s="105">
        <f t="shared" si="11"/>
        <v>1351.3</v>
      </c>
      <c r="P73" s="112">
        <v>9.5200000000000007E-2</v>
      </c>
      <c r="Q73" s="113">
        <v>1.3512E-2</v>
      </c>
      <c r="R73" s="107">
        <f t="shared" si="12"/>
        <v>13.512</v>
      </c>
      <c r="S73" s="105">
        <f t="shared" si="13"/>
        <v>1682.8144458281445</v>
      </c>
      <c r="T73" s="114">
        <f>IFERROR(INDEX('MASTER por modelo'!$AQ$8:$AQ$474,MATCH(K73,'MASTER por modelo'!$D$8:$D$474,0)),"")</f>
        <v>0.20372398685651696</v>
      </c>
      <c r="U73" s="115">
        <f>IFERROR(INDEX('MASTER por modelo'!$AC$8:$AC$474,MATCH(K73,'MASTER por modelo'!$D$8:$D$474,0))+INDEX('MASTER por modelo'!$AD$8:$AD$474,MATCH(K73,'MASTER por modelo'!$D$8:$D$474,0)),"")</f>
        <v>372</v>
      </c>
      <c r="V73" s="93"/>
    </row>
    <row r="74" spans="1:22" x14ac:dyDescent="0.25">
      <c r="A74" s="109" t="s">
        <v>55</v>
      </c>
      <c r="B74" s="109" t="s">
        <v>93</v>
      </c>
      <c r="C74" s="109" t="s">
        <v>94</v>
      </c>
      <c r="D74" s="103">
        <f t="shared" si="7"/>
        <v>152.0795313450497</v>
      </c>
      <c r="E74" s="110">
        <v>10.08</v>
      </c>
      <c r="F74" s="110">
        <f t="shared" si="8"/>
        <v>6.545454545454545</v>
      </c>
      <c r="G74" s="110">
        <f t="shared" si="9"/>
        <v>7</v>
      </c>
      <c r="H74" s="110"/>
      <c r="I74" s="111">
        <v>1547</v>
      </c>
      <c r="J74" s="109" t="str">
        <f t="shared" si="10"/>
        <v>26</v>
      </c>
      <c r="K74" s="109" t="s">
        <v>95</v>
      </c>
      <c r="L74" s="109" t="s">
        <v>753</v>
      </c>
      <c r="M74" s="111">
        <v>105</v>
      </c>
      <c r="N74" s="110">
        <v>1659</v>
      </c>
      <c r="O74" s="105">
        <f t="shared" si="11"/>
        <v>1533</v>
      </c>
      <c r="P74" s="112">
        <v>9.6000000000000002E-2</v>
      </c>
      <c r="Q74" s="113">
        <v>6.5160000000000001E-3</v>
      </c>
      <c r="R74" s="107">
        <f t="shared" si="12"/>
        <v>6.516</v>
      </c>
      <c r="S74" s="105">
        <f t="shared" si="13"/>
        <v>990.95022624434387</v>
      </c>
      <c r="T74" s="114">
        <f>IFERROR(INDEX('MASTER por modelo'!$AQ$8:$AQ$474,MATCH(K74,'MASTER por modelo'!$D$8:$D$474,0)),"")</f>
        <v>0.72198019801980196</v>
      </c>
      <c r="U74" s="115">
        <f>IFERROR(INDEX('MASTER por modelo'!$AC$8:$AC$474,MATCH(K74,'MASTER por modelo'!$D$8:$D$474,0))+INDEX('MASTER por modelo'!$AD$8:$AD$474,MATCH(K74,'MASTER por modelo'!$D$8:$D$474,0)),"")</f>
        <v>1823</v>
      </c>
      <c r="V74" s="93"/>
    </row>
    <row r="75" spans="1:22" x14ac:dyDescent="0.25">
      <c r="A75" s="109" t="s">
        <v>55</v>
      </c>
      <c r="B75" s="109" t="s">
        <v>56</v>
      </c>
      <c r="C75" s="109" t="s">
        <v>57</v>
      </c>
      <c r="D75" s="103">
        <f t="shared" si="7"/>
        <v>90.87466102770486</v>
      </c>
      <c r="E75" s="110">
        <v>9.8879999999999999</v>
      </c>
      <c r="F75" s="110">
        <f t="shared" si="8"/>
        <v>6.4207792207792203</v>
      </c>
      <c r="G75" s="110">
        <f t="shared" si="9"/>
        <v>7</v>
      </c>
      <c r="H75" s="110"/>
      <c r="I75" s="111">
        <v>823</v>
      </c>
      <c r="J75" s="109" t="str">
        <f t="shared" si="10"/>
        <v>26</v>
      </c>
      <c r="K75" s="109" t="s">
        <v>79</v>
      </c>
      <c r="L75" s="109" t="s">
        <v>743</v>
      </c>
      <c r="M75" s="111">
        <v>103</v>
      </c>
      <c r="N75" s="110">
        <v>1022.2</v>
      </c>
      <c r="O75" s="105">
        <f t="shared" si="11"/>
        <v>898.6</v>
      </c>
      <c r="P75" s="112">
        <v>9.6000000000000002E-2</v>
      </c>
      <c r="Q75" s="113">
        <v>1.2015E-2</v>
      </c>
      <c r="R75" s="107">
        <f t="shared" si="12"/>
        <v>12.014999999999999</v>
      </c>
      <c r="S75" s="105">
        <f t="shared" si="13"/>
        <v>1091.8590522478737</v>
      </c>
      <c r="T75" s="114">
        <f>IFERROR(INDEX('MASTER por modelo'!$AQ$8:$AQ$474,MATCH(K75,'MASTER por modelo'!$D$8:$D$474,0)),"")</f>
        <v>0.28536938676967649</v>
      </c>
      <c r="U75" s="115">
        <f>IFERROR(INDEX('MASTER por modelo'!$AC$8:$AC$474,MATCH(K75,'MASTER por modelo'!$D$8:$D$474,0))+INDEX('MASTER por modelo'!$AD$8:$AD$474,MATCH(K75,'MASTER por modelo'!$D$8:$D$474,0)),"")</f>
        <v>591</v>
      </c>
      <c r="V75" s="93"/>
    </row>
    <row r="76" spans="1:22" x14ac:dyDescent="0.25">
      <c r="A76" s="109" t="s">
        <v>55</v>
      </c>
      <c r="B76" s="109" t="s">
        <v>56</v>
      </c>
      <c r="C76" s="109" t="s">
        <v>57</v>
      </c>
      <c r="D76" s="103">
        <f t="shared" si="7"/>
        <v>95.189076080795843</v>
      </c>
      <c r="E76" s="110">
        <v>9.7919999999999998</v>
      </c>
      <c r="F76" s="110">
        <f t="shared" si="8"/>
        <v>6.3584415584415579</v>
      </c>
      <c r="G76" s="110">
        <f t="shared" si="9"/>
        <v>7</v>
      </c>
      <c r="H76" s="110"/>
      <c r="I76" s="111">
        <v>810</v>
      </c>
      <c r="J76" s="109" t="str">
        <f t="shared" si="10"/>
        <v>26</v>
      </c>
      <c r="K76" s="109" t="s">
        <v>142</v>
      </c>
      <c r="L76" s="109" t="s">
        <v>754</v>
      </c>
      <c r="M76" s="111">
        <v>102</v>
      </c>
      <c r="N76" s="110">
        <v>1054.5</v>
      </c>
      <c r="O76" s="105">
        <f t="shared" si="11"/>
        <v>932.1</v>
      </c>
      <c r="P76" s="112">
        <v>9.6000000000000002E-2</v>
      </c>
      <c r="Q76" s="113">
        <v>1.2089000000000001E-2</v>
      </c>
      <c r="R76" s="107">
        <f t="shared" si="12"/>
        <v>12.089</v>
      </c>
      <c r="S76" s="105">
        <f t="shared" si="13"/>
        <v>1150.7407407407409</v>
      </c>
      <c r="T76" s="114">
        <f>IFERROR(INDEX('MASTER por modelo'!$AQ$8:$AQ$474,MATCH(K76,'MASTER por modelo'!$D$8:$D$474,0)),"")</f>
        <v>0.12839506172839507</v>
      </c>
      <c r="U76" s="115">
        <f>IFERROR(INDEX('MASTER por modelo'!$AC$8:$AC$474,MATCH(K76,'MASTER por modelo'!$D$8:$D$474,0))+INDEX('MASTER por modelo'!$AD$8:$AD$474,MATCH(K76,'MASTER por modelo'!$D$8:$D$474,0)),"")</f>
        <v>104</v>
      </c>
      <c r="V76" s="93"/>
    </row>
    <row r="77" spans="1:22" x14ac:dyDescent="0.25">
      <c r="A77" s="109" t="s">
        <v>63</v>
      </c>
      <c r="B77" s="109" t="s">
        <v>84</v>
      </c>
      <c r="C77" s="109" t="s">
        <v>85</v>
      </c>
      <c r="D77" s="103">
        <f t="shared" si="7"/>
        <v>156.37758258072498</v>
      </c>
      <c r="E77" s="110">
        <v>9.6999999999999993</v>
      </c>
      <c r="F77" s="110">
        <f t="shared" si="8"/>
        <v>6.2987012987012978</v>
      </c>
      <c r="G77" s="110">
        <f t="shared" si="9"/>
        <v>7</v>
      </c>
      <c r="H77" s="110"/>
      <c r="I77" s="111">
        <v>1200</v>
      </c>
      <c r="J77" s="109" t="str">
        <f t="shared" si="10"/>
        <v>26</v>
      </c>
      <c r="K77" s="109" t="s">
        <v>143</v>
      </c>
      <c r="L77" s="109" t="s">
        <v>737</v>
      </c>
      <c r="M77" s="111">
        <v>101</v>
      </c>
      <c r="N77" s="110">
        <v>1638</v>
      </c>
      <c r="O77" s="105">
        <f t="shared" si="11"/>
        <v>1516.8</v>
      </c>
      <c r="P77" s="112">
        <v>9.6000000000000002E-2</v>
      </c>
      <c r="Q77" s="113">
        <v>8.0829999999999999E-3</v>
      </c>
      <c r="R77" s="107">
        <f t="shared" si="12"/>
        <v>8.0830000000000002</v>
      </c>
      <c r="S77" s="105">
        <f t="shared" si="13"/>
        <v>1264</v>
      </c>
      <c r="T77" s="114">
        <f>IFERROR(INDEX('MASTER por modelo'!$AQ$8:$AQ$474,MATCH(K77,'MASTER por modelo'!$D$8:$D$474,0)),"")</f>
        <v>0.32279999999999998</v>
      </c>
      <c r="U77" s="115">
        <f>IFERROR(INDEX('MASTER por modelo'!$AC$8:$AC$474,MATCH(K77,'MASTER por modelo'!$D$8:$D$474,0))+INDEX('MASTER por modelo'!$AD$8:$AD$474,MATCH(K77,'MASTER por modelo'!$D$8:$D$474,0)),"")</f>
        <v>807</v>
      </c>
      <c r="V77" s="93"/>
    </row>
    <row r="78" spans="1:22" x14ac:dyDescent="0.25">
      <c r="A78" s="109" t="s">
        <v>63</v>
      </c>
      <c r="B78" s="109" t="s">
        <v>64</v>
      </c>
      <c r="C78" s="109" t="s">
        <v>66</v>
      </c>
      <c r="D78" s="103">
        <f t="shared" si="7"/>
        <v>145.72473420600124</v>
      </c>
      <c r="E78" s="110">
        <v>9.6</v>
      </c>
      <c r="F78" s="110">
        <f t="shared" si="8"/>
        <v>6.2337662337662332</v>
      </c>
      <c r="G78" s="110">
        <f t="shared" si="9"/>
        <v>7</v>
      </c>
      <c r="H78" s="110"/>
      <c r="I78" s="111">
        <v>1196</v>
      </c>
      <c r="J78" s="109" t="str">
        <f t="shared" si="10"/>
        <v>26</v>
      </c>
      <c r="K78" s="109" t="s">
        <v>144</v>
      </c>
      <c r="L78" s="109" t="s">
        <v>741</v>
      </c>
      <c r="M78" s="111">
        <v>100</v>
      </c>
      <c r="N78" s="110">
        <v>1519</v>
      </c>
      <c r="O78" s="105">
        <f t="shared" si="11"/>
        <v>1399</v>
      </c>
      <c r="P78" s="112">
        <v>9.6000000000000002E-2</v>
      </c>
      <c r="Q78" s="113">
        <v>8.0269999999999994E-3</v>
      </c>
      <c r="R78" s="107">
        <f t="shared" si="12"/>
        <v>8.0269999999999992</v>
      </c>
      <c r="S78" s="105">
        <f t="shared" si="13"/>
        <v>1169.732441471572</v>
      </c>
      <c r="T78" s="114">
        <f>IFERROR(INDEX('MASTER por modelo'!$AQ$8:$AQ$474,MATCH(K78,'MASTER por modelo'!$D$8:$D$474,0)),"")</f>
        <v>0.83946488294314381</v>
      </c>
      <c r="U78" s="115">
        <f>IFERROR(INDEX('MASTER por modelo'!$AC$8:$AC$474,MATCH(K78,'MASTER por modelo'!$D$8:$D$474,0))+INDEX('MASTER por modelo'!$AD$8:$AD$474,MATCH(K78,'MASTER por modelo'!$D$8:$D$474,0)),"")</f>
        <v>1004</v>
      </c>
      <c r="V78" s="93"/>
    </row>
    <row r="79" spans="1:22" x14ac:dyDescent="0.25">
      <c r="A79" s="109" t="s">
        <v>55</v>
      </c>
      <c r="B79" s="109" t="s">
        <v>56</v>
      </c>
      <c r="C79" s="109" t="s">
        <v>57</v>
      </c>
      <c r="D79" s="103">
        <f t="shared" si="7"/>
        <v>109.8201711623876</v>
      </c>
      <c r="E79" s="110">
        <v>9.6</v>
      </c>
      <c r="F79" s="110">
        <f t="shared" si="8"/>
        <v>6.2337662337662332</v>
      </c>
      <c r="G79" s="110">
        <f t="shared" si="9"/>
        <v>7</v>
      </c>
      <c r="H79" s="110"/>
      <c r="I79" s="111">
        <v>680</v>
      </c>
      <c r="J79" s="109" t="str">
        <f t="shared" si="10"/>
        <v>26</v>
      </c>
      <c r="K79" s="109" t="s">
        <v>145</v>
      </c>
      <c r="L79" s="109" t="s">
        <v>754</v>
      </c>
      <c r="M79" s="111">
        <v>101</v>
      </c>
      <c r="N79" s="110">
        <v>1175.5</v>
      </c>
      <c r="O79" s="105">
        <f t="shared" si="11"/>
        <v>1054.3</v>
      </c>
      <c r="P79" s="112">
        <v>9.5000000000000001E-2</v>
      </c>
      <c r="Q79" s="113">
        <v>1.4118E-2</v>
      </c>
      <c r="R79" s="107">
        <f t="shared" si="12"/>
        <v>14.118</v>
      </c>
      <c r="S79" s="105">
        <f t="shared" si="13"/>
        <v>1550.4411764705881</v>
      </c>
      <c r="T79" s="114">
        <f>IFERROR(INDEX('MASTER por modelo'!$AQ$8:$AQ$474,MATCH(K79,'MASTER por modelo'!$D$8:$D$474,0)),"")</f>
        <v>0</v>
      </c>
      <c r="U79" s="115">
        <f>IFERROR(INDEX('MASTER por modelo'!$AC$8:$AC$474,MATCH(K79,'MASTER por modelo'!$D$8:$D$474,0))+INDEX('MASTER por modelo'!$AD$8:$AD$474,MATCH(K79,'MASTER por modelo'!$D$8:$D$474,0)),"")</f>
        <v>0</v>
      </c>
      <c r="V79" s="93"/>
    </row>
    <row r="80" spans="1:22" x14ac:dyDescent="0.25">
      <c r="A80" s="109" t="s">
        <v>55</v>
      </c>
      <c r="B80" s="109" t="s">
        <v>93</v>
      </c>
      <c r="C80" s="109" t="s">
        <v>94</v>
      </c>
      <c r="D80" s="103">
        <f t="shared" si="7"/>
        <v>108.78607404077896</v>
      </c>
      <c r="E80" s="110">
        <v>9.5399999999999991</v>
      </c>
      <c r="F80" s="110">
        <f t="shared" si="8"/>
        <v>6.1948051948051939</v>
      </c>
      <c r="G80" s="110">
        <f t="shared" si="9"/>
        <v>7</v>
      </c>
      <c r="H80" s="110"/>
      <c r="I80" s="111">
        <v>1064</v>
      </c>
      <c r="J80" s="109" t="str">
        <f t="shared" si="10"/>
        <v>26</v>
      </c>
      <c r="K80" s="109" t="s">
        <v>146</v>
      </c>
      <c r="L80" s="109" t="s">
        <v>738</v>
      </c>
      <c r="M80" s="111">
        <v>106</v>
      </c>
      <c r="N80" s="110">
        <v>1165</v>
      </c>
      <c r="O80" s="105">
        <f t="shared" si="11"/>
        <v>1037.8</v>
      </c>
      <c r="P80" s="112">
        <v>0.09</v>
      </c>
      <c r="Q80" s="113">
        <v>8.966E-3</v>
      </c>
      <c r="R80" s="107">
        <f t="shared" si="12"/>
        <v>8.9659999999999993</v>
      </c>
      <c r="S80" s="105">
        <f t="shared" si="13"/>
        <v>975.37593984962405</v>
      </c>
      <c r="T80" s="114">
        <f>IFERROR(INDEX('MASTER por modelo'!$AQ$8:$AQ$474,MATCH(K80,'MASTER por modelo'!$D$8:$D$474,0)),"")</f>
        <v>0.53947368421052633</v>
      </c>
      <c r="U80" s="115">
        <f>IFERROR(INDEX('MASTER por modelo'!$AC$8:$AC$474,MATCH(K80,'MASTER por modelo'!$D$8:$D$474,0))+INDEX('MASTER por modelo'!$AD$8:$AD$474,MATCH(K80,'MASTER por modelo'!$D$8:$D$474,0)),"")</f>
        <v>574</v>
      </c>
      <c r="V80" s="93"/>
    </row>
    <row r="81" spans="1:22" x14ac:dyDescent="0.25">
      <c r="A81" s="109" t="s">
        <v>63</v>
      </c>
      <c r="B81" s="109" t="s">
        <v>64</v>
      </c>
      <c r="C81" s="109" t="s">
        <v>66</v>
      </c>
      <c r="D81" s="103">
        <f t="shared" si="7"/>
        <v>159.09189671947669</v>
      </c>
      <c r="E81" s="110">
        <v>9.5039999999999996</v>
      </c>
      <c r="F81" s="110">
        <f t="shared" si="8"/>
        <v>6.1714285714285708</v>
      </c>
      <c r="G81" s="110">
        <f t="shared" si="9"/>
        <v>7</v>
      </c>
      <c r="H81" s="110"/>
      <c r="I81" s="111">
        <v>1973</v>
      </c>
      <c r="J81" s="109" t="str">
        <f t="shared" si="10"/>
        <v>26</v>
      </c>
      <c r="K81" s="109" t="s">
        <v>127</v>
      </c>
      <c r="L81" s="109" t="s">
        <v>746</v>
      </c>
      <c r="M81" s="111">
        <v>99</v>
      </c>
      <c r="N81" s="110">
        <v>1630.8</v>
      </c>
      <c r="O81" s="105">
        <f t="shared" si="11"/>
        <v>1512</v>
      </c>
      <c r="P81" s="112">
        <v>9.6000000000000002E-2</v>
      </c>
      <c r="Q81" s="113">
        <v>4.8170000000000001E-3</v>
      </c>
      <c r="R81" s="107">
        <f t="shared" si="12"/>
        <v>4.8170000000000002</v>
      </c>
      <c r="S81" s="105">
        <f t="shared" si="13"/>
        <v>766.34566649771921</v>
      </c>
      <c r="T81" s="114">
        <f>IFERROR(INDEX('MASTER por modelo'!$AQ$8:$AQ$474,MATCH(K81,'MASTER por modelo'!$D$8:$D$474,0)),"")</f>
        <v>0.45279934613812833</v>
      </c>
      <c r="U81" s="115">
        <f>IFERROR(INDEX('MASTER por modelo'!$AC$8:$AC$474,MATCH(K81,'MASTER por modelo'!$D$8:$D$474,0))+INDEX('MASTER por modelo'!$AD$8:$AD$474,MATCH(K81,'MASTER por modelo'!$D$8:$D$474,0)),"")</f>
        <v>1108</v>
      </c>
      <c r="V81" s="93"/>
    </row>
    <row r="82" spans="1:22" x14ac:dyDescent="0.25">
      <c r="A82" s="109" t="s">
        <v>55</v>
      </c>
      <c r="B82" s="109" t="s">
        <v>56</v>
      </c>
      <c r="C82" s="109" t="s">
        <v>57</v>
      </c>
      <c r="D82" s="103">
        <f t="shared" si="7"/>
        <v>84.981390027998842</v>
      </c>
      <c r="E82" s="110">
        <v>9.24</v>
      </c>
      <c r="F82" s="110">
        <f t="shared" si="8"/>
        <v>6</v>
      </c>
      <c r="G82" s="110">
        <f t="shared" si="9"/>
        <v>6</v>
      </c>
      <c r="H82" s="110"/>
      <c r="I82" s="111">
        <v>765</v>
      </c>
      <c r="J82" s="109" t="str">
        <f t="shared" si="10"/>
        <v>26</v>
      </c>
      <c r="K82" s="109" t="s">
        <v>147</v>
      </c>
      <c r="L82" s="109" t="s">
        <v>743</v>
      </c>
      <c r="M82" s="111">
        <v>96</v>
      </c>
      <c r="N82" s="110">
        <v>900.4</v>
      </c>
      <c r="O82" s="105">
        <f t="shared" si="11"/>
        <v>785.2</v>
      </c>
      <c r="P82" s="112">
        <v>9.6299999999999997E-2</v>
      </c>
      <c r="Q82" s="113">
        <v>1.2078E-2</v>
      </c>
      <c r="R82" s="107">
        <f t="shared" si="12"/>
        <v>12.077999999999999</v>
      </c>
      <c r="S82" s="105">
        <f t="shared" si="13"/>
        <v>1026.4052287581699</v>
      </c>
      <c r="T82" s="114">
        <f>IFERROR(INDEX('MASTER por modelo'!$AQ$8:$AQ$474,MATCH(K82,'MASTER por modelo'!$D$8:$D$474,0)),"")</f>
        <v>4.9673202614379082E-2</v>
      </c>
      <c r="U82" s="115">
        <f>IFERROR(INDEX('MASTER por modelo'!$AC$8:$AC$474,MATCH(K82,'MASTER por modelo'!$D$8:$D$474,0))+INDEX('MASTER por modelo'!$AD$8:$AD$474,MATCH(K82,'MASTER por modelo'!$D$8:$D$474,0)),"")</f>
        <v>38</v>
      </c>
      <c r="V82" s="93"/>
    </row>
    <row r="83" spans="1:22" x14ac:dyDescent="0.25">
      <c r="A83" s="109" t="s">
        <v>63</v>
      </c>
      <c r="B83" s="109" t="s">
        <v>64</v>
      </c>
      <c r="C83" s="109" t="s">
        <v>66</v>
      </c>
      <c r="D83" s="103">
        <f t="shared" si="7"/>
        <v>92.705731067198101</v>
      </c>
      <c r="E83" s="110">
        <v>9.1199999999999992</v>
      </c>
      <c r="F83" s="110">
        <f t="shared" si="8"/>
        <v>5.9220779220779214</v>
      </c>
      <c r="G83" s="110">
        <f t="shared" si="9"/>
        <v>6</v>
      </c>
      <c r="H83" s="110"/>
      <c r="I83" s="111">
        <v>758</v>
      </c>
      <c r="J83" s="109" t="str">
        <f t="shared" si="10"/>
        <v>26</v>
      </c>
      <c r="K83" s="109" t="s">
        <v>148</v>
      </c>
      <c r="L83" s="109" t="s">
        <v>741</v>
      </c>
      <c r="M83" s="111">
        <v>95</v>
      </c>
      <c r="N83" s="110">
        <v>959.5</v>
      </c>
      <c r="O83" s="105">
        <f t="shared" si="11"/>
        <v>845.5</v>
      </c>
      <c r="P83" s="112">
        <v>9.6000000000000002E-2</v>
      </c>
      <c r="Q83" s="113">
        <v>1.2031999999999999E-2</v>
      </c>
      <c r="R83" s="107">
        <f t="shared" si="12"/>
        <v>12.032</v>
      </c>
      <c r="S83" s="105">
        <f t="shared" si="13"/>
        <v>1115.4353562005276</v>
      </c>
      <c r="T83" s="114">
        <f>IFERROR(INDEX('MASTER por modelo'!$AQ$8:$AQ$474,MATCH(K83,'MASTER por modelo'!$D$8:$D$474,0)),"")</f>
        <v>0.48021108179419525</v>
      </c>
      <c r="U83" s="115">
        <f>IFERROR(INDEX('MASTER por modelo'!$AC$8:$AC$474,MATCH(K83,'MASTER por modelo'!$D$8:$D$474,0))+INDEX('MASTER por modelo'!$AD$8:$AD$474,MATCH(K83,'MASTER por modelo'!$D$8:$D$474,0)),"")</f>
        <v>364</v>
      </c>
      <c r="V83" s="93"/>
    </row>
    <row r="84" spans="1:22" x14ac:dyDescent="0.25">
      <c r="A84" s="109" t="s">
        <v>63</v>
      </c>
      <c r="B84" s="109" t="s">
        <v>84</v>
      </c>
      <c r="C84" s="109" t="s">
        <v>85</v>
      </c>
      <c r="D84" s="103">
        <f t="shared" si="7"/>
        <v>153.42946433466747</v>
      </c>
      <c r="E84" s="110">
        <v>9.1199999999999992</v>
      </c>
      <c r="F84" s="110">
        <f t="shared" si="8"/>
        <v>5.9220779220779214</v>
      </c>
      <c r="G84" s="110">
        <f t="shared" si="9"/>
        <v>6</v>
      </c>
      <c r="H84" s="110"/>
      <c r="I84" s="111">
        <v>1300</v>
      </c>
      <c r="J84" s="109" t="str">
        <f t="shared" si="10"/>
        <v>26</v>
      </c>
      <c r="K84" s="109" t="s">
        <v>149</v>
      </c>
      <c r="L84" s="109" t="s">
        <v>737</v>
      </c>
      <c r="M84" s="111">
        <v>95</v>
      </c>
      <c r="N84" s="110">
        <v>1513.2</v>
      </c>
      <c r="O84" s="105">
        <f t="shared" si="11"/>
        <v>1399.2</v>
      </c>
      <c r="P84" s="112">
        <v>9.6000000000000002E-2</v>
      </c>
      <c r="Q84" s="113">
        <v>7.0150000000000004E-3</v>
      </c>
      <c r="R84" s="107">
        <f t="shared" si="12"/>
        <v>7.0150000000000006</v>
      </c>
      <c r="S84" s="105">
        <f t="shared" si="13"/>
        <v>1076.3076923076924</v>
      </c>
      <c r="T84" s="114">
        <f>IFERROR(INDEX('MASTER por modelo'!$AQ$8:$AQ$474,MATCH(K84,'MASTER por modelo'!$D$8:$D$474,0)),"")</f>
        <v>0.43159999999999998</v>
      </c>
      <c r="U84" s="115">
        <f>IFERROR(INDEX('MASTER por modelo'!$AC$8:$AC$474,MATCH(K84,'MASTER por modelo'!$D$8:$D$474,0))+INDEX('MASTER por modelo'!$AD$8:$AD$474,MATCH(K84,'MASTER por modelo'!$D$8:$D$474,0)),"")</f>
        <v>1079</v>
      </c>
      <c r="V84" s="93"/>
    </row>
    <row r="85" spans="1:22" x14ac:dyDescent="0.25">
      <c r="A85" s="109" t="s">
        <v>55</v>
      </c>
      <c r="B85" s="109" t="s">
        <v>56</v>
      </c>
      <c r="C85" s="109" t="s">
        <v>66</v>
      </c>
      <c r="D85" s="103">
        <f t="shared" si="7"/>
        <v>90.439108969208036</v>
      </c>
      <c r="E85" s="110">
        <v>9.0239999999999991</v>
      </c>
      <c r="F85" s="110">
        <f t="shared" si="8"/>
        <v>5.859740259740259</v>
      </c>
      <c r="G85" s="110">
        <f t="shared" si="9"/>
        <v>6</v>
      </c>
      <c r="H85" s="110"/>
      <c r="I85" s="111">
        <v>759</v>
      </c>
      <c r="J85" s="109" t="str">
        <f t="shared" si="10"/>
        <v>26</v>
      </c>
      <c r="K85" s="109" t="s">
        <v>96</v>
      </c>
      <c r="L85" s="109" t="s">
        <v>754</v>
      </c>
      <c r="M85" s="111">
        <v>94</v>
      </c>
      <c r="N85" s="110">
        <v>928.9</v>
      </c>
      <c r="O85" s="105">
        <f t="shared" si="11"/>
        <v>816.1</v>
      </c>
      <c r="P85" s="112">
        <v>9.6000000000000002E-2</v>
      </c>
      <c r="Q85" s="113">
        <v>1.1889E-2</v>
      </c>
      <c r="R85" s="107">
        <f t="shared" si="12"/>
        <v>11.889000000000001</v>
      </c>
      <c r="S85" s="105">
        <f t="shared" si="13"/>
        <v>1075.2305665349145</v>
      </c>
      <c r="T85" s="114">
        <f>IFERROR(INDEX('MASTER por modelo'!$AQ$8:$AQ$474,MATCH(K85,'MASTER por modelo'!$D$8:$D$474,0)),"")</f>
        <v>2.318840579710145E-2</v>
      </c>
      <c r="U85" s="115">
        <f>IFERROR(INDEX('MASTER por modelo'!$AC$8:$AC$474,MATCH(K85,'MASTER por modelo'!$D$8:$D$474,0))+INDEX('MASTER por modelo'!$AD$8:$AD$474,MATCH(K85,'MASTER por modelo'!$D$8:$D$474,0)),"")</f>
        <v>32</v>
      </c>
      <c r="V85" s="93"/>
    </row>
    <row r="86" spans="1:22" x14ac:dyDescent="0.25">
      <c r="A86" s="109" t="s">
        <v>63</v>
      </c>
      <c r="B86" s="109" t="s">
        <v>64</v>
      </c>
      <c r="C86" s="109" t="s">
        <v>57</v>
      </c>
      <c r="D86" s="103">
        <f t="shared" si="7"/>
        <v>99.722278214517672</v>
      </c>
      <c r="E86" s="110">
        <v>8.93</v>
      </c>
      <c r="F86" s="110">
        <f t="shared" si="8"/>
        <v>5.7987012987012987</v>
      </c>
      <c r="G86" s="110">
        <f t="shared" si="9"/>
        <v>6</v>
      </c>
      <c r="H86" s="110"/>
      <c r="I86" s="111">
        <v>820</v>
      </c>
      <c r="J86" s="109" t="str">
        <f t="shared" si="10"/>
        <v>26</v>
      </c>
      <c r="K86" s="109" t="s">
        <v>151</v>
      </c>
      <c r="L86" s="109" t="s">
        <v>755</v>
      </c>
      <c r="M86" s="111">
        <v>93</v>
      </c>
      <c r="N86" s="110">
        <v>1002.1</v>
      </c>
      <c r="O86" s="105">
        <f t="shared" si="11"/>
        <v>890.5</v>
      </c>
      <c r="P86" s="112">
        <v>9.6000000000000002E-2</v>
      </c>
      <c r="Q86" s="113">
        <v>1.089E-2</v>
      </c>
      <c r="R86" s="107">
        <f t="shared" si="12"/>
        <v>10.89</v>
      </c>
      <c r="S86" s="105">
        <f t="shared" si="13"/>
        <v>1085.9756097560976</v>
      </c>
      <c r="T86" s="114">
        <f>IFERROR(INDEX('MASTER por modelo'!$AQ$8:$AQ$474,MATCH(K86,'MASTER por modelo'!$D$8:$D$474,0)),"")</f>
        <v>0.20487804878048779</v>
      </c>
      <c r="U86" s="115">
        <f>IFERROR(INDEX('MASTER por modelo'!$AC$8:$AC$474,MATCH(K86,'MASTER por modelo'!$D$8:$D$474,0))+INDEX('MASTER por modelo'!$AD$8:$AD$474,MATCH(K86,'MASTER por modelo'!$D$8:$D$474,0)),"")</f>
        <v>168</v>
      </c>
      <c r="V86" s="93"/>
    </row>
    <row r="87" spans="1:22" x14ac:dyDescent="0.25">
      <c r="A87" s="109" t="s">
        <v>63</v>
      </c>
      <c r="B87" s="109" t="s">
        <v>64</v>
      </c>
      <c r="C87" s="109" t="s">
        <v>66</v>
      </c>
      <c r="D87" s="103">
        <f t="shared" si="7"/>
        <v>226.49721045442971</v>
      </c>
      <c r="E87" s="110">
        <v>8.64</v>
      </c>
      <c r="F87" s="110">
        <f t="shared" si="8"/>
        <v>5.6103896103896105</v>
      </c>
      <c r="G87" s="110">
        <f t="shared" si="9"/>
        <v>6</v>
      </c>
      <c r="H87" s="110"/>
      <c r="I87" s="111">
        <v>1785</v>
      </c>
      <c r="J87" s="109" t="str">
        <f t="shared" si="10"/>
        <v>26</v>
      </c>
      <c r="K87" s="109" t="s">
        <v>152</v>
      </c>
      <c r="L87" s="109" t="s">
        <v>730</v>
      </c>
      <c r="M87" s="111">
        <v>90</v>
      </c>
      <c r="N87" s="110">
        <v>2064.8000000000002</v>
      </c>
      <c r="O87" s="105">
        <f t="shared" si="11"/>
        <v>1956.8000000000002</v>
      </c>
      <c r="P87" s="112">
        <v>9.6000000000000002E-2</v>
      </c>
      <c r="Q87" s="113">
        <v>4.8399999999999997E-3</v>
      </c>
      <c r="R87" s="107">
        <f t="shared" si="12"/>
        <v>4.84</v>
      </c>
      <c r="S87" s="105">
        <f t="shared" si="13"/>
        <v>1096.2464985994397</v>
      </c>
      <c r="T87" s="114">
        <f>IFERROR(INDEX('MASTER por modelo'!$AQ$8:$AQ$474,MATCH(K87,'MASTER por modelo'!$D$8:$D$474,0)),"")</f>
        <v>0.60112044817927168</v>
      </c>
      <c r="U87" s="115">
        <f>IFERROR(INDEX('MASTER por modelo'!$AC$8:$AC$474,MATCH(K87,'MASTER por modelo'!$D$8:$D$474,0))+INDEX('MASTER por modelo'!$AD$8:$AD$474,MATCH(K87,'MASTER por modelo'!$D$8:$D$474,0)),"")</f>
        <v>1073</v>
      </c>
      <c r="V87" s="93"/>
    </row>
    <row r="88" spans="1:22" x14ac:dyDescent="0.25">
      <c r="A88" s="109" t="s">
        <v>63</v>
      </c>
      <c r="B88" s="109" t="s">
        <v>64</v>
      </c>
      <c r="C88" s="109" t="s">
        <v>57</v>
      </c>
      <c r="D88" s="103">
        <f t="shared" si="7"/>
        <v>113.91936318227947</v>
      </c>
      <c r="E88" s="110">
        <v>8.49</v>
      </c>
      <c r="F88" s="110">
        <f t="shared" si="8"/>
        <v>5.5129870129870131</v>
      </c>
      <c r="G88" s="110">
        <f t="shared" si="9"/>
        <v>6</v>
      </c>
      <c r="H88" s="110"/>
      <c r="I88" s="111">
        <v>776</v>
      </c>
      <c r="J88" s="109" t="str">
        <f t="shared" si="10"/>
        <v>26</v>
      </c>
      <c r="K88" s="109" t="s">
        <v>154</v>
      </c>
      <c r="L88" s="109" t="s">
        <v>727</v>
      </c>
      <c r="M88" s="111">
        <v>77</v>
      </c>
      <c r="N88" s="110">
        <v>1059.5999999999999</v>
      </c>
      <c r="O88" s="105">
        <f t="shared" si="11"/>
        <v>967.19999999999993</v>
      </c>
      <c r="P88" s="112">
        <v>0.1103</v>
      </c>
      <c r="Q88" s="113">
        <v>1.0940999999999999E-2</v>
      </c>
      <c r="R88" s="107">
        <f t="shared" si="12"/>
        <v>10.940999999999999</v>
      </c>
      <c r="S88" s="105">
        <f t="shared" si="13"/>
        <v>1246.3917525773195</v>
      </c>
      <c r="T88" s="114">
        <f>IFERROR(INDEX('MASTER por modelo'!$AQ$8:$AQ$474,MATCH(K88,'MASTER por modelo'!$D$8:$D$474,0)),"")</f>
        <v>0.62242268041237114</v>
      </c>
      <c r="U88" s="115">
        <f>IFERROR(INDEX('MASTER por modelo'!$AC$8:$AC$474,MATCH(K88,'MASTER por modelo'!$D$8:$D$474,0))+INDEX('MASTER por modelo'!$AD$8:$AD$474,MATCH(K88,'MASTER por modelo'!$D$8:$D$474,0)),"")</f>
        <v>483</v>
      </c>
      <c r="V88" s="93"/>
    </row>
    <row r="89" spans="1:22" x14ac:dyDescent="0.25">
      <c r="A89" s="109" t="s">
        <v>63</v>
      </c>
      <c r="B89" s="109" t="s">
        <v>84</v>
      </c>
      <c r="C89" s="109" t="s">
        <v>94</v>
      </c>
      <c r="D89" s="103">
        <f t="shared" si="7"/>
        <v>135.60278726819564</v>
      </c>
      <c r="E89" s="110">
        <v>8.44</v>
      </c>
      <c r="F89" s="110">
        <f t="shared" si="8"/>
        <v>5.4805194805194803</v>
      </c>
      <c r="G89" s="110">
        <f t="shared" si="9"/>
        <v>6</v>
      </c>
      <c r="H89" s="110"/>
      <c r="I89" s="111">
        <v>1836</v>
      </c>
      <c r="J89" s="109" t="str">
        <f t="shared" si="10"/>
        <v>26</v>
      </c>
      <c r="K89" s="109" t="s">
        <v>155</v>
      </c>
      <c r="L89" s="109" t="s">
        <v>756</v>
      </c>
      <c r="M89" s="111">
        <v>81</v>
      </c>
      <c r="N89" s="110">
        <v>1241.7</v>
      </c>
      <c r="O89" s="105">
        <f t="shared" si="11"/>
        <v>1144.5</v>
      </c>
      <c r="P89" s="112">
        <v>0.1042</v>
      </c>
      <c r="Q89" s="113">
        <v>4.5970000000000004E-3</v>
      </c>
      <c r="R89" s="107">
        <f t="shared" si="12"/>
        <v>4.5970000000000004</v>
      </c>
      <c r="S89" s="105">
        <f t="shared" si="13"/>
        <v>623.3660130718954</v>
      </c>
      <c r="T89" s="114">
        <f>IFERROR(INDEX('MASTER por modelo'!$AQ$8:$AQ$474,MATCH(K89,'MASTER por modelo'!$D$8:$D$474,0)),"")</f>
        <v>0.62799564270152508</v>
      </c>
      <c r="U89" s="115">
        <f>IFERROR(INDEX('MASTER por modelo'!$AC$8:$AC$474,MATCH(K89,'MASTER por modelo'!$D$8:$D$474,0))+INDEX('MASTER por modelo'!$AD$8:$AD$474,MATCH(K89,'MASTER por modelo'!$D$8:$D$474,0)),"")</f>
        <v>1153</v>
      </c>
      <c r="V89" s="93"/>
    </row>
    <row r="90" spans="1:22" x14ac:dyDescent="0.25">
      <c r="A90" s="109" t="s">
        <v>55</v>
      </c>
      <c r="B90" s="109" t="s">
        <v>56</v>
      </c>
      <c r="C90" s="109" t="s">
        <v>66</v>
      </c>
      <c r="D90" s="103">
        <f t="shared" si="7"/>
        <v>117.65353870617027</v>
      </c>
      <c r="E90" s="110">
        <v>8.3520000000000003</v>
      </c>
      <c r="F90" s="110">
        <f t="shared" si="8"/>
        <v>5.4233766233766234</v>
      </c>
      <c r="G90" s="110">
        <f t="shared" si="9"/>
        <v>6</v>
      </c>
      <c r="H90" s="110"/>
      <c r="I90" s="111">
        <v>760</v>
      </c>
      <c r="J90" s="109" t="str">
        <f t="shared" si="10"/>
        <v>26</v>
      </c>
      <c r="K90" s="109" t="s">
        <v>156</v>
      </c>
      <c r="L90" s="109" t="s">
        <v>734</v>
      </c>
      <c r="M90" s="111">
        <v>76</v>
      </c>
      <c r="N90" s="110">
        <v>1073.8</v>
      </c>
      <c r="O90" s="105">
        <f t="shared" si="11"/>
        <v>982.59999999999991</v>
      </c>
      <c r="P90" s="112">
        <v>0.1099</v>
      </c>
      <c r="Q90" s="113">
        <v>1.0989000000000001E-2</v>
      </c>
      <c r="R90" s="107">
        <f t="shared" si="12"/>
        <v>10.989000000000001</v>
      </c>
      <c r="S90" s="105">
        <f t="shared" si="13"/>
        <v>1292.8947368421052</v>
      </c>
      <c r="T90" s="114">
        <f>IFERROR(INDEX('MASTER por modelo'!$AQ$8:$AQ$474,MATCH(K90,'MASTER por modelo'!$D$8:$D$474,0)),"")</f>
        <v>0.05</v>
      </c>
      <c r="U90" s="115">
        <f>IFERROR(INDEX('MASTER por modelo'!$AC$8:$AC$474,MATCH(K90,'MASTER por modelo'!$D$8:$D$474,0))+INDEX('MASTER por modelo'!$AD$8:$AD$474,MATCH(K90,'MASTER por modelo'!$D$8:$D$474,0)),"")</f>
        <v>38</v>
      </c>
      <c r="V90" s="93"/>
    </row>
    <row r="91" spans="1:22" x14ac:dyDescent="0.25">
      <c r="A91" s="109" t="s">
        <v>63</v>
      </c>
      <c r="B91" s="109" t="s">
        <v>64</v>
      </c>
      <c r="C91" s="109" t="s">
        <v>57</v>
      </c>
      <c r="D91" s="103">
        <f t="shared" si="7"/>
        <v>85.113856589147289</v>
      </c>
      <c r="E91" s="110">
        <v>8.2560000000000002</v>
      </c>
      <c r="F91" s="110">
        <f t="shared" si="8"/>
        <v>5.361038961038961</v>
      </c>
      <c r="G91" s="110">
        <f t="shared" si="9"/>
        <v>6</v>
      </c>
      <c r="H91" s="110"/>
      <c r="I91" s="111">
        <v>860</v>
      </c>
      <c r="J91" s="109" t="str">
        <f t="shared" si="10"/>
        <v>26</v>
      </c>
      <c r="K91" s="109" t="s">
        <v>159</v>
      </c>
      <c r="L91" s="109" t="s">
        <v>742</v>
      </c>
      <c r="M91" s="111">
        <v>86</v>
      </c>
      <c r="N91" s="110">
        <v>805.9</v>
      </c>
      <c r="O91" s="105">
        <f t="shared" si="11"/>
        <v>702.69999999999993</v>
      </c>
      <c r="P91" s="112">
        <v>9.6000000000000002E-2</v>
      </c>
      <c r="Q91" s="113">
        <v>9.5999999999999992E-3</v>
      </c>
      <c r="R91" s="107">
        <f t="shared" si="12"/>
        <v>9.6</v>
      </c>
      <c r="S91" s="105">
        <f t="shared" si="13"/>
        <v>817.09302325581393</v>
      </c>
      <c r="T91" s="114">
        <f>IFERROR(INDEX('MASTER por modelo'!$AQ$8:$AQ$474,MATCH(K91,'MASTER por modelo'!$D$8:$D$474,0)),"")</f>
        <v>9.8837209302325577E-2</v>
      </c>
      <c r="U91" s="115">
        <f>IFERROR(INDEX('MASTER por modelo'!$AC$8:$AC$474,MATCH(K91,'MASTER por modelo'!$D$8:$D$474,0))+INDEX('MASTER por modelo'!$AD$8:$AD$474,MATCH(K91,'MASTER por modelo'!$D$8:$D$474,0)),"")</f>
        <v>85</v>
      </c>
      <c r="V91" s="93"/>
    </row>
    <row r="92" spans="1:22" x14ac:dyDescent="0.25">
      <c r="A92" s="109" t="s">
        <v>55</v>
      </c>
      <c r="B92" s="109" t="s">
        <v>56</v>
      </c>
      <c r="C92" s="109" t="s">
        <v>57</v>
      </c>
      <c r="D92" s="103">
        <f t="shared" si="7"/>
        <v>101.70491979945575</v>
      </c>
      <c r="E92" s="110">
        <v>8.1660000000000004</v>
      </c>
      <c r="F92" s="110">
        <f t="shared" si="8"/>
        <v>5.302597402597403</v>
      </c>
      <c r="G92" s="110">
        <f t="shared" si="9"/>
        <v>6</v>
      </c>
      <c r="H92" s="110"/>
      <c r="I92" s="111">
        <v>595</v>
      </c>
      <c r="J92" s="109" t="str">
        <f t="shared" si="10"/>
        <v>26</v>
      </c>
      <c r="K92" s="109" t="s">
        <v>60</v>
      </c>
      <c r="L92" s="109" t="s">
        <v>740</v>
      </c>
      <c r="M92" s="111">
        <v>85</v>
      </c>
      <c r="N92" s="110">
        <v>932.5</v>
      </c>
      <c r="O92" s="105">
        <f t="shared" si="11"/>
        <v>830.5</v>
      </c>
      <c r="P92" s="112">
        <v>9.6100000000000005E-2</v>
      </c>
      <c r="Q92" s="113">
        <v>1.3724E-2</v>
      </c>
      <c r="R92" s="107">
        <f t="shared" si="12"/>
        <v>13.724</v>
      </c>
      <c r="S92" s="105">
        <f t="shared" si="13"/>
        <v>1395.798319327731</v>
      </c>
      <c r="T92" s="114">
        <f>IFERROR(INDEX('MASTER por modelo'!$AQ$8:$AQ$474,MATCH(K92,'MASTER por modelo'!$D$8:$D$474,0)),"")</f>
        <v>0.2258655431397692</v>
      </c>
      <c r="U92" s="115">
        <f>IFERROR(INDEX('MASTER por modelo'!$AC$8:$AC$474,MATCH(K92,'MASTER por modelo'!$D$8:$D$474,0))+INDEX('MASTER por modelo'!$AD$8:$AD$474,MATCH(K92,'MASTER por modelo'!$D$8:$D$474,0)),"")</f>
        <v>1233</v>
      </c>
      <c r="V92" s="93"/>
    </row>
    <row r="93" spans="1:22" x14ac:dyDescent="0.25">
      <c r="A93" s="109" t="s">
        <v>55</v>
      </c>
      <c r="B93" s="109" t="s">
        <v>56</v>
      </c>
      <c r="C93" s="109" t="s">
        <v>80</v>
      </c>
      <c r="D93" s="103">
        <f t="shared" si="7"/>
        <v>126.78805035492931</v>
      </c>
      <c r="E93" s="110">
        <v>8.16</v>
      </c>
      <c r="F93" s="110">
        <f t="shared" si="8"/>
        <v>5.2987012987012987</v>
      </c>
      <c r="G93" s="110">
        <f t="shared" si="9"/>
        <v>6</v>
      </c>
      <c r="H93" s="110"/>
      <c r="I93" s="111">
        <v>1099</v>
      </c>
      <c r="J93" s="109" t="str">
        <f t="shared" si="10"/>
        <v>26</v>
      </c>
      <c r="K93" s="109" t="s">
        <v>160</v>
      </c>
      <c r="L93" s="109" t="s">
        <v>757</v>
      </c>
      <c r="M93" s="111">
        <v>85</v>
      </c>
      <c r="N93" s="110">
        <v>1136.5999999999999</v>
      </c>
      <c r="O93" s="105">
        <f t="shared" si="11"/>
        <v>1034.5999999999999</v>
      </c>
      <c r="P93" s="112">
        <v>9.6000000000000002E-2</v>
      </c>
      <c r="Q93" s="113">
        <v>7.4250000000000002E-3</v>
      </c>
      <c r="R93" s="107">
        <f t="shared" si="12"/>
        <v>7.4249999999999998</v>
      </c>
      <c r="S93" s="105">
        <f t="shared" si="13"/>
        <v>941.40127388535018</v>
      </c>
      <c r="T93" s="114">
        <f>IFERROR(INDEX('MASTER por modelo'!$AQ$8:$AQ$474,MATCH(K93,'MASTER por modelo'!$D$8:$D$474,0)),"")</f>
        <v>0.45586897179253866</v>
      </c>
      <c r="U93" s="115">
        <f>IFERROR(INDEX('MASTER por modelo'!$AC$8:$AC$474,MATCH(K93,'MASTER por modelo'!$D$8:$D$474,0))+INDEX('MASTER por modelo'!$AD$8:$AD$474,MATCH(K93,'MASTER por modelo'!$D$8:$D$474,0)),"")</f>
        <v>501</v>
      </c>
      <c r="V93" s="93"/>
    </row>
    <row r="94" spans="1:22" x14ac:dyDescent="0.25">
      <c r="A94" s="109" t="s">
        <v>63</v>
      </c>
      <c r="B94" s="109" t="s">
        <v>110</v>
      </c>
      <c r="C94" s="109" t="s">
        <v>100</v>
      </c>
      <c r="D94" s="103">
        <f t="shared" si="7"/>
        <v>156.27875650018268</v>
      </c>
      <c r="E94" s="110">
        <v>7.9820000000000002</v>
      </c>
      <c r="F94" s="110">
        <f t="shared" si="8"/>
        <v>5.1831168831168828</v>
      </c>
      <c r="G94" s="110">
        <f t="shared" si="9"/>
        <v>6</v>
      </c>
      <c r="H94" s="110"/>
      <c r="I94" s="111">
        <v>1207</v>
      </c>
      <c r="J94" s="109" t="str">
        <f t="shared" si="10"/>
        <v>26</v>
      </c>
      <c r="K94" s="109" t="s">
        <v>163</v>
      </c>
      <c r="L94" s="109" t="s">
        <v>758</v>
      </c>
      <c r="M94" s="111">
        <v>86</v>
      </c>
      <c r="N94" s="110">
        <v>1350.6</v>
      </c>
      <c r="O94" s="105">
        <f t="shared" si="11"/>
        <v>1247.3999999999999</v>
      </c>
      <c r="P94" s="112">
        <v>9.2799999999999994E-2</v>
      </c>
      <c r="Q94" s="113">
        <v>6.613E-3</v>
      </c>
      <c r="R94" s="107">
        <f t="shared" si="12"/>
        <v>6.6129999999999995</v>
      </c>
      <c r="S94" s="105">
        <f t="shared" si="13"/>
        <v>1033.4714167357081</v>
      </c>
      <c r="T94" s="114">
        <f>IFERROR(INDEX('MASTER por modelo'!$AQ$8:$AQ$474,MATCH(K94,'MASTER por modelo'!$D$8:$D$474,0)),"")</f>
        <v>0.40135593220338983</v>
      </c>
      <c r="U94" s="115">
        <f>IFERROR(INDEX('MASTER por modelo'!$AC$8:$AC$474,MATCH(K94,'MASTER por modelo'!$D$8:$D$474,0))+INDEX('MASTER por modelo'!$AD$8:$AD$474,MATCH(K94,'MASTER por modelo'!$D$8:$D$474,0)),"")</f>
        <v>1184</v>
      </c>
      <c r="V94" s="93"/>
    </row>
    <row r="95" spans="1:22" x14ac:dyDescent="0.25">
      <c r="A95" s="109" t="s">
        <v>63</v>
      </c>
      <c r="B95" s="109" t="s">
        <v>64</v>
      </c>
      <c r="C95" s="109" t="s">
        <v>66</v>
      </c>
      <c r="D95" s="103">
        <f t="shared" si="7"/>
        <v>150.67734856264772</v>
      </c>
      <c r="E95" s="110">
        <v>7.9340000000000002</v>
      </c>
      <c r="F95" s="110">
        <f t="shared" si="8"/>
        <v>5.1519480519480521</v>
      </c>
      <c r="G95" s="110">
        <f t="shared" si="9"/>
        <v>6</v>
      </c>
      <c r="H95" s="110"/>
      <c r="I95" s="111">
        <v>1513</v>
      </c>
      <c r="J95" s="109" t="str">
        <f t="shared" si="10"/>
        <v>26</v>
      </c>
      <c r="K95" s="109" t="s">
        <v>165</v>
      </c>
      <c r="L95" s="109" t="s">
        <v>732</v>
      </c>
      <c r="M95" s="111">
        <v>76</v>
      </c>
      <c r="N95" s="110">
        <v>1286.7</v>
      </c>
      <c r="O95" s="105">
        <f t="shared" si="11"/>
        <v>1195.5</v>
      </c>
      <c r="P95" s="112">
        <v>0.10440000000000001</v>
      </c>
      <c r="Q95" s="113">
        <v>5.2440000000000004E-3</v>
      </c>
      <c r="R95" s="107">
        <f t="shared" si="12"/>
        <v>5.2440000000000007</v>
      </c>
      <c r="S95" s="105">
        <f t="shared" si="13"/>
        <v>790.15201586252476</v>
      </c>
      <c r="T95" s="114">
        <f>IFERROR(INDEX('MASTER por modelo'!$AQ$8:$AQ$474,MATCH(K95,'MASTER por modelo'!$D$8:$D$474,0)),"")</f>
        <v>0.74421678783873102</v>
      </c>
      <c r="U95" s="115">
        <f>IFERROR(INDEX('MASTER por modelo'!$AC$8:$AC$474,MATCH(K95,'MASTER por modelo'!$D$8:$D$474,0))+INDEX('MASTER por modelo'!$AD$8:$AD$474,MATCH(K95,'MASTER por modelo'!$D$8:$D$474,0)),"")</f>
        <v>1126</v>
      </c>
      <c r="V95" s="93"/>
    </row>
    <row r="96" spans="1:22" x14ac:dyDescent="0.25">
      <c r="A96" s="109" t="s">
        <v>63</v>
      </c>
      <c r="B96" s="109" t="s">
        <v>105</v>
      </c>
      <c r="C96" s="109" t="s">
        <v>106</v>
      </c>
      <c r="D96" s="103">
        <f t="shared" si="7"/>
        <v>93.419925995370406</v>
      </c>
      <c r="E96" s="110">
        <v>7.8760000000000003</v>
      </c>
      <c r="F96" s="110">
        <f t="shared" si="8"/>
        <v>5.1142857142857148</v>
      </c>
      <c r="G96" s="110">
        <f t="shared" si="9"/>
        <v>6</v>
      </c>
      <c r="H96" s="110"/>
      <c r="I96" s="111">
        <v>649</v>
      </c>
      <c r="J96" s="109" t="str">
        <f t="shared" si="10"/>
        <v>26</v>
      </c>
      <c r="K96" s="109" t="s">
        <v>107</v>
      </c>
      <c r="L96" s="109" t="s">
        <v>759</v>
      </c>
      <c r="M96" s="111">
        <v>65</v>
      </c>
      <c r="N96" s="110">
        <v>813.8</v>
      </c>
      <c r="O96" s="105">
        <f t="shared" si="11"/>
        <v>735.8</v>
      </c>
      <c r="P96" s="112">
        <v>0.1212</v>
      </c>
      <c r="Q96" s="113">
        <v>1.2135999999999999E-2</v>
      </c>
      <c r="R96" s="107">
        <f t="shared" si="12"/>
        <v>12.135999999999999</v>
      </c>
      <c r="S96" s="105">
        <f t="shared" si="13"/>
        <v>1133.7442218798151</v>
      </c>
      <c r="T96" s="114">
        <f>IFERROR(INDEX('MASTER por modelo'!$AQ$8:$AQ$474,MATCH(K96,'MASTER por modelo'!$D$8:$D$474,0)),"")</f>
        <v>0.80845771144278611</v>
      </c>
      <c r="U96" s="115">
        <f>IFERROR(INDEX('MASTER por modelo'!$AC$8:$AC$474,MATCH(K96,'MASTER por modelo'!$D$8:$D$474,0))+INDEX('MASTER por modelo'!$AD$8:$AD$474,MATCH(K96,'MASTER por modelo'!$D$8:$D$474,0)),"")</f>
        <v>975</v>
      </c>
      <c r="V96" s="93"/>
    </row>
    <row r="97" spans="1:22" x14ac:dyDescent="0.25">
      <c r="A97" s="109" t="s">
        <v>63</v>
      </c>
      <c r="B97" s="109" t="s">
        <v>64</v>
      </c>
      <c r="C97" s="109" t="s">
        <v>66</v>
      </c>
      <c r="D97" s="103">
        <f t="shared" si="7"/>
        <v>107.20923976297003</v>
      </c>
      <c r="E97" s="110">
        <v>7.78</v>
      </c>
      <c r="F97" s="110">
        <f t="shared" si="8"/>
        <v>5.0519480519480524</v>
      </c>
      <c r="G97" s="110">
        <f t="shared" si="9"/>
        <v>6</v>
      </c>
      <c r="H97" s="110"/>
      <c r="I97" s="111">
        <v>801</v>
      </c>
      <c r="J97" s="109" t="str">
        <f t="shared" si="10"/>
        <v>26</v>
      </c>
      <c r="K97" s="109" t="s">
        <v>167</v>
      </c>
      <c r="L97" s="109" t="s">
        <v>760</v>
      </c>
      <c r="M97" s="111">
        <v>81</v>
      </c>
      <c r="N97" s="110">
        <v>931.3</v>
      </c>
      <c r="O97" s="105">
        <f t="shared" si="11"/>
        <v>834.09999999999991</v>
      </c>
      <c r="P97" s="112">
        <v>9.6000000000000002E-2</v>
      </c>
      <c r="Q97" s="113">
        <v>9.7129999999999994E-3</v>
      </c>
      <c r="R97" s="107">
        <f t="shared" si="12"/>
        <v>9.7129999999999992</v>
      </c>
      <c r="S97" s="105">
        <f t="shared" si="13"/>
        <v>1041.3233458177278</v>
      </c>
      <c r="T97" s="114">
        <f>IFERROR(INDEX('MASTER por modelo'!$AQ$8:$AQ$474,MATCH(K97,'MASTER por modelo'!$D$8:$D$474,0)),"")</f>
        <v>0.57053682896379521</v>
      </c>
      <c r="U97" s="115">
        <f>IFERROR(INDEX('MASTER por modelo'!$AC$8:$AC$474,MATCH(K97,'MASTER por modelo'!$D$8:$D$474,0))+INDEX('MASTER por modelo'!$AD$8:$AD$474,MATCH(K97,'MASTER por modelo'!$D$8:$D$474,0)),"")</f>
        <v>457</v>
      </c>
      <c r="V97" s="93"/>
    </row>
    <row r="98" spans="1:22" x14ac:dyDescent="0.25">
      <c r="A98" s="109" t="s">
        <v>63</v>
      </c>
      <c r="B98" s="109" t="s">
        <v>110</v>
      </c>
      <c r="C98" s="109" t="s">
        <v>111</v>
      </c>
      <c r="D98" s="103">
        <f t="shared" si="7"/>
        <v>142.39615221726834</v>
      </c>
      <c r="E98" s="110">
        <v>7.7759999999999998</v>
      </c>
      <c r="F98" s="110">
        <f t="shared" si="8"/>
        <v>5.0493506493506493</v>
      </c>
      <c r="G98" s="110">
        <f t="shared" si="9"/>
        <v>6</v>
      </c>
      <c r="H98" s="110"/>
      <c r="I98" s="111">
        <v>1979</v>
      </c>
      <c r="J98" s="109" t="str">
        <f t="shared" si="10"/>
        <v>26</v>
      </c>
      <c r="K98" s="109" t="s">
        <v>168</v>
      </c>
      <c r="L98" s="109" t="s">
        <v>745</v>
      </c>
      <c r="M98" s="111">
        <v>81</v>
      </c>
      <c r="N98" s="110">
        <v>1204.4000000000001</v>
      </c>
      <c r="O98" s="105">
        <f t="shared" si="11"/>
        <v>1107.2</v>
      </c>
      <c r="P98" s="112">
        <v>9.6000000000000002E-2</v>
      </c>
      <c r="Q98" s="113">
        <v>3.9290000000000002E-3</v>
      </c>
      <c r="R98" s="107">
        <f t="shared" si="12"/>
        <v>3.9290000000000003</v>
      </c>
      <c r="S98" s="105">
        <f t="shared" si="13"/>
        <v>559.47448206164734</v>
      </c>
      <c r="T98" s="114">
        <f>IFERROR(INDEX('MASTER por modelo'!$AQ$8:$AQ$474,MATCH(K98,'MASTER por modelo'!$D$8:$D$474,0)),"")</f>
        <v>0.46286003031834261</v>
      </c>
      <c r="U98" s="115">
        <f>IFERROR(INDEX('MASTER por modelo'!$AC$8:$AC$474,MATCH(K98,'MASTER por modelo'!$D$8:$D$474,0))+INDEX('MASTER por modelo'!$AD$8:$AD$474,MATCH(K98,'MASTER por modelo'!$D$8:$D$474,0)),"")</f>
        <v>916</v>
      </c>
      <c r="V98" s="93"/>
    </row>
    <row r="99" spans="1:22" x14ac:dyDescent="0.25">
      <c r="A99" s="109" t="s">
        <v>55</v>
      </c>
      <c r="B99" s="109" t="s">
        <v>56</v>
      </c>
      <c r="C99" s="109" t="s">
        <v>66</v>
      </c>
      <c r="D99" s="103">
        <f t="shared" si="7"/>
        <v>90.61437711138737</v>
      </c>
      <c r="E99" s="110">
        <v>7.3920000000000003</v>
      </c>
      <c r="F99" s="110">
        <f t="shared" si="8"/>
        <v>4.8</v>
      </c>
      <c r="G99" s="110">
        <f t="shared" si="9"/>
        <v>5</v>
      </c>
      <c r="H99" s="110"/>
      <c r="I99" s="111">
        <v>621</v>
      </c>
      <c r="J99" s="109" t="str">
        <f t="shared" si="10"/>
        <v>26</v>
      </c>
      <c r="K99" s="109" t="s">
        <v>96</v>
      </c>
      <c r="L99" s="109" t="s">
        <v>754</v>
      </c>
      <c r="M99" s="111">
        <v>77</v>
      </c>
      <c r="N99" s="110">
        <v>762.2</v>
      </c>
      <c r="O99" s="105">
        <f t="shared" si="11"/>
        <v>669.80000000000007</v>
      </c>
      <c r="P99" s="112">
        <v>9.6000000000000002E-2</v>
      </c>
      <c r="Q99" s="113">
        <v>1.1903E-2</v>
      </c>
      <c r="R99" s="107">
        <f t="shared" si="12"/>
        <v>11.903</v>
      </c>
      <c r="S99" s="105">
        <f t="shared" si="13"/>
        <v>1078.582930756844</v>
      </c>
      <c r="T99" s="114">
        <f>IFERROR(INDEX('MASTER por modelo'!$AQ$8:$AQ$474,MATCH(K99,'MASTER por modelo'!$D$8:$D$474,0)),"")</f>
        <v>2.318840579710145E-2</v>
      </c>
      <c r="U99" s="115">
        <f>IFERROR(INDEX('MASTER por modelo'!$AC$8:$AC$474,MATCH(K99,'MASTER por modelo'!$D$8:$D$474,0))+INDEX('MASTER por modelo'!$AD$8:$AD$474,MATCH(K99,'MASTER por modelo'!$D$8:$D$474,0)),"")</f>
        <v>32</v>
      </c>
      <c r="V99" s="93"/>
    </row>
    <row r="100" spans="1:22" x14ac:dyDescent="0.25">
      <c r="A100" s="109" t="s">
        <v>55</v>
      </c>
      <c r="B100" s="109" t="s">
        <v>56</v>
      </c>
      <c r="C100" s="109" t="s">
        <v>66</v>
      </c>
      <c r="D100" s="103">
        <f t="shared" si="7"/>
        <v>225.73485627672824</v>
      </c>
      <c r="E100" s="110">
        <v>7.2039999999999997</v>
      </c>
      <c r="F100" s="110">
        <f t="shared" si="8"/>
        <v>4.6779220779220774</v>
      </c>
      <c r="G100" s="110">
        <f t="shared" si="9"/>
        <v>5</v>
      </c>
      <c r="H100" s="110"/>
      <c r="I100" s="111">
        <v>1470</v>
      </c>
      <c r="J100" s="109" t="str">
        <f t="shared" si="10"/>
        <v>26</v>
      </c>
      <c r="K100" s="109" t="s">
        <v>83</v>
      </c>
      <c r="L100" s="109" t="s">
        <v>751</v>
      </c>
      <c r="M100" s="111">
        <v>92</v>
      </c>
      <c r="N100" s="110">
        <v>1736.7</v>
      </c>
      <c r="O100" s="105">
        <f t="shared" si="11"/>
        <v>1626.3</v>
      </c>
      <c r="P100" s="112">
        <v>7.8299999999999995E-2</v>
      </c>
      <c r="Q100" s="113">
        <v>4.901E-3</v>
      </c>
      <c r="R100" s="107">
        <f t="shared" si="12"/>
        <v>4.9009999999999998</v>
      </c>
      <c r="S100" s="105">
        <f t="shared" si="13"/>
        <v>1106.3265306122451</v>
      </c>
      <c r="T100" s="114">
        <f>IFERROR(INDEX('MASTER por modelo'!$AQ$8:$AQ$474,MATCH(K100,'MASTER por modelo'!$D$8:$D$474,0)),"")</f>
        <v>0.42142116182572614</v>
      </c>
      <c r="U100" s="115">
        <f>IFERROR(INDEX('MASTER por modelo'!$AC$8:$AC$474,MATCH(K100,'MASTER por modelo'!$D$8:$D$474,0))+INDEX('MASTER por modelo'!$AD$8:$AD$474,MATCH(K100,'MASTER por modelo'!$D$8:$D$474,0)),"")</f>
        <v>1625</v>
      </c>
      <c r="V100" s="93"/>
    </row>
    <row r="101" spans="1:22" x14ac:dyDescent="0.25">
      <c r="A101" s="109" t="s">
        <v>63</v>
      </c>
      <c r="B101" s="109" t="s">
        <v>110</v>
      </c>
      <c r="C101" s="109" t="s">
        <v>111</v>
      </c>
      <c r="D101" s="103">
        <f t="shared" si="7"/>
        <v>146.39441934473081</v>
      </c>
      <c r="E101" s="110">
        <v>7.2</v>
      </c>
      <c r="F101" s="110">
        <f t="shared" si="8"/>
        <v>4.6753246753246751</v>
      </c>
      <c r="G101" s="110">
        <f t="shared" si="9"/>
        <v>5</v>
      </c>
      <c r="H101" s="110"/>
      <c r="I101" s="111">
        <v>1552</v>
      </c>
      <c r="J101" s="109" t="str">
        <f t="shared" si="10"/>
        <v>26</v>
      </c>
      <c r="K101" s="109" t="s">
        <v>153</v>
      </c>
      <c r="L101" s="109" t="s">
        <v>749</v>
      </c>
      <c r="M101" s="111">
        <v>78</v>
      </c>
      <c r="N101" s="110">
        <v>1147.5999999999999</v>
      </c>
      <c r="O101" s="105">
        <f t="shared" si="11"/>
        <v>1054</v>
      </c>
      <c r="P101" s="112">
        <v>9.2299999999999993E-2</v>
      </c>
      <c r="Q101" s="113">
        <v>4.6389999999999999E-3</v>
      </c>
      <c r="R101" s="107">
        <f t="shared" si="12"/>
        <v>4.6390000000000002</v>
      </c>
      <c r="S101" s="105">
        <f t="shared" si="13"/>
        <v>679.12371134020623</v>
      </c>
      <c r="T101" s="114">
        <f>IFERROR(INDEX('MASTER por modelo'!$AQ$8:$AQ$474,MATCH(K101,'MASTER por modelo'!$D$8:$D$474,0)),"")</f>
        <v>2.4481106971793506E-2</v>
      </c>
      <c r="U101" s="115">
        <f>IFERROR(INDEX('MASTER por modelo'!$AC$8:$AC$474,MATCH(K101,'MASTER por modelo'!$D$8:$D$474,0))+INDEX('MASTER por modelo'!$AD$8:$AD$474,MATCH(K101,'MASTER por modelo'!$D$8:$D$474,0)),"")</f>
        <v>46</v>
      </c>
      <c r="V101" s="93"/>
    </row>
    <row r="102" spans="1:22" x14ac:dyDescent="0.25">
      <c r="A102" s="109" t="s">
        <v>63</v>
      </c>
      <c r="B102" s="109" t="s">
        <v>64</v>
      </c>
      <c r="C102" s="109" t="s">
        <v>66</v>
      </c>
      <c r="D102" s="103">
        <f t="shared" si="7"/>
        <v>156.39300327559425</v>
      </c>
      <c r="E102" s="110">
        <v>7.1139999999999999</v>
      </c>
      <c r="F102" s="110">
        <f t="shared" si="8"/>
        <v>4.6194805194805193</v>
      </c>
      <c r="G102" s="110">
        <f t="shared" si="9"/>
        <v>5</v>
      </c>
      <c r="H102" s="110"/>
      <c r="I102" s="111">
        <v>781</v>
      </c>
      <c r="J102" s="109" t="str">
        <f t="shared" si="10"/>
        <v>26</v>
      </c>
      <c r="K102" s="109" t="s">
        <v>170</v>
      </c>
      <c r="L102" s="109" t="s">
        <v>732</v>
      </c>
      <c r="M102" s="111">
        <v>65</v>
      </c>
      <c r="N102" s="110">
        <v>1190.5999999999999</v>
      </c>
      <c r="O102" s="105">
        <f t="shared" si="11"/>
        <v>1112.5999999999999</v>
      </c>
      <c r="P102" s="112">
        <v>0.1094</v>
      </c>
      <c r="Q102" s="113">
        <v>9.1090000000000008E-3</v>
      </c>
      <c r="R102" s="107">
        <f t="shared" si="12"/>
        <v>9.109</v>
      </c>
      <c r="S102" s="105">
        <f t="shared" si="13"/>
        <v>1424.5838668373879</v>
      </c>
      <c r="T102" s="114">
        <f>IFERROR(INDEX('MASTER por modelo'!$AQ$8:$AQ$474,MATCH(K102,'MASTER por modelo'!$D$8:$D$474,0)),"")</f>
        <v>0.86939820742637641</v>
      </c>
      <c r="U102" s="115">
        <f>IFERROR(INDEX('MASTER por modelo'!$AC$8:$AC$474,MATCH(K102,'MASTER por modelo'!$D$8:$D$474,0))+INDEX('MASTER por modelo'!$AD$8:$AD$474,MATCH(K102,'MASTER por modelo'!$D$8:$D$474,0)),"")</f>
        <v>679</v>
      </c>
      <c r="V102" s="93"/>
    </row>
    <row r="103" spans="1:22" x14ac:dyDescent="0.25">
      <c r="A103" s="109" t="s">
        <v>63</v>
      </c>
      <c r="B103" s="109" t="s">
        <v>171</v>
      </c>
      <c r="C103" s="109" t="s">
        <v>172</v>
      </c>
      <c r="D103" s="103">
        <f t="shared" si="7"/>
        <v>203.76930970540766</v>
      </c>
      <c r="E103" s="110">
        <v>7.1</v>
      </c>
      <c r="F103" s="110">
        <f t="shared" si="8"/>
        <v>4.6103896103896105</v>
      </c>
      <c r="G103" s="110">
        <f t="shared" si="9"/>
        <v>5</v>
      </c>
      <c r="H103" s="110"/>
      <c r="I103" s="111">
        <v>758</v>
      </c>
      <c r="J103" s="109" t="str">
        <f t="shared" si="10"/>
        <v>26</v>
      </c>
      <c r="K103" s="109" t="s">
        <v>173</v>
      </c>
      <c r="L103" s="109" t="s">
        <v>761</v>
      </c>
      <c r="M103" s="111">
        <v>74</v>
      </c>
      <c r="N103" s="110">
        <v>1535.6</v>
      </c>
      <c r="O103" s="105">
        <f t="shared" si="11"/>
        <v>1446.8</v>
      </c>
      <c r="P103" s="112">
        <v>9.5899999999999999E-2</v>
      </c>
      <c r="Q103" s="113">
        <v>9.3670000000000003E-3</v>
      </c>
      <c r="R103" s="107">
        <f t="shared" si="12"/>
        <v>9.3670000000000009</v>
      </c>
      <c r="S103" s="105">
        <f t="shared" si="13"/>
        <v>1908.707124010554</v>
      </c>
      <c r="T103" s="114">
        <f>IFERROR(INDEX('MASTER por modelo'!$AQ$8:$AQ$474,MATCH(K103,'MASTER por modelo'!$D$8:$D$474,0)),"")</f>
        <v>0.84852216748768472</v>
      </c>
      <c r="U103" s="115">
        <f>IFERROR(INDEX('MASTER por modelo'!$AC$8:$AC$474,MATCH(K103,'MASTER por modelo'!$D$8:$D$474,0))+INDEX('MASTER por modelo'!$AD$8:$AD$474,MATCH(K103,'MASTER por modelo'!$D$8:$D$474,0)),"")</f>
        <v>2067</v>
      </c>
      <c r="V103" s="93"/>
    </row>
    <row r="104" spans="1:22" x14ac:dyDescent="0.25">
      <c r="A104" s="109" t="s">
        <v>55</v>
      </c>
      <c r="B104" s="109" t="s">
        <v>56</v>
      </c>
      <c r="C104" s="109" t="s">
        <v>66</v>
      </c>
      <c r="D104" s="103">
        <f t="shared" si="7"/>
        <v>138.10475763495353</v>
      </c>
      <c r="E104" s="110">
        <v>7.1</v>
      </c>
      <c r="F104" s="110">
        <f t="shared" si="8"/>
        <v>4.6103896103896105</v>
      </c>
      <c r="G104" s="110">
        <f t="shared" si="9"/>
        <v>5</v>
      </c>
      <c r="H104" s="110"/>
      <c r="I104" s="111">
        <v>879</v>
      </c>
      <c r="J104" s="109" t="str">
        <f t="shared" si="10"/>
        <v>26</v>
      </c>
      <c r="K104" s="109" t="s">
        <v>174</v>
      </c>
      <c r="L104" s="109" t="s">
        <v>750</v>
      </c>
      <c r="M104" s="111">
        <v>74</v>
      </c>
      <c r="N104" s="110">
        <v>1069.3</v>
      </c>
      <c r="O104" s="105">
        <f t="shared" si="11"/>
        <v>980.5</v>
      </c>
      <c r="P104" s="112">
        <v>9.5899999999999999E-2</v>
      </c>
      <c r="Q104" s="113">
        <v>8.0770000000000008E-3</v>
      </c>
      <c r="R104" s="107">
        <f t="shared" si="12"/>
        <v>8.0770000000000017</v>
      </c>
      <c r="S104" s="105">
        <f t="shared" si="13"/>
        <v>1115.4721274175199</v>
      </c>
      <c r="T104" s="114">
        <f>IFERROR(INDEX('MASTER por modelo'!$AQ$8:$AQ$474,MATCH(K104,'MASTER por modelo'!$D$8:$D$474,0)),"")</f>
        <v>0.44027303754266212</v>
      </c>
      <c r="U104" s="115">
        <f>IFERROR(INDEX('MASTER por modelo'!$AC$8:$AC$474,MATCH(K104,'MASTER por modelo'!$D$8:$D$474,0))+INDEX('MASTER por modelo'!$AD$8:$AD$474,MATCH(K104,'MASTER por modelo'!$D$8:$D$474,0)),"")</f>
        <v>387</v>
      </c>
      <c r="V104" s="93"/>
    </row>
    <row r="105" spans="1:22" x14ac:dyDescent="0.25">
      <c r="A105" s="109" t="s">
        <v>63</v>
      </c>
      <c r="B105" s="109" t="s">
        <v>110</v>
      </c>
      <c r="C105" s="109" t="s">
        <v>100</v>
      </c>
      <c r="D105" s="103">
        <f t="shared" si="7"/>
        <v>158.30229387772695</v>
      </c>
      <c r="E105" s="110">
        <v>7.008</v>
      </c>
      <c r="F105" s="110">
        <f t="shared" si="8"/>
        <v>4.5506493506493504</v>
      </c>
      <c r="G105" s="110">
        <f t="shared" si="9"/>
        <v>5</v>
      </c>
      <c r="H105" s="110"/>
      <c r="I105" s="111">
        <v>2399</v>
      </c>
      <c r="J105" s="109" t="str">
        <f t="shared" si="10"/>
        <v>26</v>
      </c>
      <c r="K105" s="109" t="s">
        <v>175</v>
      </c>
      <c r="L105" s="109" t="s">
        <v>745</v>
      </c>
      <c r="M105" s="111">
        <v>73</v>
      </c>
      <c r="N105" s="110">
        <v>1196.9000000000001</v>
      </c>
      <c r="O105" s="105">
        <f t="shared" si="11"/>
        <v>1109.3000000000002</v>
      </c>
      <c r="P105" s="112">
        <v>9.6000000000000002E-2</v>
      </c>
      <c r="Q105" s="113">
        <v>2.921E-3</v>
      </c>
      <c r="R105" s="107">
        <f t="shared" si="12"/>
        <v>2.9209999999999998</v>
      </c>
      <c r="S105" s="105">
        <f t="shared" si="13"/>
        <v>462.40100041684042</v>
      </c>
      <c r="T105" s="114">
        <f>IFERROR(INDEX('MASTER por modelo'!$AQ$8:$AQ$474,MATCH(K105,'MASTER por modelo'!$D$8:$D$474,0)),"")</f>
        <v>0.84076698624426849</v>
      </c>
      <c r="U105" s="115">
        <f>IFERROR(INDEX('MASTER por modelo'!$AC$8:$AC$474,MATCH(K105,'MASTER por modelo'!$D$8:$D$474,0))+INDEX('MASTER por modelo'!$AD$8:$AD$474,MATCH(K105,'MASTER por modelo'!$D$8:$D$474,0)),"")</f>
        <v>2017</v>
      </c>
      <c r="V105" s="93"/>
    </row>
    <row r="106" spans="1:22" x14ac:dyDescent="0.25">
      <c r="A106" s="109" t="s">
        <v>63</v>
      </c>
      <c r="B106" s="109" t="s">
        <v>64</v>
      </c>
      <c r="C106" s="109" t="s">
        <v>66</v>
      </c>
      <c r="D106" s="103">
        <f t="shared" si="7"/>
        <v>129.57515100096339</v>
      </c>
      <c r="E106" s="110">
        <v>6.9589999999999996</v>
      </c>
      <c r="F106" s="110">
        <f t="shared" si="8"/>
        <v>4.5188311688311682</v>
      </c>
      <c r="G106" s="110">
        <f t="shared" si="9"/>
        <v>5</v>
      </c>
      <c r="H106" s="110"/>
      <c r="I106" s="111">
        <v>894</v>
      </c>
      <c r="J106" s="109" t="str">
        <f t="shared" si="10"/>
        <v>26</v>
      </c>
      <c r="K106" s="109" t="s">
        <v>176</v>
      </c>
      <c r="L106" s="109" t="s">
        <v>762</v>
      </c>
      <c r="M106" s="111">
        <v>69</v>
      </c>
      <c r="N106" s="110">
        <v>984.5</v>
      </c>
      <c r="O106" s="105">
        <f t="shared" si="11"/>
        <v>901.7</v>
      </c>
      <c r="P106" s="112">
        <v>0.1009</v>
      </c>
      <c r="Q106" s="113">
        <v>7.7840000000000001E-3</v>
      </c>
      <c r="R106" s="107">
        <f t="shared" si="12"/>
        <v>7.7839999999999998</v>
      </c>
      <c r="S106" s="105">
        <f t="shared" si="13"/>
        <v>1008.6129753914989</v>
      </c>
      <c r="T106" s="114">
        <f>IFERROR(INDEX('MASTER por modelo'!$AQ$8:$AQ$474,MATCH(K106,'MASTER por modelo'!$D$8:$D$474,0)),"")</f>
        <v>0.49888143176733779</v>
      </c>
      <c r="U106" s="115">
        <f>IFERROR(INDEX('MASTER por modelo'!$AC$8:$AC$474,MATCH(K106,'MASTER por modelo'!$D$8:$D$474,0))+INDEX('MASTER por modelo'!$AD$8:$AD$474,MATCH(K106,'MASTER por modelo'!$D$8:$D$474,0)),"")</f>
        <v>446</v>
      </c>
      <c r="V106" s="93"/>
    </row>
    <row r="107" spans="1:22" x14ac:dyDescent="0.25">
      <c r="A107" s="109" t="s">
        <v>55</v>
      </c>
      <c r="B107" s="109" t="s">
        <v>56</v>
      </c>
      <c r="C107" s="109" t="s">
        <v>80</v>
      </c>
      <c r="D107" s="103">
        <f t="shared" si="7"/>
        <v>142.94577088860186</v>
      </c>
      <c r="E107" s="110">
        <v>6.9119999999999999</v>
      </c>
      <c r="F107" s="110">
        <f t="shared" si="8"/>
        <v>4.488311688311688</v>
      </c>
      <c r="G107" s="110">
        <f t="shared" si="9"/>
        <v>5</v>
      </c>
      <c r="H107" s="110"/>
      <c r="I107" s="111">
        <v>932</v>
      </c>
      <c r="J107" s="109" t="str">
        <f t="shared" si="10"/>
        <v>26</v>
      </c>
      <c r="K107" s="109" t="s">
        <v>177</v>
      </c>
      <c r="L107" s="109" t="s">
        <v>757</v>
      </c>
      <c r="M107" s="111">
        <v>72</v>
      </c>
      <c r="N107" s="110">
        <v>1074.4000000000001</v>
      </c>
      <c r="O107" s="105">
        <f t="shared" si="11"/>
        <v>988.00000000000011</v>
      </c>
      <c r="P107" s="112">
        <v>9.6000000000000002E-2</v>
      </c>
      <c r="Q107" s="113">
        <v>7.4159999999999998E-3</v>
      </c>
      <c r="R107" s="107">
        <f t="shared" si="12"/>
        <v>7.4159999999999995</v>
      </c>
      <c r="S107" s="105">
        <f t="shared" si="13"/>
        <v>1060.0858369098714</v>
      </c>
      <c r="T107" s="114">
        <f>IFERROR(INDEX('MASTER por modelo'!$AQ$8:$AQ$474,MATCH(K107,'MASTER por modelo'!$D$8:$D$474,0)),"")</f>
        <v>0.49356223175965663</v>
      </c>
      <c r="U107" s="115">
        <f>IFERROR(INDEX('MASTER por modelo'!$AC$8:$AC$474,MATCH(K107,'MASTER por modelo'!$D$8:$D$474,0))+INDEX('MASTER por modelo'!$AD$8:$AD$474,MATCH(K107,'MASTER por modelo'!$D$8:$D$474,0)),"")</f>
        <v>460</v>
      </c>
      <c r="V107" s="93"/>
    </row>
    <row r="108" spans="1:22" x14ac:dyDescent="0.25">
      <c r="A108" s="109" t="s">
        <v>63</v>
      </c>
      <c r="B108" s="109" t="s">
        <v>105</v>
      </c>
      <c r="C108" s="109" t="s">
        <v>178</v>
      </c>
      <c r="D108" s="103">
        <f t="shared" si="7"/>
        <v>79.328655326348425</v>
      </c>
      <c r="E108" s="110">
        <v>6.8940000000000001</v>
      </c>
      <c r="F108" s="110">
        <f t="shared" si="8"/>
        <v>4.4766233766233769</v>
      </c>
      <c r="G108" s="110">
        <f t="shared" si="9"/>
        <v>5</v>
      </c>
      <c r="H108" s="110"/>
      <c r="I108" s="111">
        <v>602</v>
      </c>
      <c r="J108" s="109" t="str">
        <f t="shared" si="10"/>
        <v>26</v>
      </c>
      <c r="K108" s="109" t="s">
        <v>179</v>
      </c>
      <c r="L108" s="109" t="s">
        <v>759</v>
      </c>
      <c r="M108" s="111">
        <v>61</v>
      </c>
      <c r="N108" s="110">
        <v>620.1</v>
      </c>
      <c r="O108" s="105">
        <f t="shared" si="11"/>
        <v>546.9</v>
      </c>
      <c r="P108" s="112">
        <v>0.113</v>
      </c>
      <c r="Q108" s="113">
        <v>1.1452E-2</v>
      </c>
      <c r="R108" s="107">
        <f t="shared" si="12"/>
        <v>11.452</v>
      </c>
      <c r="S108" s="105">
        <f t="shared" si="13"/>
        <v>908.4717607973422</v>
      </c>
      <c r="T108" s="114">
        <f>IFERROR(INDEX('MASTER por modelo'!$AQ$8:$AQ$474,MATCH(K108,'MASTER por modelo'!$D$8:$D$474,0)),"")</f>
        <v>0.71760797342192695</v>
      </c>
      <c r="U108" s="115">
        <f>IFERROR(INDEX('MASTER por modelo'!$AC$8:$AC$474,MATCH(K108,'MASTER por modelo'!$D$8:$D$474,0))+INDEX('MASTER por modelo'!$AD$8:$AD$474,MATCH(K108,'MASTER por modelo'!$D$8:$D$474,0)),"")</f>
        <v>432</v>
      </c>
      <c r="V108" s="93"/>
    </row>
    <row r="109" spans="1:22" x14ac:dyDescent="0.25">
      <c r="A109" s="109" t="s">
        <v>63</v>
      </c>
      <c r="B109" s="109" t="s">
        <v>110</v>
      </c>
      <c r="C109" s="109" t="s">
        <v>100</v>
      </c>
      <c r="D109" s="103">
        <f t="shared" si="7"/>
        <v>126.0392812401291</v>
      </c>
      <c r="E109" s="110">
        <v>6.8159999999999998</v>
      </c>
      <c r="F109" s="110">
        <f t="shared" si="8"/>
        <v>4.4259740259740257</v>
      </c>
      <c r="G109" s="110">
        <f t="shared" si="9"/>
        <v>5</v>
      </c>
      <c r="H109" s="110"/>
      <c r="I109" s="111">
        <v>681</v>
      </c>
      <c r="J109" s="109" t="str">
        <f t="shared" si="10"/>
        <v>26</v>
      </c>
      <c r="K109" s="109" t="s">
        <v>180</v>
      </c>
      <c r="L109" s="109" t="s">
        <v>753</v>
      </c>
      <c r="M109" s="111">
        <v>71</v>
      </c>
      <c r="N109" s="110">
        <v>944.3</v>
      </c>
      <c r="O109" s="105">
        <f t="shared" si="11"/>
        <v>859.09999999999991</v>
      </c>
      <c r="P109" s="112">
        <v>9.6000000000000002E-2</v>
      </c>
      <c r="Q109" s="113">
        <v>1.0009000000000001E-2</v>
      </c>
      <c r="R109" s="107">
        <f t="shared" si="12"/>
        <v>10.009</v>
      </c>
      <c r="S109" s="105">
        <f t="shared" si="13"/>
        <v>1261.5271659324521</v>
      </c>
      <c r="T109" s="114">
        <f>IFERROR(INDEX('MASTER por modelo'!$AQ$8:$AQ$474,MATCH(K109,'MASTER por modelo'!$D$8:$D$474,0)),"")</f>
        <v>0.17613636363636365</v>
      </c>
      <c r="U109" s="115">
        <f>IFERROR(INDEX('MASTER por modelo'!$AC$8:$AC$474,MATCH(K109,'MASTER por modelo'!$D$8:$D$474,0))+INDEX('MASTER por modelo'!$AD$8:$AD$474,MATCH(K109,'MASTER por modelo'!$D$8:$D$474,0)),"")</f>
        <v>248</v>
      </c>
      <c r="V109" s="93"/>
    </row>
    <row r="110" spans="1:22" x14ac:dyDescent="0.25">
      <c r="A110" s="109" t="s">
        <v>63</v>
      </c>
      <c r="B110" s="109" t="s">
        <v>105</v>
      </c>
      <c r="C110" s="109" t="s">
        <v>106</v>
      </c>
      <c r="D110" s="103">
        <f t="shared" si="7"/>
        <v>93.197554562421061</v>
      </c>
      <c r="E110" s="110">
        <v>6.7619999999999996</v>
      </c>
      <c r="F110" s="110">
        <f t="shared" si="8"/>
        <v>4.3909090909090907</v>
      </c>
      <c r="G110" s="110">
        <f t="shared" si="9"/>
        <v>5</v>
      </c>
      <c r="H110" s="110"/>
      <c r="I110" s="111">
        <v>557</v>
      </c>
      <c r="J110" s="109" t="str">
        <f t="shared" si="10"/>
        <v>26</v>
      </c>
      <c r="K110" s="109" t="s">
        <v>107</v>
      </c>
      <c r="L110" s="109" t="s">
        <v>759</v>
      </c>
      <c r="M110" s="111">
        <v>56</v>
      </c>
      <c r="N110" s="110">
        <v>697.4</v>
      </c>
      <c r="O110" s="105">
        <f t="shared" si="11"/>
        <v>630.19999999999993</v>
      </c>
      <c r="P110" s="112">
        <v>0.1207</v>
      </c>
      <c r="Q110" s="113">
        <v>1.214E-2</v>
      </c>
      <c r="R110" s="107">
        <f t="shared" si="12"/>
        <v>12.14</v>
      </c>
      <c r="S110" s="105">
        <f t="shared" si="13"/>
        <v>1131.4183123877917</v>
      </c>
      <c r="T110" s="114">
        <f>IFERROR(INDEX('MASTER por modelo'!$AQ$8:$AQ$474,MATCH(K110,'MASTER por modelo'!$D$8:$D$474,0)),"")</f>
        <v>0.80845771144278611</v>
      </c>
      <c r="U110" s="115">
        <f>IFERROR(INDEX('MASTER por modelo'!$AC$8:$AC$474,MATCH(K110,'MASTER por modelo'!$D$8:$D$474,0))+INDEX('MASTER por modelo'!$AD$8:$AD$474,MATCH(K110,'MASTER por modelo'!$D$8:$D$474,0)),"")</f>
        <v>975</v>
      </c>
      <c r="V110" s="93"/>
    </row>
    <row r="111" spans="1:22" x14ac:dyDescent="0.25">
      <c r="A111" s="109" t="s">
        <v>63</v>
      </c>
      <c r="B111" s="109" t="s">
        <v>105</v>
      </c>
      <c r="C111" s="109" t="s">
        <v>115</v>
      </c>
      <c r="D111" s="103">
        <f t="shared" si="7"/>
        <v>93.197554562421061</v>
      </c>
      <c r="E111" s="110">
        <v>6.7619999999999996</v>
      </c>
      <c r="F111" s="110">
        <f t="shared" si="8"/>
        <v>4.3909090909090907</v>
      </c>
      <c r="G111" s="110">
        <f t="shared" si="9"/>
        <v>5</v>
      </c>
      <c r="H111" s="110"/>
      <c r="I111" s="111">
        <v>557</v>
      </c>
      <c r="J111" s="109" t="str">
        <f t="shared" si="10"/>
        <v>26</v>
      </c>
      <c r="K111" s="109" t="s">
        <v>116</v>
      </c>
      <c r="L111" s="109" t="s">
        <v>759</v>
      </c>
      <c r="M111" s="111">
        <v>56</v>
      </c>
      <c r="N111" s="110">
        <v>697.4</v>
      </c>
      <c r="O111" s="105">
        <f t="shared" si="11"/>
        <v>630.19999999999993</v>
      </c>
      <c r="P111" s="112">
        <v>0.1207</v>
      </c>
      <c r="Q111" s="113">
        <v>1.214E-2</v>
      </c>
      <c r="R111" s="107">
        <f t="shared" si="12"/>
        <v>12.14</v>
      </c>
      <c r="S111" s="105">
        <f t="shared" si="13"/>
        <v>1131.4183123877917</v>
      </c>
      <c r="T111" s="114">
        <f>IFERROR(INDEX('MASTER por modelo'!$AQ$8:$AQ$474,MATCH(K111,'MASTER por modelo'!$D$8:$D$474,0)),"")</f>
        <v>0.32764811490125673</v>
      </c>
      <c r="U111" s="115">
        <f>IFERROR(INDEX('MASTER por modelo'!$AC$8:$AC$474,MATCH(K111,'MASTER por modelo'!$D$8:$D$474,0))+INDEX('MASTER por modelo'!$AD$8:$AD$474,MATCH(K111,'MASTER por modelo'!$D$8:$D$474,0)),"")</f>
        <v>365</v>
      </c>
      <c r="V111" s="93"/>
    </row>
    <row r="112" spans="1:22" x14ac:dyDescent="0.25">
      <c r="A112" s="109" t="s">
        <v>63</v>
      </c>
      <c r="B112" s="109" t="s">
        <v>105</v>
      </c>
      <c r="C112" s="109" t="s">
        <v>115</v>
      </c>
      <c r="D112" s="103">
        <f t="shared" si="7"/>
        <v>93.197554562421061</v>
      </c>
      <c r="E112" s="110">
        <v>6.7619999999999996</v>
      </c>
      <c r="F112" s="110">
        <f t="shared" si="8"/>
        <v>4.3909090909090907</v>
      </c>
      <c r="G112" s="110">
        <f t="shared" si="9"/>
        <v>5</v>
      </c>
      <c r="H112" s="110"/>
      <c r="I112" s="111">
        <v>557</v>
      </c>
      <c r="J112" s="109" t="str">
        <f t="shared" si="10"/>
        <v>26</v>
      </c>
      <c r="K112" s="109" t="s">
        <v>116</v>
      </c>
      <c r="L112" s="109" t="s">
        <v>759</v>
      </c>
      <c r="M112" s="111">
        <v>56</v>
      </c>
      <c r="N112" s="110">
        <v>697.4</v>
      </c>
      <c r="O112" s="105">
        <f t="shared" si="11"/>
        <v>630.19999999999993</v>
      </c>
      <c r="P112" s="112">
        <v>0.1207</v>
      </c>
      <c r="Q112" s="113">
        <v>1.214E-2</v>
      </c>
      <c r="R112" s="107">
        <f t="shared" si="12"/>
        <v>12.14</v>
      </c>
      <c r="S112" s="105">
        <f t="shared" si="13"/>
        <v>1131.4183123877917</v>
      </c>
      <c r="T112" s="114">
        <f>IFERROR(INDEX('MASTER por modelo'!$AQ$8:$AQ$474,MATCH(K112,'MASTER por modelo'!$D$8:$D$474,0)),"")</f>
        <v>0.32764811490125673</v>
      </c>
      <c r="U112" s="115">
        <f>IFERROR(INDEX('MASTER por modelo'!$AC$8:$AC$474,MATCH(K112,'MASTER por modelo'!$D$8:$D$474,0))+INDEX('MASTER por modelo'!$AD$8:$AD$474,MATCH(K112,'MASTER por modelo'!$D$8:$D$474,0)),"")</f>
        <v>365</v>
      </c>
      <c r="V112" s="93"/>
    </row>
    <row r="113" spans="1:22" x14ac:dyDescent="0.25">
      <c r="A113" s="109" t="s">
        <v>55</v>
      </c>
      <c r="B113" s="109" t="s">
        <v>56</v>
      </c>
      <c r="C113" s="109" t="s">
        <v>57</v>
      </c>
      <c r="D113" s="103">
        <f t="shared" si="7"/>
        <v>110.63988095238096</v>
      </c>
      <c r="E113" s="110">
        <v>6.72</v>
      </c>
      <c r="F113" s="110">
        <f t="shared" si="8"/>
        <v>4.3636363636363633</v>
      </c>
      <c r="G113" s="110">
        <f t="shared" si="9"/>
        <v>5</v>
      </c>
      <c r="H113" s="110"/>
      <c r="I113" s="111">
        <v>625</v>
      </c>
      <c r="J113" s="109" t="str">
        <f t="shared" si="10"/>
        <v>26</v>
      </c>
      <c r="K113" s="109" t="s">
        <v>181</v>
      </c>
      <c r="L113" s="109" t="s">
        <v>743</v>
      </c>
      <c r="M113" s="111">
        <v>70</v>
      </c>
      <c r="N113" s="110">
        <v>827.5</v>
      </c>
      <c r="O113" s="105">
        <f t="shared" si="11"/>
        <v>743.5</v>
      </c>
      <c r="P113" s="112">
        <v>9.6000000000000002E-2</v>
      </c>
      <c r="Q113" s="113">
        <v>1.0751999999999999E-2</v>
      </c>
      <c r="R113" s="107">
        <f t="shared" si="12"/>
        <v>10.751999999999999</v>
      </c>
      <c r="S113" s="105">
        <f t="shared" si="13"/>
        <v>1189.5999999999999</v>
      </c>
      <c r="T113" s="114">
        <f>IFERROR(INDEX('MASTER por modelo'!$AQ$8:$AQ$474,MATCH(K113,'MASTER por modelo'!$D$8:$D$474,0)),"")</f>
        <v>6.08E-2</v>
      </c>
      <c r="U113" s="115">
        <f>IFERROR(INDEX('MASTER por modelo'!$AC$8:$AC$474,MATCH(K113,'MASTER por modelo'!$D$8:$D$474,0))+INDEX('MASTER por modelo'!$AD$8:$AD$474,MATCH(K113,'MASTER por modelo'!$D$8:$D$474,0)),"")</f>
        <v>38</v>
      </c>
      <c r="V113" s="93"/>
    </row>
    <row r="114" spans="1:22" x14ac:dyDescent="0.25">
      <c r="A114" s="109" t="s">
        <v>55</v>
      </c>
      <c r="B114" s="109" t="s">
        <v>182</v>
      </c>
      <c r="C114" s="109" t="s">
        <v>183</v>
      </c>
      <c r="D114" s="103">
        <f t="shared" si="7"/>
        <v>45.55489260143198</v>
      </c>
      <c r="E114" s="110">
        <v>6.7039999999999997</v>
      </c>
      <c r="F114" s="110">
        <f t="shared" si="8"/>
        <v>4.3532467532467534</v>
      </c>
      <c r="G114" s="110">
        <f t="shared" si="9"/>
        <v>5</v>
      </c>
      <c r="H114" s="110"/>
      <c r="I114" s="111">
        <v>400</v>
      </c>
      <c r="J114" s="109" t="str">
        <f t="shared" si="10"/>
        <v>26</v>
      </c>
      <c r="K114" s="109" t="s">
        <v>184</v>
      </c>
      <c r="L114" s="109" t="s">
        <v>763</v>
      </c>
      <c r="M114" s="111">
        <v>58</v>
      </c>
      <c r="N114" s="110">
        <v>375</v>
      </c>
      <c r="O114" s="105">
        <f t="shared" si="11"/>
        <v>305.39999999999998</v>
      </c>
      <c r="P114" s="112">
        <v>0.11559999999999999</v>
      </c>
      <c r="Q114" s="113">
        <v>1.6760000000000001E-2</v>
      </c>
      <c r="R114" s="107">
        <f t="shared" si="12"/>
        <v>16.760000000000002</v>
      </c>
      <c r="S114" s="105">
        <f t="shared" si="13"/>
        <v>763.5</v>
      </c>
      <c r="T114" s="114">
        <f>IFERROR(INDEX('MASTER por modelo'!$AQ$8:$AQ$474,MATCH(K114,'MASTER por modelo'!$D$8:$D$474,0)),"")</f>
        <v>0.4</v>
      </c>
      <c r="U114" s="115">
        <f>IFERROR(INDEX('MASTER por modelo'!$AC$8:$AC$474,MATCH(K114,'MASTER por modelo'!$D$8:$D$474,0))+INDEX('MASTER por modelo'!$AD$8:$AD$474,MATCH(K114,'MASTER por modelo'!$D$8:$D$474,0)),"")</f>
        <v>160</v>
      </c>
      <c r="V114" s="93"/>
    </row>
    <row r="115" spans="1:22" x14ac:dyDescent="0.25">
      <c r="A115" s="109" t="s">
        <v>63</v>
      </c>
      <c r="B115" s="109" t="s">
        <v>105</v>
      </c>
      <c r="C115" s="109" t="s">
        <v>178</v>
      </c>
      <c r="D115" s="103">
        <f t="shared" si="7"/>
        <v>86.435152093010842</v>
      </c>
      <c r="E115" s="110">
        <v>6.452</v>
      </c>
      <c r="F115" s="110">
        <f t="shared" si="8"/>
        <v>4.1896103896103893</v>
      </c>
      <c r="G115" s="110">
        <f t="shared" si="9"/>
        <v>5</v>
      </c>
      <c r="H115" s="110"/>
      <c r="I115" s="111">
        <v>602</v>
      </c>
      <c r="J115" s="109" t="str">
        <f t="shared" si="10"/>
        <v>26</v>
      </c>
      <c r="K115" s="109" t="s">
        <v>186</v>
      </c>
      <c r="L115" s="109" t="s">
        <v>759</v>
      </c>
      <c r="M115" s="111">
        <v>61</v>
      </c>
      <c r="N115" s="110">
        <v>630.9</v>
      </c>
      <c r="O115" s="105">
        <f t="shared" si="11"/>
        <v>557.69999999999993</v>
      </c>
      <c r="P115" s="112">
        <v>0.10580000000000001</v>
      </c>
      <c r="Q115" s="113">
        <v>1.0718E-2</v>
      </c>
      <c r="R115" s="107">
        <f t="shared" si="12"/>
        <v>10.718</v>
      </c>
      <c r="S115" s="105">
        <f t="shared" si="13"/>
        <v>926.41196013289027</v>
      </c>
      <c r="T115" s="114">
        <f>IFERROR(INDEX('MASTER por modelo'!$AQ$8:$AQ$474,MATCH(K115,'MASTER por modelo'!$D$8:$D$474,0)),"")</f>
        <v>0.77076411960132896</v>
      </c>
      <c r="U115" s="115">
        <f>IFERROR(INDEX('MASTER por modelo'!$AC$8:$AC$474,MATCH(K115,'MASTER por modelo'!$D$8:$D$474,0))+INDEX('MASTER por modelo'!$AD$8:$AD$474,MATCH(K115,'MASTER por modelo'!$D$8:$D$474,0)),"")</f>
        <v>464</v>
      </c>
      <c r="V115" s="93"/>
    </row>
    <row r="116" spans="1:22" x14ac:dyDescent="0.25">
      <c r="A116" s="109" t="s">
        <v>63</v>
      </c>
      <c r="B116" s="109" t="s">
        <v>64</v>
      </c>
      <c r="C116" s="109" t="s">
        <v>57</v>
      </c>
      <c r="D116" s="103">
        <f t="shared" si="7"/>
        <v>99.051616915422883</v>
      </c>
      <c r="E116" s="110">
        <v>6.4320000000000004</v>
      </c>
      <c r="F116" s="110">
        <f t="shared" si="8"/>
        <v>4.1766233766233771</v>
      </c>
      <c r="G116" s="110">
        <f t="shared" si="9"/>
        <v>5</v>
      </c>
      <c r="H116" s="110"/>
      <c r="I116" s="111">
        <v>536</v>
      </c>
      <c r="J116" s="109" t="str">
        <f t="shared" si="10"/>
        <v>26</v>
      </c>
      <c r="K116" s="109" t="s">
        <v>65</v>
      </c>
      <c r="L116" s="109" t="s">
        <v>764</v>
      </c>
      <c r="M116" s="111">
        <v>67</v>
      </c>
      <c r="N116" s="110">
        <v>717.5</v>
      </c>
      <c r="O116" s="105">
        <f t="shared" si="11"/>
        <v>637.1</v>
      </c>
      <c r="P116" s="112">
        <v>9.6000000000000002E-2</v>
      </c>
      <c r="Q116" s="113">
        <v>1.2E-2</v>
      </c>
      <c r="R116" s="107">
        <f t="shared" si="12"/>
        <v>12</v>
      </c>
      <c r="S116" s="105">
        <f t="shared" si="13"/>
        <v>1188.6194029850747</v>
      </c>
      <c r="T116" s="114">
        <f>IFERROR(INDEX('MASTER por modelo'!$AQ$8:$AQ$474,MATCH(K116,'MASTER por modelo'!$D$8:$D$474,0)),"")</f>
        <v>0.3065068493150685</v>
      </c>
      <c r="U116" s="115">
        <f>IFERROR(INDEX('MASTER por modelo'!$AC$8:$AC$474,MATCH(K116,'MASTER por modelo'!$D$8:$D$474,0))+INDEX('MASTER por modelo'!$AD$8:$AD$474,MATCH(K116,'MASTER por modelo'!$D$8:$D$474,0)),"")</f>
        <v>1790</v>
      </c>
      <c r="V116" s="93"/>
    </row>
    <row r="117" spans="1:22" x14ac:dyDescent="0.25">
      <c r="A117" s="109" t="s">
        <v>63</v>
      </c>
      <c r="B117" s="109" t="s">
        <v>64</v>
      </c>
      <c r="C117" s="109" t="s">
        <v>66</v>
      </c>
      <c r="D117" s="103">
        <f t="shared" si="7"/>
        <v>150.46565036386249</v>
      </c>
      <c r="E117" s="110">
        <v>6.43</v>
      </c>
      <c r="F117" s="110">
        <f t="shared" si="8"/>
        <v>4.1753246753246751</v>
      </c>
      <c r="G117" s="110">
        <f t="shared" si="9"/>
        <v>5</v>
      </c>
      <c r="H117" s="110"/>
      <c r="I117" s="111">
        <v>791</v>
      </c>
      <c r="J117" s="109" t="str">
        <f t="shared" si="10"/>
        <v>26</v>
      </c>
      <c r="K117" s="109" t="s">
        <v>187</v>
      </c>
      <c r="L117" s="109" t="s">
        <v>741</v>
      </c>
      <c r="M117" s="111">
        <v>67</v>
      </c>
      <c r="N117" s="110">
        <v>1047.9000000000001</v>
      </c>
      <c r="O117" s="105">
        <f t="shared" si="11"/>
        <v>967.50000000000011</v>
      </c>
      <c r="P117" s="112">
        <v>9.6000000000000002E-2</v>
      </c>
      <c r="Q117" s="113">
        <v>8.1290000000000008E-3</v>
      </c>
      <c r="R117" s="107">
        <f t="shared" si="12"/>
        <v>8.1290000000000013</v>
      </c>
      <c r="S117" s="105">
        <f t="shared" si="13"/>
        <v>1223.1352718078383</v>
      </c>
      <c r="T117" s="114">
        <f>IFERROR(INDEX('MASTER por modelo'!$AQ$8:$AQ$474,MATCH(K117,'MASTER por modelo'!$D$8:$D$474,0)),"")</f>
        <v>0.8558786346396966</v>
      </c>
      <c r="U117" s="115">
        <f>IFERROR(INDEX('MASTER por modelo'!$AC$8:$AC$474,MATCH(K117,'MASTER por modelo'!$D$8:$D$474,0))+INDEX('MASTER por modelo'!$AD$8:$AD$474,MATCH(K117,'MASTER por modelo'!$D$8:$D$474,0)),"")</f>
        <v>677</v>
      </c>
      <c r="V117" s="93"/>
    </row>
    <row r="118" spans="1:22" x14ac:dyDescent="0.25">
      <c r="A118" s="109" t="s">
        <v>63</v>
      </c>
      <c r="B118" s="109" t="s">
        <v>64</v>
      </c>
      <c r="C118" s="109" t="s">
        <v>66</v>
      </c>
      <c r="D118" s="103">
        <f t="shared" si="7"/>
        <v>199.40201270722997</v>
      </c>
      <c r="E118" s="110">
        <v>6.4</v>
      </c>
      <c r="F118" s="110">
        <f t="shared" si="8"/>
        <v>4.1558441558441563</v>
      </c>
      <c r="G118" s="110">
        <f t="shared" si="9"/>
        <v>5</v>
      </c>
      <c r="H118" s="110"/>
      <c r="I118" s="111">
        <v>1048</v>
      </c>
      <c r="J118" s="109" t="str">
        <f t="shared" si="10"/>
        <v>27</v>
      </c>
      <c r="K118" s="109" t="s">
        <v>188</v>
      </c>
      <c r="L118" s="109" t="s">
        <v>765</v>
      </c>
      <c r="M118" s="111">
        <v>59</v>
      </c>
      <c r="N118" s="110">
        <v>1347</v>
      </c>
      <c r="O118" s="105">
        <f t="shared" si="11"/>
        <v>1276.2</v>
      </c>
      <c r="P118" s="112">
        <v>0.1085</v>
      </c>
      <c r="Q118" s="113">
        <v>6.1069999999999996E-3</v>
      </c>
      <c r="R118" s="107">
        <f t="shared" si="12"/>
        <v>6.1069999999999993</v>
      </c>
      <c r="S118" s="105">
        <f t="shared" si="13"/>
        <v>1217.7480916030534</v>
      </c>
      <c r="T118" s="114">
        <f>IFERROR(INDEX('MASTER por modelo'!$AQ$8:$AQ$474,MATCH(K118,'MASTER por modelo'!$D$8:$D$474,0)),"")</f>
        <v>0</v>
      </c>
      <c r="U118" s="115">
        <f>IFERROR(INDEX('MASTER por modelo'!$AC$8:$AC$474,MATCH(K118,'MASTER por modelo'!$D$8:$D$474,0))+INDEX('MASTER por modelo'!$AD$8:$AD$474,MATCH(K118,'MASTER por modelo'!$D$8:$D$474,0)),"")</f>
        <v>0</v>
      </c>
      <c r="V118" s="93"/>
    </row>
    <row r="119" spans="1:22" x14ac:dyDescent="0.25">
      <c r="A119" s="109" t="s">
        <v>55</v>
      </c>
      <c r="B119" s="109" t="s">
        <v>93</v>
      </c>
      <c r="C119" s="109" t="s">
        <v>94</v>
      </c>
      <c r="D119" s="103">
        <f t="shared" si="7"/>
        <v>158.33828140462722</v>
      </c>
      <c r="E119" s="110">
        <v>6.3360000000000003</v>
      </c>
      <c r="F119" s="110">
        <f t="shared" si="8"/>
        <v>4.1142857142857148</v>
      </c>
      <c r="G119" s="110">
        <f t="shared" si="9"/>
        <v>5</v>
      </c>
      <c r="H119" s="110"/>
      <c r="I119" s="111">
        <v>1089</v>
      </c>
      <c r="J119" s="109" t="str">
        <f t="shared" si="10"/>
        <v>26</v>
      </c>
      <c r="K119" s="109" t="s">
        <v>189</v>
      </c>
      <c r="L119" s="109" t="s">
        <v>753</v>
      </c>
      <c r="M119" s="111">
        <v>66</v>
      </c>
      <c r="N119" s="110">
        <v>1082.4000000000001</v>
      </c>
      <c r="O119" s="105">
        <f t="shared" si="11"/>
        <v>1003.2</v>
      </c>
      <c r="P119" s="112">
        <v>9.6000000000000002E-2</v>
      </c>
      <c r="Q119" s="113">
        <v>5.8180000000000003E-3</v>
      </c>
      <c r="R119" s="107">
        <f t="shared" si="12"/>
        <v>5.8180000000000005</v>
      </c>
      <c r="S119" s="105">
        <f t="shared" si="13"/>
        <v>921.21212121212125</v>
      </c>
      <c r="T119" s="114">
        <f>IFERROR(INDEX('MASTER por modelo'!$AQ$8:$AQ$474,MATCH(K119,'MASTER por modelo'!$D$8:$D$474,0)),"")</f>
        <v>0.97337006427915518</v>
      </c>
      <c r="U119" s="115">
        <f>IFERROR(INDEX('MASTER por modelo'!$AC$8:$AC$474,MATCH(K119,'MASTER por modelo'!$D$8:$D$474,0))+INDEX('MASTER por modelo'!$AD$8:$AD$474,MATCH(K119,'MASTER por modelo'!$D$8:$D$474,0)),"")</f>
        <v>1060</v>
      </c>
      <c r="V119" s="93"/>
    </row>
    <row r="120" spans="1:22" x14ac:dyDescent="0.25">
      <c r="A120" s="109" t="s">
        <v>55</v>
      </c>
      <c r="B120" s="109" t="s">
        <v>93</v>
      </c>
      <c r="C120" s="109" t="s">
        <v>94</v>
      </c>
      <c r="D120" s="103">
        <f t="shared" si="7"/>
        <v>153.11383544949848</v>
      </c>
      <c r="E120" s="110">
        <v>6.3360000000000003</v>
      </c>
      <c r="F120" s="110">
        <f t="shared" si="8"/>
        <v>4.1142857142857148</v>
      </c>
      <c r="G120" s="110">
        <f t="shared" si="9"/>
        <v>5</v>
      </c>
      <c r="H120" s="110"/>
      <c r="I120" s="111">
        <v>978</v>
      </c>
      <c r="J120" s="109" t="str">
        <f t="shared" si="10"/>
        <v>26</v>
      </c>
      <c r="K120" s="109" t="s">
        <v>95</v>
      </c>
      <c r="L120" s="109" t="s">
        <v>766</v>
      </c>
      <c r="M120" s="111">
        <v>66</v>
      </c>
      <c r="N120" s="110">
        <v>1049.4000000000001</v>
      </c>
      <c r="O120" s="105">
        <f t="shared" si="11"/>
        <v>970.2</v>
      </c>
      <c r="P120" s="112">
        <v>9.6000000000000002E-2</v>
      </c>
      <c r="Q120" s="113">
        <v>6.4790000000000004E-3</v>
      </c>
      <c r="R120" s="107">
        <f t="shared" si="12"/>
        <v>6.4790000000000001</v>
      </c>
      <c r="S120" s="105">
        <f t="shared" si="13"/>
        <v>992.02453987730064</v>
      </c>
      <c r="T120" s="114">
        <f>IFERROR(INDEX('MASTER por modelo'!$AQ$8:$AQ$474,MATCH(K120,'MASTER por modelo'!$D$8:$D$474,0)),"")</f>
        <v>0.72198019801980196</v>
      </c>
      <c r="U120" s="115">
        <f>IFERROR(INDEX('MASTER por modelo'!$AC$8:$AC$474,MATCH(K120,'MASTER por modelo'!$D$8:$D$474,0))+INDEX('MASTER por modelo'!$AD$8:$AD$474,MATCH(K120,'MASTER por modelo'!$D$8:$D$474,0)),"")</f>
        <v>1823</v>
      </c>
      <c r="V120" s="93"/>
    </row>
    <row r="121" spans="1:22" x14ac:dyDescent="0.25">
      <c r="A121" s="109" t="s">
        <v>55</v>
      </c>
      <c r="B121" s="109" t="s">
        <v>56</v>
      </c>
      <c r="C121" s="109" t="s">
        <v>66</v>
      </c>
      <c r="D121" s="103">
        <f t="shared" si="7"/>
        <v>-15.809026954390957</v>
      </c>
      <c r="E121" s="110">
        <v>6.3</v>
      </c>
      <c r="F121" s="110">
        <f t="shared" si="8"/>
        <v>4.0909090909090908</v>
      </c>
      <c r="G121" s="110">
        <f t="shared" si="9"/>
        <v>5</v>
      </c>
      <c r="H121" s="110"/>
      <c r="I121" s="111">
        <v>747</v>
      </c>
      <c r="J121" s="109" t="str">
        <f t="shared" si="10"/>
        <v>26</v>
      </c>
      <c r="K121" s="109" t="s">
        <v>190</v>
      </c>
      <c r="L121" s="109" t="s">
        <v>739</v>
      </c>
      <c r="M121" s="111">
        <v>83</v>
      </c>
      <c r="N121" s="110">
        <v>0</v>
      </c>
      <c r="O121" s="105">
        <f t="shared" si="11"/>
        <v>-99.6</v>
      </c>
      <c r="P121" s="112">
        <v>7.5899999999999995E-2</v>
      </c>
      <c r="Q121" s="113">
        <v>8.4340000000000005E-3</v>
      </c>
      <c r="R121" s="107">
        <f t="shared" si="12"/>
        <v>8.4340000000000011</v>
      </c>
      <c r="S121" s="105">
        <f t="shared" si="13"/>
        <v>-133.33333333333334</v>
      </c>
      <c r="T121" s="114">
        <f>IFERROR(INDEX('MASTER por modelo'!$AQ$8:$AQ$474,MATCH(K121,'MASTER por modelo'!$D$8:$D$474,0)),"")</f>
        <v>0.61445783132530118</v>
      </c>
      <c r="U121" s="115">
        <f>IFERROR(INDEX('MASTER por modelo'!$AC$8:$AC$474,MATCH(K121,'MASTER por modelo'!$D$8:$D$474,0))+INDEX('MASTER por modelo'!$AD$8:$AD$474,MATCH(K121,'MASTER por modelo'!$D$8:$D$474,0)),"")</f>
        <v>459</v>
      </c>
      <c r="V121" s="93"/>
    </row>
    <row r="122" spans="1:22" x14ac:dyDescent="0.25">
      <c r="A122" s="109" t="s">
        <v>55</v>
      </c>
      <c r="B122" s="109" t="s">
        <v>56</v>
      </c>
      <c r="C122" s="109" t="s">
        <v>57</v>
      </c>
      <c r="D122" s="103">
        <f t="shared" si="7"/>
        <v>128.77616747181963</v>
      </c>
      <c r="E122" s="110">
        <v>6.21</v>
      </c>
      <c r="F122" s="110">
        <f t="shared" si="8"/>
        <v>4.0324675324675328</v>
      </c>
      <c r="G122" s="110">
        <f t="shared" si="9"/>
        <v>5</v>
      </c>
      <c r="H122" s="110"/>
      <c r="I122" s="111">
        <v>750</v>
      </c>
      <c r="J122" s="109" t="str">
        <f t="shared" si="10"/>
        <v>26</v>
      </c>
      <c r="K122" s="109" t="s">
        <v>191</v>
      </c>
      <c r="L122" s="109" t="s">
        <v>750</v>
      </c>
      <c r="M122" s="111">
        <v>63</v>
      </c>
      <c r="N122" s="110">
        <v>875.3</v>
      </c>
      <c r="O122" s="105">
        <f t="shared" si="11"/>
        <v>799.69999999999993</v>
      </c>
      <c r="P122" s="112">
        <v>9.8599999999999993E-2</v>
      </c>
      <c r="Q122" s="113">
        <v>8.2799999999999992E-3</v>
      </c>
      <c r="R122" s="107">
        <f t="shared" si="12"/>
        <v>8.2799999999999994</v>
      </c>
      <c r="S122" s="105">
        <f t="shared" si="13"/>
        <v>1066.2666666666664</v>
      </c>
      <c r="T122" s="114">
        <f>IFERROR(INDEX('MASTER por modelo'!$AQ$8:$AQ$474,MATCH(K122,'MASTER por modelo'!$D$8:$D$474,0)),"")</f>
        <v>5.1999999999999998E-2</v>
      </c>
      <c r="U122" s="115">
        <f>IFERROR(INDEX('MASTER por modelo'!$AC$8:$AC$474,MATCH(K122,'MASTER por modelo'!$D$8:$D$474,0))+INDEX('MASTER por modelo'!$AD$8:$AD$474,MATCH(K122,'MASTER por modelo'!$D$8:$D$474,0)),"")</f>
        <v>39</v>
      </c>
      <c r="V122" s="93"/>
    </row>
    <row r="123" spans="1:22" x14ac:dyDescent="0.25">
      <c r="A123" s="109" t="s">
        <v>63</v>
      </c>
      <c r="B123" s="109" t="s">
        <v>64</v>
      </c>
      <c r="C123" s="109" t="s">
        <v>57</v>
      </c>
      <c r="D123" s="103">
        <f t="shared" si="7"/>
        <v>107.19603297373165</v>
      </c>
      <c r="E123" s="110">
        <v>6.2092999999999998</v>
      </c>
      <c r="F123" s="110">
        <f t="shared" si="8"/>
        <v>4.0320129870129868</v>
      </c>
      <c r="G123" s="110">
        <f t="shared" si="9"/>
        <v>5</v>
      </c>
      <c r="H123" s="110"/>
      <c r="I123" s="111">
        <v>545</v>
      </c>
      <c r="J123" s="109" t="str">
        <f t="shared" si="10"/>
        <v>26</v>
      </c>
      <c r="K123" s="109" t="s">
        <v>130</v>
      </c>
      <c r="L123" s="109" t="s">
        <v>767</v>
      </c>
      <c r="M123" s="111">
        <v>28</v>
      </c>
      <c r="N123" s="110">
        <v>699.2</v>
      </c>
      <c r="O123" s="105">
        <f t="shared" si="11"/>
        <v>665.6</v>
      </c>
      <c r="P123" s="112">
        <v>0.2218</v>
      </c>
      <c r="Q123" s="113">
        <v>1.1393E-2</v>
      </c>
      <c r="R123" s="107">
        <f t="shared" si="12"/>
        <v>11.393000000000001</v>
      </c>
      <c r="S123" s="105">
        <f t="shared" si="13"/>
        <v>1221.2844036697247</v>
      </c>
      <c r="T123" s="114">
        <f>IFERROR(INDEX('MASTER por modelo'!$AQ$8:$AQ$474,MATCH(K123,'MASTER por modelo'!$D$8:$D$474,0)),"")</f>
        <v>0.46985645933014353</v>
      </c>
      <c r="U123" s="115">
        <f>IFERROR(INDEX('MASTER por modelo'!$AC$8:$AC$474,MATCH(K123,'MASTER por modelo'!$D$8:$D$474,0))+INDEX('MASTER por modelo'!$AD$8:$AD$474,MATCH(K123,'MASTER por modelo'!$D$8:$D$474,0)),"")</f>
        <v>491</v>
      </c>
      <c r="V123" s="93"/>
    </row>
    <row r="124" spans="1:22" x14ac:dyDescent="0.25">
      <c r="A124" s="109"/>
      <c r="B124" s="109"/>
      <c r="C124" s="109"/>
      <c r="D124" s="103">
        <f t="shared" si="7"/>
        <v>-9.0968387517588845</v>
      </c>
      <c r="E124" s="110">
        <v>6.2</v>
      </c>
      <c r="F124" s="110">
        <f t="shared" si="8"/>
        <v>4.0259740259740262</v>
      </c>
      <c r="G124" s="110">
        <f t="shared" si="9"/>
        <v>5</v>
      </c>
      <c r="H124" s="110"/>
      <c r="I124" s="111">
        <v>1239</v>
      </c>
      <c r="J124" s="109" t="str">
        <f t="shared" si="10"/>
        <v>26</v>
      </c>
      <c r="K124" s="109" t="s">
        <v>192</v>
      </c>
      <c r="L124" s="109" t="s">
        <v>739</v>
      </c>
      <c r="M124" s="111">
        <v>47</v>
      </c>
      <c r="N124" s="110">
        <v>0</v>
      </c>
      <c r="O124" s="105">
        <f t="shared" si="11"/>
        <v>-56.4</v>
      </c>
      <c r="P124" s="112">
        <v>0.13189999999999999</v>
      </c>
      <c r="Q124" s="113">
        <v>5.0039999999999998E-3</v>
      </c>
      <c r="R124" s="107">
        <f t="shared" si="12"/>
        <v>5.0039999999999996</v>
      </c>
      <c r="S124" s="105">
        <f t="shared" si="13"/>
        <v>-45.520581113801455</v>
      </c>
      <c r="T124" s="114">
        <f>IFERROR(INDEX('MASTER por modelo'!$AQ$8:$AQ$474,MATCH(K124,'MASTER por modelo'!$D$8:$D$474,0)),"")</f>
        <v>0</v>
      </c>
      <c r="U124" s="115">
        <f>IFERROR(INDEX('MASTER por modelo'!$AC$8:$AC$474,MATCH(K124,'MASTER por modelo'!$D$8:$D$474,0))+INDEX('MASTER por modelo'!$AD$8:$AD$474,MATCH(K124,'MASTER por modelo'!$D$8:$D$474,0)),"")</f>
        <v>0</v>
      </c>
      <c r="V124" s="93"/>
    </row>
    <row r="125" spans="1:22" x14ac:dyDescent="0.25">
      <c r="A125" s="109" t="s">
        <v>63</v>
      </c>
      <c r="B125" s="109" t="s">
        <v>64</v>
      </c>
      <c r="C125" s="109" t="s">
        <v>66</v>
      </c>
      <c r="D125" s="103">
        <f t="shared" si="7"/>
        <v>208.91572624598854</v>
      </c>
      <c r="E125" s="110">
        <v>6.1689999999999996</v>
      </c>
      <c r="F125" s="110">
        <f t="shared" si="8"/>
        <v>4.0058441558441551</v>
      </c>
      <c r="G125" s="110">
        <f t="shared" si="9"/>
        <v>5</v>
      </c>
      <c r="H125" s="110"/>
      <c r="I125" s="111">
        <v>993</v>
      </c>
      <c r="J125" s="109" t="str">
        <f t="shared" si="10"/>
        <v>26</v>
      </c>
      <c r="K125" s="109" t="s">
        <v>136</v>
      </c>
      <c r="L125" s="109" t="s">
        <v>767</v>
      </c>
      <c r="M125" s="111">
        <v>51</v>
      </c>
      <c r="N125" s="110">
        <v>1349.9</v>
      </c>
      <c r="O125" s="105">
        <f t="shared" si="11"/>
        <v>1288.7</v>
      </c>
      <c r="P125" s="112">
        <v>0.121</v>
      </c>
      <c r="Q125" s="113">
        <v>6.2119999999999996E-3</v>
      </c>
      <c r="R125" s="107">
        <f t="shared" si="12"/>
        <v>6.2119999999999997</v>
      </c>
      <c r="S125" s="105">
        <f t="shared" si="13"/>
        <v>1297.7844914400807</v>
      </c>
      <c r="T125" s="114">
        <f>IFERROR(INDEX('MASTER por modelo'!$AQ$8:$AQ$474,MATCH(K125,'MASTER por modelo'!$D$8:$D$474,0)),"")</f>
        <v>0.8757943385326401</v>
      </c>
      <c r="U125" s="115">
        <f>IFERROR(INDEX('MASTER por modelo'!$AC$8:$AC$474,MATCH(K125,'MASTER por modelo'!$D$8:$D$474,0))+INDEX('MASTER por modelo'!$AD$8:$AD$474,MATCH(K125,'MASTER por modelo'!$D$8:$D$474,0)),"")</f>
        <v>1516</v>
      </c>
      <c r="V125" s="93"/>
    </row>
    <row r="126" spans="1:22" x14ac:dyDescent="0.25">
      <c r="A126" s="109" t="s">
        <v>55</v>
      </c>
      <c r="B126" s="109" t="s">
        <v>99</v>
      </c>
      <c r="C126" s="109" t="s">
        <v>100</v>
      </c>
      <c r="D126" s="103">
        <f t="shared" si="7"/>
        <v>115.68148897751851</v>
      </c>
      <c r="E126" s="110">
        <v>6.048</v>
      </c>
      <c r="F126" s="110">
        <f t="shared" si="8"/>
        <v>3.9272727272727272</v>
      </c>
      <c r="G126" s="110">
        <f t="shared" si="9"/>
        <v>4</v>
      </c>
      <c r="H126" s="110"/>
      <c r="I126" s="111">
        <v>856</v>
      </c>
      <c r="J126" s="109" t="str">
        <f t="shared" si="10"/>
        <v>26</v>
      </c>
      <c r="K126" s="109" t="s">
        <v>194</v>
      </c>
      <c r="L126" s="109" t="s">
        <v>768</v>
      </c>
      <c r="M126" s="111">
        <v>63</v>
      </c>
      <c r="N126" s="110">
        <v>775.2</v>
      </c>
      <c r="O126" s="105">
        <f t="shared" si="11"/>
        <v>699.6</v>
      </c>
      <c r="P126" s="112">
        <v>9.6000000000000002E-2</v>
      </c>
      <c r="Q126" s="113">
        <v>7.0650000000000001E-3</v>
      </c>
      <c r="R126" s="107">
        <f t="shared" si="12"/>
        <v>7.0650000000000004</v>
      </c>
      <c r="S126" s="105">
        <f t="shared" si="13"/>
        <v>817.28971962616822</v>
      </c>
      <c r="T126" s="114">
        <f>IFERROR(INDEX('MASTER por modelo'!$AQ$8:$AQ$474,MATCH(K126,'MASTER por modelo'!$D$8:$D$474,0)),"")</f>
        <v>0.44193262411347517</v>
      </c>
      <c r="U126" s="115">
        <f>IFERROR(INDEX('MASTER por modelo'!$AC$8:$AC$474,MATCH(K126,'MASTER por modelo'!$D$8:$D$474,0))+INDEX('MASTER por modelo'!$AD$8:$AD$474,MATCH(K126,'MASTER por modelo'!$D$8:$D$474,0)),"")</f>
        <v>997</v>
      </c>
      <c r="V126" s="93"/>
    </row>
    <row r="127" spans="1:22" x14ac:dyDescent="0.25">
      <c r="A127" s="109" t="s">
        <v>63</v>
      </c>
      <c r="B127" s="109" t="s">
        <v>64</v>
      </c>
      <c r="C127" s="109" t="s">
        <v>66</v>
      </c>
      <c r="D127" s="103">
        <f t="shared" si="7"/>
        <v>151.01900447076059</v>
      </c>
      <c r="E127" s="110">
        <v>5.9520000000000008</v>
      </c>
      <c r="F127" s="110">
        <f t="shared" si="8"/>
        <v>3.8649350649350653</v>
      </c>
      <c r="G127" s="110">
        <f t="shared" si="9"/>
        <v>4</v>
      </c>
      <c r="H127" s="110"/>
      <c r="I127" s="111">
        <v>801</v>
      </c>
      <c r="J127" s="109" t="str">
        <f t="shared" si="10"/>
        <v>27</v>
      </c>
      <c r="K127" s="109" t="s">
        <v>195</v>
      </c>
      <c r="L127" s="109" t="s">
        <v>747</v>
      </c>
      <c r="M127" s="111">
        <v>62</v>
      </c>
      <c r="N127" s="110">
        <v>973.29999999999984</v>
      </c>
      <c r="O127" s="105">
        <f t="shared" si="11"/>
        <v>898.89999999999986</v>
      </c>
      <c r="P127" s="112">
        <v>9.6000000000000002E-2</v>
      </c>
      <c r="Q127" s="113">
        <v>7.4310000000000001E-3</v>
      </c>
      <c r="R127" s="107">
        <f t="shared" si="12"/>
        <v>7.431</v>
      </c>
      <c r="S127" s="105">
        <f t="shared" si="13"/>
        <v>1122.2222222222219</v>
      </c>
      <c r="T127" s="114">
        <f>IFERROR(INDEX('MASTER por modelo'!$AQ$8:$AQ$474,MATCH(K127,'MASTER por modelo'!$D$8:$D$474,0)),"")</f>
        <v>0</v>
      </c>
      <c r="U127" s="115">
        <f>IFERROR(INDEX('MASTER por modelo'!$AC$8:$AC$474,MATCH(K127,'MASTER por modelo'!$D$8:$D$474,0))+INDEX('MASTER por modelo'!$AD$8:$AD$474,MATCH(K127,'MASTER por modelo'!$D$8:$D$474,0)),"")</f>
        <v>0</v>
      </c>
      <c r="V127" s="93"/>
    </row>
    <row r="128" spans="1:22" x14ac:dyDescent="0.25">
      <c r="A128" s="109" t="s">
        <v>63</v>
      </c>
      <c r="B128" s="109" t="s">
        <v>110</v>
      </c>
      <c r="C128" s="109" t="s">
        <v>100</v>
      </c>
      <c r="D128" s="103">
        <f t="shared" si="7"/>
        <v>139.36140722260026</v>
      </c>
      <c r="E128" s="110">
        <v>5.952</v>
      </c>
      <c r="F128" s="110">
        <f t="shared" si="8"/>
        <v>3.8649350649350649</v>
      </c>
      <c r="G128" s="110">
        <f t="shared" si="9"/>
        <v>4</v>
      </c>
      <c r="H128" s="110"/>
      <c r="I128" s="111">
        <v>1350</v>
      </c>
      <c r="J128" s="109" t="str">
        <f t="shared" si="10"/>
        <v>26</v>
      </c>
      <c r="K128" s="109" t="s">
        <v>169</v>
      </c>
      <c r="L128" s="109" t="s">
        <v>749</v>
      </c>
      <c r="M128" s="111">
        <v>62</v>
      </c>
      <c r="N128" s="110">
        <v>903.9</v>
      </c>
      <c r="O128" s="105">
        <f t="shared" si="11"/>
        <v>829.5</v>
      </c>
      <c r="P128" s="112">
        <v>9.6000000000000002E-2</v>
      </c>
      <c r="Q128" s="113">
        <v>4.4089999999999997E-3</v>
      </c>
      <c r="R128" s="107">
        <f t="shared" si="12"/>
        <v>4.4089999999999998</v>
      </c>
      <c r="S128" s="105">
        <f t="shared" si="13"/>
        <v>614.44444444444446</v>
      </c>
      <c r="T128" s="114">
        <f>IFERROR(INDEX('MASTER por modelo'!$AQ$8:$AQ$474,MATCH(K128,'MASTER por modelo'!$D$8:$D$474,0)),"")</f>
        <v>0.24600827912477824</v>
      </c>
      <c r="U128" s="115">
        <f>IFERROR(INDEX('MASTER por modelo'!$AC$8:$AC$474,MATCH(K128,'MASTER por modelo'!$D$8:$D$474,0))+INDEX('MASTER por modelo'!$AD$8:$AD$474,MATCH(K128,'MASTER por modelo'!$D$8:$D$474,0)),"")</f>
        <v>416</v>
      </c>
      <c r="V128" s="93"/>
    </row>
    <row r="129" spans="1:22" x14ac:dyDescent="0.25">
      <c r="A129" s="109" t="s">
        <v>63</v>
      </c>
      <c r="B129" s="109" t="s">
        <v>64</v>
      </c>
      <c r="C129" s="109" t="s">
        <v>66</v>
      </c>
      <c r="D129" s="103">
        <f t="shared" si="7"/>
        <v>160.46086928764515</v>
      </c>
      <c r="E129" s="110">
        <v>5.952</v>
      </c>
      <c r="F129" s="110">
        <f t="shared" si="8"/>
        <v>3.8649350649350649</v>
      </c>
      <c r="G129" s="110">
        <f t="shared" si="9"/>
        <v>4</v>
      </c>
      <c r="H129" s="110"/>
      <c r="I129" s="111">
        <v>1226</v>
      </c>
      <c r="J129" s="109" t="str">
        <f t="shared" si="10"/>
        <v>26</v>
      </c>
      <c r="K129" s="109" t="s">
        <v>157</v>
      </c>
      <c r="L129" s="109" t="s">
        <v>730</v>
      </c>
      <c r="M129" s="111">
        <v>62</v>
      </c>
      <c r="N129" s="110">
        <v>1029.5</v>
      </c>
      <c r="O129" s="105">
        <f t="shared" si="11"/>
        <v>955.1</v>
      </c>
      <c r="P129" s="112">
        <v>9.6000000000000002E-2</v>
      </c>
      <c r="Q129" s="113">
        <v>4.8549999999999999E-3</v>
      </c>
      <c r="R129" s="107">
        <f t="shared" si="12"/>
        <v>4.8549999999999995</v>
      </c>
      <c r="S129" s="105">
        <f t="shared" si="13"/>
        <v>779.03752039151721</v>
      </c>
      <c r="T129" s="114">
        <f>IFERROR(INDEX('MASTER por modelo'!$AQ$8:$AQ$474,MATCH(K129,'MASTER por modelo'!$D$8:$D$474,0)),"")</f>
        <v>0.6335476329631794</v>
      </c>
      <c r="U129" s="115">
        <f>IFERROR(INDEX('MASTER por modelo'!$AC$8:$AC$474,MATCH(K129,'MASTER por modelo'!$D$8:$D$474,0))+INDEX('MASTER por modelo'!$AD$8:$AD$474,MATCH(K129,'MASTER por modelo'!$D$8:$D$474,0)),"")</f>
        <v>1084</v>
      </c>
      <c r="V129" s="93"/>
    </row>
    <row r="130" spans="1:22" x14ac:dyDescent="0.25">
      <c r="A130" s="109" t="s">
        <v>63</v>
      </c>
      <c r="B130" s="109" t="s">
        <v>64</v>
      </c>
      <c r="C130" s="109" t="s">
        <v>66</v>
      </c>
      <c r="D130" s="103">
        <f t="shared" si="7"/>
        <v>148.67109146153479</v>
      </c>
      <c r="E130" s="110">
        <v>5.952</v>
      </c>
      <c r="F130" s="110">
        <f t="shared" si="8"/>
        <v>3.8649350649350649</v>
      </c>
      <c r="G130" s="110">
        <f t="shared" si="9"/>
        <v>4</v>
      </c>
      <c r="H130" s="110"/>
      <c r="I130" s="111">
        <v>865</v>
      </c>
      <c r="J130" s="109" t="str">
        <f t="shared" si="10"/>
        <v>27</v>
      </c>
      <c r="K130" s="109" t="s">
        <v>196</v>
      </c>
      <c r="L130" s="109" t="s">
        <v>747</v>
      </c>
      <c r="M130" s="111">
        <v>62</v>
      </c>
      <c r="N130" s="110">
        <v>959.3</v>
      </c>
      <c r="O130" s="105">
        <f t="shared" si="11"/>
        <v>884.9</v>
      </c>
      <c r="P130" s="112">
        <v>9.6000000000000002E-2</v>
      </c>
      <c r="Q130" s="113">
        <v>6.881E-3</v>
      </c>
      <c r="R130" s="107">
        <f t="shared" si="12"/>
        <v>6.8810000000000002</v>
      </c>
      <c r="S130" s="105">
        <f t="shared" si="13"/>
        <v>1023.0057803468209</v>
      </c>
      <c r="T130" s="114">
        <f>IFERROR(INDEX('MASTER por modelo'!$AQ$8:$AQ$474,MATCH(K130,'MASTER por modelo'!$D$8:$D$474,0)),"")</f>
        <v>0</v>
      </c>
      <c r="U130" s="115">
        <f>IFERROR(INDEX('MASTER por modelo'!$AC$8:$AC$474,MATCH(K130,'MASTER por modelo'!$D$8:$D$474,0))+INDEX('MASTER por modelo'!$AD$8:$AD$474,MATCH(K130,'MASTER por modelo'!$D$8:$D$474,0)),"")</f>
        <v>0</v>
      </c>
      <c r="V130" s="93"/>
    </row>
    <row r="131" spans="1:22" x14ac:dyDescent="0.25">
      <c r="A131" s="109" t="s">
        <v>63</v>
      </c>
      <c r="B131" s="109" t="s">
        <v>110</v>
      </c>
      <c r="C131" s="109" t="s">
        <v>111</v>
      </c>
      <c r="D131" s="103">
        <f t="shared" si="7"/>
        <v>165.23272824745243</v>
      </c>
      <c r="E131" s="110">
        <v>5.95</v>
      </c>
      <c r="F131" s="110">
        <f t="shared" si="8"/>
        <v>3.8636363636363638</v>
      </c>
      <c r="G131" s="110">
        <f t="shared" si="9"/>
        <v>4</v>
      </c>
      <c r="H131" s="110"/>
      <c r="I131" s="111">
        <v>1485</v>
      </c>
      <c r="J131" s="109" t="str">
        <f t="shared" si="10"/>
        <v>26</v>
      </c>
      <c r="K131" s="109" t="s">
        <v>198</v>
      </c>
      <c r="L131" s="109" t="s">
        <v>752</v>
      </c>
      <c r="M131" s="111">
        <v>58</v>
      </c>
      <c r="N131" s="110">
        <v>1052.8</v>
      </c>
      <c r="O131" s="105">
        <f t="shared" si="11"/>
        <v>983.19999999999993</v>
      </c>
      <c r="P131" s="112">
        <v>0.1026</v>
      </c>
      <c r="Q131" s="113">
        <v>4.0070000000000001E-3</v>
      </c>
      <c r="R131" s="107">
        <f t="shared" si="12"/>
        <v>4.0070000000000006</v>
      </c>
      <c r="S131" s="105">
        <f t="shared" si="13"/>
        <v>662.08754208754203</v>
      </c>
      <c r="T131" s="114">
        <f>IFERROR(INDEX('MASTER por modelo'!$AQ$8:$AQ$474,MATCH(K131,'MASTER por modelo'!$D$8:$D$474,0)),"")</f>
        <v>0.39057239057239057</v>
      </c>
      <c r="U131" s="115">
        <f>IFERROR(INDEX('MASTER por modelo'!$AC$8:$AC$474,MATCH(K131,'MASTER por modelo'!$D$8:$D$474,0))+INDEX('MASTER por modelo'!$AD$8:$AD$474,MATCH(K131,'MASTER por modelo'!$D$8:$D$474,0)),"")</f>
        <v>580</v>
      </c>
      <c r="V131" s="93"/>
    </row>
    <row r="132" spans="1:22" x14ac:dyDescent="0.25">
      <c r="A132" s="109" t="s">
        <v>63</v>
      </c>
      <c r="B132" s="109" t="s">
        <v>64</v>
      </c>
      <c r="C132" s="109" t="s">
        <v>57</v>
      </c>
      <c r="D132" s="103">
        <f t="shared" si="7"/>
        <v>93.463992796117182</v>
      </c>
      <c r="E132" s="110">
        <v>5.8559999999999999</v>
      </c>
      <c r="F132" s="110">
        <f t="shared" si="8"/>
        <v>3.8025974025974025</v>
      </c>
      <c r="G132" s="110">
        <f t="shared" si="9"/>
        <v>4</v>
      </c>
      <c r="H132" s="110"/>
      <c r="I132" s="111">
        <v>851</v>
      </c>
      <c r="J132" s="109" t="str">
        <f t="shared" si="10"/>
        <v>26</v>
      </c>
      <c r="K132" s="109" t="s">
        <v>134</v>
      </c>
      <c r="L132" s="109" t="s">
        <v>742</v>
      </c>
      <c r="M132" s="111">
        <v>61</v>
      </c>
      <c r="N132" s="110">
        <v>620.5</v>
      </c>
      <c r="O132" s="105">
        <f t="shared" si="11"/>
        <v>547.29999999999995</v>
      </c>
      <c r="P132" s="112">
        <v>9.6000000000000002E-2</v>
      </c>
      <c r="Q132" s="113">
        <v>6.881E-3</v>
      </c>
      <c r="R132" s="107">
        <f t="shared" si="12"/>
        <v>6.8810000000000002</v>
      </c>
      <c r="S132" s="105">
        <f t="shared" si="13"/>
        <v>643.12573443008228</v>
      </c>
      <c r="T132" s="114">
        <f>IFERROR(INDEX('MASTER por modelo'!$AQ$8:$AQ$474,MATCH(K132,'MASTER por modelo'!$D$8:$D$474,0)),"")</f>
        <v>0.53827460510328073</v>
      </c>
      <c r="U132" s="115">
        <f>IFERROR(INDEX('MASTER por modelo'!$AC$8:$AC$474,MATCH(K132,'MASTER por modelo'!$D$8:$D$474,0))+INDEX('MASTER por modelo'!$AD$8:$AD$474,MATCH(K132,'MASTER por modelo'!$D$8:$D$474,0)),"")</f>
        <v>886</v>
      </c>
      <c r="V132" s="93"/>
    </row>
    <row r="133" spans="1:22" x14ac:dyDescent="0.25">
      <c r="A133" s="109" t="s">
        <v>63</v>
      </c>
      <c r="B133" s="109" t="s">
        <v>64</v>
      </c>
      <c r="C133" s="109" t="s">
        <v>57</v>
      </c>
      <c r="D133" s="103">
        <f t="shared" si="7"/>
        <v>103.12174817898021</v>
      </c>
      <c r="E133" s="110">
        <v>5.7657999999999996</v>
      </c>
      <c r="F133" s="110">
        <f t="shared" si="8"/>
        <v>3.7440259740259738</v>
      </c>
      <c r="G133" s="110">
        <f t="shared" si="9"/>
        <v>4</v>
      </c>
      <c r="H133" s="110"/>
      <c r="I133" s="111">
        <v>500</v>
      </c>
      <c r="J133" s="109" t="str">
        <f t="shared" si="10"/>
        <v>26</v>
      </c>
      <c r="K133" s="109" t="s">
        <v>130</v>
      </c>
      <c r="L133" s="109" t="s">
        <v>769</v>
      </c>
      <c r="M133" s="111">
        <v>26</v>
      </c>
      <c r="N133" s="110">
        <v>625.79999999999995</v>
      </c>
      <c r="O133" s="105">
        <f t="shared" si="11"/>
        <v>594.59999999999991</v>
      </c>
      <c r="P133" s="112">
        <v>0.2218</v>
      </c>
      <c r="Q133" s="113">
        <v>1.1532000000000001E-2</v>
      </c>
      <c r="R133" s="107">
        <f t="shared" si="12"/>
        <v>11.532</v>
      </c>
      <c r="S133" s="105">
        <f t="shared" si="13"/>
        <v>1189.1999999999998</v>
      </c>
      <c r="T133" s="114">
        <f>IFERROR(INDEX('MASTER por modelo'!$AQ$8:$AQ$474,MATCH(K133,'MASTER por modelo'!$D$8:$D$474,0)),"")</f>
        <v>0.46985645933014353</v>
      </c>
      <c r="U133" s="115">
        <f>IFERROR(INDEX('MASTER por modelo'!$AC$8:$AC$474,MATCH(K133,'MASTER por modelo'!$D$8:$D$474,0))+INDEX('MASTER por modelo'!$AD$8:$AD$474,MATCH(K133,'MASTER por modelo'!$D$8:$D$474,0)),"")</f>
        <v>491</v>
      </c>
      <c r="V133" s="93"/>
    </row>
    <row r="134" spans="1:22" x14ac:dyDescent="0.25">
      <c r="A134" s="109" t="s">
        <v>63</v>
      </c>
      <c r="B134" s="109" t="s">
        <v>64</v>
      </c>
      <c r="C134" s="109" t="s">
        <v>66</v>
      </c>
      <c r="D134" s="103">
        <f t="shared" si="7"/>
        <v>118.18252054999061</v>
      </c>
      <c r="E134" s="110">
        <v>5.76</v>
      </c>
      <c r="F134" s="110">
        <f t="shared" si="8"/>
        <v>3.7402597402597402</v>
      </c>
      <c r="G134" s="110">
        <f t="shared" si="9"/>
        <v>4</v>
      </c>
      <c r="H134" s="110"/>
      <c r="I134" s="111">
        <v>839</v>
      </c>
      <c r="J134" s="109" t="str">
        <f t="shared" si="10"/>
        <v>26</v>
      </c>
      <c r="K134" s="109" t="s">
        <v>200</v>
      </c>
      <c r="L134" s="109" t="s">
        <v>770</v>
      </c>
      <c r="M134" s="111">
        <v>60</v>
      </c>
      <c r="N134" s="110">
        <v>752.7</v>
      </c>
      <c r="O134" s="105">
        <f t="shared" si="11"/>
        <v>680.7</v>
      </c>
      <c r="P134" s="112">
        <v>9.6000000000000002E-2</v>
      </c>
      <c r="Q134" s="113">
        <v>6.8649999999999996E-3</v>
      </c>
      <c r="R134" s="107">
        <f t="shared" si="12"/>
        <v>6.8649999999999993</v>
      </c>
      <c r="S134" s="105">
        <f t="shared" si="13"/>
        <v>811.32300357568545</v>
      </c>
      <c r="T134" s="114">
        <f>IFERROR(INDEX('MASTER por modelo'!$AQ$8:$AQ$474,MATCH(K134,'MASTER por modelo'!$D$8:$D$474,0)),"")</f>
        <v>0.55184743742550657</v>
      </c>
      <c r="U134" s="115">
        <f>IFERROR(INDEX('MASTER por modelo'!$AC$8:$AC$474,MATCH(K134,'MASTER por modelo'!$D$8:$D$474,0))+INDEX('MASTER por modelo'!$AD$8:$AD$474,MATCH(K134,'MASTER por modelo'!$D$8:$D$474,0)),"")</f>
        <v>463</v>
      </c>
      <c r="V134" s="93"/>
    </row>
    <row r="135" spans="1:22" x14ac:dyDescent="0.25">
      <c r="A135" s="109" t="s">
        <v>63</v>
      </c>
      <c r="B135" s="109" t="s">
        <v>110</v>
      </c>
      <c r="C135" s="109" t="s">
        <v>100</v>
      </c>
      <c r="D135" s="103">
        <f t="shared" si="7"/>
        <v>144.15209070017599</v>
      </c>
      <c r="E135" s="110">
        <v>5.76</v>
      </c>
      <c r="F135" s="110">
        <f t="shared" si="8"/>
        <v>3.7402597402597402</v>
      </c>
      <c r="G135" s="110">
        <f t="shared" si="9"/>
        <v>4</v>
      </c>
      <c r="H135" s="110"/>
      <c r="I135" s="111">
        <v>1765</v>
      </c>
      <c r="J135" s="109" t="str">
        <f t="shared" si="10"/>
        <v>26</v>
      </c>
      <c r="K135" s="109" t="s">
        <v>197</v>
      </c>
      <c r="L135" s="109" t="s">
        <v>749</v>
      </c>
      <c r="M135" s="111">
        <v>60</v>
      </c>
      <c r="N135" s="110">
        <v>902.2</v>
      </c>
      <c r="O135" s="105">
        <f t="shared" si="11"/>
        <v>830.2</v>
      </c>
      <c r="P135" s="112">
        <v>9.6000000000000002E-2</v>
      </c>
      <c r="Q135" s="113">
        <v>3.2629999999999998E-3</v>
      </c>
      <c r="R135" s="107">
        <f t="shared" si="12"/>
        <v>3.2629999999999999</v>
      </c>
      <c r="S135" s="105">
        <f t="shared" si="13"/>
        <v>470.36827195467424</v>
      </c>
      <c r="T135" s="114">
        <f>IFERROR(INDEX('MASTER por modelo'!$AQ$8:$AQ$474,MATCH(K135,'MASTER por modelo'!$D$8:$D$474,0)),"")</f>
        <v>0.3217877094972067</v>
      </c>
      <c r="U135" s="115">
        <f>IFERROR(INDEX('MASTER por modelo'!$AC$8:$AC$474,MATCH(K135,'MASTER por modelo'!$D$8:$D$474,0))+INDEX('MASTER por modelo'!$AD$8:$AD$474,MATCH(K135,'MASTER por modelo'!$D$8:$D$474,0)),"")</f>
        <v>576</v>
      </c>
      <c r="V135" s="93"/>
    </row>
    <row r="136" spans="1:22" x14ac:dyDescent="0.25">
      <c r="A136" s="109" t="s">
        <v>55</v>
      </c>
      <c r="B136" s="109" t="s">
        <v>56</v>
      </c>
      <c r="C136" s="109" t="s">
        <v>66</v>
      </c>
      <c r="D136" s="103">
        <f t="shared" ref="D136:D199" si="14">IFERROR((1/R136)*S136,0)</f>
        <v>-14.736855032328975</v>
      </c>
      <c r="E136" s="110">
        <v>5.7</v>
      </c>
      <c r="F136" s="110">
        <f t="shared" ref="F136:F199" si="15">E136/1.54</f>
        <v>3.7012987012987013</v>
      </c>
      <c r="G136" s="110">
        <f t="shared" ref="G136:G199" si="16">ROUNDUP(F136,0)</f>
        <v>4</v>
      </c>
      <c r="H136" s="110"/>
      <c r="I136" s="111">
        <v>1043</v>
      </c>
      <c r="J136" s="109" t="str">
        <f t="shared" ref="J136:J199" si="17">LEFT(K136,2)</f>
        <v>26</v>
      </c>
      <c r="K136" s="109" t="s">
        <v>201</v>
      </c>
      <c r="L136" s="109" t="s">
        <v>739</v>
      </c>
      <c r="M136" s="111">
        <v>70</v>
      </c>
      <c r="N136" s="110">
        <v>0</v>
      </c>
      <c r="O136" s="105">
        <f t="shared" ref="O136:O199" si="18">N136-(M136*1.2)</f>
        <v>-84</v>
      </c>
      <c r="P136" s="112">
        <v>8.14E-2</v>
      </c>
      <c r="Q136" s="113">
        <v>5.4650000000000002E-3</v>
      </c>
      <c r="R136" s="107">
        <f t="shared" ref="R136:R199" si="19">Q136*1000</f>
        <v>5.4649999999999999</v>
      </c>
      <c r="S136" s="105">
        <f t="shared" ref="S136:S199" si="20">IFERROR((O136/I136)*1000,0)</f>
        <v>-80.536912751677846</v>
      </c>
      <c r="T136" s="114">
        <f>IFERROR(INDEX('MASTER por modelo'!$AQ$8:$AQ$474,MATCH(K136,'MASTER por modelo'!$D$8:$D$474,0)),"")</f>
        <v>0.67881112176414193</v>
      </c>
      <c r="U136" s="115">
        <f>IFERROR(INDEX('MASTER por modelo'!$AC$8:$AC$474,MATCH(K136,'MASTER por modelo'!$D$8:$D$474,0))+INDEX('MASTER por modelo'!$AD$8:$AD$474,MATCH(K136,'MASTER por modelo'!$D$8:$D$474,0)),"")</f>
        <v>708</v>
      </c>
      <c r="V136" s="93"/>
    </row>
    <row r="137" spans="1:22" x14ac:dyDescent="0.25">
      <c r="A137" s="109" t="s">
        <v>55</v>
      </c>
      <c r="B137" s="109" t="s">
        <v>56</v>
      </c>
      <c r="C137" s="109" t="s">
        <v>66</v>
      </c>
      <c r="D137" s="103">
        <f t="shared" si="14"/>
        <v>156.92576732760298</v>
      </c>
      <c r="E137" s="110">
        <v>5.66</v>
      </c>
      <c r="F137" s="110">
        <f t="shared" si="15"/>
        <v>3.6753246753246755</v>
      </c>
      <c r="G137" s="110">
        <f t="shared" si="16"/>
        <v>4</v>
      </c>
      <c r="H137" s="110"/>
      <c r="I137" s="111">
        <v>851</v>
      </c>
      <c r="J137" s="109" t="str">
        <f t="shared" si="17"/>
        <v>26</v>
      </c>
      <c r="K137" s="109" t="s">
        <v>202</v>
      </c>
      <c r="L137" s="109" t="s">
        <v>750</v>
      </c>
      <c r="M137" s="111">
        <v>59</v>
      </c>
      <c r="N137" s="110">
        <v>959</v>
      </c>
      <c r="O137" s="105">
        <f t="shared" si="18"/>
        <v>888.2</v>
      </c>
      <c r="P137" s="112">
        <v>9.5899999999999999E-2</v>
      </c>
      <c r="Q137" s="113">
        <v>6.6509999999999998E-3</v>
      </c>
      <c r="R137" s="107">
        <f t="shared" si="19"/>
        <v>6.6509999999999998</v>
      </c>
      <c r="S137" s="105">
        <f t="shared" si="20"/>
        <v>1043.7132784958874</v>
      </c>
      <c r="T137" s="114">
        <f>IFERROR(INDEX('MASTER por modelo'!$AQ$8:$AQ$474,MATCH(K137,'MASTER por modelo'!$D$8:$D$474,0)),"")</f>
        <v>0.54054054054054057</v>
      </c>
      <c r="U137" s="115">
        <f>IFERROR(INDEX('MASTER por modelo'!$AC$8:$AC$474,MATCH(K137,'MASTER por modelo'!$D$8:$D$474,0))+INDEX('MASTER por modelo'!$AD$8:$AD$474,MATCH(K137,'MASTER por modelo'!$D$8:$D$474,0)),"")</f>
        <v>460</v>
      </c>
      <c r="V137" s="93"/>
    </row>
    <row r="138" spans="1:22" x14ac:dyDescent="0.25">
      <c r="A138" s="109" t="s">
        <v>63</v>
      </c>
      <c r="B138" s="109" t="s">
        <v>110</v>
      </c>
      <c r="C138" s="109" t="s">
        <v>100</v>
      </c>
      <c r="D138" s="103">
        <f t="shared" si="14"/>
        <v>170.73283690633099</v>
      </c>
      <c r="E138" s="110">
        <v>5.5923999999999996</v>
      </c>
      <c r="F138" s="110">
        <f t="shared" si="15"/>
        <v>3.6314285714285712</v>
      </c>
      <c r="G138" s="110">
        <f t="shared" si="16"/>
        <v>4</v>
      </c>
      <c r="H138" s="110"/>
      <c r="I138" s="111">
        <v>941</v>
      </c>
      <c r="J138" s="109" t="str">
        <f t="shared" si="17"/>
        <v>26</v>
      </c>
      <c r="K138" s="109" t="s">
        <v>203</v>
      </c>
      <c r="L138" s="109" t="s">
        <v>758</v>
      </c>
      <c r="M138" s="111">
        <v>55</v>
      </c>
      <c r="N138" s="110">
        <v>1020.8</v>
      </c>
      <c r="O138" s="105">
        <f t="shared" si="18"/>
        <v>954.8</v>
      </c>
      <c r="P138" s="112">
        <v>0.1017</v>
      </c>
      <c r="Q138" s="113">
        <v>5.9430000000000004E-3</v>
      </c>
      <c r="R138" s="107">
        <f t="shared" si="19"/>
        <v>5.9430000000000005</v>
      </c>
      <c r="S138" s="105">
        <f t="shared" si="20"/>
        <v>1014.6652497343251</v>
      </c>
      <c r="T138" s="114">
        <f>IFERROR(INDEX('MASTER por modelo'!$AQ$8:$AQ$474,MATCH(K138,'MASTER por modelo'!$D$8:$D$474,0)),"")</f>
        <v>0.29896907216494845</v>
      </c>
      <c r="U138" s="115">
        <f>IFERROR(INDEX('MASTER por modelo'!$AC$8:$AC$474,MATCH(K138,'MASTER por modelo'!$D$8:$D$474,0))+INDEX('MASTER por modelo'!$AD$8:$AD$474,MATCH(K138,'MASTER por modelo'!$D$8:$D$474,0)),"")</f>
        <v>609</v>
      </c>
      <c r="V138" s="93"/>
    </row>
    <row r="139" spans="1:22" x14ac:dyDescent="0.25">
      <c r="A139" s="109" t="s">
        <v>63</v>
      </c>
      <c r="B139" s="109" t="s">
        <v>64</v>
      </c>
      <c r="C139" s="109" t="s">
        <v>66</v>
      </c>
      <c r="D139" s="103">
        <f t="shared" si="14"/>
        <v>131.72815623045329</v>
      </c>
      <c r="E139" s="110">
        <v>5.5810000000000004</v>
      </c>
      <c r="F139" s="110">
        <f t="shared" si="15"/>
        <v>3.6240259740259742</v>
      </c>
      <c r="G139" s="110">
        <f t="shared" si="16"/>
        <v>4</v>
      </c>
      <c r="H139" s="110"/>
      <c r="I139" s="111">
        <v>777</v>
      </c>
      <c r="J139" s="109" t="str">
        <f t="shared" si="17"/>
        <v>26</v>
      </c>
      <c r="K139" s="109" t="s">
        <v>204</v>
      </c>
      <c r="L139" s="109" t="s">
        <v>732</v>
      </c>
      <c r="M139" s="111">
        <v>51</v>
      </c>
      <c r="N139" s="110">
        <v>796.4</v>
      </c>
      <c r="O139" s="105">
        <f t="shared" si="18"/>
        <v>735.19999999999993</v>
      </c>
      <c r="P139" s="112">
        <v>0.1094</v>
      </c>
      <c r="Q139" s="113">
        <v>7.1830000000000001E-3</v>
      </c>
      <c r="R139" s="107">
        <f t="shared" si="19"/>
        <v>7.1829999999999998</v>
      </c>
      <c r="S139" s="105">
        <f t="shared" si="20"/>
        <v>946.20334620334609</v>
      </c>
      <c r="T139" s="114">
        <f>IFERROR(INDEX('MASTER por modelo'!$AQ$8:$AQ$474,MATCH(K139,'MASTER por modelo'!$D$8:$D$474,0)),"")</f>
        <v>0.64092664092664098</v>
      </c>
      <c r="U139" s="115">
        <f>IFERROR(INDEX('MASTER por modelo'!$AC$8:$AC$474,MATCH(K139,'MASTER por modelo'!$D$8:$D$474,0))+INDEX('MASTER por modelo'!$AD$8:$AD$474,MATCH(K139,'MASTER por modelo'!$D$8:$D$474,0)),"")</f>
        <v>498</v>
      </c>
      <c r="V139" s="93"/>
    </row>
    <row r="140" spans="1:22" x14ac:dyDescent="0.25">
      <c r="A140" s="109" t="s">
        <v>63</v>
      </c>
      <c r="B140" s="109" t="s">
        <v>64</v>
      </c>
      <c r="C140" s="109" t="s">
        <v>66</v>
      </c>
      <c r="D140" s="103">
        <f t="shared" si="14"/>
        <v>134.54919555955337</v>
      </c>
      <c r="E140" s="110">
        <v>5.57</v>
      </c>
      <c r="F140" s="110">
        <f t="shared" si="15"/>
        <v>3.616883116883117</v>
      </c>
      <c r="G140" s="110">
        <f t="shared" si="16"/>
        <v>4</v>
      </c>
      <c r="H140" s="110"/>
      <c r="I140" s="111">
        <v>815</v>
      </c>
      <c r="J140" s="109" t="str">
        <f t="shared" si="17"/>
        <v>26</v>
      </c>
      <c r="K140" s="109" t="s">
        <v>205</v>
      </c>
      <c r="L140" s="109" t="s">
        <v>770</v>
      </c>
      <c r="M140" s="111">
        <v>58</v>
      </c>
      <c r="N140" s="110">
        <v>819</v>
      </c>
      <c r="O140" s="105">
        <f t="shared" si="18"/>
        <v>749.4</v>
      </c>
      <c r="P140" s="112">
        <v>9.6000000000000002E-2</v>
      </c>
      <c r="Q140" s="113">
        <v>6.8339999999999998E-3</v>
      </c>
      <c r="R140" s="107">
        <f t="shared" si="19"/>
        <v>6.8339999999999996</v>
      </c>
      <c r="S140" s="105">
        <f t="shared" si="20"/>
        <v>919.50920245398765</v>
      </c>
      <c r="T140" s="114">
        <f>IFERROR(INDEX('MASTER por modelo'!$AQ$8:$AQ$474,MATCH(K140,'MASTER por modelo'!$D$8:$D$474,0)),"")</f>
        <v>0.7276073619631902</v>
      </c>
      <c r="U140" s="115">
        <f>IFERROR(INDEX('MASTER por modelo'!$AC$8:$AC$474,MATCH(K140,'MASTER por modelo'!$D$8:$D$474,0))+INDEX('MASTER por modelo'!$AD$8:$AD$474,MATCH(K140,'MASTER por modelo'!$D$8:$D$474,0)),"")</f>
        <v>593</v>
      </c>
      <c r="V140" s="93"/>
    </row>
    <row r="141" spans="1:22" x14ac:dyDescent="0.25">
      <c r="A141" s="109" t="s">
        <v>63</v>
      </c>
      <c r="B141" s="109" t="s">
        <v>84</v>
      </c>
      <c r="C141" s="109" t="s">
        <v>85</v>
      </c>
      <c r="D141" s="103">
        <f t="shared" si="14"/>
        <v>133.29148823250173</v>
      </c>
      <c r="E141" s="110">
        <v>5.57</v>
      </c>
      <c r="F141" s="110">
        <f t="shared" si="15"/>
        <v>3.616883116883117</v>
      </c>
      <c r="G141" s="110">
        <f t="shared" si="16"/>
        <v>4</v>
      </c>
      <c r="H141" s="110"/>
      <c r="I141" s="111">
        <v>673</v>
      </c>
      <c r="J141" s="109" t="str">
        <f t="shared" si="17"/>
        <v>26</v>
      </c>
      <c r="K141" s="109" t="s">
        <v>206</v>
      </c>
      <c r="L141" s="109" t="s">
        <v>737</v>
      </c>
      <c r="M141" s="111">
        <v>58</v>
      </c>
      <c r="N141" s="110">
        <v>812</v>
      </c>
      <c r="O141" s="105">
        <f t="shared" si="18"/>
        <v>742.4</v>
      </c>
      <c r="P141" s="112">
        <v>9.6000000000000002E-2</v>
      </c>
      <c r="Q141" s="113">
        <v>8.2760000000000004E-3</v>
      </c>
      <c r="R141" s="107">
        <f t="shared" si="19"/>
        <v>8.2759999999999998</v>
      </c>
      <c r="S141" s="105">
        <f t="shared" si="20"/>
        <v>1103.1203566121842</v>
      </c>
      <c r="T141" s="114">
        <f>IFERROR(INDEX('MASTER por modelo'!$AQ$8:$AQ$474,MATCH(K141,'MASTER por modelo'!$D$8:$D$474,0)),"")</f>
        <v>0.62433155080213909</v>
      </c>
      <c r="U141" s="115">
        <f>IFERROR(INDEX('MASTER por modelo'!$AC$8:$AC$474,MATCH(K141,'MASTER por modelo'!$D$8:$D$474,0))+INDEX('MASTER por modelo'!$AD$8:$AD$474,MATCH(K141,'MASTER por modelo'!$D$8:$D$474,0)),"")</f>
        <v>934</v>
      </c>
      <c r="V141" s="93"/>
    </row>
    <row r="142" spans="1:22" x14ac:dyDescent="0.25">
      <c r="A142" s="109" t="s">
        <v>63</v>
      </c>
      <c r="B142" s="109" t="s">
        <v>110</v>
      </c>
      <c r="C142" s="109" t="s">
        <v>100</v>
      </c>
      <c r="D142" s="103">
        <f t="shared" si="14"/>
        <v>85.67184235949955</v>
      </c>
      <c r="E142" s="110">
        <v>5.5679999999999996</v>
      </c>
      <c r="F142" s="110">
        <f t="shared" si="15"/>
        <v>3.6155844155844155</v>
      </c>
      <c r="G142" s="110">
        <f t="shared" si="16"/>
        <v>4</v>
      </c>
      <c r="H142" s="110"/>
      <c r="I142" s="111">
        <v>1101</v>
      </c>
      <c r="J142" s="109" t="str">
        <f t="shared" si="17"/>
        <v>26</v>
      </c>
      <c r="K142" s="109" t="s">
        <v>207</v>
      </c>
      <c r="L142" s="109" t="s">
        <v>758</v>
      </c>
      <c r="M142" s="111">
        <v>58</v>
      </c>
      <c r="N142" s="110">
        <v>546.6</v>
      </c>
      <c r="O142" s="105">
        <f t="shared" si="18"/>
        <v>477</v>
      </c>
      <c r="P142" s="112">
        <v>9.6000000000000002E-2</v>
      </c>
      <c r="Q142" s="113">
        <v>5.0569999999999999E-3</v>
      </c>
      <c r="R142" s="107">
        <f t="shared" si="19"/>
        <v>5.0569999999999995</v>
      </c>
      <c r="S142" s="105">
        <f t="shared" si="20"/>
        <v>433.24250681198913</v>
      </c>
      <c r="T142" s="114">
        <f>IFERROR(INDEX('MASTER por modelo'!$AQ$8:$AQ$474,MATCH(K142,'MASTER por modelo'!$D$8:$D$474,0)),"")</f>
        <v>0.29972752043596729</v>
      </c>
      <c r="U142" s="115">
        <f>IFERROR(INDEX('MASTER por modelo'!$AC$8:$AC$474,MATCH(K142,'MASTER por modelo'!$D$8:$D$474,0))+INDEX('MASTER por modelo'!$AD$8:$AD$474,MATCH(K142,'MASTER por modelo'!$D$8:$D$474,0)),"")</f>
        <v>330</v>
      </c>
      <c r="V142" s="93"/>
    </row>
    <row r="143" spans="1:22" x14ac:dyDescent="0.25">
      <c r="A143" s="109" t="s">
        <v>63</v>
      </c>
      <c r="B143" s="109" t="s">
        <v>64</v>
      </c>
      <c r="C143" s="109" t="s">
        <v>66</v>
      </c>
      <c r="D143" s="103">
        <f t="shared" si="14"/>
        <v>240.953079344793</v>
      </c>
      <c r="E143" s="110">
        <v>5.5679999999999996</v>
      </c>
      <c r="F143" s="110">
        <f t="shared" si="15"/>
        <v>3.6155844155844155</v>
      </c>
      <c r="G143" s="110">
        <f t="shared" si="16"/>
        <v>4</v>
      </c>
      <c r="H143" s="110"/>
      <c r="I143" s="111">
        <v>1137</v>
      </c>
      <c r="J143" s="109" t="str">
        <f t="shared" si="17"/>
        <v>26</v>
      </c>
      <c r="K143" s="109" t="s">
        <v>208</v>
      </c>
      <c r="L143" s="109" t="s">
        <v>730</v>
      </c>
      <c r="M143" s="111">
        <v>58</v>
      </c>
      <c r="N143" s="110">
        <v>1411.2</v>
      </c>
      <c r="O143" s="105">
        <f t="shared" si="18"/>
        <v>1341.6000000000001</v>
      </c>
      <c r="P143" s="112">
        <v>9.6000000000000002E-2</v>
      </c>
      <c r="Q143" s="113">
        <v>4.8970000000000003E-3</v>
      </c>
      <c r="R143" s="107">
        <f t="shared" si="19"/>
        <v>4.8970000000000002</v>
      </c>
      <c r="S143" s="105">
        <f t="shared" si="20"/>
        <v>1179.9472295514513</v>
      </c>
      <c r="T143" s="114">
        <f>IFERROR(INDEX('MASTER por modelo'!$AQ$8:$AQ$474,MATCH(K143,'MASTER por modelo'!$D$8:$D$474,0)),"")</f>
        <v>0.49868073878627966</v>
      </c>
      <c r="U143" s="115">
        <f>IFERROR(INDEX('MASTER por modelo'!$AC$8:$AC$474,MATCH(K143,'MASTER por modelo'!$D$8:$D$474,0))+INDEX('MASTER por modelo'!$AD$8:$AD$474,MATCH(K143,'MASTER por modelo'!$D$8:$D$474,0)),"")</f>
        <v>567</v>
      </c>
      <c r="V143" s="93"/>
    </row>
    <row r="144" spans="1:22" x14ac:dyDescent="0.25">
      <c r="A144" s="109" t="s">
        <v>63</v>
      </c>
      <c r="B144" s="109" t="s">
        <v>64</v>
      </c>
      <c r="C144" s="109" t="s">
        <v>66</v>
      </c>
      <c r="D144" s="103">
        <f t="shared" si="14"/>
        <v>230.54562343732914</v>
      </c>
      <c r="E144" s="110">
        <v>5.5330000000000004</v>
      </c>
      <c r="F144" s="110">
        <f t="shared" si="15"/>
        <v>3.592857142857143</v>
      </c>
      <c r="G144" s="110">
        <f t="shared" si="16"/>
        <v>4</v>
      </c>
      <c r="H144" s="110"/>
      <c r="I144" s="111">
        <v>1057</v>
      </c>
      <c r="J144" s="109" t="str">
        <f t="shared" si="17"/>
        <v>26</v>
      </c>
      <c r="K144" s="109" t="s">
        <v>209</v>
      </c>
      <c r="L144" s="109" t="s">
        <v>732</v>
      </c>
      <c r="M144" s="111">
        <v>53</v>
      </c>
      <c r="N144" s="110">
        <v>1339.3</v>
      </c>
      <c r="O144" s="105">
        <f t="shared" si="18"/>
        <v>1275.7</v>
      </c>
      <c r="P144" s="112">
        <v>0.10440000000000001</v>
      </c>
      <c r="Q144" s="113">
        <v>5.2350000000000001E-3</v>
      </c>
      <c r="R144" s="107">
        <f t="shared" si="19"/>
        <v>5.2350000000000003</v>
      </c>
      <c r="S144" s="105">
        <f t="shared" si="20"/>
        <v>1206.9063386944181</v>
      </c>
      <c r="T144" s="114">
        <f>IFERROR(INDEX('MASTER por modelo'!$AQ$8:$AQ$474,MATCH(K144,'MASTER por modelo'!$D$8:$D$474,0)),"")</f>
        <v>0.7473982970671712</v>
      </c>
      <c r="U144" s="115">
        <f>IFERROR(INDEX('MASTER por modelo'!$AC$8:$AC$474,MATCH(K144,'MASTER por modelo'!$D$8:$D$474,0))+INDEX('MASTER por modelo'!$AD$8:$AD$474,MATCH(K144,'MASTER por modelo'!$D$8:$D$474,0)),"")</f>
        <v>790</v>
      </c>
      <c r="V144" s="93"/>
    </row>
    <row r="145" spans="1:22" x14ac:dyDescent="0.25">
      <c r="A145" s="109" t="s">
        <v>63</v>
      </c>
      <c r="B145" s="109" t="s">
        <v>64</v>
      </c>
      <c r="C145" s="109" t="s">
        <v>57</v>
      </c>
      <c r="D145" s="103">
        <f t="shared" si="14"/>
        <v>93.403033816795926</v>
      </c>
      <c r="E145" s="110">
        <v>5.4720000000000004</v>
      </c>
      <c r="F145" s="110">
        <f t="shared" si="15"/>
        <v>3.5532467532467535</v>
      </c>
      <c r="G145" s="110">
        <f t="shared" si="16"/>
        <v>4</v>
      </c>
      <c r="H145" s="110"/>
      <c r="I145" s="111">
        <v>795</v>
      </c>
      <c r="J145" s="109" t="str">
        <f t="shared" si="17"/>
        <v>26</v>
      </c>
      <c r="K145" s="109" t="s">
        <v>134</v>
      </c>
      <c r="L145" s="109" t="s">
        <v>742</v>
      </c>
      <c r="M145" s="111">
        <v>57</v>
      </c>
      <c r="N145" s="110">
        <v>579.5</v>
      </c>
      <c r="O145" s="105">
        <f t="shared" si="18"/>
        <v>511.1</v>
      </c>
      <c r="P145" s="112">
        <v>9.6000000000000002E-2</v>
      </c>
      <c r="Q145" s="113">
        <v>6.8830000000000002E-3</v>
      </c>
      <c r="R145" s="107">
        <f t="shared" si="19"/>
        <v>6.883</v>
      </c>
      <c r="S145" s="105">
        <f t="shared" si="20"/>
        <v>642.89308176100633</v>
      </c>
      <c r="T145" s="114">
        <f>IFERROR(INDEX('MASTER por modelo'!$AQ$8:$AQ$474,MATCH(K145,'MASTER por modelo'!$D$8:$D$474,0)),"")</f>
        <v>0.53827460510328073</v>
      </c>
      <c r="U145" s="115">
        <f>IFERROR(INDEX('MASTER por modelo'!$AC$8:$AC$474,MATCH(K145,'MASTER por modelo'!$D$8:$D$474,0))+INDEX('MASTER por modelo'!$AD$8:$AD$474,MATCH(K145,'MASTER por modelo'!$D$8:$D$474,0)),"")</f>
        <v>886</v>
      </c>
      <c r="V145" s="93"/>
    </row>
    <row r="146" spans="1:22" x14ac:dyDescent="0.25">
      <c r="A146" s="109" t="s">
        <v>55</v>
      </c>
      <c r="B146" s="109" t="s">
        <v>99</v>
      </c>
      <c r="C146" s="109" t="s">
        <v>100</v>
      </c>
      <c r="D146" s="103">
        <f t="shared" si="14"/>
        <v>115.82602339181288</v>
      </c>
      <c r="E146" s="110">
        <v>5.4720000000000004</v>
      </c>
      <c r="F146" s="110">
        <f t="shared" si="15"/>
        <v>3.5532467532467535</v>
      </c>
      <c r="G146" s="110">
        <f t="shared" si="16"/>
        <v>4</v>
      </c>
      <c r="H146" s="110"/>
      <c r="I146" s="111">
        <v>800</v>
      </c>
      <c r="J146" s="109" t="str">
        <f t="shared" si="17"/>
        <v>26</v>
      </c>
      <c r="K146" s="109" t="s">
        <v>210</v>
      </c>
      <c r="L146" s="109" t="s">
        <v>768</v>
      </c>
      <c r="M146" s="111">
        <v>57</v>
      </c>
      <c r="N146" s="110">
        <v>702.2</v>
      </c>
      <c r="O146" s="105">
        <f t="shared" si="18"/>
        <v>633.80000000000007</v>
      </c>
      <c r="P146" s="112">
        <v>9.6000000000000002E-2</v>
      </c>
      <c r="Q146" s="113">
        <v>6.8399999999999997E-3</v>
      </c>
      <c r="R146" s="107">
        <f t="shared" si="19"/>
        <v>6.84</v>
      </c>
      <c r="S146" s="105">
        <f t="shared" si="20"/>
        <v>792.25000000000011</v>
      </c>
      <c r="T146" s="114">
        <f>IFERROR(INDEX('MASTER por modelo'!$AQ$8:$AQ$474,MATCH(K146,'MASTER por modelo'!$D$8:$D$474,0)),"")</f>
        <v>0.24</v>
      </c>
      <c r="U146" s="115">
        <f>IFERROR(INDEX('MASTER por modelo'!$AC$8:$AC$474,MATCH(K146,'MASTER por modelo'!$D$8:$D$474,0))+INDEX('MASTER por modelo'!$AD$8:$AD$474,MATCH(K146,'MASTER por modelo'!$D$8:$D$474,0)),"")</f>
        <v>372</v>
      </c>
      <c r="V146" s="93"/>
    </row>
    <row r="147" spans="1:22" x14ac:dyDescent="0.25">
      <c r="A147" s="109" t="s">
        <v>55</v>
      </c>
      <c r="B147" s="109" t="s">
        <v>56</v>
      </c>
      <c r="C147" s="109" t="s">
        <v>66</v>
      </c>
      <c r="D147" s="103">
        <f t="shared" si="14"/>
        <v>159.45509305963714</v>
      </c>
      <c r="E147" s="110">
        <v>5.4720000000000004</v>
      </c>
      <c r="F147" s="110">
        <f t="shared" si="15"/>
        <v>3.5532467532467535</v>
      </c>
      <c r="G147" s="110">
        <f t="shared" si="16"/>
        <v>4</v>
      </c>
      <c r="H147" s="110"/>
      <c r="I147" s="111">
        <v>840</v>
      </c>
      <c r="J147" s="109" t="str">
        <f t="shared" si="17"/>
        <v>26</v>
      </c>
      <c r="K147" s="109" t="s">
        <v>141</v>
      </c>
      <c r="L147" s="109" t="s">
        <v>754</v>
      </c>
      <c r="M147" s="111">
        <v>57</v>
      </c>
      <c r="N147" s="110">
        <v>940.9</v>
      </c>
      <c r="O147" s="105">
        <f t="shared" si="18"/>
        <v>872.5</v>
      </c>
      <c r="P147" s="112">
        <v>9.6000000000000002E-2</v>
      </c>
      <c r="Q147" s="113">
        <v>6.5139999999999998E-3</v>
      </c>
      <c r="R147" s="107">
        <f t="shared" si="19"/>
        <v>6.5140000000000002</v>
      </c>
      <c r="S147" s="105">
        <f t="shared" si="20"/>
        <v>1038.6904761904764</v>
      </c>
      <c r="T147" s="114">
        <f>IFERROR(INDEX('MASTER por modelo'!$AQ$8:$AQ$474,MATCH(K147,'MASTER por modelo'!$D$8:$D$474,0)),"")</f>
        <v>1.8193632228719947E-2</v>
      </c>
      <c r="U147" s="115">
        <f>IFERROR(INDEX('MASTER por modelo'!$AC$8:$AC$474,MATCH(K147,'MASTER por modelo'!$D$8:$D$474,0))+INDEX('MASTER por modelo'!$AD$8:$AD$474,MATCH(K147,'MASTER por modelo'!$D$8:$D$474,0)),"")</f>
        <v>28</v>
      </c>
      <c r="V147" s="93"/>
    </row>
    <row r="148" spans="1:22" x14ac:dyDescent="0.25">
      <c r="A148" s="109" t="s">
        <v>63</v>
      </c>
      <c r="B148" s="109" t="s">
        <v>64</v>
      </c>
      <c r="C148" s="109" t="s">
        <v>66</v>
      </c>
      <c r="D148" s="103">
        <f t="shared" si="14"/>
        <v>172.37950378257182</v>
      </c>
      <c r="E148" s="110">
        <v>5.4</v>
      </c>
      <c r="F148" s="110">
        <f t="shared" si="15"/>
        <v>3.5064935064935066</v>
      </c>
      <c r="G148" s="110">
        <f t="shared" si="16"/>
        <v>4</v>
      </c>
      <c r="H148" s="110"/>
      <c r="I148" s="111">
        <v>746</v>
      </c>
      <c r="J148" s="109" t="str">
        <f t="shared" si="17"/>
        <v>26</v>
      </c>
      <c r="K148" s="109" t="s">
        <v>211</v>
      </c>
      <c r="L148" s="109" t="s">
        <v>732</v>
      </c>
      <c r="M148" s="111">
        <v>50</v>
      </c>
      <c r="N148" s="110">
        <v>990.9</v>
      </c>
      <c r="O148" s="105">
        <f t="shared" si="18"/>
        <v>930.9</v>
      </c>
      <c r="P148" s="112">
        <v>0.108</v>
      </c>
      <c r="Q148" s="113">
        <v>7.2389999999999998E-3</v>
      </c>
      <c r="R148" s="107">
        <f t="shared" si="19"/>
        <v>7.2389999999999999</v>
      </c>
      <c r="S148" s="105">
        <f t="shared" si="20"/>
        <v>1247.8552278820373</v>
      </c>
      <c r="T148" s="114">
        <f>IFERROR(INDEX('MASTER por modelo'!$AQ$8:$AQ$474,MATCH(K148,'MASTER por modelo'!$D$8:$D$474,0)),"")</f>
        <v>0.47721179624664878</v>
      </c>
      <c r="U148" s="115">
        <f>IFERROR(INDEX('MASTER por modelo'!$AC$8:$AC$474,MATCH(K148,'MASTER por modelo'!$D$8:$D$474,0))+INDEX('MASTER por modelo'!$AD$8:$AD$474,MATCH(K148,'MASTER por modelo'!$D$8:$D$474,0)),"")</f>
        <v>356</v>
      </c>
      <c r="V148" s="93"/>
    </row>
    <row r="149" spans="1:22" x14ac:dyDescent="0.25">
      <c r="A149" s="109" t="s">
        <v>63</v>
      </c>
      <c r="B149" s="109" t="s">
        <v>64</v>
      </c>
      <c r="C149" s="109" t="s">
        <v>66</v>
      </c>
      <c r="D149" s="103">
        <f t="shared" si="14"/>
        <v>125.48905600109447</v>
      </c>
      <c r="E149" s="110">
        <v>5.38</v>
      </c>
      <c r="F149" s="110">
        <f t="shared" si="15"/>
        <v>3.4935064935064934</v>
      </c>
      <c r="G149" s="110">
        <f t="shared" si="16"/>
        <v>4</v>
      </c>
      <c r="H149" s="110"/>
      <c r="I149" s="111">
        <v>952</v>
      </c>
      <c r="J149" s="109" t="str">
        <f t="shared" si="17"/>
        <v>26</v>
      </c>
      <c r="K149" s="109" t="s">
        <v>137</v>
      </c>
      <c r="L149" s="109" t="s">
        <v>770</v>
      </c>
      <c r="M149" s="111">
        <v>56</v>
      </c>
      <c r="N149" s="110">
        <v>742.3</v>
      </c>
      <c r="O149" s="105">
        <f t="shared" si="18"/>
        <v>675.09999999999991</v>
      </c>
      <c r="P149" s="112">
        <v>9.6100000000000005E-2</v>
      </c>
      <c r="Q149" s="113">
        <v>5.6509999999999998E-3</v>
      </c>
      <c r="R149" s="107">
        <f t="shared" si="19"/>
        <v>5.6509999999999998</v>
      </c>
      <c r="S149" s="105">
        <f t="shared" si="20"/>
        <v>709.13865546218483</v>
      </c>
      <c r="T149" s="114">
        <f>IFERROR(INDEX('MASTER por modelo'!$AQ$8:$AQ$474,MATCH(K149,'MASTER por modelo'!$D$8:$D$474,0)),"")</f>
        <v>0.68287292817679557</v>
      </c>
      <c r="U149" s="115">
        <f>IFERROR(INDEX('MASTER por modelo'!$AC$8:$AC$474,MATCH(K149,'MASTER por modelo'!$D$8:$D$474,0))+INDEX('MASTER por modelo'!$AD$8:$AD$474,MATCH(K149,'MASTER por modelo'!$D$8:$D$474,0)),"")</f>
        <v>1236</v>
      </c>
      <c r="V149" s="93"/>
    </row>
    <row r="150" spans="1:22" x14ac:dyDescent="0.25">
      <c r="A150" s="109" t="s">
        <v>63</v>
      </c>
      <c r="B150" s="109" t="s">
        <v>64</v>
      </c>
      <c r="C150" s="109" t="s">
        <v>66</v>
      </c>
      <c r="D150" s="103">
        <f t="shared" si="14"/>
        <v>139.44175713714287</v>
      </c>
      <c r="E150" s="110">
        <v>5.38</v>
      </c>
      <c r="F150" s="110">
        <f t="shared" si="15"/>
        <v>3.4935064935064934</v>
      </c>
      <c r="G150" s="110">
        <f t="shared" si="16"/>
        <v>4</v>
      </c>
      <c r="H150" s="110"/>
      <c r="I150" s="111">
        <v>716</v>
      </c>
      <c r="J150" s="109" t="str">
        <f t="shared" si="17"/>
        <v>26</v>
      </c>
      <c r="K150" s="109" t="s">
        <v>212</v>
      </c>
      <c r="L150" s="109" t="s">
        <v>755</v>
      </c>
      <c r="M150" s="111">
        <v>56</v>
      </c>
      <c r="N150" s="110">
        <v>817.4</v>
      </c>
      <c r="O150" s="105">
        <f t="shared" si="18"/>
        <v>750.19999999999993</v>
      </c>
      <c r="P150" s="112">
        <v>9.6100000000000005E-2</v>
      </c>
      <c r="Q150" s="113">
        <v>7.5139999999999998E-3</v>
      </c>
      <c r="R150" s="107">
        <f t="shared" si="19"/>
        <v>7.5140000000000002</v>
      </c>
      <c r="S150" s="105">
        <f t="shared" si="20"/>
        <v>1047.7653631284916</v>
      </c>
      <c r="T150" s="114">
        <f>IFERROR(INDEX('MASTER por modelo'!$AQ$8:$AQ$474,MATCH(K150,'MASTER por modelo'!$D$8:$D$474,0)),"")</f>
        <v>0.72625698324022347</v>
      </c>
      <c r="U150" s="115">
        <f>IFERROR(INDEX('MASTER por modelo'!$AC$8:$AC$474,MATCH(K150,'MASTER por modelo'!$D$8:$D$474,0))+INDEX('MASTER por modelo'!$AD$8:$AD$474,MATCH(K150,'MASTER por modelo'!$D$8:$D$474,0)),"")</f>
        <v>520</v>
      </c>
      <c r="V150" s="93"/>
    </row>
    <row r="151" spans="1:22" x14ac:dyDescent="0.25">
      <c r="A151" s="109" t="s">
        <v>55</v>
      </c>
      <c r="B151" s="109" t="s">
        <v>99</v>
      </c>
      <c r="C151" s="109" t="s">
        <v>100</v>
      </c>
      <c r="D151" s="103">
        <f t="shared" si="14"/>
        <v>142.77032468111065</v>
      </c>
      <c r="E151" s="110">
        <v>5.3760000000000003</v>
      </c>
      <c r="F151" s="110">
        <f t="shared" si="15"/>
        <v>3.4909090909090912</v>
      </c>
      <c r="G151" s="110">
        <f t="shared" si="16"/>
        <v>4</v>
      </c>
      <c r="H151" s="110"/>
      <c r="I151" s="111">
        <v>851</v>
      </c>
      <c r="J151" s="109" t="str">
        <f t="shared" si="17"/>
        <v>26</v>
      </c>
      <c r="K151" s="109" t="s">
        <v>213</v>
      </c>
      <c r="L151" s="109" t="s">
        <v>768</v>
      </c>
      <c r="M151" s="111">
        <v>56</v>
      </c>
      <c r="N151" s="110">
        <v>834.7</v>
      </c>
      <c r="O151" s="105">
        <f t="shared" si="18"/>
        <v>767.5</v>
      </c>
      <c r="P151" s="112">
        <v>9.6000000000000002E-2</v>
      </c>
      <c r="Q151" s="113">
        <v>6.3169999999999997E-3</v>
      </c>
      <c r="R151" s="107">
        <f t="shared" si="19"/>
        <v>6.3169999999999993</v>
      </c>
      <c r="S151" s="105">
        <f t="shared" si="20"/>
        <v>901.88014101057581</v>
      </c>
      <c r="T151" s="114">
        <f>IFERROR(INDEX('MASTER por modelo'!$AQ$8:$AQ$474,MATCH(K151,'MASTER por modelo'!$D$8:$D$474,0)),"")</f>
        <v>0.46759539672925499</v>
      </c>
      <c r="U151" s="115">
        <f>IFERROR(INDEX('MASTER por modelo'!$AC$8:$AC$474,MATCH(K151,'MASTER por modelo'!$D$8:$D$474,0))+INDEX('MASTER por modelo'!$AD$8:$AD$474,MATCH(K151,'MASTER por modelo'!$D$8:$D$474,0)),"")</f>
        <v>772</v>
      </c>
      <c r="V151" s="93"/>
    </row>
    <row r="152" spans="1:22" x14ac:dyDescent="0.25">
      <c r="A152" s="109" t="s">
        <v>63</v>
      </c>
      <c r="B152" s="109" t="s">
        <v>110</v>
      </c>
      <c r="C152" s="109" t="s">
        <v>100</v>
      </c>
      <c r="D152" s="103">
        <f t="shared" si="14"/>
        <v>102.14717531790701</v>
      </c>
      <c r="E152" s="110">
        <v>5.3719999999999999</v>
      </c>
      <c r="F152" s="110">
        <f t="shared" si="15"/>
        <v>3.488311688311688</v>
      </c>
      <c r="G152" s="110">
        <f t="shared" si="16"/>
        <v>4</v>
      </c>
      <c r="H152" s="110"/>
      <c r="I152" s="111">
        <v>1435</v>
      </c>
      <c r="J152" s="109" t="str">
        <f t="shared" si="17"/>
        <v>26</v>
      </c>
      <c r="K152" s="109" t="s">
        <v>214</v>
      </c>
      <c r="L152" s="109" t="s">
        <v>771</v>
      </c>
      <c r="M152" s="111">
        <v>56</v>
      </c>
      <c r="N152" s="110">
        <v>616</v>
      </c>
      <c r="O152" s="105">
        <f t="shared" si="18"/>
        <v>548.79999999999995</v>
      </c>
      <c r="P152" s="112">
        <v>9.5899999999999999E-2</v>
      </c>
      <c r="Q152" s="113">
        <v>3.7439999999999999E-3</v>
      </c>
      <c r="R152" s="107">
        <f t="shared" si="19"/>
        <v>3.7439999999999998</v>
      </c>
      <c r="S152" s="105">
        <f t="shared" si="20"/>
        <v>382.43902439024384</v>
      </c>
      <c r="T152" s="114">
        <f>IFERROR(INDEX('MASTER por modelo'!$AQ$8:$AQ$474,MATCH(K152,'MASTER por modelo'!$D$8:$D$474,0)),"")</f>
        <v>0.38745644599303136</v>
      </c>
      <c r="U152" s="115">
        <f>IFERROR(INDEX('MASTER por modelo'!$AC$8:$AC$474,MATCH(K152,'MASTER por modelo'!$D$8:$D$474,0))+INDEX('MASTER por modelo'!$AD$8:$AD$474,MATCH(K152,'MASTER por modelo'!$D$8:$D$474,0)),"")</f>
        <v>556</v>
      </c>
      <c r="V152" s="93"/>
    </row>
    <row r="153" spans="1:22" x14ac:dyDescent="0.25">
      <c r="A153" s="109" t="s">
        <v>63</v>
      </c>
      <c r="B153" s="109" t="s">
        <v>110</v>
      </c>
      <c r="C153" s="109" t="s">
        <v>100</v>
      </c>
      <c r="D153" s="103">
        <f t="shared" si="14"/>
        <v>117.69781186227291</v>
      </c>
      <c r="E153" s="110">
        <v>5.28</v>
      </c>
      <c r="F153" s="110">
        <f t="shared" si="15"/>
        <v>3.4285714285714288</v>
      </c>
      <c r="G153" s="110">
        <f t="shared" si="16"/>
        <v>4</v>
      </c>
      <c r="H153" s="110"/>
      <c r="I153" s="111">
        <v>1394</v>
      </c>
      <c r="J153" s="109" t="str">
        <f t="shared" si="17"/>
        <v>26</v>
      </c>
      <c r="K153" s="109" t="s">
        <v>215</v>
      </c>
      <c r="L153" s="109" t="s">
        <v>771</v>
      </c>
      <c r="M153" s="111">
        <v>55</v>
      </c>
      <c r="N153" s="110">
        <v>687.5</v>
      </c>
      <c r="O153" s="105">
        <f t="shared" si="18"/>
        <v>621.5</v>
      </c>
      <c r="P153" s="112">
        <v>9.6000000000000002E-2</v>
      </c>
      <c r="Q153" s="113">
        <v>3.7880000000000001E-3</v>
      </c>
      <c r="R153" s="107">
        <f t="shared" si="19"/>
        <v>3.7880000000000003</v>
      </c>
      <c r="S153" s="105">
        <f t="shared" si="20"/>
        <v>445.83931133428985</v>
      </c>
      <c r="T153" s="114">
        <f>IFERROR(INDEX('MASTER por modelo'!$AQ$8:$AQ$474,MATCH(K153,'MASTER por modelo'!$D$8:$D$474,0)),"")</f>
        <v>0.42252510760401724</v>
      </c>
      <c r="U153" s="115">
        <f>IFERROR(INDEX('MASTER por modelo'!$AC$8:$AC$474,MATCH(K153,'MASTER por modelo'!$D$8:$D$474,0))+INDEX('MASTER por modelo'!$AD$8:$AD$474,MATCH(K153,'MASTER por modelo'!$D$8:$D$474,0)),"")</f>
        <v>589</v>
      </c>
      <c r="V153" s="93"/>
    </row>
    <row r="154" spans="1:22" x14ac:dyDescent="0.25">
      <c r="A154" s="109" t="s">
        <v>63</v>
      </c>
      <c r="B154" s="109" t="s">
        <v>64</v>
      </c>
      <c r="C154" s="109" t="s">
        <v>66</v>
      </c>
      <c r="D154" s="103">
        <f t="shared" si="14"/>
        <v>147.53821410200175</v>
      </c>
      <c r="E154" s="110">
        <v>5.28</v>
      </c>
      <c r="F154" s="110">
        <f t="shared" si="15"/>
        <v>3.4285714285714288</v>
      </c>
      <c r="G154" s="110">
        <f t="shared" si="16"/>
        <v>4</v>
      </c>
      <c r="H154" s="110"/>
      <c r="I154" s="111">
        <v>717</v>
      </c>
      <c r="J154" s="109" t="str">
        <f t="shared" si="17"/>
        <v>27</v>
      </c>
      <c r="K154" s="109" t="s">
        <v>216</v>
      </c>
      <c r="L154" s="109" t="s">
        <v>747</v>
      </c>
      <c r="M154" s="111">
        <v>55</v>
      </c>
      <c r="N154" s="110">
        <v>845</v>
      </c>
      <c r="O154" s="105">
        <f t="shared" si="18"/>
        <v>779</v>
      </c>
      <c r="P154" s="112">
        <v>9.6000000000000002E-2</v>
      </c>
      <c r="Q154" s="113">
        <v>7.3639999999999999E-3</v>
      </c>
      <c r="R154" s="107">
        <f t="shared" si="19"/>
        <v>7.3639999999999999</v>
      </c>
      <c r="S154" s="105">
        <f t="shared" si="20"/>
        <v>1086.4714086471408</v>
      </c>
      <c r="T154" s="114">
        <f>IFERROR(INDEX('MASTER por modelo'!$AQ$8:$AQ$474,MATCH(K154,'MASTER por modelo'!$D$8:$D$474,0)),"")</f>
        <v>0</v>
      </c>
      <c r="U154" s="115">
        <f>IFERROR(INDEX('MASTER por modelo'!$AC$8:$AC$474,MATCH(K154,'MASTER por modelo'!$D$8:$D$474,0))+INDEX('MASTER por modelo'!$AD$8:$AD$474,MATCH(K154,'MASTER por modelo'!$D$8:$D$474,0)),"")</f>
        <v>0</v>
      </c>
      <c r="V154" s="93"/>
    </row>
    <row r="155" spans="1:22" x14ac:dyDescent="0.25">
      <c r="A155" s="109" t="s">
        <v>55</v>
      </c>
      <c r="B155" s="109" t="s">
        <v>56</v>
      </c>
      <c r="C155" s="109" t="s">
        <v>66</v>
      </c>
      <c r="D155" s="103">
        <f t="shared" si="14"/>
        <v>162.89932542996462</v>
      </c>
      <c r="E155" s="110">
        <v>5.1669999999999998</v>
      </c>
      <c r="F155" s="110">
        <f t="shared" si="15"/>
        <v>3.3551948051948051</v>
      </c>
      <c r="G155" s="110">
        <f t="shared" si="16"/>
        <v>4</v>
      </c>
      <c r="H155" s="110"/>
      <c r="I155" s="111">
        <v>635</v>
      </c>
      <c r="J155" s="109" t="str">
        <f t="shared" si="17"/>
        <v>26</v>
      </c>
      <c r="K155" s="109" t="s">
        <v>217</v>
      </c>
      <c r="L155" s="109" t="s">
        <v>734</v>
      </c>
      <c r="M155" s="111">
        <v>49</v>
      </c>
      <c r="N155" s="110">
        <v>900.5</v>
      </c>
      <c r="O155" s="105">
        <f t="shared" si="18"/>
        <v>841.7</v>
      </c>
      <c r="P155" s="112">
        <v>0.10539999999999999</v>
      </c>
      <c r="Q155" s="113">
        <v>8.1370000000000001E-3</v>
      </c>
      <c r="R155" s="107">
        <f t="shared" si="19"/>
        <v>8.1370000000000005</v>
      </c>
      <c r="S155" s="105">
        <f t="shared" si="20"/>
        <v>1325.5118110236222</v>
      </c>
      <c r="T155" s="114">
        <f>IFERROR(INDEX('MASTER por modelo'!$AQ$8:$AQ$474,MATCH(K155,'MASTER por modelo'!$D$8:$D$474,0)),"")</f>
        <v>5.6692913385826771E-2</v>
      </c>
      <c r="U155" s="115">
        <f>IFERROR(INDEX('MASTER por modelo'!$AC$8:$AC$474,MATCH(K155,'MASTER por modelo'!$D$8:$D$474,0))+INDEX('MASTER por modelo'!$AD$8:$AD$474,MATCH(K155,'MASTER por modelo'!$D$8:$D$474,0)),"")</f>
        <v>36</v>
      </c>
      <c r="V155" s="93"/>
    </row>
    <row r="156" spans="1:22" x14ac:dyDescent="0.25">
      <c r="A156" s="109" t="s">
        <v>63</v>
      </c>
      <c r="B156" s="109" t="s">
        <v>171</v>
      </c>
      <c r="C156" s="109" t="s">
        <v>172</v>
      </c>
      <c r="D156" s="103">
        <f t="shared" si="14"/>
        <v>155.27152090839311</v>
      </c>
      <c r="E156" s="110">
        <v>5.1159999999999997</v>
      </c>
      <c r="F156" s="110">
        <f t="shared" si="15"/>
        <v>3.3220779220779217</v>
      </c>
      <c r="G156" s="110">
        <f t="shared" si="16"/>
        <v>4</v>
      </c>
      <c r="H156" s="110"/>
      <c r="I156" s="111">
        <v>971</v>
      </c>
      <c r="J156" s="109" t="str">
        <f t="shared" si="17"/>
        <v>26</v>
      </c>
      <c r="K156" s="109" t="s">
        <v>218</v>
      </c>
      <c r="L156" s="109" t="s">
        <v>732</v>
      </c>
      <c r="M156" s="111">
        <v>49</v>
      </c>
      <c r="N156" s="110">
        <v>853.2</v>
      </c>
      <c r="O156" s="105">
        <f t="shared" si="18"/>
        <v>794.40000000000009</v>
      </c>
      <c r="P156" s="112">
        <v>0.10440000000000001</v>
      </c>
      <c r="Q156" s="113">
        <v>5.2690000000000002E-3</v>
      </c>
      <c r="R156" s="107">
        <f t="shared" si="19"/>
        <v>5.2690000000000001</v>
      </c>
      <c r="S156" s="105">
        <f t="shared" si="20"/>
        <v>818.12564366632341</v>
      </c>
      <c r="T156" s="114">
        <f>IFERROR(INDEX('MASTER por modelo'!$AQ$8:$AQ$474,MATCH(K156,'MASTER por modelo'!$D$8:$D$474,0)),"")</f>
        <v>0.55715756951596296</v>
      </c>
      <c r="U156" s="115">
        <f>IFERROR(INDEX('MASTER por modelo'!$AC$8:$AC$474,MATCH(K156,'MASTER por modelo'!$D$8:$D$474,0))+INDEX('MASTER por modelo'!$AD$8:$AD$474,MATCH(K156,'MASTER por modelo'!$D$8:$D$474,0)),"")</f>
        <v>541</v>
      </c>
      <c r="V156" s="93"/>
    </row>
    <row r="157" spans="1:22" x14ac:dyDescent="0.25">
      <c r="A157" s="109" t="s">
        <v>63</v>
      </c>
      <c r="B157" s="109" t="s">
        <v>64</v>
      </c>
      <c r="C157" s="109" t="s">
        <v>66</v>
      </c>
      <c r="D157" s="103">
        <f t="shared" si="14"/>
        <v>244.6152108823479</v>
      </c>
      <c r="E157" s="110">
        <v>5.1005000000000003</v>
      </c>
      <c r="F157" s="110">
        <f t="shared" si="15"/>
        <v>3.3120129870129871</v>
      </c>
      <c r="G157" s="110">
        <f t="shared" si="16"/>
        <v>4</v>
      </c>
      <c r="H157" s="110"/>
      <c r="I157" s="111">
        <v>874</v>
      </c>
      <c r="J157" s="109" t="str">
        <f t="shared" si="17"/>
        <v>26</v>
      </c>
      <c r="K157" s="109" t="s">
        <v>219</v>
      </c>
      <c r="L157" s="109" t="s">
        <v>767</v>
      </c>
      <c r="M157" s="111">
        <v>46</v>
      </c>
      <c r="N157" s="110">
        <v>1302.9000000000001</v>
      </c>
      <c r="O157" s="105">
        <f t="shared" si="18"/>
        <v>1247.7</v>
      </c>
      <c r="P157" s="112">
        <v>0.1109</v>
      </c>
      <c r="Q157" s="113">
        <v>5.836E-3</v>
      </c>
      <c r="R157" s="107">
        <f t="shared" si="19"/>
        <v>5.8360000000000003</v>
      </c>
      <c r="S157" s="105">
        <f t="shared" si="20"/>
        <v>1427.5743707093823</v>
      </c>
      <c r="T157" s="114">
        <f>IFERROR(INDEX('MASTER por modelo'!$AQ$8:$AQ$474,MATCH(K157,'MASTER por modelo'!$D$8:$D$474,0)),"")</f>
        <v>0.74141876430205955</v>
      </c>
      <c r="U157" s="115">
        <f>IFERROR(INDEX('MASTER por modelo'!$AC$8:$AC$474,MATCH(K157,'MASTER por modelo'!$D$8:$D$474,0))+INDEX('MASTER por modelo'!$AD$8:$AD$474,MATCH(K157,'MASTER por modelo'!$D$8:$D$474,0)),"")</f>
        <v>648</v>
      </c>
      <c r="V157" s="93"/>
    </row>
    <row r="158" spans="1:22" x14ac:dyDescent="0.25">
      <c r="A158" s="109" t="s">
        <v>63</v>
      </c>
      <c r="B158" s="109" t="s">
        <v>102</v>
      </c>
      <c r="C158" s="109" t="s">
        <v>220</v>
      </c>
      <c r="D158" s="103">
        <f t="shared" si="14"/>
        <v>236.15672382937811</v>
      </c>
      <c r="E158" s="110">
        <v>5.0999999999999996</v>
      </c>
      <c r="F158" s="110">
        <f t="shared" si="15"/>
        <v>3.3116883116883113</v>
      </c>
      <c r="G158" s="110">
        <f t="shared" si="16"/>
        <v>4</v>
      </c>
      <c r="H158" s="110"/>
      <c r="I158" s="111">
        <v>711</v>
      </c>
      <c r="J158" s="109" t="str">
        <f t="shared" si="17"/>
        <v>26</v>
      </c>
      <c r="K158" s="109" t="s">
        <v>221</v>
      </c>
      <c r="L158" s="109" t="s">
        <v>744</v>
      </c>
      <c r="M158" s="111">
        <v>60</v>
      </c>
      <c r="N158" s="110">
        <v>1276.4000000000001</v>
      </c>
      <c r="O158" s="105">
        <f t="shared" si="18"/>
        <v>1204.4000000000001</v>
      </c>
      <c r="P158" s="112">
        <v>8.5000000000000006E-2</v>
      </c>
      <c r="Q158" s="113">
        <v>7.1729999999999997E-3</v>
      </c>
      <c r="R158" s="107">
        <f t="shared" si="19"/>
        <v>7.173</v>
      </c>
      <c r="S158" s="105">
        <f t="shared" si="20"/>
        <v>1693.9521800281293</v>
      </c>
      <c r="T158" s="114">
        <f>IFERROR(INDEX('MASTER por modelo'!$AQ$8:$AQ$474,MATCH(K158,'MASTER por modelo'!$D$8:$D$474,0)),"")</f>
        <v>0.7812718378756115</v>
      </c>
      <c r="U158" s="115">
        <f>IFERROR(INDEX('MASTER por modelo'!$AC$8:$AC$474,MATCH(K158,'MASTER por modelo'!$D$8:$D$474,0))+INDEX('MASTER por modelo'!$AD$8:$AD$474,MATCH(K158,'MASTER por modelo'!$D$8:$D$474,0)),"")</f>
        <v>1118</v>
      </c>
      <c r="V158" s="93"/>
    </row>
    <row r="159" spans="1:22" x14ac:dyDescent="0.25">
      <c r="A159" s="109" t="s">
        <v>55</v>
      </c>
      <c r="B159" s="109" t="s">
        <v>56</v>
      </c>
      <c r="C159" s="109" t="s">
        <v>66</v>
      </c>
      <c r="D159" s="103">
        <f t="shared" si="14"/>
        <v>84.661244993807088</v>
      </c>
      <c r="E159" s="110">
        <v>5.09</v>
      </c>
      <c r="F159" s="110">
        <f t="shared" si="15"/>
        <v>3.3051948051948052</v>
      </c>
      <c r="G159" s="110">
        <f t="shared" si="16"/>
        <v>4</v>
      </c>
      <c r="H159" s="110"/>
      <c r="I159" s="111">
        <v>848</v>
      </c>
      <c r="J159" s="109" t="str">
        <f t="shared" si="17"/>
        <v>26</v>
      </c>
      <c r="K159" s="109" t="s">
        <v>222</v>
      </c>
      <c r="L159" s="109" t="s">
        <v>770</v>
      </c>
      <c r="M159" s="111">
        <v>53</v>
      </c>
      <c r="N159" s="110">
        <v>494.5</v>
      </c>
      <c r="O159" s="105">
        <f t="shared" si="18"/>
        <v>430.9</v>
      </c>
      <c r="P159" s="112">
        <v>9.6000000000000002E-2</v>
      </c>
      <c r="Q159" s="113">
        <v>6.0020000000000004E-3</v>
      </c>
      <c r="R159" s="107">
        <f t="shared" si="19"/>
        <v>6.0020000000000007</v>
      </c>
      <c r="S159" s="105">
        <f t="shared" si="20"/>
        <v>508.13679245283015</v>
      </c>
      <c r="T159" s="114">
        <f>IFERROR(INDEX('MASTER por modelo'!$AQ$8:$AQ$474,MATCH(K159,'MASTER por modelo'!$D$8:$D$474,0)),"")</f>
        <v>0.78183962264150941</v>
      </c>
      <c r="U159" s="115">
        <f>IFERROR(INDEX('MASTER por modelo'!$AC$8:$AC$474,MATCH(K159,'MASTER por modelo'!$D$8:$D$474,0))+INDEX('MASTER por modelo'!$AD$8:$AD$474,MATCH(K159,'MASTER por modelo'!$D$8:$D$474,0)),"")</f>
        <v>663</v>
      </c>
      <c r="V159" s="93"/>
    </row>
    <row r="160" spans="1:22" x14ac:dyDescent="0.25">
      <c r="A160" s="109" t="s">
        <v>55</v>
      </c>
      <c r="B160" s="109" t="s">
        <v>99</v>
      </c>
      <c r="C160" s="109" t="s">
        <v>111</v>
      </c>
      <c r="D160" s="103">
        <f t="shared" si="14"/>
        <v>76.334542618711126</v>
      </c>
      <c r="E160" s="110">
        <v>5.0880000000000001</v>
      </c>
      <c r="F160" s="110">
        <f t="shared" si="15"/>
        <v>3.3038961038961037</v>
      </c>
      <c r="G160" s="110">
        <f t="shared" si="16"/>
        <v>4</v>
      </c>
      <c r="H160" s="110"/>
      <c r="I160" s="111">
        <v>851</v>
      </c>
      <c r="J160" s="109" t="str">
        <f t="shared" si="17"/>
        <v>26</v>
      </c>
      <c r="K160" s="109" t="s">
        <v>150</v>
      </c>
      <c r="L160" s="109" t="s">
        <v>772</v>
      </c>
      <c r="M160" s="111">
        <v>53</v>
      </c>
      <c r="N160" s="110">
        <v>452</v>
      </c>
      <c r="O160" s="105">
        <f t="shared" si="18"/>
        <v>388.4</v>
      </c>
      <c r="P160" s="112">
        <v>9.6000000000000002E-2</v>
      </c>
      <c r="Q160" s="113">
        <v>5.9789999999999999E-3</v>
      </c>
      <c r="R160" s="107">
        <f t="shared" si="19"/>
        <v>5.9790000000000001</v>
      </c>
      <c r="S160" s="105">
        <f t="shared" si="20"/>
        <v>456.4042303172738</v>
      </c>
      <c r="T160" s="114">
        <f>IFERROR(INDEX('MASTER por modelo'!$AQ$8:$AQ$474,MATCH(K160,'MASTER por modelo'!$D$8:$D$474,0)),"")</f>
        <v>2.3968042609853527E-2</v>
      </c>
      <c r="U160" s="115">
        <f>IFERROR(INDEX('MASTER por modelo'!$AC$8:$AC$474,MATCH(K160,'MASTER por modelo'!$D$8:$D$474,0))+INDEX('MASTER por modelo'!$AD$8:$AD$474,MATCH(K160,'MASTER por modelo'!$D$8:$D$474,0)),"")</f>
        <v>36</v>
      </c>
      <c r="V160" s="93"/>
    </row>
    <row r="161" spans="1:22" x14ac:dyDescent="0.25">
      <c r="A161" s="109" t="s">
        <v>138</v>
      </c>
      <c r="B161" s="109" t="s">
        <v>139</v>
      </c>
      <c r="C161" s="109" t="s">
        <v>122</v>
      </c>
      <c r="D161" s="103">
        <f t="shared" si="14"/>
        <v>98.216110822837535</v>
      </c>
      <c r="E161" s="110">
        <v>5.0880000000000001</v>
      </c>
      <c r="F161" s="110">
        <f t="shared" si="15"/>
        <v>3.3038961038961037</v>
      </c>
      <c r="G161" s="110">
        <f t="shared" si="16"/>
        <v>4</v>
      </c>
      <c r="H161" s="110"/>
      <c r="I161" s="111">
        <v>680</v>
      </c>
      <c r="J161" s="109" t="str">
        <f t="shared" si="17"/>
        <v>26</v>
      </c>
      <c r="K161" s="109" t="s">
        <v>140</v>
      </c>
      <c r="L161" s="109" t="s">
        <v>764</v>
      </c>
      <c r="M161" s="111">
        <v>53</v>
      </c>
      <c r="N161" s="110">
        <v>563.29999999999995</v>
      </c>
      <c r="O161" s="105">
        <f t="shared" si="18"/>
        <v>499.69999999999993</v>
      </c>
      <c r="P161" s="112">
        <v>9.6000000000000002E-2</v>
      </c>
      <c r="Q161" s="113">
        <v>7.4819999999999999E-3</v>
      </c>
      <c r="R161" s="107">
        <f t="shared" si="19"/>
        <v>7.4820000000000002</v>
      </c>
      <c r="S161" s="105">
        <f t="shared" si="20"/>
        <v>734.85294117647049</v>
      </c>
      <c r="T161" s="114">
        <f>IFERROR(INDEX('MASTER por modelo'!$AQ$8:$AQ$474,MATCH(K161,'MASTER por modelo'!$D$8:$D$474,0)),"")</f>
        <v>0.34657836644591611</v>
      </c>
      <c r="U161" s="115">
        <f>IFERROR(INDEX('MASTER por modelo'!$AC$8:$AC$474,MATCH(K161,'MASTER por modelo'!$D$8:$D$474,0))+INDEX('MASTER por modelo'!$AD$8:$AD$474,MATCH(K161,'MASTER por modelo'!$D$8:$D$474,0)),"")</f>
        <v>471</v>
      </c>
      <c r="V161" s="93"/>
    </row>
    <row r="162" spans="1:22" x14ac:dyDescent="0.25">
      <c r="A162" s="109" t="s">
        <v>138</v>
      </c>
      <c r="B162" s="109" t="s">
        <v>139</v>
      </c>
      <c r="C162" s="109" t="s">
        <v>122</v>
      </c>
      <c r="D162" s="103">
        <f t="shared" si="14"/>
        <v>98.019811126614584</v>
      </c>
      <c r="E162" s="110">
        <v>5.0880000000000001</v>
      </c>
      <c r="F162" s="110">
        <f t="shared" si="15"/>
        <v>3.3038961038961037</v>
      </c>
      <c r="G162" s="110">
        <f t="shared" si="16"/>
        <v>4</v>
      </c>
      <c r="H162" s="110"/>
      <c r="I162" s="111">
        <v>679</v>
      </c>
      <c r="J162" s="109" t="str">
        <f t="shared" si="17"/>
        <v>26</v>
      </c>
      <c r="K162" s="109" t="s">
        <v>140</v>
      </c>
      <c r="L162" s="109" t="s">
        <v>764</v>
      </c>
      <c r="M162" s="111">
        <v>53</v>
      </c>
      <c r="N162" s="110">
        <v>562.29999999999995</v>
      </c>
      <c r="O162" s="105">
        <f t="shared" si="18"/>
        <v>498.69999999999993</v>
      </c>
      <c r="P162" s="112">
        <v>9.6000000000000002E-2</v>
      </c>
      <c r="Q162" s="113">
        <v>7.4929999999999997E-3</v>
      </c>
      <c r="R162" s="107">
        <f t="shared" si="19"/>
        <v>7.4929999999999994</v>
      </c>
      <c r="S162" s="105">
        <f t="shared" si="20"/>
        <v>734.46244477172309</v>
      </c>
      <c r="T162" s="114">
        <f>IFERROR(INDEX('MASTER por modelo'!$AQ$8:$AQ$474,MATCH(K162,'MASTER por modelo'!$D$8:$D$474,0)),"")</f>
        <v>0.34657836644591611</v>
      </c>
      <c r="U162" s="115">
        <f>IFERROR(INDEX('MASTER por modelo'!$AC$8:$AC$474,MATCH(K162,'MASTER por modelo'!$D$8:$D$474,0))+INDEX('MASTER por modelo'!$AD$8:$AD$474,MATCH(K162,'MASTER por modelo'!$D$8:$D$474,0)),"")</f>
        <v>471</v>
      </c>
      <c r="V162" s="93"/>
    </row>
    <row r="163" spans="1:22" x14ac:dyDescent="0.25">
      <c r="A163" s="109" t="s">
        <v>63</v>
      </c>
      <c r="B163" s="109" t="s">
        <v>102</v>
      </c>
      <c r="C163" s="109" t="s">
        <v>132</v>
      </c>
      <c r="D163" s="103">
        <f t="shared" si="14"/>
        <v>243.71330453085184</v>
      </c>
      <c r="E163" s="110">
        <v>4.992</v>
      </c>
      <c r="F163" s="110">
        <f t="shared" si="15"/>
        <v>3.2415584415584413</v>
      </c>
      <c r="G163" s="110">
        <f t="shared" si="16"/>
        <v>4</v>
      </c>
      <c r="H163" s="110"/>
      <c r="I163" s="111">
        <v>1659</v>
      </c>
      <c r="J163" s="109" t="str">
        <f t="shared" si="17"/>
        <v>26</v>
      </c>
      <c r="K163" s="109" t="s">
        <v>223</v>
      </c>
      <c r="L163" s="109" t="s">
        <v>773</v>
      </c>
      <c r="M163" s="111">
        <v>52</v>
      </c>
      <c r="N163" s="110">
        <v>1279</v>
      </c>
      <c r="O163" s="105">
        <f t="shared" si="18"/>
        <v>1216.5999999999999</v>
      </c>
      <c r="P163" s="112">
        <v>9.6000000000000002E-2</v>
      </c>
      <c r="Q163" s="113">
        <v>3.009E-3</v>
      </c>
      <c r="R163" s="107">
        <f t="shared" si="19"/>
        <v>3.0089999999999999</v>
      </c>
      <c r="S163" s="105">
        <f t="shared" si="20"/>
        <v>733.33333333333326</v>
      </c>
      <c r="T163" s="114">
        <f>IFERROR(INDEX('MASTER por modelo'!$AQ$8:$AQ$474,MATCH(K163,'MASTER por modelo'!$D$8:$D$474,0)),"")</f>
        <v>0.42495479204339964</v>
      </c>
      <c r="U163" s="115">
        <f>IFERROR(INDEX('MASTER por modelo'!$AC$8:$AC$474,MATCH(K163,'MASTER por modelo'!$D$8:$D$474,0))+INDEX('MASTER por modelo'!$AD$8:$AD$474,MATCH(K163,'MASTER por modelo'!$D$8:$D$474,0)),"")</f>
        <v>705</v>
      </c>
      <c r="V163" s="93"/>
    </row>
    <row r="164" spans="1:22" x14ac:dyDescent="0.25">
      <c r="A164" s="109" t="s">
        <v>63</v>
      </c>
      <c r="B164" s="109" t="s">
        <v>110</v>
      </c>
      <c r="C164" s="109" t="s">
        <v>100</v>
      </c>
      <c r="D164" s="103">
        <f t="shared" si="14"/>
        <v>160.75450867725837</v>
      </c>
      <c r="E164" s="110">
        <v>4.992</v>
      </c>
      <c r="F164" s="110">
        <f t="shared" si="15"/>
        <v>3.2415584415584413</v>
      </c>
      <c r="G164" s="110">
        <f t="shared" si="16"/>
        <v>4</v>
      </c>
      <c r="H164" s="110"/>
      <c r="I164" s="111">
        <v>1961</v>
      </c>
      <c r="J164" s="109" t="str">
        <f t="shared" si="17"/>
        <v>26</v>
      </c>
      <c r="K164" s="109" t="s">
        <v>224</v>
      </c>
      <c r="L164" s="109" t="s">
        <v>745</v>
      </c>
      <c r="M164" s="111">
        <v>52</v>
      </c>
      <c r="N164" s="110">
        <v>865</v>
      </c>
      <c r="O164" s="105">
        <f t="shared" si="18"/>
        <v>802.6</v>
      </c>
      <c r="P164" s="112">
        <v>9.6000000000000002E-2</v>
      </c>
      <c r="Q164" s="113">
        <v>2.5460000000000001E-3</v>
      </c>
      <c r="R164" s="107">
        <f t="shared" si="19"/>
        <v>2.5460000000000003</v>
      </c>
      <c r="S164" s="105">
        <f t="shared" si="20"/>
        <v>409.2809790922999</v>
      </c>
      <c r="T164" s="114">
        <f>IFERROR(INDEX('MASTER por modelo'!$AQ$8:$AQ$474,MATCH(K164,'MASTER por modelo'!$D$8:$D$474,0)),"")</f>
        <v>0.48750637429882715</v>
      </c>
      <c r="U164" s="115">
        <f>IFERROR(INDEX('MASTER por modelo'!$AC$8:$AC$474,MATCH(K164,'MASTER por modelo'!$D$8:$D$474,0))+INDEX('MASTER por modelo'!$AD$8:$AD$474,MATCH(K164,'MASTER por modelo'!$D$8:$D$474,0)),"")</f>
        <v>956</v>
      </c>
      <c r="V164" s="93"/>
    </row>
    <row r="165" spans="1:22" x14ac:dyDescent="0.25">
      <c r="A165" s="109" t="s">
        <v>63</v>
      </c>
      <c r="B165" s="109" t="s">
        <v>171</v>
      </c>
      <c r="C165" s="109" t="s">
        <v>172</v>
      </c>
      <c r="D165" s="103">
        <f t="shared" si="14"/>
        <v>125.85558752715012</v>
      </c>
      <c r="E165" s="110">
        <v>4.99</v>
      </c>
      <c r="F165" s="110">
        <f t="shared" si="15"/>
        <v>3.2402597402597402</v>
      </c>
      <c r="G165" s="110">
        <f t="shared" si="16"/>
        <v>4</v>
      </c>
      <c r="H165" s="110"/>
      <c r="I165" s="111">
        <v>626</v>
      </c>
      <c r="J165" s="109" t="str">
        <f t="shared" si="17"/>
        <v>26</v>
      </c>
      <c r="K165" s="109" t="s">
        <v>226</v>
      </c>
      <c r="L165" s="109" t="s">
        <v>770</v>
      </c>
      <c r="M165" s="111">
        <v>52</v>
      </c>
      <c r="N165" s="110">
        <v>690.4</v>
      </c>
      <c r="O165" s="105">
        <f t="shared" si="18"/>
        <v>628</v>
      </c>
      <c r="P165" s="112">
        <v>9.6000000000000002E-2</v>
      </c>
      <c r="Q165" s="113">
        <v>7.9710000000000007E-3</v>
      </c>
      <c r="R165" s="107">
        <f t="shared" si="19"/>
        <v>7.971000000000001</v>
      </c>
      <c r="S165" s="105">
        <f t="shared" si="20"/>
        <v>1003.1948881789136</v>
      </c>
      <c r="T165" s="114">
        <f>IFERROR(INDEX('MASTER por modelo'!$AQ$8:$AQ$474,MATCH(K165,'MASTER por modelo'!$D$8:$D$474,0)),"")</f>
        <v>0.52715654952076674</v>
      </c>
      <c r="U165" s="115">
        <f>IFERROR(INDEX('MASTER por modelo'!$AC$8:$AC$474,MATCH(K165,'MASTER por modelo'!$D$8:$D$474,0))+INDEX('MASTER por modelo'!$AD$8:$AD$474,MATCH(K165,'MASTER por modelo'!$D$8:$D$474,0)),"")</f>
        <v>330</v>
      </c>
      <c r="V165" s="93"/>
    </row>
    <row r="166" spans="1:22" x14ac:dyDescent="0.25">
      <c r="A166" s="109" t="s">
        <v>138</v>
      </c>
      <c r="B166" s="109" t="s">
        <v>139</v>
      </c>
      <c r="C166" s="109" t="s">
        <v>122</v>
      </c>
      <c r="D166" s="103">
        <f t="shared" si="14"/>
        <v>103.68884716872793</v>
      </c>
      <c r="E166" s="110">
        <v>4.96</v>
      </c>
      <c r="F166" s="110">
        <f t="shared" si="15"/>
        <v>3.2207792207792205</v>
      </c>
      <c r="G166" s="110">
        <f t="shared" si="16"/>
        <v>4</v>
      </c>
      <c r="H166" s="110"/>
      <c r="I166" s="111">
        <v>616</v>
      </c>
      <c r="J166" s="109" t="str">
        <f t="shared" si="17"/>
        <v>26</v>
      </c>
      <c r="K166" s="109" t="s">
        <v>227</v>
      </c>
      <c r="L166" s="109" t="s">
        <v>748</v>
      </c>
      <c r="M166" s="111">
        <v>41</v>
      </c>
      <c r="N166" s="110">
        <v>563.5</v>
      </c>
      <c r="O166" s="105">
        <f t="shared" si="18"/>
        <v>514.29999999999995</v>
      </c>
      <c r="P166" s="112">
        <v>0.121</v>
      </c>
      <c r="Q166" s="113">
        <v>8.0520000000000001E-3</v>
      </c>
      <c r="R166" s="107">
        <f t="shared" si="19"/>
        <v>8.0519999999999996</v>
      </c>
      <c r="S166" s="105">
        <f t="shared" si="20"/>
        <v>834.90259740259728</v>
      </c>
      <c r="T166" s="114">
        <f>IFERROR(INDEX('MASTER por modelo'!$AQ$8:$AQ$474,MATCH(K166,'MASTER por modelo'!$D$8:$D$474,0)),"")</f>
        <v>9.7402597402597407E-2</v>
      </c>
      <c r="U166" s="115">
        <f>IFERROR(INDEX('MASTER por modelo'!$AC$8:$AC$474,MATCH(K166,'MASTER por modelo'!$D$8:$D$474,0))+INDEX('MASTER por modelo'!$AD$8:$AD$474,MATCH(K166,'MASTER por modelo'!$D$8:$D$474,0)),"")</f>
        <v>60</v>
      </c>
      <c r="V166" s="93"/>
    </row>
    <row r="167" spans="1:22" x14ac:dyDescent="0.25">
      <c r="A167" s="109" t="s">
        <v>55</v>
      </c>
      <c r="B167" s="109" t="s">
        <v>56</v>
      </c>
      <c r="C167" s="109" t="s">
        <v>66</v>
      </c>
      <c r="D167" s="103">
        <f t="shared" si="14"/>
        <v>115.0549294175253</v>
      </c>
      <c r="E167" s="110">
        <v>4.9400000000000004</v>
      </c>
      <c r="F167" s="110">
        <f t="shared" si="15"/>
        <v>3.2077922077922079</v>
      </c>
      <c r="G167" s="110">
        <f t="shared" si="16"/>
        <v>4</v>
      </c>
      <c r="H167" s="110"/>
      <c r="I167" s="111">
        <v>719</v>
      </c>
      <c r="J167" s="109" t="str">
        <f t="shared" si="17"/>
        <v>26</v>
      </c>
      <c r="K167" s="109" t="s">
        <v>228</v>
      </c>
      <c r="L167" s="109" t="s">
        <v>774</v>
      </c>
      <c r="M167" s="111">
        <v>38</v>
      </c>
      <c r="N167" s="110">
        <v>614</v>
      </c>
      <c r="O167" s="105">
        <f t="shared" si="18"/>
        <v>568.4</v>
      </c>
      <c r="P167" s="112">
        <v>0.13</v>
      </c>
      <c r="Q167" s="113">
        <v>6.8710000000000004E-3</v>
      </c>
      <c r="R167" s="107">
        <f t="shared" si="19"/>
        <v>6.8710000000000004</v>
      </c>
      <c r="S167" s="105">
        <f t="shared" si="20"/>
        <v>790.54242002781643</v>
      </c>
      <c r="T167" s="114">
        <f>IFERROR(INDEX('MASTER por modelo'!$AQ$8:$AQ$474,MATCH(K167,'MASTER por modelo'!$D$8:$D$474,0)),"")</f>
        <v>0.59248956884561887</v>
      </c>
      <c r="U167" s="115">
        <f>IFERROR(INDEX('MASTER por modelo'!$AC$8:$AC$474,MATCH(K167,'MASTER por modelo'!$D$8:$D$474,0))+INDEX('MASTER por modelo'!$AD$8:$AD$474,MATCH(K167,'MASTER por modelo'!$D$8:$D$474,0)),"")</f>
        <v>426</v>
      </c>
      <c r="V167" s="93"/>
    </row>
    <row r="168" spans="1:22" x14ac:dyDescent="0.25">
      <c r="A168" s="109" t="s">
        <v>138</v>
      </c>
      <c r="B168" s="109" t="s">
        <v>139</v>
      </c>
      <c r="C168" s="109" t="s">
        <v>122</v>
      </c>
      <c r="D168" s="103">
        <f t="shared" si="14"/>
        <v>85.084820265694191</v>
      </c>
      <c r="E168" s="110">
        <v>4.9139999999999997</v>
      </c>
      <c r="F168" s="110">
        <f t="shared" si="15"/>
        <v>3.1909090909090905</v>
      </c>
      <c r="G168" s="110">
        <f t="shared" si="16"/>
        <v>4</v>
      </c>
      <c r="H168" s="110"/>
      <c r="I168" s="111">
        <v>640</v>
      </c>
      <c r="J168" s="109" t="str">
        <f t="shared" si="17"/>
        <v>26</v>
      </c>
      <c r="K168" s="109" t="s">
        <v>229</v>
      </c>
      <c r="L168" s="109" t="s">
        <v>748</v>
      </c>
      <c r="M168" s="111">
        <v>42</v>
      </c>
      <c r="N168" s="110">
        <v>468.5</v>
      </c>
      <c r="O168" s="105">
        <f t="shared" si="18"/>
        <v>418.1</v>
      </c>
      <c r="P168" s="112">
        <v>0.11700000000000001</v>
      </c>
      <c r="Q168" s="113">
        <v>7.6779999999999999E-3</v>
      </c>
      <c r="R168" s="107">
        <f t="shared" si="19"/>
        <v>7.6779999999999999</v>
      </c>
      <c r="S168" s="105">
        <f t="shared" si="20"/>
        <v>653.28125</v>
      </c>
      <c r="T168" s="114">
        <f>IFERROR(INDEX('MASTER por modelo'!$AQ$8:$AQ$474,MATCH(K168,'MASTER por modelo'!$D$8:$D$474,0)),"")</f>
        <v>0.45</v>
      </c>
      <c r="U168" s="115">
        <f>IFERROR(INDEX('MASTER por modelo'!$AC$8:$AC$474,MATCH(K168,'MASTER por modelo'!$D$8:$D$474,0))+INDEX('MASTER por modelo'!$AD$8:$AD$474,MATCH(K168,'MASTER por modelo'!$D$8:$D$474,0)),"")</f>
        <v>288</v>
      </c>
      <c r="V168" s="93"/>
    </row>
    <row r="169" spans="1:22" x14ac:dyDescent="0.25">
      <c r="A169" s="109" t="s">
        <v>63</v>
      </c>
      <c r="B169" s="109" t="s">
        <v>64</v>
      </c>
      <c r="C169" s="109" t="s">
        <v>66</v>
      </c>
      <c r="D169" s="103">
        <f t="shared" si="14"/>
        <v>124.03985438480272</v>
      </c>
      <c r="E169" s="110">
        <v>4.9000000000000004</v>
      </c>
      <c r="F169" s="110">
        <f t="shared" si="15"/>
        <v>3.1818181818181821</v>
      </c>
      <c r="G169" s="110">
        <f t="shared" si="16"/>
        <v>4</v>
      </c>
      <c r="H169" s="110"/>
      <c r="I169" s="111">
        <v>858</v>
      </c>
      <c r="J169" s="109" t="str">
        <f t="shared" si="17"/>
        <v>26</v>
      </c>
      <c r="K169" s="109" t="s">
        <v>137</v>
      </c>
      <c r="L169" s="109" t="s">
        <v>770</v>
      </c>
      <c r="M169" s="111">
        <v>51</v>
      </c>
      <c r="N169" s="110">
        <v>669</v>
      </c>
      <c r="O169" s="105">
        <f t="shared" si="18"/>
        <v>607.79999999999995</v>
      </c>
      <c r="P169" s="112">
        <v>9.6100000000000005E-2</v>
      </c>
      <c r="Q169" s="113">
        <v>5.7109999999999999E-3</v>
      </c>
      <c r="R169" s="107">
        <f t="shared" si="19"/>
        <v>5.7110000000000003</v>
      </c>
      <c r="S169" s="105">
        <f t="shared" si="20"/>
        <v>708.39160839160832</v>
      </c>
      <c r="T169" s="114">
        <f>IFERROR(INDEX('MASTER por modelo'!$AQ$8:$AQ$474,MATCH(K169,'MASTER por modelo'!$D$8:$D$474,0)),"")</f>
        <v>0.68287292817679557</v>
      </c>
      <c r="U169" s="115">
        <f>IFERROR(INDEX('MASTER por modelo'!$AC$8:$AC$474,MATCH(K169,'MASTER por modelo'!$D$8:$D$474,0))+INDEX('MASTER por modelo'!$AD$8:$AD$474,MATCH(K169,'MASTER por modelo'!$D$8:$D$474,0)),"")</f>
        <v>1236</v>
      </c>
      <c r="V169" s="93"/>
    </row>
    <row r="170" spans="1:22" x14ac:dyDescent="0.25">
      <c r="A170" s="109" t="s">
        <v>63</v>
      </c>
      <c r="B170" s="109" t="s">
        <v>102</v>
      </c>
      <c r="C170" s="109" t="s">
        <v>132</v>
      </c>
      <c r="D170" s="103">
        <f t="shared" si="14"/>
        <v>247.89105125803664</v>
      </c>
      <c r="E170" s="110">
        <v>4.8</v>
      </c>
      <c r="F170" s="110">
        <f t="shared" si="15"/>
        <v>3.1168831168831166</v>
      </c>
      <c r="G170" s="110">
        <f t="shared" si="16"/>
        <v>4</v>
      </c>
      <c r="H170" s="110"/>
      <c r="I170" s="111">
        <v>1576</v>
      </c>
      <c r="J170" s="109" t="str">
        <f t="shared" si="17"/>
        <v>26</v>
      </c>
      <c r="K170" s="109" t="s">
        <v>230</v>
      </c>
      <c r="L170" s="109" t="s">
        <v>773</v>
      </c>
      <c r="M170" s="111">
        <v>50</v>
      </c>
      <c r="N170" s="110">
        <v>1250</v>
      </c>
      <c r="O170" s="105">
        <f t="shared" si="18"/>
        <v>1190</v>
      </c>
      <c r="P170" s="112">
        <v>9.6000000000000002E-2</v>
      </c>
      <c r="Q170" s="113">
        <v>3.0460000000000001E-3</v>
      </c>
      <c r="R170" s="107">
        <f t="shared" si="19"/>
        <v>3.0460000000000003</v>
      </c>
      <c r="S170" s="105">
        <f t="shared" si="20"/>
        <v>755.07614213197974</v>
      </c>
      <c r="T170" s="114">
        <f>IFERROR(INDEX('MASTER por modelo'!$AQ$8:$AQ$474,MATCH(K170,'MASTER por modelo'!$D$8:$D$474,0)),"")</f>
        <v>0.42005076142131981</v>
      </c>
      <c r="U170" s="115">
        <f>IFERROR(INDEX('MASTER por modelo'!$AC$8:$AC$474,MATCH(K170,'MASTER por modelo'!$D$8:$D$474,0))+INDEX('MASTER por modelo'!$AD$8:$AD$474,MATCH(K170,'MASTER por modelo'!$D$8:$D$474,0)),"")</f>
        <v>662</v>
      </c>
      <c r="V170" s="93"/>
    </row>
    <row r="171" spans="1:22" x14ac:dyDescent="0.25">
      <c r="A171" s="109" t="s">
        <v>55</v>
      </c>
      <c r="B171" s="109" t="s">
        <v>56</v>
      </c>
      <c r="C171" s="109" t="s">
        <v>66</v>
      </c>
      <c r="D171" s="103">
        <f t="shared" si="14"/>
        <v>-16.250660183069936</v>
      </c>
      <c r="E171" s="110">
        <v>4.8</v>
      </c>
      <c r="F171" s="110">
        <f t="shared" si="15"/>
        <v>3.1168831168831166</v>
      </c>
      <c r="G171" s="110">
        <f t="shared" si="16"/>
        <v>4</v>
      </c>
      <c r="H171" s="110"/>
      <c r="I171" s="111">
        <v>1299</v>
      </c>
      <c r="J171" s="109" t="str">
        <f t="shared" si="17"/>
        <v>26</v>
      </c>
      <c r="K171" s="109" t="s">
        <v>231</v>
      </c>
      <c r="L171" s="109" t="s">
        <v>739</v>
      </c>
      <c r="M171" s="111">
        <v>65</v>
      </c>
      <c r="N171" s="110">
        <v>0</v>
      </c>
      <c r="O171" s="105">
        <f t="shared" si="18"/>
        <v>-78</v>
      </c>
      <c r="P171" s="112">
        <v>7.3800000000000004E-2</v>
      </c>
      <c r="Q171" s="113">
        <v>3.6949999999999999E-3</v>
      </c>
      <c r="R171" s="107">
        <f t="shared" si="19"/>
        <v>3.6949999999999998</v>
      </c>
      <c r="S171" s="105">
        <f t="shared" si="20"/>
        <v>-60.046189376443415</v>
      </c>
      <c r="T171" s="114">
        <f>IFERROR(INDEX('MASTER por modelo'!$AQ$8:$AQ$474,MATCH(K171,'MASTER por modelo'!$D$8:$D$474,0)),"")</f>
        <v>0.51963048498845266</v>
      </c>
      <c r="U171" s="115">
        <f>IFERROR(INDEX('MASTER por modelo'!$AC$8:$AC$474,MATCH(K171,'MASTER por modelo'!$D$8:$D$474,0))+INDEX('MASTER por modelo'!$AD$8:$AD$474,MATCH(K171,'MASTER por modelo'!$D$8:$D$474,0)),"")</f>
        <v>675</v>
      </c>
      <c r="V171" s="93"/>
    </row>
    <row r="172" spans="1:22" x14ac:dyDescent="0.25">
      <c r="A172" s="109" t="s">
        <v>55</v>
      </c>
      <c r="B172" s="109" t="s">
        <v>99</v>
      </c>
      <c r="C172" s="109" t="s">
        <v>111</v>
      </c>
      <c r="D172" s="103">
        <f t="shared" si="14"/>
        <v>116.34747668675718</v>
      </c>
      <c r="E172" s="110">
        <v>4.8</v>
      </c>
      <c r="F172" s="110">
        <f t="shared" si="15"/>
        <v>3.1168831168831166</v>
      </c>
      <c r="G172" s="110">
        <f t="shared" si="16"/>
        <v>4</v>
      </c>
      <c r="H172" s="110"/>
      <c r="I172" s="111">
        <v>702</v>
      </c>
      <c r="J172" s="109" t="str">
        <f t="shared" si="17"/>
        <v>26</v>
      </c>
      <c r="K172" s="109" t="s">
        <v>232</v>
      </c>
      <c r="L172" s="109" t="s">
        <v>768</v>
      </c>
      <c r="M172" s="111">
        <v>50</v>
      </c>
      <c r="N172" s="110">
        <v>618.5</v>
      </c>
      <c r="O172" s="105">
        <f t="shared" si="18"/>
        <v>558.5</v>
      </c>
      <c r="P172" s="112">
        <v>9.6000000000000002E-2</v>
      </c>
      <c r="Q172" s="113">
        <v>6.8380000000000003E-3</v>
      </c>
      <c r="R172" s="107">
        <f t="shared" si="19"/>
        <v>6.8380000000000001</v>
      </c>
      <c r="S172" s="105">
        <f t="shared" si="20"/>
        <v>795.58404558404561</v>
      </c>
      <c r="T172" s="114">
        <f>IFERROR(INDEX('MASTER por modelo'!$AQ$8:$AQ$474,MATCH(K172,'MASTER por modelo'!$D$8:$D$474,0)),"")</f>
        <v>0.22956955708047411</v>
      </c>
      <c r="U172" s="115">
        <f>IFERROR(INDEX('MASTER por modelo'!$AC$8:$AC$474,MATCH(K172,'MASTER por modelo'!$D$8:$D$474,0))+INDEX('MASTER por modelo'!$AD$8:$AD$474,MATCH(K172,'MASTER por modelo'!$D$8:$D$474,0)),"")</f>
        <v>368</v>
      </c>
      <c r="V172" s="93"/>
    </row>
    <row r="173" spans="1:22" x14ac:dyDescent="0.25">
      <c r="A173" s="109" t="s">
        <v>63</v>
      </c>
      <c r="B173" s="109" t="s">
        <v>102</v>
      </c>
      <c r="C173" s="109" t="s">
        <v>132</v>
      </c>
      <c r="D173" s="103">
        <f t="shared" si="14"/>
        <v>187.08674421361178</v>
      </c>
      <c r="E173" s="110">
        <v>4.8</v>
      </c>
      <c r="F173" s="110">
        <f t="shared" si="15"/>
        <v>3.1168831168831166</v>
      </c>
      <c r="G173" s="110">
        <f t="shared" si="16"/>
        <v>4</v>
      </c>
      <c r="H173" s="110"/>
      <c r="I173" s="111">
        <v>1511</v>
      </c>
      <c r="J173" s="109" t="str">
        <f t="shared" si="17"/>
        <v>27</v>
      </c>
      <c r="K173" s="109" t="s">
        <v>233</v>
      </c>
      <c r="L173" s="109" t="s">
        <v>775</v>
      </c>
      <c r="M173" s="111">
        <v>50</v>
      </c>
      <c r="N173" s="110">
        <v>958.1</v>
      </c>
      <c r="O173" s="105">
        <f t="shared" si="18"/>
        <v>898.1</v>
      </c>
      <c r="P173" s="112">
        <v>9.6000000000000002E-2</v>
      </c>
      <c r="Q173" s="113">
        <v>3.1770000000000001E-3</v>
      </c>
      <c r="R173" s="107">
        <f t="shared" si="19"/>
        <v>3.177</v>
      </c>
      <c r="S173" s="105">
        <f t="shared" si="20"/>
        <v>594.37458636664462</v>
      </c>
      <c r="T173" s="114">
        <f>IFERROR(INDEX('MASTER por modelo'!$AQ$8:$AQ$474,MATCH(K173,'MASTER por modelo'!$D$8:$D$474,0)),"")</f>
        <v>0</v>
      </c>
      <c r="U173" s="115">
        <f>IFERROR(INDEX('MASTER por modelo'!$AC$8:$AC$474,MATCH(K173,'MASTER por modelo'!$D$8:$D$474,0))+INDEX('MASTER por modelo'!$AD$8:$AD$474,MATCH(K173,'MASTER por modelo'!$D$8:$D$474,0)),"")</f>
        <v>0</v>
      </c>
      <c r="V173" s="93"/>
    </row>
    <row r="174" spans="1:22" x14ac:dyDescent="0.25">
      <c r="A174" s="109" t="s">
        <v>63</v>
      </c>
      <c r="B174" s="109" t="s">
        <v>102</v>
      </c>
      <c r="C174" s="109" t="s">
        <v>103</v>
      </c>
      <c r="D174" s="103">
        <f t="shared" si="14"/>
        <v>264.74413249602384</v>
      </c>
      <c r="E174" s="110">
        <v>4.76</v>
      </c>
      <c r="F174" s="110">
        <f t="shared" si="15"/>
        <v>3.0909090909090908</v>
      </c>
      <c r="G174" s="110">
        <f t="shared" si="16"/>
        <v>4</v>
      </c>
      <c r="H174" s="110"/>
      <c r="I174" s="111">
        <v>893</v>
      </c>
      <c r="J174" s="109" t="str">
        <f t="shared" si="17"/>
        <v>26</v>
      </c>
      <c r="K174" s="109" t="s">
        <v>236</v>
      </c>
      <c r="L174" s="109" t="s">
        <v>744</v>
      </c>
      <c r="M174" s="111">
        <v>56</v>
      </c>
      <c r="N174" s="110">
        <v>1327.3</v>
      </c>
      <c r="O174" s="105">
        <f t="shared" si="18"/>
        <v>1260.0999999999999</v>
      </c>
      <c r="P174" s="112">
        <v>8.5000000000000006E-2</v>
      </c>
      <c r="Q174" s="113">
        <v>5.3299999999999997E-3</v>
      </c>
      <c r="R174" s="107">
        <f t="shared" si="19"/>
        <v>5.33</v>
      </c>
      <c r="S174" s="105">
        <f t="shared" si="20"/>
        <v>1411.0862262038072</v>
      </c>
      <c r="T174" s="114">
        <f>IFERROR(INDEX('MASTER por modelo'!$AQ$8:$AQ$474,MATCH(K174,'MASTER por modelo'!$D$8:$D$474,0)),"")</f>
        <v>0.71683389074693427</v>
      </c>
      <c r="U174" s="115">
        <f>IFERROR(INDEX('MASTER por modelo'!$AC$8:$AC$474,MATCH(K174,'MASTER por modelo'!$D$8:$D$474,0))+INDEX('MASTER por modelo'!$AD$8:$AD$474,MATCH(K174,'MASTER por modelo'!$D$8:$D$474,0)),"")</f>
        <v>1286</v>
      </c>
      <c r="V174" s="93"/>
    </row>
    <row r="175" spans="1:22" x14ac:dyDescent="0.25">
      <c r="A175" s="109" t="s">
        <v>63</v>
      </c>
      <c r="B175" s="109" t="s">
        <v>64</v>
      </c>
      <c r="C175" s="109" t="s">
        <v>66</v>
      </c>
      <c r="D175" s="103">
        <f t="shared" si="14"/>
        <v>206.26223158351732</v>
      </c>
      <c r="E175" s="110">
        <v>4.7173999999999996</v>
      </c>
      <c r="F175" s="110">
        <f t="shared" si="15"/>
        <v>3.0632467532467529</v>
      </c>
      <c r="G175" s="110">
        <f t="shared" si="16"/>
        <v>4</v>
      </c>
      <c r="H175" s="110"/>
      <c r="I175" s="111">
        <v>738</v>
      </c>
      <c r="J175" s="109" t="str">
        <f t="shared" si="17"/>
        <v>26</v>
      </c>
      <c r="K175" s="109" t="s">
        <v>136</v>
      </c>
      <c r="L175" s="109" t="s">
        <v>767</v>
      </c>
      <c r="M175" s="111">
        <v>39</v>
      </c>
      <c r="N175" s="110">
        <v>1019.8</v>
      </c>
      <c r="O175" s="105">
        <f t="shared" si="18"/>
        <v>973</v>
      </c>
      <c r="P175" s="112">
        <v>0.121</v>
      </c>
      <c r="Q175" s="113">
        <v>6.3920000000000001E-3</v>
      </c>
      <c r="R175" s="107">
        <f t="shared" si="19"/>
        <v>6.3920000000000003</v>
      </c>
      <c r="S175" s="105">
        <f t="shared" si="20"/>
        <v>1318.4281842818427</v>
      </c>
      <c r="T175" s="114">
        <f>IFERROR(INDEX('MASTER por modelo'!$AQ$8:$AQ$474,MATCH(K175,'MASTER por modelo'!$D$8:$D$474,0)),"")</f>
        <v>0.8757943385326401</v>
      </c>
      <c r="U175" s="115">
        <f>IFERROR(INDEX('MASTER por modelo'!$AC$8:$AC$474,MATCH(K175,'MASTER por modelo'!$D$8:$D$474,0))+INDEX('MASTER por modelo'!$AD$8:$AD$474,MATCH(K175,'MASTER por modelo'!$D$8:$D$474,0)),"")</f>
        <v>1516</v>
      </c>
      <c r="V175" s="93"/>
    </row>
    <row r="176" spans="1:22" x14ac:dyDescent="0.25">
      <c r="A176" s="109" t="s">
        <v>55</v>
      </c>
      <c r="B176" s="109" t="s">
        <v>93</v>
      </c>
      <c r="C176" s="109" t="s">
        <v>94</v>
      </c>
      <c r="D176" s="103">
        <f t="shared" si="14"/>
        <v>152.09432654571125</v>
      </c>
      <c r="E176" s="110">
        <v>4.7039999999999997</v>
      </c>
      <c r="F176" s="110">
        <f t="shared" si="15"/>
        <v>3.0545454545454542</v>
      </c>
      <c r="G176" s="110">
        <f t="shared" si="16"/>
        <v>4</v>
      </c>
      <c r="H176" s="110"/>
      <c r="I176" s="111">
        <v>916</v>
      </c>
      <c r="J176" s="109" t="str">
        <f t="shared" si="17"/>
        <v>26</v>
      </c>
      <c r="K176" s="109" t="s">
        <v>237</v>
      </c>
      <c r="L176" s="109" t="s">
        <v>753</v>
      </c>
      <c r="M176" s="111">
        <v>49</v>
      </c>
      <c r="N176" s="110">
        <v>774.2</v>
      </c>
      <c r="O176" s="105">
        <f t="shared" si="18"/>
        <v>715.40000000000009</v>
      </c>
      <c r="P176" s="112">
        <v>9.6000000000000002E-2</v>
      </c>
      <c r="Q176" s="113">
        <v>5.1349999999999998E-3</v>
      </c>
      <c r="R176" s="107">
        <f t="shared" si="19"/>
        <v>5.1349999999999998</v>
      </c>
      <c r="S176" s="105">
        <f t="shared" si="20"/>
        <v>781.0043668122272</v>
      </c>
      <c r="T176" s="114">
        <f>IFERROR(INDEX('MASTER por modelo'!$AQ$8:$AQ$474,MATCH(K176,'MASTER por modelo'!$D$8:$D$474,0)),"")</f>
        <v>0.99126637554585151</v>
      </c>
      <c r="U176" s="115">
        <f>IFERROR(INDEX('MASTER por modelo'!$AC$8:$AC$474,MATCH(K176,'MASTER por modelo'!$D$8:$D$474,0))+INDEX('MASTER por modelo'!$AD$8:$AD$474,MATCH(K176,'MASTER por modelo'!$D$8:$D$474,0)),"")</f>
        <v>908</v>
      </c>
      <c r="V176" s="93"/>
    </row>
    <row r="177" spans="1:22" x14ac:dyDescent="0.25">
      <c r="A177" s="109" t="s">
        <v>63</v>
      </c>
      <c r="B177" s="109" t="s">
        <v>110</v>
      </c>
      <c r="C177" s="109" t="s">
        <v>100</v>
      </c>
      <c r="D177" s="103">
        <f t="shared" si="14"/>
        <v>157.69075096340592</v>
      </c>
      <c r="E177" s="110">
        <v>4.7039999999999997</v>
      </c>
      <c r="F177" s="110">
        <f t="shared" si="15"/>
        <v>3.0545454545454542</v>
      </c>
      <c r="G177" s="110">
        <f t="shared" si="16"/>
        <v>4</v>
      </c>
      <c r="H177" s="110"/>
      <c r="I177" s="111">
        <v>1104</v>
      </c>
      <c r="J177" s="109" t="str">
        <f t="shared" si="17"/>
        <v>26</v>
      </c>
      <c r="K177" s="109" t="s">
        <v>238</v>
      </c>
      <c r="L177" s="109" t="s">
        <v>758</v>
      </c>
      <c r="M177" s="111">
        <v>49</v>
      </c>
      <c r="N177" s="110">
        <v>800.6</v>
      </c>
      <c r="O177" s="105">
        <f t="shared" si="18"/>
        <v>741.80000000000007</v>
      </c>
      <c r="P177" s="112">
        <v>9.6000000000000002E-2</v>
      </c>
      <c r="Q177" s="113">
        <v>4.261E-3</v>
      </c>
      <c r="R177" s="107">
        <f t="shared" si="19"/>
        <v>4.2610000000000001</v>
      </c>
      <c r="S177" s="105">
        <f t="shared" si="20"/>
        <v>671.92028985507261</v>
      </c>
      <c r="T177" s="114">
        <f>IFERROR(INDEX('MASTER por modelo'!$AQ$8:$AQ$474,MATCH(K177,'MASTER por modelo'!$D$8:$D$474,0)),"")</f>
        <v>0.32515337423312884</v>
      </c>
      <c r="U177" s="115">
        <f>IFERROR(INDEX('MASTER por modelo'!$AC$8:$AC$474,MATCH(K177,'MASTER por modelo'!$D$8:$D$474,0))+INDEX('MASTER por modelo'!$AD$8:$AD$474,MATCH(K177,'MASTER por modelo'!$D$8:$D$474,0)),"")</f>
        <v>636</v>
      </c>
      <c r="V177" s="93"/>
    </row>
    <row r="178" spans="1:22" x14ac:dyDescent="0.25">
      <c r="A178" s="109" t="s">
        <v>63</v>
      </c>
      <c r="B178" s="109" t="s">
        <v>64</v>
      </c>
      <c r="C178" s="109" t="s">
        <v>87</v>
      </c>
      <c r="D178" s="103">
        <f t="shared" si="14"/>
        <v>92.512018838811116</v>
      </c>
      <c r="E178" s="110">
        <v>4.6609999999999996</v>
      </c>
      <c r="F178" s="110">
        <f t="shared" si="15"/>
        <v>3.0266233766233763</v>
      </c>
      <c r="G178" s="110">
        <f t="shared" si="16"/>
        <v>4</v>
      </c>
      <c r="H178" s="110"/>
      <c r="I178" s="111">
        <v>942</v>
      </c>
      <c r="J178" s="109" t="str">
        <f t="shared" si="17"/>
        <v>26</v>
      </c>
      <c r="K178" s="109" t="s">
        <v>166</v>
      </c>
      <c r="L178" s="109" t="s">
        <v>776</v>
      </c>
      <c r="M178" s="111">
        <v>49</v>
      </c>
      <c r="N178" s="110">
        <v>490</v>
      </c>
      <c r="O178" s="105">
        <f t="shared" si="18"/>
        <v>431.2</v>
      </c>
      <c r="P178" s="112">
        <v>9.5100000000000004E-2</v>
      </c>
      <c r="Q178" s="113">
        <v>4.9480000000000001E-3</v>
      </c>
      <c r="R178" s="107">
        <f t="shared" si="19"/>
        <v>4.9480000000000004</v>
      </c>
      <c r="S178" s="105">
        <f t="shared" si="20"/>
        <v>457.7494692144374</v>
      </c>
      <c r="T178" s="114">
        <f>IFERROR(INDEX('MASTER por modelo'!$AQ$8:$AQ$474,MATCH(K178,'MASTER por modelo'!$D$8:$D$474,0)),"")</f>
        <v>0.75334957369062117</v>
      </c>
      <c r="U178" s="115">
        <f>IFERROR(INDEX('MASTER por modelo'!$AC$8:$AC$474,MATCH(K178,'MASTER por modelo'!$D$8:$D$474,0))+INDEX('MASTER por modelo'!$AD$8:$AD$474,MATCH(K178,'MASTER por modelo'!$D$8:$D$474,0)),"")</f>
        <v>1237</v>
      </c>
      <c r="V178" s="93"/>
    </row>
    <row r="179" spans="1:22" x14ac:dyDescent="0.25">
      <c r="A179" s="109" t="s">
        <v>63</v>
      </c>
      <c r="B179" s="109" t="s">
        <v>102</v>
      </c>
      <c r="C179" s="109" t="s">
        <v>132</v>
      </c>
      <c r="D179" s="103">
        <f t="shared" si="14"/>
        <v>228.83533578720747</v>
      </c>
      <c r="E179" s="110">
        <v>4.6079999999999997</v>
      </c>
      <c r="F179" s="110">
        <f t="shared" si="15"/>
        <v>2.9922077922077919</v>
      </c>
      <c r="G179" s="110">
        <f t="shared" si="16"/>
        <v>3</v>
      </c>
      <c r="H179" s="110"/>
      <c r="I179" s="111">
        <v>1540</v>
      </c>
      <c r="J179" s="109" t="str">
        <f t="shared" si="17"/>
        <v>26</v>
      </c>
      <c r="K179" s="109" t="s">
        <v>239</v>
      </c>
      <c r="L179" s="109" t="s">
        <v>777</v>
      </c>
      <c r="M179" s="111">
        <v>48</v>
      </c>
      <c r="N179" s="110">
        <v>1112</v>
      </c>
      <c r="O179" s="105">
        <f t="shared" si="18"/>
        <v>1054.4000000000001</v>
      </c>
      <c r="P179" s="112">
        <v>9.6000000000000002E-2</v>
      </c>
      <c r="Q179" s="113">
        <v>2.9919999999999999E-3</v>
      </c>
      <c r="R179" s="107">
        <f t="shared" si="19"/>
        <v>2.992</v>
      </c>
      <c r="S179" s="105">
        <f t="shared" si="20"/>
        <v>684.67532467532476</v>
      </c>
      <c r="T179" s="114">
        <f>IFERROR(INDEX('MASTER por modelo'!$AQ$8:$AQ$474,MATCH(K179,'MASTER por modelo'!$D$8:$D$474,0)),"")</f>
        <v>0.52597402597402598</v>
      </c>
      <c r="U179" s="115">
        <f>IFERROR(INDEX('MASTER por modelo'!$AC$8:$AC$474,MATCH(K179,'MASTER por modelo'!$D$8:$D$474,0))+INDEX('MASTER por modelo'!$AD$8:$AD$474,MATCH(K179,'MASTER por modelo'!$D$8:$D$474,0)),"")</f>
        <v>810</v>
      </c>
      <c r="V179" s="93"/>
    </row>
    <row r="180" spans="1:22" x14ac:dyDescent="0.25">
      <c r="A180" s="109" t="s">
        <v>55</v>
      </c>
      <c r="B180" s="109" t="s">
        <v>56</v>
      </c>
      <c r="C180" s="109" t="s">
        <v>80</v>
      </c>
      <c r="D180" s="103">
        <f t="shared" si="14"/>
        <v>185.40594172189952</v>
      </c>
      <c r="E180" s="110">
        <v>4.5119999999999996</v>
      </c>
      <c r="F180" s="110">
        <f t="shared" si="15"/>
        <v>2.9298701298701295</v>
      </c>
      <c r="G180" s="110">
        <f t="shared" si="16"/>
        <v>3</v>
      </c>
      <c r="H180" s="110"/>
      <c r="I180" s="111">
        <v>689</v>
      </c>
      <c r="J180" s="109" t="str">
        <f t="shared" si="17"/>
        <v>26</v>
      </c>
      <c r="K180" s="109" t="s">
        <v>240</v>
      </c>
      <c r="L180" s="109" t="s">
        <v>757</v>
      </c>
      <c r="M180" s="111">
        <v>47</v>
      </c>
      <c r="N180" s="110">
        <v>893</v>
      </c>
      <c r="O180" s="105">
        <f t="shared" si="18"/>
        <v>836.6</v>
      </c>
      <c r="P180" s="112">
        <v>9.6000000000000002E-2</v>
      </c>
      <c r="Q180" s="113">
        <v>6.5490000000000001E-3</v>
      </c>
      <c r="R180" s="107">
        <f t="shared" si="19"/>
        <v>6.5490000000000004</v>
      </c>
      <c r="S180" s="105">
        <f t="shared" si="20"/>
        <v>1214.22351233672</v>
      </c>
      <c r="T180" s="114">
        <f>IFERROR(INDEX('MASTER por modelo'!$AQ$8:$AQ$474,MATCH(K180,'MASTER por modelo'!$D$8:$D$474,0)),"")</f>
        <v>0.6342525399129173</v>
      </c>
      <c r="U180" s="115">
        <f>IFERROR(INDEX('MASTER por modelo'!$AC$8:$AC$474,MATCH(K180,'MASTER por modelo'!$D$8:$D$474,0))+INDEX('MASTER por modelo'!$AD$8:$AD$474,MATCH(K180,'MASTER por modelo'!$D$8:$D$474,0)),"")</f>
        <v>437</v>
      </c>
      <c r="V180" s="93"/>
    </row>
    <row r="181" spans="1:22" x14ac:dyDescent="0.25">
      <c r="A181" s="109" t="s">
        <v>55</v>
      </c>
      <c r="B181" s="109" t="s">
        <v>56</v>
      </c>
      <c r="C181" s="109" t="s">
        <v>66</v>
      </c>
      <c r="D181" s="103">
        <f t="shared" si="14"/>
        <v>160.90265057196902</v>
      </c>
      <c r="E181" s="110">
        <v>4.5119999999999996</v>
      </c>
      <c r="F181" s="110">
        <f t="shared" si="15"/>
        <v>2.9298701298701295</v>
      </c>
      <c r="G181" s="110">
        <f t="shared" si="16"/>
        <v>3</v>
      </c>
      <c r="H181" s="110"/>
      <c r="I181" s="111">
        <v>699</v>
      </c>
      <c r="J181" s="109" t="str">
        <f t="shared" si="17"/>
        <v>26</v>
      </c>
      <c r="K181" s="109" t="s">
        <v>141</v>
      </c>
      <c r="L181" s="109" t="s">
        <v>754</v>
      </c>
      <c r="M181" s="111">
        <v>47</v>
      </c>
      <c r="N181" s="110">
        <v>782.4</v>
      </c>
      <c r="O181" s="105">
        <f t="shared" si="18"/>
        <v>726</v>
      </c>
      <c r="P181" s="112">
        <v>9.6000000000000002E-2</v>
      </c>
      <c r="Q181" s="113">
        <v>6.4549999999999998E-3</v>
      </c>
      <c r="R181" s="107">
        <f t="shared" si="19"/>
        <v>6.4550000000000001</v>
      </c>
      <c r="S181" s="105">
        <f t="shared" si="20"/>
        <v>1038.62660944206</v>
      </c>
      <c r="T181" s="114">
        <f>IFERROR(INDEX('MASTER por modelo'!$AQ$8:$AQ$474,MATCH(K181,'MASTER por modelo'!$D$8:$D$474,0)),"")</f>
        <v>1.8193632228719947E-2</v>
      </c>
      <c r="U181" s="115">
        <f>IFERROR(INDEX('MASTER por modelo'!$AC$8:$AC$474,MATCH(K181,'MASTER por modelo'!$D$8:$D$474,0))+INDEX('MASTER por modelo'!$AD$8:$AD$474,MATCH(K181,'MASTER por modelo'!$D$8:$D$474,0)),"")</f>
        <v>28</v>
      </c>
      <c r="V181" s="93"/>
    </row>
    <row r="182" spans="1:22" x14ac:dyDescent="0.25">
      <c r="A182" s="109" t="s">
        <v>63</v>
      </c>
      <c r="B182" s="109" t="s">
        <v>64</v>
      </c>
      <c r="C182" s="109" t="s">
        <v>66</v>
      </c>
      <c r="D182" s="103">
        <f t="shared" si="14"/>
        <v>161.17069925999834</v>
      </c>
      <c r="E182" s="110">
        <v>4.51</v>
      </c>
      <c r="F182" s="110">
        <f t="shared" si="15"/>
        <v>2.9285714285714284</v>
      </c>
      <c r="G182" s="110">
        <f t="shared" si="16"/>
        <v>3</v>
      </c>
      <c r="H182" s="110"/>
      <c r="I182" s="111">
        <v>633</v>
      </c>
      <c r="J182" s="109" t="str">
        <f t="shared" si="17"/>
        <v>26</v>
      </c>
      <c r="K182" s="109" t="s">
        <v>241</v>
      </c>
      <c r="L182" s="109" t="s">
        <v>755</v>
      </c>
      <c r="M182" s="111">
        <v>47</v>
      </c>
      <c r="N182" s="110">
        <v>783.3</v>
      </c>
      <c r="O182" s="105">
        <f t="shared" si="18"/>
        <v>726.9</v>
      </c>
      <c r="P182" s="112">
        <v>9.6000000000000002E-2</v>
      </c>
      <c r="Q182" s="113">
        <v>7.1250000000000003E-3</v>
      </c>
      <c r="R182" s="107">
        <f t="shared" si="19"/>
        <v>7.125</v>
      </c>
      <c r="S182" s="105">
        <f t="shared" si="20"/>
        <v>1148.3412322274883</v>
      </c>
      <c r="T182" s="114">
        <f>IFERROR(INDEX('MASTER por modelo'!$AQ$8:$AQ$474,MATCH(K182,'MASTER por modelo'!$D$8:$D$474,0)),"")</f>
        <v>0.96050552922590837</v>
      </c>
      <c r="U182" s="115">
        <f>IFERROR(INDEX('MASTER por modelo'!$AC$8:$AC$474,MATCH(K182,'MASTER por modelo'!$D$8:$D$474,0))+INDEX('MASTER por modelo'!$AD$8:$AD$474,MATCH(K182,'MASTER por modelo'!$D$8:$D$474,0)),"")</f>
        <v>608</v>
      </c>
      <c r="V182" s="93"/>
    </row>
    <row r="183" spans="1:22" x14ac:dyDescent="0.25">
      <c r="A183" s="109" t="s">
        <v>55</v>
      </c>
      <c r="B183" s="109" t="s">
        <v>56</v>
      </c>
      <c r="C183" s="109" t="s">
        <v>161</v>
      </c>
      <c r="D183" s="103">
        <f t="shared" si="14"/>
        <v>99.796106421982557</v>
      </c>
      <c r="E183" s="110">
        <v>4.51</v>
      </c>
      <c r="F183" s="110">
        <f t="shared" si="15"/>
        <v>2.9285714285714284</v>
      </c>
      <c r="G183" s="110">
        <f t="shared" si="16"/>
        <v>3</v>
      </c>
      <c r="H183" s="110"/>
      <c r="I183" s="111">
        <v>659</v>
      </c>
      <c r="J183" s="109" t="str">
        <f t="shared" si="17"/>
        <v>26</v>
      </c>
      <c r="K183" s="109" t="s">
        <v>242</v>
      </c>
      <c r="L183" s="109" t="s">
        <v>750</v>
      </c>
      <c r="M183" s="111">
        <v>47</v>
      </c>
      <c r="N183" s="110">
        <v>506.5</v>
      </c>
      <c r="O183" s="105">
        <f t="shared" si="18"/>
        <v>450.1</v>
      </c>
      <c r="P183" s="112">
        <v>9.6000000000000002E-2</v>
      </c>
      <c r="Q183" s="113">
        <v>6.8440000000000003E-3</v>
      </c>
      <c r="R183" s="107">
        <f t="shared" si="19"/>
        <v>6.8440000000000003</v>
      </c>
      <c r="S183" s="105">
        <f t="shared" si="20"/>
        <v>683.00455235204856</v>
      </c>
      <c r="T183" s="114">
        <f>IFERROR(INDEX('MASTER por modelo'!$AQ$8:$AQ$474,MATCH(K183,'MASTER por modelo'!$D$8:$D$474,0)),"")</f>
        <v>0.64643399089529585</v>
      </c>
      <c r="U183" s="115">
        <f>IFERROR(INDEX('MASTER por modelo'!$AC$8:$AC$474,MATCH(K183,'MASTER por modelo'!$D$8:$D$474,0))+INDEX('MASTER por modelo'!$AD$8:$AD$474,MATCH(K183,'MASTER por modelo'!$D$8:$D$474,0)),"")</f>
        <v>426</v>
      </c>
      <c r="V183" s="93"/>
    </row>
    <row r="184" spans="1:22" x14ac:dyDescent="0.25">
      <c r="A184" s="109" t="s">
        <v>138</v>
      </c>
      <c r="B184" s="109" t="s">
        <v>139</v>
      </c>
      <c r="C184" s="109" t="s">
        <v>122</v>
      </c>
      <c r="D184" s="103">
        <f t="shared" si="14"/>
        <v>105.9597429972363</v>
      </c>
      <c r="E184" s="110">
        <v>4.4160000000000004</v>
      </c>
      <c r="F184" s="110">
        <f t="shared" si="15"/>
        <v>2.8675324675324676</v>
      </c>
      <c r="G184" s="110">
        <f t="shared" si="16"/>
        <v>3</v>
      </c>
      <c r="H184" s="110"/>
      <c r="I184" s="111">
        <v>599</v>
      </c>
      <c r="J184" s="109" t="str">
        <f t="shared" si="17"/>
        <v>26</v>
      </c>
      <c r="K184" s="109" t="s">
        <v>158</v>
      </c>
      <c r="L184" s="109" t="s">
        <v>764</v>
      </c>
      <c r="M184" s="111">
        <v>46</v>
      </c>
      <c r="N184" s="110">
        <v>523.1</v>
      </c>
      <c r="O184" s="105">
        <f t="shared" si="18"/>
        <v>467.90000000000003</v>
      </c>
      <c r="P184" s="112">
        <v>9.6000000000000002E-2</v>
      </c>
      <c r="Q184" s="113">
        <v>7.3720000000000001E-3</v>
      </c>
      <c r="R184" s="107">
        <f t="shared" si="19"/>
        <v>7.3719999999999999</v>
      </c>
      <c r="S184" s="105">
        <f t="shared" si="20"/>
        <v>781.13522537562608</v>
      </c>
      <c r="T184" s="114">
        <f>IFERROR(INDEX('MASTER por modelo'!$AQ$8:$AQ$474,MATCH(K184,'MASTER por modelo'!$D$8:$D$474,0)),"")</f>
        <v>0.39076376554174069</v>
      </c>
      <c r="U184" s="115">
        <f>IFERROR(INDEX('MASTER por modelo'!$AC$8:$AC$474,MATCH(K184,'MASTER por modelo'!$D$8:$D$474,0))+INDEX('MASTER por modelo'!$AD$8:$AD$474,MATCH(K184,'MASTER por modelo'!$D$8:$D$474,0)),"")</f>
        <v>440</v>
      </c>
      <c r="V184" s="93"/>
    </row>
    <row r="185" spans="1:22" x14ac:dyDescent="0.25">
      <c r="A185" s="109" t="s">
        <v>63</v>
      </c>
      <c r="B185" s="109" t="s">
        <v>64</v>
      </c>
      <c r="C185" s="109" t="s">
        <v>66</v>
      </c>
      <c r="D185" s="103">
        <f t="shared" si="14"/>
        <v>127.10597826086956</v>
      </c>
      <c r="E185" s="110">
        <v>4.4160000000000004</v>
      </c>
      <c r="F185" s="110">
        <f t="shared" si="15"/>
        <v>2.8675324675324676</v>
      </c>
      <c r="G185" s="110">
        <f t="shared" si="16"/>
        <v>3</v>
      </c>
      <c r="H185" s="110"/>
      <c r="I185" s="111">
        <v>690</v>
      </c>
      <c r="J185" s="109" t="str">
        <f t="shared" si="17"/>
        <v>26</v>
      </c>
      <c r="K185" s="109" t="s">
        <v>164</v>
      </c>
      <c r="L185" s="109" t="s">
        <v>730</v>
      </c>
      <c r="M185" s="111">
        <v>46</v>
      </c>
      <c r="N185" s="110">
        <v>616.5</v>
      </c>
      <c r="O185" s="105">
        <f t="shared" si="18"/>
        <v>561.29999999999995</v>
      </c>
      <c r="P185" s="112">
        <v>9.6000000000000002E-2</v>
      </c>
      <c r="Q185" s="113">
        <v>6.4000000000000003E-3</v>
      </c>
      <c r="R185" s="107">
        <f t="shared" si="19"/>
        <v>6.4</v>
      </c>
      <c r="S185" s="105">
        <f t="shared" si="20"/>
        <v>813.47826086956525</v>
      </c>
      <c r="T185" s="114">
        <f>IFERROR(INDEX('MASTER por modelo'!$AQ$8:$AQ$474,MATCH(K185,'MASTER por modelo'!$D$8:$D$474,0)),"")</f>
        <v>0.65458422174840081</v>
      </c>
      <c r="U185" s="115">
        <f>IFERROR(INDEX('MASTER por modelo'!$AC$8:$AC$474,MATCH(K185,'MASTER por modelo'!$D$8:$D$474,0))+INDEX('MASTER por modelo'!$AD$8:$AD$474,MATCH(K185,'MASTER por modelo'!$D$8:$D$474,0)),"")</f>
        <v>921</v>
      </c>
      <c r="V185" s="93"/>
    </row>
    <row r="186" spans="1:22" x14ac:dyDescent="0.25">
      <c r="A186" s="109" t="s">
        <v>55</v>
      </c>
      <c r="B186" s="109" t="s">
        <v>56</v>
      </c>
      <c r="C186" s="109" t="s">
        <v>66</v>
      </c>
      <c r="D186" s="103">
        <f t="shared" si="14"/>
        <v>131.47162110989822</v>
      </c>
      <c r="E186" s="110">
        <v>4.32</v>
      </c>
      <c r="F186" s="110">
        <f t="shared" si="15"/>
        <v>2.8051948051948052</v>
      </c>
      <c r="G186" s="110">
        <f t="shared" si="16"/>
        <v>3</v>
      </c>
      <c r="H186" s="110"/>
      <c r="I186" s="111">
        <v>654</v>
      </c>
      <c r="J186" s="109" t="str">
        <f t="shared" si="17"/>
        <v>26</v>
      </c>
      <c r="K186" s="109" t="s">
        <v>243</v>
      </c>
      <c r="L186" s="109" t="s">
        <v>750</v>
      </c>
      <c r="M186" s="111">
        <v>45</v>
      </c>
      <c r="N186" s="110">
        <v>622</v>
      </c>
      <c r="O186" s="105">
        <f t="shared" si="18"/>
        <v>568</v>
      </c>
      <c r="P186" s="112">
        <v>9.6000000000000002E-2</v>
      </c>
      <c r="Q186" s="113">
        <v>6.6059999999999999E-3</v>
      </c>
      <c r="R186" s="107">
        <f t="shared" si="19"/>
        <v>6.6059999999999999</v>
      </c>
      <c r="S186" s="105">
        <f t="shared" si="20"/>
        <v>868.50152905198775</v>
      </c>
      <c r="T186" s="114">
        <f>IFERROR(INDEX('MASTER por modelo'!$AQ$8:$AQ$474,MATCH(K186,'MASTER por modelo'!$D$8:$D$474,0)),"")</f>
        <v>0.75840978593272168</v>
      </c>
      <c r="U186" s="115">
        <f>IFERROR(INDEX('MASTER por modelo'!$AC$8:$AC$474,MATCH(K186,'MASTER por modelo'!$D$8:$D$474,0))+INDEX('MASTER por modelo'!$AD$8:$AD$474,MATCH(K186,'MASTER por modelo'!$D$8:$D$474,0)),"")</f>
        <v>496</v>
      </c>
      <c r="V186" s="93"/>
    </row>
    <row r="187" spans="1:22" x14ac:dyDescent="0.25">
      <c r="A187" s="109" t="s">
        <v>63</v>
      </c>
      <c r="B187" s="109" t="s">
        <v>64</v>
      </c>
      <c r="C187" s="109" t="s">
        <v>161</v>
      </c>
      <c r="D187" s="103">
        <f t="shared" si="14"/>
        <v>102.44941516419179</v>
      </c>
      <c r="E187" s="110">
        <v>4.29</v>
      </c>
      <c r="F187" s="110">
        <f t="shared" si="15"/>
        <v>2.7857142857142856</v>
      </c>
      <c r="G187" s="110">
        <f t="shared" si="16"/>
        <v>3</v>
      </c>
      <c r="H187" s="110"/>
      <c r="I187" s="111">
        <v>819</v>
      </c>
      <c r="J187" s="109" t="str">
        <f t="shared" si="17"/>
        <v>26</v>
      </c>
      <c r="K187" s="109" t="s">
        <v>245</v>
      </c>
      <c r="L187" s="109" t="s">
        <v>732</v>
      </c>
      <c r="M187" s="111">
        <v>42</v>
      </c>
      <c r="N187" s="110">
        <v>489.9</v>
      </c>
      <c r="O187" s="105">
        <f t="shared" si="18"/>
        <v>439.5</v>
      </c>
      <c r="P187" s="112">
        <v>0.1021</v>
      </c>
      <c r="Q187" s="113">
        <v>5.2379999999999996E-3</v>
      </c>
      <c r="R187" s="107">
        <f t="shared" si="19"/>
        <v>5.2379999999999995</v>
      </c>
      <c r="S187" s="105">
        <f t="shared" si="20"/>
        <v>536.63003663003656</v>
      </c>
      <c r="T187" s="114">
        <f>IFERROR(INDEX('MASTER por modelo'!$AQ$8:$AQ$474,MATCH(K187,'MASTER por modelo'!$D$8:$D$474,0)),"")</f>
        <v>0.71306471306471308</v>
      </c>
      <c r="U187" s="115">
        <f>IFERROR(INDEX('MASTER por modelo'!$AC$8:$AC$474,MATCH(K187,'MASTER por modelo'!$D$8:$D$474,0))+INDEX('MASTER por modelo'!$AD$8:$AD$474,MATCH(K187,'MASTER por modelo'!$D$8:$D$474,0)),"")</f>
        <v>584</v>
      </c>
      <c r="V187" s="93"/>
    </row>
    <row r="188" spans="1:22" x14ac:dyDescent="0.25">
      <c r="A188" s="109" t="s">
        <v>63</v>
      </c>
      <c r="B188" s="109" t="s">
        <v>102</v>
      </c>
      <c r="C188" s="109" t="s">
        <v>132</v>
      </c>
      <c r="D188" s="103">
        <f t="shared" si="14"/>
        <v>189.09431445854239</v>
      </c>
      <c r="E188" s="110">
        <v>4.2240000000000002</v>
      </c>
      <c r="F188" s="110">
        <f t="shared" si="15"/>
        <v>2.7428571428571429</v>
      </c>
      <c r="G188" s="110">
        <f t="shared" si="16"/>
        <v>3</v>
      </c>
      <c r="H188" s="110"/>
      <c r="I188" s="111">
        <v>1301</v>
      </c>
      <c r="J188" s="109" t="str">
        <f t="shared" si="17"/>
        <v>27</v>
      </c>
      <c r="K188" s="109" t="s">
        <v>246</v>
      </c>
      <c r="L188" s="109" t="s">
        <v>775</v>
      </c>
      <c r="M188" s="111">
        <v>44</v>
      </c>
      <c r="N188" s="110">
        <v>851.6</v>
      </c>
      <c r="O188" s="105">
        <f t="shared" si="18"/>
        <v>798.80000000000007</v>
      </c>
      <c r="P188" s="112">
        <v>9.6000000000000002E-2</v>
      </c>
      <c r="Q188" s="113">
        <v>3.2469999999999999E-3</v>
      </c>
      <c r="R188" s="107">
        <f t="shared" si="19"/>
        <v>3.2469999999999999</v>
      </c>
      <c r="S188" s="105">
        <f t="shared" si="20"/>
        <v>613.98923904688706</v>
      </c>
      <c r="T188" s="114">
        <f>IFERROR(INDEX('MASTER por modelo'!$AQ$8:$AQ$474,MATCH(K188,'MASTER por modelo'!$D$8:$D$474,0)),"")</f>
        <v>0</v>
      </c>
      <c r="U188" s="115">
        <f>IFERROR(INDEX('MASTER por modelo'!$AC$8:$AC$474,MATCH(K188,'MASTER por modelo'!$D$8:$D$474,0))+INDEX('MASTER por modelo'!$AD$8:$AD$474,MATCH(K188,'MASTER por modelo'!$D$8:$D$474,0)),"")</f>
        <v>0</v>
      </c>
      <c r="V188" s="93"/>
    </row>
    <row r="189" spans="1:22" x14ac:dyDescent="0.25">
      <c r="A189" s="109" t="s">
        <v>63</v>
      </c>
      <c r="B189" s="109" t="s">
        <v>110</v>
      </c>
      <c r="C189" s="109" t="s">
        <v>100</v>
      </c>
      <c r="D189" s="103">
        <f t="shared" si="14"/>
        <v>79.763831888068694</v>
      </c>
      <c r="E189" s="110">
        <v>4.1688999999999998</v>
      </c>
      <c r="F189" s="110">
        <f t="shared" si="15"/>
        <v>2.707077922077922</v>
      </c>
      <c r="G189" s="110">
        <f t="shared" si="16"/>
        <v>3</v>
      </c>
      <c r="H189" s="110"/>
      <c r="I189" s="111">
        <v>742</v>
      </c>
      <c r="J189" s="109" t="str">
        <f t="shared" si="17"/>
        <v>26</v>
      </c>
      <c r="K189" s="109" t="s">
        <v>247</v>
      </c>
      <c r="L189" s="109" t="s">
        <v>758</v>
      </c>
      <c r="M189" s="111">
        <v>40</v>
      </c>
      <c r="N189" s="110">
        <v>380.5</v>
      </c>
      <c r="O189" s="105">
        <f t="shared" si="18"/>
        <v>332.5</v>
      </c>
      <c r="P189" s="112">
        <v>0.1042</v>
      </c>
      <c r="Q189" s="113">
        <v>5.6179999999999997E-3</v>
      </c>
      <c r="R189" s="107">
        <f t="shared" si="19"/>
        <v>5.6179999999999994</v>
      </c>
      <c r="S189" s="105">
        <f t="shared" si="20"/>
        <v>448.11320754716985</v>
      </c>
      <c r="T189" s="114">
        <f>IFERROR(INDEX('MASTER por modelo'!$AQ$8:$AQ$474,MATCH(K189,'MASTER por modelo'!$D$8:$D$474,0)),"")</f>
        <v>3.5040431266846361E-2</v>
      </c>
      <c r="U189" s="115">
        <f>IFERROR(INDEX('MASTER por modelo'!$AC$8:$AC$474,MATCH(K189,'MASTER por modelo'!$D$8:$D$474,0))+INDEX('MASTER por modelo'!$AD$8:$AD$474,MATCH(K189,'MASTER por modelo'!$D$8:$D$474,0)),"")</f>
        <v>26</v>
      </c>
      <c r="V189" s="93"/>
    </row>
    <row r="190" spans="1:22" x14ac:dyDescent="0.25">
      <c r="A190" s="109" t="s">
        <v>63</v>
      </c>
      <c r="B190" s="109" t="s">
        <v>110</v>
      </c>
      <c r="C190" s="109" t="s">
        <v>100</v>
      </c>
      <c r="D190" s="103">
        <f t="shared" si="14"/>
        <v>114.35658527925847</v>
      </c>
      <c r="E190" s="110">
        <v>4.1688999999999998</v>
      </c>
      <c r="F190" s="110">
        <f t="shared" si="15"/>
        <v>2.707077922077922</v>
      </c>
      <c r="G190" s="110">
        <f t="shared" si="16"/>
        <v>3</v>
      </c>
      <c r="H190" s="110"/>
      <c r="I190" s="111">
        <v>811</v>
      </c>
      <c r="J190" s="109" t="str">
        <f t="shared" si="17"/>
        <v>26</v>
      </c>
      <c r="K190" s="109" t="s">
        <v>248</v>
      </c>
      <c r="L190" s="109" t="s">
        <v>758</v>
      </c>
      <c r="M190" s="111">
        <v>40</v>
      </c>
      <c r="N190" s="110">
        <v>524.70000000000005</v>
      </c>
      <c r="O190" s="105">
        <f t="shared" si="18"/>
        <v>476.70000000000005</v>
      </c>
      <c r="P190" s="112">
        <v>0.1042</v>
      </c>
      <c r="Q190" s="113">
        <v>5.1399999999999996E-3</v>
      </c>
      <c r="R190" s="107">
        <f t="shared" si="19"/>
        <v>5.14</v>
      </c>
      <c r="S190" s="105">
        <f t="shared" si="20"/>
        <v>587.7928483353885</v>
      </c>
      <c r="T190" s="114">
        <f>IFERROR(INDEX('MASTER por modelo'!$AQ$8:$AQ$474,MATCH(K190,'MASTER por modelo'!$D$8:$D$474,0)),"")</f>
        <v>3.6991368680641186E-2</v>
      </c>
      <c r="U190" s="115">
        <f>IFERROR(INDEX('MASTER por modelo'!$AC$8:$AC$474,MATCH(K190,'MASTER por modelo'!$D$8:$D$474,0))+INDEX('MASTER por modelo'!$AD$8:$AD$474,MATCH(K190,'MASTER por modelo'!$D$8:$D$474,0)),"")</f>
        <v>30</v>
      </c>
      <c r="V190" s="93"/>
    </row>
    <row r="191" spans="1:22" x14ac:dyDescent="0.25">
      <c r="A191" s="109" t="s">
        <v>55</v>
      </c>
      <c r="B191" s="109" t="s">
        <v>56</v>
      </c>
      <c r="C191" s="109" t="s">
        <v>66</v>
      </c>
      <c r="D191" s="103">
        <f t="shared" si="14"/>
        <v>118.40754116140347</v>
      </c>
      <c r="E191" s="110">
        <v>4.16</v>
      </c>
      <c r="F191" s="110">
        <f t="shared" si="15"/>
        <v>2.7012987012987013</v>
      </c>
      <c r="G191" s="110">
        <f t="shared" si="16"/>
        <v>3</v>
      </c>
      <c r="H191" s="110"/>
      <c r="I191" s="111">
        <v>624</v>
      </c>
      <c r="J191" s="109" t="str">
        <f t="shared" si="17"/>
        <v>26</v>
      </c>
      <c r="K191" s="109" t="s">
        <v>249</v>
      </c>
      <c r="L191" s="109" t="s">
        <v>774</v>
      </c>
      <c r="M191" s="111">
        <v>32</v>
      </c>
      <c r="N191" s="110">
        <v>531</v>
      </c>
      <c r="O191" s="105">
        <f t="shared" si="18"/>
        <v>492.6</v>
      </c>
      <c r="P191" s="112">
        <v>0.13</v>
      </c>
      <c r="Q191" s="113">
        <v>6.6670000000000002E-3</v>
      </c>
      <c r="R191" s="107">
        <f t="shared" si="19"/>
        <v>6.6669999999999998</v>
      </c>
      <c r="S191" s="105">
        <f t="shared" si="20"/>
        <v>789.42307692307702</v>
      </c>
      <c r="T191" s="114">
        <f>IFERROR(INDEX('MASTER por modelo'!$AQ$8:$AQ$474,MATCH(K191,'MASTER por modelo'!$D$8:$D$474,0)),"")</f>
        <v>0.85576923076923073</v>
      </c>
      <c r="U191" s="115">
        <f>IFERROR(INDEX('MASTER por modelo'!$AC$8:$AC$474,MATCH(K191,'MASTER por modelo'!$D$8:$D$474,0))+INDEX('MASTER por modelo'!$AD$8:$AD$474,MATCH(K191,'MASTER por modelo'!$D$8:$D$474,0)),"")</f>
        <v>534</v>
      </c>
      <c r="V191" s="93"/>
    </row>
    <row r="192" spans="1:22" x14ac:dyDescent="0.25">
      <c r="A192" s="109" t="s">
        <v>63</v>
      </c>
      <c r="B192" s="109" t="s">
        <v>64</v>
      </c>
      <c r="C192" s="109" t="s">
        <v>57</v>
      </c>
      <c r="D192" s="103">
        <f t="shared" si="14"/>
        <v>106.17576105130456</v>
      </c>
      <c r="E192" s="110">
        <v>4.1327999999999996</v>
      </c>
      <c r="F192" s="110">
        <f t="shared" si="15"/>
        <v>2.6836363636363632</v>
      </c>
      <c r="G192" s="110">
        <f t="shared" si="16"/>
        <v>3</v>
      </c>
      <c r="H192" s="110"/>
      <c r="I192" s="111">
        <v>794</v>
      </c>
      <c r="J192" s="109" t="str">
        <f t="shared" si="17"/>
        <v>26</v>
      </c>
      <c r="K192" s="109" t="s">
        <v>250</v>
      </c>
      <c r="L192" s="109" t="s">
        <v>767</v>
      </c>
      <c r="M192" s="111">
        <v>41</v>
      </c>
      <c r="N192" s="110">
        <v>488</v>
      </c>
      <c r="O192" s="105">
        <f t="shared" si="18"/>
        <v>438.8</v>
      </c>
      <c r="P192" s="112">
        <v>0.1008</v>
      </c>
      <c r="Q192" s="113">
        <v>5.2050000000000004E-3</v>
      </c>
      <c r="R192" s="107">
        <f t="shared" si="19"/>
        <v>5.2050000000000001</v>
      </c>
      <c r="S192" s="105">
        <f t="shared" si="20"/>
        <v>552.64483627204027</v>
      </c>
      <c r="T192" s="114">
        <f>IFERROR(INDEX('MASTER por modelo'!$AQ$8:$AQ$474,MATCH(K192,'MASTER por modelo'!$D$8:$D$474,0)),"")</f>
        <v>0.70151133501259444</v>
      </c>
      <c r="U192" s="115">
        <f>IFERROR(INDEX('MASTER por modelo'!$AC$8:$AC$474,MATCH(K192,'MASTER por modelo'!$D$8:$D$474,0))+INDEX('MASTER por modelo'!$AD$8:$AD$474,MATCH(K192,'MASTER por modelo'!$D$8:$D$474,0)),"")</f>
        <v>557</v>
      </c>
      <c r="V192" s="93"/>
    </row>
    <row r="193" spans="1:22" x14ac:dyDescent="0.25">
      <c r="A193" s="109" t="s">
        <v>63</v>
      </c>
      <c r="B193" s="109" t="s">
        <v>102</v>
      </c>
      <c r="C193" s="109" t="s">
        <v>132</v>
      </c>
      <c r="D193" s="103">
        <f t="shared" si="14"/>
        <v>235.60995939096134</v>
      </c>
      <c r="E193" s="110">
        <v>4.1280000000000001</v>
      </c>
      <c r="F193" s="110">
        <f t="shared" si="15"/>
        <v>2.6805194805194805</v>
      </c>
      <c r="G193" s="110">
        <f t="shared" si="16"/>
        <v>3</v>
      </c>
      <c r="H193" s="110"/>
      <c r="I193" s="111">
        <v>1688</v>
      </c>
      <c r="J193" s="109" t="str">
        <f t="shared" si="17"/>
        <v>26</v>
      </c>
      <c r="K193" s="109" t="s">
        <v>251</v>
      </c>
      <c r="L193" s="109" t="s">
        <v>777</v>
      </c>
      <c r="M193" s="111">
        <v>43</v>
      </c>
      <c r="N193" s="110">
        <v>1024</v>
      </c>
      <c r="O193" s="105">
        <f t="shared" si="18"/>
        <v>972.4</v>
      </c>
      <c r="P193" s="112">
        <v>9.6000000000000002E-2</v>
      </c>
      <c r="Q193" s="113">
        <v>2.4450000000000001E-3</v>
      </c>
      <c r="R193" s="107">
        <f t="shared" si="19"/>
        <v>2.4450000000000003</v>
      </c>
      <c r="S193" s="105">
        <f t="shared" si="20"/>
        <v>576.06635071090056</v>
      </c>
      <c r="T193" s="114">
        <f>IFERROR(INDEX('MASTER por modelo'!$AQ$8:$AQ$474,MATCH(K193,'MASTER por modelo'!$D$8:$D$474,0)),"")</f>
        <v>0.61137440758293837</v>
      </c>
      <c r="U193" s="115">
        <f>IFERROR(INDEX('MASTER por modelo'!$AC$8:$AC$474,MATCH(K193,'MASTER por modelo'!$D$8:$D$474,0))+INDEX('MASTER por modelo'!$AD$8:$AD$474,MATCH(K193,'MASTER por modelo'!$D$8:$D$474,0)),"")</f>
        <v>1032</v>
      </c>
      <c r="V193" s="93"/>
    </row>
    <row r="194" spans="1:22" x14ac:dyDescent="0.25">
      <c r="A194" s="109" t="s">
        <v>63</v>
      </c>
      <c r="B194" s="109" t="s">
        <v>110</v>
      </c>
      <c r="C194" s="109" t="s">
        <v>100</v>
      </c>
      <c r="D194" s="103">
        <f t="shared" si="14"/>
        <v>110.21750152184936</v>
      </c>
      <c r="E194" s="110">
        <v>4.1280000000000001</v>
      </c>
      <c r="F194" s="110">
        <f t="shared" si="15"/>
        <v>2.6805194805194805</v>
      </c>
      <c r="G194" s="110">
        <f t="shared" si="16"/>
        <v>3</v>
      </c>
      <c r="H194" s="110"/>
      <c r="I194" s="111">
        <v>759</v>
      </c>
      <c r="J194" s="109" t="str">
        <f t="shared" si="17"/>
        <v>26</v>
      </c>
      <c r="K194" s="109" t="s">
        <v>252</v>
      </c>
      <c r="L194" s="109" t="s">
        <v>778</v>
      </c>
      <c r="M194" s="111">
        <v>43</v>
      </c>
      <c r="N194" s="110">
        <v>506.6</v>
      </c>
      <c r="O194" s="105">
        <f t="shared" si="18"/>
        <v>455</v>
      </c>
      <c r="P194" s="112">
        <v>9.6000000000000002E-2</v>
      </c>
      <c r="Q194" s="113">
        <v>5.4390000000000003E-3</v>
      </c>
      <c r="R194" s="107">
        <f t="shared" si="19"/>
        <v>5.4390000000000001</v>
      </c>
      <c r="S194" s="105">
        <f t="shared" si="20"/>
        <v>599.47299077733862</v>
      </c>
      <c r="T194" s="114">
        <f>IFERROR(INDEX('MASTER por modelo'!$AQ$8:$AQ$474,MATCH(K194,'MASTER por modelo'!$D$8:$D$474,0)),"")</f>
        <v>0</v>
      </c>
      <c r="U194" s="115">
        <f>IFERROR(INDEX('MASTER por modelo'!$AC$8:$AC$474,MATCH(K194,'MASTER por modelo'!$D$8:$D$474,0))+INDEX('MASTER por modelo'!$AD$8:$AD$474,MATCH(K194,'MASTER por modelo'!$D$8:$D$474,0)),"")</f>
        <v>0</v>
      </c>
      <c r="V194" s="93"/>
    </row>
    <row r="195" spans="1:22" x14ac:dyDescent="0.25">
      <c r="A195" s="109" t="s">
        <v>63</v>
      </c>
      <c r="B195" s="109" t="s">
        <v>84</v>
      </c>
      <c r="C195" s="109" t="s">
        <v>94</v>
      </c>
      <c r="D195" s="103">
        <f t="shared" si="14"/>
        <v>121.99196638270163</v>
      </c>
      <c r="E195" s="110">
        <v>4.0999999999999996</v>
      </c>
      <c r="F195" s="110">
        <f t="shared" si="15"/>
        <v>2.662337662337662</v>
      </c>
      <c r="G195" s="110">
        <f t="shared" si="16"/>
        <v>3</v>
      </c>
      <c r="H195" s="110"/>
      <c r="I195" s="111">
        <v>787</v>
      </c>
      <c r="J195" s="109" t="str">
        <f t="shared" si="17"/>
        <v>26</v>
      </c>
      <c r="K195" s="109" t="s">
        <v>253</v>
      </c>
      <c r="L195" s="109" t="s">
        <v>779</v>
      </c>
      <c r="M195" s="111">
        <v>40</v>
      </c>
      <c r="N195" s="110">
        <v>548.20000000000005</v>
      </c>
      <c r="O195" s="105">
        <f t="shared" si="18"/>
        <v>500.20000000000005</v>
      </c>
      <c r="P195" s="112">
        <v>0.10249999999999999</v>
      </c>
      <c r="Q195" s="113">
        <v>5.2100000000000002E-3</v>
      </c>
      <c r="R195" s="107">
        <f t="shared" si="19"/>
        <v>5.21</v>
      </c>
      <c r="S195" s="105">
        <f t="shared" si="20"/>
        <v>635.57814485387553</v>
      </c>
      <c r="T195" s="114">
        <f>IFERROR(INDEX('MASTER por modelo'!$AQ$8:$AQ$474,MATCH(K195,'MASTER por modelo'!$D$8:$D$474,0)),"")</f>
        <v>0.98475222363405335</v>
      </c>
      <c r="U195" s="115">
        <f>IFERROR(INDEX('MASTER por modelo'!$AC$8:$AC$474,MATCH(K195,'MASTER por modelo'!$D$8:$D$474,0))+INDEX('MASTER por modelo'!$AD$8:$AD$474,MATCH(K195,'MASTER por modelo'!$D$8:$D$474,0)),"")</f>
        <v>775</v>
      </c>
      <c r="V195" s="93"/>
    </row>
    <row r="196" spans="1:22" x14ac:dyDescent="0.25">
      <c r="A196" s="109" t="s">
        <v>120</v>
      </c>
      <c r="B196" s="109" t="s">
        <v>121</v>
      </c>
      <c r="C196" s="109" t="s">
        <v>122</v>
      </c>
      <c r="D196" s="103">
        <f t="shared" si="14"/>
        <v>124.51962330667907</v>
      </c>
      <c r="E196" s="110">
        <v>4.077</v>
      </c>
      <c r="F196" s="110">
        <f t="shared" si="15"/>
        <v>2.6474025974025972</v>
      </c>
      <c r="G196" s="110">
        <f t="shared" si="16"/>
        <v>3</v>
      </c>
      <c r="H196" s="110"/>
      <c r="I196" s="111">
        <v>553</v>
      </c>
      <c r="J196" s="109" t="str">
        <f t="shared" si="17"/>
        <v>26</v>
      </c>
      <c r="K196" s="109" t="s">
        <v>254</v>
      </c>
      <c r="L196" s="109" t="s">
        <v>748</v>
      </c>
      <c r="M196" s="111">
        <v>37</v>
      </c>
      <c r="N196" s="110">
        <v>552.1</v>
      </c>
      <c r="O196" s="105">
        <f t="shared" si="18"/>
        <v>507.70000000000005</v>
      </c>
      <c r="P196" s="112">
        <v>0.11020000000000001</v>
      </c>
      <c r="Q196" s="113">
        <v>7.3730000000000002E-3</v>
      </c>
      <c r="R196" s="107">
        <f t="shared" si="19"/>
        <v>7.3730000000000002</v>
      </c>
      <c r="S196" s="105">
        <f t="shared" si="20"/>
        <v>918.08318264014474</v>
      </c>
      <c r="T196" s="114">
        <f>IFERROR(INDEX('MASTER por modelo'!$AQ$8:$AQ$474,MATCH(K196,'MASTER por modelo'!$D$8:$D$474,0)),"")</f>
        <v>0.29294755877034356</v>
      </c>
      <c r="U196" s="115">
        <f>IFERROR(INDEX('MASTER por modelo'!$AC$8:$AC$474,MATCH(K196,'MASTER por modelo'!$D$8:$D$474,0))+INDEX('MASTER por modelo'!$AD$8:$AD$474,MATCH(K196,'MASTER por modelo'!$D$8:$D$474,0)),"")</f>
        <v>162</v>
      </c>
      <c r="V196" s="93"/>
    </row>
    <row r="197" spans="1:22" x14ac:dyDescent="0.25">
      <c r="A197" s="109" t="s">
        <v>55</v>
      </c>
      <c r="B197" s="109" t="s">
        <v>56</v>
      </c>
      <c r="C197" s="109" t="s">
        <v>71</v>
      </c>
      <c r="D197" s="103">
        <f t="shared" si="14"/>
        <v>140.96678715025746</v>
      </c>
      <c r="E197" s="110">
        <v>4.0570000000000004</v>
      </c>
      <c r="F197" s="110">
        <f t="shared" si="15"/>
        <v>2.6344155844155845</v>
      </c>
      <c r="G197" s="110">
        <f t="shared" si="16"/>
        <v>3</v>
      </c>
      <c r="H197" s="110"/>
      <c r="I197" s="111">
        <v>536</v>
      </c>
      <c r="J197" s="109" t="str">
        <f t="shared" si="17"/>
        <v>26</v>
      </c>
      <c r="K197" s="109" t="s">
        <v>257</v>
      </c>
      <c r="L197" s="109" t="s">
        <v>780</v>
      </c>
      <c r="M197" s="111">
        <v>49</v>
      </c>
      <c r="N197" s="110">
        <v>630.70000000000005</v>
      </c>
      <c r="O197" s="105">
        <f t="shared" si="18"/>
        <v>571.90000000000009</v>
      </c>
      <c r="P197" s="112">
        <v>8.2799999999999999E-2</v>
      </c>
      <c r="Q197" s="113">
        <v>7.5690000000000002E-3</v>
      </c>
      <c r="R197" s="107">
        <f t="shared" si="19"/>
        <v>7.569</v>
      </c>
      <c r="S197" s="105">
        <f t="shared" si="20"/>
        <v>1066.9776119402986</v>
      </c>
      <c r="T197" s="114">
        <f>IFERROR(INDEX('MASTER por modelo'!$AQ$8:$AQ$474,MATCH(K197,'MASTER por modelo'!$D$8:$D$474,0)),"")</f>
        <v>0.81902985074626866</v>
      </c>
      <c r="U197" s="115">
        <f>IFERROR(INDEX('MASTER por modelo'!$AC$8:$AC$474,MATCH(K197,'MASTER por modelo'!$D$8:$D$474,0))+INDEX('MASTER por modelo'!$AD$8:$AD$474,MATCH(K197,'MASTER por modelo'!$D$8:$D$474,0)),"")</f>
        <v>439</v>
      </c>
      <c r="V197" s="93"/>
    </row>
    <row r="198" spans="1:22" x14ac:dyDescent="0.25">
      <c r="A198" s="109" t="s">
        <v>55</v>
      </c>
      <c r="B198" s="109" t="s">
        <v>56</v>
      </c>
      <c r="C198" s="109" t="s">
        <v>80</v>
      </c>
      <c r="D198" s="103">
        <f t="shared" si="14"/>
        <v>195.84693381484828</v>
      </c>
      <c r="E198" s="110">
        <v>4.032</v>
      </c>
      <c r="F198" s="110">
        <f t="shared" si="15"/>
        <v>2.6181818181818182</v>
      </c>
      <c r="G198" s="110">
        <f t="shared" si="16"/>
        <v>3</v>
      </c>
      <c r="H198" s="110"/>
      <c r="I198" s="111">
        <v>748</v>
      </c>
      <c r="J198" s="109" t="str">
        <f t="shared" si="17"/>
        <v>26</v>
      </c>
      <c r="K198" s="109" t="s">
        <v>258</v>
      </c>
      <c r="L198" s="109" t="s">
        <v>757</v>
      </c>
      <c r="M198" s="111">
        <v>42</v>
      </c>
      <c r="N198" s="110">
        <v>840</v>
      </c>
      <c r="O198" s="105">
        <f t="shared" si="18"/>
        <v>789.6</v>
      </c>
      <c r="P198" s="112">
        <v>9.6000000000000002E-2</v>
      </c>
      <c r="Q198" s="113">
        <v>5.3899999999999998E-3</v>
      </c>
      <c r="R198" s="107">
        <f t="shared" si="19"/>
        <v>5.39</v>
      </c>
      <c r="S198" s="105">
        <f t="shared" si="20"/>
        <v>1055.6149732620322</v>
      </c>
      <c r="T198" s="114">
        <f>IFERROR(INDEX('MASTER por modelo'!$AQ$8:$AQ$474,MATCH(K198,'MASTER por modelo'!$D$8:$D$474,0)),"")</f>
        <v>0.68048128342245995</v>
      </c>
      <c r="U198" s="115">
        <f>IFERROR(INDEX('MASTER por modelo'!$AC$8:$AC$474,MATCH(K198,'MASTER por modelo'!$D$8:$D$474,0))+INDEX('MASTER por modelo'!$AD$8:$AD$474,MATCH(K198,'MASTER por modelo'!$D$8:$D$474,0)),"")</f>
        <v>509</v>
      </c>
      <c r="V198" s="93"/>
    </row>
    <row r="199" spans="1:22" x14ac:dyDescent="0.25">
      <c r="A199" s="109" t="s">
        <v>55</v>
      </c>
      <c r="B199" s="109" t="s">
        <v>99</v>
      </c>
      <c r="C199" s="109" t="s">
        <v>100</v>
      </c>
      <c r="D199" s="103">
        <f t="shared" si="14"/>
        <v>85.739087301587332</v>
      </c>
      <c r="E199" s="110">
        <v>4.032</v>
      </c>
      <c r="F199" s="110">
        <f t="shared" si="15"/>
        <v>2.6181818181818182</v>
      </c>
      <c r="G199" s="110">
        <f t="shared" si="16"/>
        <v>3</v>
      </c>
      <c r="H199" s="110"/>
      <c r="I199" s="111">
        <v>750</v>
      </c>
      <c r="J199" s="109" t="str">
        <f t="shared" si="17"/>
        <v>26</v>
      </c>
      <c r="K199" s="109" t="s">
        <v>101</v>
      </c>
      <c r="L199" s="109" t="s">
        <v>772</v>
      </c>
      <c r="M199" s="111">
        <v>42</v>
      </c>
      <c r="N199" s="110">
        <v>396.1</v>
      </c>
      <c r="O199" s="105">
        <f t="shared" si="18"/>
        <v>345.70000000000005</v>
      </c>
      <c r="P199" s="112">
        <v>9.6000000000000002E-2</v>
      </c>
      <c r="Q199" s="113">
        <v>5.3759999999999997E-3</v>
      </c>
      <c r="R199" s="107">
        <f t="shared" si="19"/>
        <v>5.3759999999999994</v>
      </c>
      <c r="S199" s="105">
        <f t="shared" si="20"/>
        <v>460.93333333333339</v>
      </c>
      <c r="T199" s="114">
        <f>IFERROR(INDEX('MASTER por modelo'!$AQ$8:$AQ$474,MATCH(K199,'MASTER por modelo'!$D$8:$D$474,0)),"")</f>
        <v>0.58077059031459877</v>
      </c>
      <c r="U199" s="115">
        <f>IFERROR(INDEX('MASTER por modelo'!$AC$8:$AC$474,MATCH(K199,'MASTER por modelo'!$D$8:$D$474,0))+INDEX('MASTER por modelo'!$AD$8:$AD$474,MATCH(K199,'MASTER por modelo'!$D$8:$D$474,0)),"")</f>
        <v>1643</v>
      </c>
      <c r="V199" s="93"/>
    </row>
    <row r="200" spans="1:22" x14ac:dyDescent="0.25">
      <c r="A200" s="109" t="s">
        <v>63</v>
      </c>
      <c r="B200" s="109" t="s">
        <v>64</v>
      </c>
      <c r="C200" s="109" t="s">
        <v>161</v>
      </c>
      <c r="D200" s="103">
        <f t="shared" ref="D200:D263" si="21">IFERROR((1/R200)*S200,0)</f>
        <v>74.675181722117273</v>
      </c>
      <c r="E200" s="110">
        <v>3.9969999999999999</v>
      </c>
      <c r="F200" s="110">
        <f t="shared" ref="F200:F263" si="22">E200/1.54</f>
        <v>2.5954545454545452</v>
      </c>
      <c r="G200" s="110">
        <f t="shared" ref="G200:G263" si="23">ROUNDUP(F200,0)</f>
        <v>3</v>
      </c>
      <c r="H200" s="110"/>
      <c r="I200" s="111">
        <v>748</v>
      </c>
      <c r="J200" s="109" t="str">
        <f t="shared" ref="J200:J263" si="24">LEFT(K200,2)</f>
        <v>26</v>
      </c>
      <c r="K200" s="109" t="s">
        <v>162</v>
      </c>
      <c r="L200" s="109" t="s">
        <v>762</v>
      </c>
      <c r="M200" s="111">
        <v>39</v>
      </c>
      <c r="N200" s="110">
        <v>345.3</v>
      </c>
      <c r="O200" s="105">
        <f t="shared" ref="O200:O263" si="25">N200-(M200*1.2)</f>
        <v>298.5</v>
      </c>
      <c r="P200" s="112">
        <v>0.10249999999999999</v>
      </c>
      <c r="Q200" s="113">
        <v>5.3439999999999998E-3</v>
      </c>
      <c r="R200" s="107">
        <f t="shared" ref="R200:R263" si="26">Q200*1000</f>
        <v>5.3439999999999994</v>
      </c>
      <c r="S200" s="105">
        <f t="shared" ref="S200:S263" si="27">IFERROR((O200/I200)*1000,0)</f>
        <v>399.06417112299465</v>
      </c>
      <c r="T200" s="114">
        <f>IFERROR(INDEX('MASTER por modelo'!$AQ$8:$AQ$474,MATCH(K200,'MASTER por modelo'!$D$8:$D$474,0)),"")</f>
        <v>0.76871657754010692</v>
      </c>
      <c r="U200" s="115">
        <f>IFERROR(INDEX('MASTER por modelo'!$AC$8:$AC$474,MATCH(K200,'MASTER por modelo'!$D$8:$D$474,0))+INDEX('MASTER por modelo'!$AD$8:$AD$474,MATCH(K200,'MASTER por modelo'!$D$8:$D$474,0)),"")</f>
        <v>1150</v>
      </c>
      <c r="V200" s="93"/>
    </row>
    <row r="201" spans="1:22" x14ac:dyDescent="0.25">
      <c r="A201" s="109" t="s">
        <v>63</v>
      </c>
      <c r="B201" s="109" t="s">
        <v>64</v>
      </c>
      <c r="C201" s="109" t="s">
        <v>161</v>
      </c>
      <c r="D201" s="103">
        <f t="shared" si="21"/>
        <v>74.475047231739737</v>
      </c>
      <c r="E201" s="110">
        <v>3.9969999999999999</v>
      </c>
      <c r="F201" s="110">
        <f t="shared" si="22"/>
        <v>2.5954545454545452</v>
      </c>
      <c r="G201" s="110">
        <f t="shared" si="23"/>
        <v>3</v>
      </c>
      <c r="H201" s="110"/>
      <c r="I201" s="111">
        <v>748</v>
      </c>
      <c r="J201" s="109" t="str">
        <f t="shared" si="24"/>
        <v>26</v>
      </c>
      <c r="K201" s="109" t="s">
        <v>162</v>
      </c>
      <c r="L201" s="109" t="s">
        <v>762</v>
      </c>
      <c r="M201" s="111">
        <v>39</v>
      </c>
      <c r="N201" s="110">
        <v>344.5</v>
      </c>
      <c r="O201" s="105">
        <f t="shared" si="25"/>
        <v>297.7</v>
      </c>
      <c r="P201" s="112">
        <v>0.10249999999999999</v>
      </c>
      <c r="Q201" s="113">
        <v>5.3439999999999998E-3</v>
      </c>
      <c r="R201" s="107">
        <f t="shared" si="26"/>
        <v>5.3439999999999994</v>
      </c>
      <c r="S201" s="105">
        <f t="shared" si="27"/>
        <v>397.99465240641706</v>
      </c>
      <c r="T201" s="114">
        <f>IFERROR(INDEX('MASTER por modelo'!$AQ$8:$AQ$474,MATCH(K201,'MASTER por modelo'!$D$8:$D$474,0)),"")</f>
        <v>0.76871657754010692</v>
      </c>
      <c r="U201" s="115">
        <f>IFERROR(INDEX('MASTER por modelo'!$AC$8:$AC$474,MATCH(K201,'MASTER por modelo'!$D$8:$D$474,0))+INDEX('MASTER por modelo'!$AD$8:$AD$474,MATCH(K201,'MASTER por modelo'!$D$8:$D$474,0)),"")</f>
        <v>1150</v>
      </c>
      <c r="V201" s="93"/>
    </row>
    <row r="202" spans="1:22" x14ac:dyDescent="0.25">
      <c r="A202" s="109" t="s">
        <v>120</v>
      </c>
      <c r="B202" s="109" t="s">
        <v>121</v>
      </c>
      <c r="C202" s="109" t="s">
        <v>122</v>
      </c>
      <c r="D202" s="103">
        <f t="shared" si="21"/>
        <v>109.60144448049093</v>
      </c>
      <c r="E202" s="110">
        <v>3.9670000000000001</v>
      </c>
      <c r="F202" s="110">
        <f t="shared" si="22"/>
        <v>2.575974025974026</v>
      </c>
      <c r="G202" s="110">
        <f t="shared" si="23"/>
        <v>3</v>
      </c>
      <c r="H202" s="110"/>
      <c r="I202" s="111">
        <v>531</v>
      </c>
      <c r="J202" s="109" t="str">
        <f t="shared" si="24"/>
        <v>26</v>
      </c>
      <c r="K202" s="109" t="s">
        <v>259</v>
      </c>
      <c r="L202" s="109" t="s">
        <v>734</v>
      </c>
      <c r="M202" s="111">
        <v>36</v>
      </c>
      <c r="N202" s="110">
        <v>478</v>
      </c>
      <c r="O202" s="105">
        <f t="shared" si="25"/>
        <v>434.8</v>
      </c>
      <c r="P202" s="112">
        <v>0.11020000000000001</v>
      </c>
      <c r="Q202" s="113">
        <v>7.4710000000000002E-3</v>
      </c>
      <c r="R202" s="107">
        <f t="shared" si="26"/>
        <v>7.4710000000000001</v>
      </c>
      <c r="S202" s="105">
        <f t="shared" si="27"/>
        <v>818.83239171374771</v>
      </c>
      <c r="T202" s="114">
        <f>IFERROR(INDEX('MASTER por modelo'!$AQ$8:$AQ$474,MATCH(K202,'MASTER por modelo'!$D$8:$D$474,0)),"")</f>
        <v>9.6045197740112997E-2</v>
      </c>
      <c r="U202" s="115">
        <f>IFERROR(INDEX('MASTER por modelo'!$AC$8:$AC$474,MATCH(K202,'MASTER por modelo'!$D$8:$D$474,0))+INDEX('MASTER por modelo'!$AD$8:$AD$474,MATCH(K202,'MASTER por modelo'!$D$8:$D$474,0)),"")</f>
        <v>51</v>
      </c>
      <c r="V202" s="93"/>
    </row>
    <row r="203" spans="1:22" x14ac:dyDescent="0.25">
      <c r="A203" s="109" t="s">
        <v>63</v>
      </c>
      <c r="B203" s="109" t="s">
        <v>84</v>
      </c>
      <c r="C203" s="109" t="s">
        <v>85</v>
      </c>
      <c r="D203" s="103">
        <f t="shared" si="21"/>
        <v>141.72588832487307</v>
      </c>
      <c r="E203" s="110">
        <v>3.94</v>
      </c>
      <c r="F203" s="110">
        <f t="shared" si="22"/>
        <v>2.5584415584415585</v>
      </c>
      <c r="G203" s="110">
        <f t="shared" si="23"/>
        <v>3</v>
      </c>
      <c r="H203" s="110"/>
      <c r="I203" s="111">
        <v>1000</v>
      </c>
      <c r="J203" s="109" t="str">
        <f t="shared" si="24"/>
        <v>26</v>
      </c>
      <c r="K203" s="109" t="s">
        <v>260</v>
      </c>
      <c r="L203" s="109" t="s">
        <v>781</v>
      </c>
      <c r="M203" s="111">
        <v>41</v>
      </c>
      <c r="N203" s="110">
        <v>607.6</v>
      </c>
      <c r="O203" s="105">
        <f t="shared" si="25"/>
        <v>558.4</v>
      </c>
      <c r="P203" s="112">
        <v>9.6100000000000005E-2</v>
      </c>
      <c r="Q203" s="113">
        <v>3.9399999999999999E-3</v>
      </c>
      <c r="R203" s="107">
        <f t="shared" si="26"/>
        <v>3.94</v>
      </c>
      <c r="S203" s="105">
        <f t="shared" si="27"/>
        <v>558.4</v>
      </c>
      <c r="T203" s="114">
        <f>IFERROR(INDEX('MASTER por modelo'!$AQ$8:$AQ$474,MATCH(K203,'MASTER por modelo'!$D$8:$D$474,0)),"")</f>
        <v>0.56299999999999994</v>
      </c>
      <c r="U203" s="115">
        <f>IFERROR(INDEX('MASTER por modelo'!$AC$8:$AC$474,MATCH(K203,'MASTER por modelo'!$D$8:$D$474,0))+INDEX('MASTER por modelo'!$AD$8:$AD$474,MATCH(K203,'MASTER por modelo'!$D$8:$D$474,0)),"")</f>
        <v>563</v>
      </c>
      <c r="V203" s="93"/>
    </row>
    <row r="204" spans="1:22" x14ac:dyDescent="0.25">
      <c r="A204" s="109" t="s">
        <v>55</v>
      </c>
      <c r="B204" s="109" t="s">
        <v>93</v>
      </c>
      <c r="C204" s="109" t="s">
        <v>94</v>
      </c>
      <c r="D204" s="103">
        <f t="shared" si="21"/>
        <v>148.95787919345773</v>
      </c>
      <c r="E204" s="110">
        <v>3.9359999999999999</v>
      </c>
      <c r="F204" s="110">
        <f t="shared" si="22"/>
        <v>2.5558441558441558</v>
      </c>
      <c r="G204" s="110">
        <f t="shared" si="23"/>
        <v>3</v>
      </c>
      <c r="H204" s="110"/>
      <c r="I204" s="111">
        <v>723</v>
      </c>
      <c r="J204" s="109" t="str">
        <f t="shared" si="24"/>
        <v>26</v>
      </c>
      <c r="K204" s="109" t="s">
        <v>261</v>
      </c>
      <c r="L204" s="109" t="s">
        <v>753</v>
      </c>
      <c r="M204" s="111">
        <v>41</v>
      </c>
      <c r="N204" s="110">
        <v>635.5</v>
      </c>
      <c r="O204" s="105">
        <f t="shared" si="25"/>
        <v>586.29999999999995</v>
      </c>
      <c r="P204" s="112">
        <v>9.6000000000000002E-2</v>
      </c>
      <c r="Q204" s="113">
        <v>5.4440000000000001E-3</v>
      </c>
      <c r="R204" s="107">
        <f t="shared" si="26"/>
        <v>5.444</v>
      </c>
      <c r="S204" s="105">
        <f t="shared" si="27"/>
        <v>810.92669432918387</v>
      </c>
      <c r="T204" s="114">
        <f>IFERROR(INDEX('MASTER por modelo'!$AQ$8:$AQ$474,MATCH(K204,'MASTER por modelo'!$D$8:$D$474,0)),"")</f>
        <v>0.78423236514522821</v>
      </c>
      <c r="U204" s="115">
        <f>IFERROR(INDEX('MASTER por modelo'!$AC$8:$AC$474,MATCH(K204,'MASTER por modelo'!$D$8:$D$474,0))+INDEX('MASTER por modelo'!$AD$8:$AD$474,MATCH(K204,'MASTER por modelo'!$D$8:$D$474,0)),"")</f>
        <v>567</v>
      </c>
      <c r="V204" s="93"/>
    </row>
    <row r="205" spans="1:22" x14ac:dyDescent="0.25">
      <c r="A205" s="109" t="s">
        <v>63</v>
      </c>
      <c r="B205" s="109" t="s">
        <v>84</v>
      </c>
      <c r="C205" s="109" t="s">
        <v>85</v>
      </c>
      <c r="D205" s="103">
        <f t="shared" si="21"/>
        <v>122.92491163025161</v>
      </c>
      <c r="E205" s="110">
        <v>3.9359999999999999</v>
      </c>
      <c r="F205" s="110">
        <f t="shared" si="22"/>
        <v>2.5558441558441558</v>
      </c>
      <c r="G205" s="110">
        <f t="shared" si="23"/>
        <v>3</v>
      </c>
      <c r="H205" s="110"/>
      <c r="I205" s="111">
        <v>822</v>
      </c>
      <c r="J205" s="109" t="str">
        <f t="shared" si="24"/>
        <v>26</v>
      </c>
      <c r="K205" s="109" t="s">
        <v>262</v>
      </c>
      <c r="L205" s="109" t="s">
        <v>766</v>
      </c>
      <c r="M205" s="111">
        <v>41</v>
      </c>
      <c r="N205" s="110">
        <v>533</v>
      </c>
      <c r="O205" s="105">
        <f t="shared" si="25"/>
        <v>483.8</v>
      </c>
      <c r="P205" s="112">
        <v>9.6000000000000002E-2</v>
      </c>
      <c r="Q205" s="113">
        <v>4.7879999999999997E-3</v>
      </c>
      <c r="R205" s="107">
        <f t="shared" si="26"/>
        <v>4.7879999999999994</v>
      </c>
      <c r="S205" s="105">
        <f t="shared" si="27"/>
        <v>588.56447688564469</v>
      </c>
      <c r="T205" s="114">
        <f>IFERROR(INDEX('MASTER por modelo'!$AQ$8:$AQ$474,MATCH(K205,'MASTER por modelo'!$D$8:$D$474,0)),"")</f>
        <v>0.62773722627737227</v>
      </c>
      <c r="U205" s="115">
        <f>IFERROR(INDEX('MASTER por modelo'!$AC$8:$AC$474,MATCH(K205,'MASTER por modelo'!$D$8:$D$474,0))+INDEX('MASTER por modelo'!$AD$8:$AD$474,MATCH(K205,'MASTER por modelo'!$D$8:$D$474,0)),"")</f>
        <v>516</v>
      </c>
      <c r="V205" s="93"/>
    </row>
    <row r="206" spans="1:22" x14ac:dyDescent="0.25">
      <c r="A206" s="109" t="s">
        <v>55</v>
      </c>
      <c r="B206" s="109" t="s">
        <v>99</v>
      </c>
      <c r="C206" s="109" t="s">
        <v>111</v>
      </c>
      <c r="D206" s="103">
        <f t="shared" si="21"/>
        <v>75.763234556571661</v>
      </c>
      <c r="E206" s="110">
        <v>3.9359999999999999</v>
      </c>
      <c r="F206" s="110">
        <f t="shared" si="22"/>
        <v>2.5558441558441558</v>
      </c>
      <c r="G206" s="110">
        <f t="shared" si="23"/>
        <v>3</v>
      </c>
      <c r="H206" s="110"/>
      <c r="I206" s="111">
        <v>651</v>
      </c>
      <c r="J206" s="109" t="str">
        <f t="shared" si="24"/>
        <v>26</v>
      </c>
      <c r="K206" s="109" t="s">
        <v>150</v>
      </c>
      <c r="L206" s="109" t="s">
        <v>772</v>
      </c>
      <c r="M206" s="111">
        <v>41</v>
      </c>
      <c r="N206" s="110">
        <v>347.4</v>
      </c>
      <c r="O206" s="105">
        <f t="shared" si="25"/>
        <v>298.2</v>
      </c>
      <c r="P206" s="112">
        <v>9.6000000000000002E-2</v>
      </c>
      <c r="Q206" s="113">
        <v>6.0460000000000002E-3</v>
      </c>
      <c r="R206" s="107">
        <f t="shared" si="26"/>
        <v>6.0460000000000003</v>
      </c>
      <c r="S206" s="105">
        <f t="shared" si="27"/>
        <v>458.06451612903226</v>
      </c>
      <c r="T206" s="114">
        <f>IFERROR(INDEX('MASTER por modelo'!$AQ$8:$AQ$474,MATCH(K206,'MASTER por modelo'!$D$8:$D$474,0)),"")</f>
        <v>2.3968042609853527E-2</v>
      </c>
      <c r="U206" s="115">
        <f>IFERROR(INDEX('MASTER por modelo'!$AC$8:$AC$474,MATCH(K206,'MASTER por modelo'!$D$8:$D$474,0))+INDEX('MASTER por modelo'!$AD$8:$AD$474,MATCH(K206,'MASTER por modelo'!$D$8:$D$474,0)),"")</f>
        <v>36</v>
      </c>
      <c r="V206" s="93"/>
    </row>
    <row r="207" spans="1:22" x14ac:dyDescent="0.25">
      <c r="A207" s="109" t="s">
        <v>138</v>
      </c>
      <c r="B207" s="109" t="s">
        <v>139</v>
      </c>
      <c r="C207" s="109" t="s">
        <v>122</v>
      </c>
      <c r="D207" s="103">
        <f t="shared" si="21"/>
        <v>104.46721845614624</v>
      </c>
      <c r="E207" s="110">
        <v>3.9359999999999999</v>
      </c>
      <c r="F207" s="110">
        <f t="shared" si="22"/>
        <v>2.5558441558441558</v>
      </c>
      <c r="G207" s="110">
        <f t="shared" si="23"/>
        <v>3</v>
      </c>
      <c r="H207" s="110"/>
      <c r="I207" s="111">
        <v>527</v>
      </c>
      <c r="J207" s="109" t="str">
        <f t="shared" si="24"/>
        <v>26</v>
      </c>
      <c r="K207" s="109" t="s">
        <v>158</v>
      </c>
      <c r="L207" s="109" t="s">
        <v>764</v>
      </c>
      <c r="M207" s="111">
        <v>41</v>
      </c>
      <c r="N207" s="110">
        <v>460.4</v>
      </c>
      <c r="O207" s="105">
        <f t="shared" si="25"/>
        <v>411.2</v>
      </c>
      <c r="P207" s="112">
        <v>9.6000000000000002E-2</v>
      </c>
      <c r="Q207" s="113">
        <v>7.4689999999999999E-3</v>
      </c>
      <c r="R207" s="107">
        <f t="shared" si="26"/>
        <v>7.4690000000000003</v>
      </c>
      <c r="S207" s="105">
        <f t="shared" si="27"/>
        <v>780.26565464895634</v>
      </c>
      <c r="T207" s="114">
        <f>IFERROR(INDEX('MASTER por modelo'!$AQ$8:$AQ$474,MATCH(K207,'MASTER por modelo'!$D$8:$D$474,0)),"")</f>
        <v>0.39076376554174069</v>
      </c>
      <c r="U207" s="115">
        <f>IFERROR(INDEX('MASTER por modelo'!$AC$8:$AC$474,MATCH(K207,'MASTER por modelo'!$D$8:$D$474,0))+INDEX('MASTER por modelo'!$AD$8:$AD$474,MATCH(K207,'MASTER por modelo'!$D$8:$D$474,0)),"")</f>
        <v>440</v>
      </c>
      <c r="V207" s="93"/>
    </row>
    <row r="208" spans="1:22" x14ac:dyDescent="0.25">
      <c r="A208" s="109" t="s">
        <v>63</v>
      </c>
      <c r="B208" s="109" t="s">
        <v>84</v>
      </c>
      <c r="C208" s="109" t="s">
        <v>85</v>
      </c>
      <c r="D208" s="103">
        <f t="shared" si="21"/>
        <v>168.13902008589295</v>
      </c>
      <c r="E208" s="110">
        <v>3.9216000000000002</v>
      </c>
      <c r="F208" s="110">
        <f t="shared" si="22"/>
        <v>2.5464935064935066</v>
      </c>
      <c r="G208" s="110">
        <f t="shared" si="23"/>
        <v>3</v>
      </c>
      <c r="H208" s="110"/>
      <c r="I208" s="111">
        <v>1174</v>
      </c>
      <c r="J208" s="109" t="str">
        <f t="shared" si="24"/>
        <v>27</v>
      </c>
      <c r="K208" s="109" t="s">
        <v>266</v>
      </c>
      <c r="L208" s="109" t="s">
        <v>782</v>
      </c>
      <c r="M208" s="111">
        <v>38</v>
      </c>
      <c r="N208" s="110">
        <v>704.9</v>
      </c>
      <c r="O208" s="105">
        <f t="shared" si="25"/>
        <v>659.3</v>
      </c>
      <c r="P208" s="112">
        <v>0.1032</v>
      </c>
      <c r="Q208" s="113">
        <v>3.3400000000000001E-3</v>
      </c>
      <c r="R208" s="107">
        <f t="shared" si="26"/>
        <v>3.3400000000000003</v>
      </c>
      <c r="S208" s="105">
        <f t="shared" si="27"/>
        <v>561.58432708688247</v>
      </c>
      <c r="T208" s="114">
        <f>IFERROR(INDEX('MASTER por modelo'!$AQ$8:$AQ$474,MATCH(K208,'MASTER por modelo'!$D$8:$D$474,0)),"")</f>
        <v>0</v>
      </c>
      <c r="U208" s="115">
        <f>IFERROR(INDEX('MASTER por modelo'!$AC$8:$AC$474,MATCH(K208,'MASTER por modelo'!$D$8:$D$474,0))+INDEX('MASTER por modelo'!$AD$8:$AD$474,MATCH(K208,'MASTER por modelo'!$D$8:$D$474,0)),"")</f>
        <v>0</v>
      </c>
      <c r="V208" s="93"/>
    </row>
    <row r="209" spans="1:22" x14ac:dyDescent="0.25">
      <c r="A209" s="109" t="s">
        <v>63</v>
      </c>
      <c r="B209" s="109" t="s">
        <v>102</v>
      </c>
      <c r="C209" s="109" t="s">
        <v>103</v>
      </c>
      <c r="D209" s="103">
        <f t="shared" si="21"/>
        <v>234.58318202509241</v>
      </c>
      <c r="E209" s="110">
        <v>3.91</v>
      </c>
      <c r="F209" s="110">
        <f t="shared" si="22"/>
        <v>2.5389610389610389</v>
      </c>
      <c r="G209" s="110">
        <f t="shared" si="23"/>
        <v>3</v>
      </c>
      <c r="H209" s="110"/>
      <c r="I209" s="111">
        <v>901</v>
      </c>
      <c r="J209" s="109" t="str">
        <f t="shared" si="24"/>
        <v>26</v>
      </c>
      <c r="K209" s="109" t="s">
        <v>267</v>
      </c>
      <c r="L209" s="109" t="s">
        <v>744</v>
      </c>
      <c r="M209" s="111">
        <v>46</v>
      </c>
      <c r="N209" s="110">
        <v>972.5</v>
      </c>
      <c r="O209" s="105">
        <f t="shared" si="25"/>
        <v>917.3</v>
      </c>
      <c r="P209" s="112">
        <v>8.5000000000000006E-2</v>
      </c>
      <c r="Q209" s="113">
        <v>4.3400000000000001E-3</v>
      </c>
      <c r="R209" s="107">
        <f t="shared" si="26"/>
        <v>4.34</v>
      </c>
      <c r="S209" s="105">
        <f t="shared" si="27"/>
        <v>1018.0910099889011</v>
      </c>
      <c r="T209" s="114">
        <f>IFERROR(INDEX('MASTER por modelo'!$AQ$8:$AQ$474,MATCH(K209,'MASTER por modelo'!$D$8:$D$474,0)),"")</f>
        <v>0.70905052748473074</v>
      </c>
      <c r="U209" s="115">
        <f>IFERROR(INDEX('MASTER por modelo'!$AC$8:$AC$474,MATCH(K209,'MASTER por modelo'!$D$8:$D$474,0))+INDEX('MASTER por modelo'!$AD$8:$AD$474,MATCH(K209,'MASTER por modelo'!$D$8:$D$474,0)),"")</f>
        <v>1277</v>
      </c>
      <c r="V209" s="93"/>
    </row>
    <row r="210" spans="1:22" x14ac:dyDescent="0.25">
      <c r="A210" s="109" t="s">
        <v>63</v>
      </c>
      <c r="B210" s="109" t="s">
        <v>263</v>
      </c>
      <c r="C210" s="109" t="s">
        <v>264</v>
      </c>
      <c r="D210" s="103">
        <f t="shared" si="21"/>
        <v>201.54053782429543</v>
      </c>
      <c r="E210" s="110">
        <v>3.9</v>
      </c>
      <c r="F210" s="110">
        <f t="shared" si="22"/>
        <v>2.5324675324675323</v>
      </c>
      <c r="G210" s="110">
        <f t="shared" si="23"/>
        <v>3</v>
      </c>
      <c r="H210" s="110"/>
      <c r="I210" s="111">
        <v>1704</v>
      </c>
      <c r="J210" s="109" t="str">
        <f t="shared" si="24"/>
        <v>26</v>
      </c>
      <c r="K210" s="109" t="s">
        <v>268</v>
      </c>
      <c r="L210" s="109" t="s">
        <v>783</v>
      </c>
      <c r="M210" s="111">
        <v>38</v>
      </c>
      <c r="N210" s="110">
        <v>831.7</v>
      </c>
      <c r="O210" s="105">
        <f t="shared" si="25"/>
        <v>786.1</v>
      </c>
      <c r="P210" s="112">
        <v>0.1026</v>
      </c>
      <c r="Q210" s="113">
        <v>2.2889999999999998E-3</v>
      </c>
      <c r="R210" s="107">
        <f t="shared" si="26"/>
        <v>2.2889999999999997</v>
      </c>
      <c r="S210" s="105">
        <f t="shared" si="27"/>
        <v>461.32629107981222</v>
      </c>
      <c r="T210" s="114">
        <f>IFERROR(INDEX('MASTER por modelo'!$AQ$8:$AQ$474,MATCH(K210,'MASTER por modelo'!$D$8:$D$474,0)),"")</f>
        <v>0.76349765258215962</v>
      </c>
      <c r="U210" s="115">
        <f>IFERROR(INDEX('MASTER por modelo'!$AC$8:$AC$474,MATCH(K210,'MASTER por modelo'!$D$8:$D$474,0))+INDEX('MASTER por modelo'!$AD$8:$AD$474,MATCH(K210,'MASTER por modelo'!$D$8:$D$474,0)),"")</f>
        <v>1301</v>
      </c>
      <c r="V210" s="93"/>
    </row>
    <row r="211" spans="1:22" x14ac:dyDescent="0.25">
      <c r="A211" s="109" t="s">
        <v>120</v>
      </c>
      <c r="B211" s="109" t="s">
        <v>121</v>
      </c>
      <c r="C211" s="109" t="s">
        <v>122</v>
      </c>
      <c r="D211" s="103">
        <f t="shared" si="21"/>
        <v>126.99127468753599</v>
      </c>
      <c r="E211" s="110">
        <v>3.8639999999999999</v>
      </c>
      <c r="F211" s="110">
        <f t="shared" si="22"/>
        <v>2.5090909090909088</v>
      </c>
      <c r="G211" s="110">
        <f t="shared" si="23"/>
        <v>3</v>
      </c>
      <c r="H211" s="110"/>
      <c r="I211" s="111">
        <v>515</v>
      </c>
      <c r="J211" s="109" t="str">
        <f t="shared" si="24"/>
        <v>26</v>
      </c>
      <c r="K211" s="109" t="s">
        <v>269</v>
      </c>
      <c r="L211" s="109" t="s">
        <v>734</v>
      </c>
      <c r="M211" s="111">
        <v>35</v>
      </c>
      <c r="N211" s="110">
        <v>532.70000000000005</v>
      </c>
      <c r="O211" s="105">
        <f t="shared" si="25"/>
        <v>490.70000000000005</v>
      </c>
      <c r="P211" s="112">
        <v>0.1104</v>
      </c>
      <c r="Q211" s="113">
        <v>7.5030000000000001E-3</v>
      </c>
      <c r="R211" s="107">
        <f t="shared" si="26"/>
        <v>7.5030000000000001</v>
      </c>
      <c r="S211" s="105">
        <f t="shared" si="27"/>
        <v>952.81553398058259</v>
      </c>
      <c r="T211" s="114">
        <f>IFERROR(INDEX('MASTER por modelo'!$AQ$8:$AQ$474,MATCH(K211,'MASTER por modelo'!$D$8:$D$474,0)),"")</f>
        <v>9.9029126213592236E-2</v>
      </c>
      <c r="U211" s="115">
        <f>IFERROR(INDEX('MASTER por modelo'!$AC$8:$AC$474,MATCH(K211,'MASTER por modelo'!$D$8:$D$474,0))+INDEX('MASTER por modelo'!$AD$8:$AD$474,MATCH(K211,'MASTER por modelo'!$D$8:$D$474,0)),"")</f>
        <v>51</v>
      </c>
      <c r="V211" s="93"/>
    </row>
    <row r="212" spans="1:22" x14ac:dyDescent="0.25">
      <c r="A212" s="109" t="s">
        <v>55</v>
      </c>
      <c r="B212" s="109" t="s">
        <v>93</v>
      </c>
      <c r="C212" s="109" t="s">
        <v>94</v>
      </c>
      <c r="D212" s="103">
        <f t="shared" si="21"/>
        <v>137.50311530495614</v>
      </c>
      <c r="E212" s="110">
        <v>3.84</v>
      </c>
      <c r="F212" s="110">
        <f t="shared" si="22"/>
        <v>2.4935064935064934</v>
      </c>
      <c r="G212" s="110">
        <f t="shared" si="23"/>
        <v>3</v>
      </c>
      <c r="H212" s="110"/>
      <c r="I212" s="111">
        <v>693</v>
      </c>
      <c r="J212" s="109" t="str">
        <f t="shared" si="24"/>
        <v>26</v>
      </c>
      <c r="K212" s="109" t="s">
        <v>270</v>
      </c>
      <c r="L212" s="109" t="s">
        <v>753</v>
      </c>
      <c r="M212" s="111">
        <v>40</v>
      </c>
      <c r="N212" s="110">
        <v>576</v>
      </c>
      <c r="O212" s="105">
        <f t="shared" si="25"/>
        <v>528</v>
      </c>
      <c r="P212" s="112">
        <v>9.6000000000000002E-2</v>
      </c>
      <c r="Q212" s="113">
        <v>5.5409999999999999E-3</v>
      </c>
      <c r="R212" s="107">
        <f t="shared" si="26"/>
        <v>5.5409999999999995</v>
      </c>
      <c r="S212" s="105">
        <f t="shared" si="27"/>
        <v>761.90476190476181</v>
      </c>
      <c r="T212" s="114">
        <f>IFERROR(INDEX('MASTER por modelo'!$AQ$8:$AQ$474,MATCH(K212,'MASTER por modelo'!$D$8:$D$474,0)),"")</f>
        <v>0.83694083694083699</v>
      </c>
      <c r="U212" s="115">
        <f>IFERROR(INDEX('MASTER por modelo'!$AC$8:$AC$474,MATCH(K212,'MASTER por modelo'!$D$8:$D$474,0))+INDEX('MASTER por modelo'!$AD$8:$AD$474,MATCH(K212,'MASTER por modelo'!$D$8:$D$474,0)),"")</f>
        <v>580</v>
      </c>
      <c r="V212" s="93"/>
    </row>
    <row r="213" spans="1:22" x14ac:dyDescent="0.25">
      <c r="A213" s="109" t="s">
        <v>63</v>
      </c>
      <c r="B213" s="109" t="s">
        <v>102</v>
      </c>
      <c r="C213" s="109" t="s">
        <v>132</v>
      </c>
      <c r="D213" s="103">
        <f t="shared" si="21"/>
        <v>235.06390316923267</v>
      </c>
      <c r="E213" s="110">
        <v>3.7536999999999998</v>
      </c>
      <c r="F213" s="110">
        <f t="shared" si="22"/>
        <v>2.4374675324675321</v>
      </c>
      <c r="G213" s="110">
        <f t="shared" si="23"/>
        <v>3</v>
      </c>
      <c r="H213" s="110"/>
      <c r="I213" s="111">
        <v>1547</v>
      </c>
      <c r="J213" s="109" t="str">
        <f t="shared" si="24"/>
        <v>26</v>
      </c>
      <c r="K213" s="109" t="s">
        <v>271</v>
      </c>
      <c r="L213" s="109" t="s">
        <v>773</v>
      </c>
      <c r="M213" s="111">
        <v>39</v>
      </c>
      <c r="N213" s="110">
        <v>929</v>
      </c>
      <c r="O213" s="105">
        <f t="shared" si="25"/>
        <v>882.2</v>
      </c>
      <c r="P213" s="112">
        <v>9.6199999999999994E-2</v>
      </c>
      <c r="Q213" s="113">
        <v>2.4260000000000002E-3</v>
      </c>
      <c r="R213" s="107">
        <f t="shared" si="26"/>
        <v>2.4260000000000002</v>
      </c>
      <c r="S213" s="105">
        <f t="shared" si="27"/>
        <v>570.26502908855855</v>
      </c>
      <c r="T213" s="114">
        <f>IFERROR(INDEX('MASTER por modelo'!$AQ$8:$AQ$474,MATCH(K213,'MASTER por modelo'!$D$8:$D$474,0)),"")</f>
        <v>0.48610213316095668</v>
      </c>
      <c r="U213" s="115">
        <f>IFERROR(INDEX('MASTER por modelo'!$AC$8:$AC$474,MATCH(K213,'MASTER por modelo'!$D$8:$D$474,0))+INDEX('MASTER por modelo'!$AD$8:$AD$474,MATCH(K213,'MASTER por modelo'!$D$8:$D$474,0)),"")</f>
        <v>752</v>
      </c>
      <c r="V213" s="93"/>
    </row>
    <row r="214" spans="1:22" x14ac:dyDescent="0.25">
      <c r="A214" s="109" t="s">
        <v>63</v>
      </c>
      <c r="B214" s="109" t="s">
        <v>102</v>
      </c>
      <c r="C214" s="109" t="s">
        <v>132</v>
      </c>
      <c r="D214" s="103">
        <f t="shared" si="21"/>
        <v>225.21584075060554</v>
      </c>
      <c r="E214" s="110">
        <v>3.7440000000000002</v>
      </c>
      <c r="F214" s="110">
        <f t="shared" si="22"/>
        <v>2.4311688311688311</v>
      </c>
      <c r="G214" s="110">
        <f t="shared" si="23"/>
        <v>3</v>
      </c>
      <c r="H214" s="110"/>
      <c r="I214" s="111">
        <v>1074</v>
      </c>
      <c r="J214" s="109" t="str">
        <f t="shared" si="24"/>
        <v>26</v>
      </c>
      <c r="K214" s="109" t="s">
        <v>272</v>
      </c>
      <c r="L214" s="109" t="s">
        <v>777</v>
      </c>
      <c r="M214" s="111">
        <v>39</v>
      </c>
      <c r="N214" s="110">
        <v>890</v>
      </c>
      <c r="O214" s="105">
        <f t="shared" si="25"/>
        <v>843.2</v>
      </c>
      <c r="P214" s="112">
        <v>9.6000000000000002E-2</v>
      </c>
      <c r="Q214" s="113">
        <v>3.4859999999999999E-3</v>
      </c>
      <c r="R214" s="107">
        <f t="shared" si="26"/>
        <v>3.4859999999999998</v>
      </c>
      <c r="S214" s="105">
        <f t="shared" si="27"/>
        <v>785.10242085661082</v>
      </c>
      <c r="T214" s="114">
        <f>IFERROR(INDEX('MASTER por modelo'!$AQ$8:$AQ$474,MATCH(K214,'MASTER por modelo'!$D$8:$D$474,0)),"")</f>
        <v>0.69646182495344511</v>
      </c>
      <c r="U214" s="115">
        <f>IFERROR(INDEX('MASTER por modelo'!$AC$8:$AC$474,MATCH(K214,'MASTER por modelo'!$D$8:$D$474,0))+INDEX('MASTER por modelo'!$AD$8:$AD$474,MATCH(K214,'MASTER por modelo'!$D$8:$D$474,0)),"")</f>
        <v>748</v>
      </c>
      <c r="V214" s="93"/>
    </row>
    <row r="215" spans="1:22" x14ac:dyDescent="0.25">
      <c r="A215" s="109" t="s">
        <v>63</v>
      </c>
      <c r="B215" s="109" t="s">
        <v>102</v>
      </c>
      <c r="C215" s="109" t="s">
        <v>132</v>
      </c>
      <c r="D215" s="103">
        <f t="shared" si="21"/>
        <v>245.81464635361144</v>
      </c>
      <c r="E215" s="110">
        <v>3.7440000000000002</v>
      </c>
      <c r="F215" s="110">
        <f t="shared" si="22"/>
        <v>2.4311688311688311</v>
      </c>
      <c r="G215" s="110">
        <f t="shared" si="23"/>
        <v>3</v>
      </c>
      <c r="H215" s="110"/>
      <c r="I215" s="111">
        <v>1231</v>
      </c>
      <c r="J215" s="109" t="str">
        <f t="shared" si="24"/>
        <v>26</v>
      </c>
      <c r="K215" s="109" t="s">
        <v>273</v>
      </c>
      <c r="L215" s="109" t="s">
        <v>773</v>
      </c>
      <c r="M215" s="111">
        <v>39</v>
      </c>
      <c r="N215" s="110">
        <v>967</v>
      </c>
      <c r="O215" s="105">
        <f t="shared" si="25"/>
        <v>920.2</v>
      </c>
      <c r="P215" s="112">
        <v>9.6000000000000002E-2</v>
      </c>
      <c r="Q215" s="113">
        <v>3.0409999999999999E-3</v>
      </c>
      <c r="R215" s="107">
        <f t="shared" si="26"/>
        <v>3.0409999999999999</v>
      </c>
      <c r="S215" s="105">
        <f t="shared" si="27"/>
        <v>747.52233956133227</v>
      </c>
      <c r="T215" s="114">
        <f>IFERROR(INDEX('MASTER por modelo'!$AQ$8:$AQ$474,MATCH(K215,'MASTER por modelo'!$D$8:$D$474,0)),"")</f>
        <v>0.60601137286758733</v>
      </c>
      <c r="U215" s="115">
        <f>IFERROR(INDEX('MASTER por modelo'!$AC$8:$AC$474,MATCH(K215,'MASTER por modelo'!$D$8:$D$474,0))+INDEX('MASTER por modelo'!$AD$8:$AD$474,MATCH(K215,'MASTER por modelo'!$D$8:$D$474,0)),"")</f>
        <v>746</v>
      </c>
      <c r="V215" s="93"/>
    </row>
    <row r="216" spans="1:22" x14ac:dyDescent="0.25">
      <c r="A216" s="109" t="s">
        <v>55</v>
      </c>
      <c r="B216" s="109" t="s">
        <v>99</v>
      </c>
      <c r="C216" s="109" t="s">
        <v>100</v>
      </c>
      <c r="D216" s="103">
        <f t="shared" si="21"/>
        <v>86.130918996875252</v>
      </c>
      <c r="E216" s="110">
        <v>3.7440000000000002</v>
      </c>
      <c r="F216" s="110">
        <f t="shared" si="22"/>
        <v>2.4311688311688311</v>
      </c>
      <c r="G216" s="110">
        <f t="shared" si="23"/>
        <v>3</v>
      </c>
      <c r="H216" s="110"/>
      <c r="I216" s="111">
        <v>700</v>
      </c>
      <c r="J216" s="109" t="str">
        <f t="shared" si="24"/>
        <v>26</v>
      </c>
      <c r="K216" s="109" t="s">
        <v>101</v>
      </c>
      <c r="L216" s="109" t="s">
        <v>772</v>
      </c>
      <c r="M216" s="111">
        <v>39</v>
      </c>
      <c r="N216" s="110">
        <v>369.3</v>
      </c>
      <c r="O216" s="105">
        <f t="shared" si="25"/>
        <v>322.5</v>
      </c>
      <c r="P216" s="112">
        <v>9.6000000000000002E-2</v>
      </c>
      <c r="Q216" s="113">
        <v>5.3489999999999996E-3</v>
      </c>
      <c r="R216" s="107">
        <f t="shared" si="26"/>
        <v>5.3489999999999993</v>
      </c>
      <c r="S216" s="105">
        <f t="shared" si="27"/>
        <v>460.71428571428567</v>
      </c>
      <c r="T216" s="114">
        <f>IFERROR(INDEX('MASTER por modelo'!$AQ$8:$AQ$474,MATCH(K216,'MASTER por modelo'!$D$8:$D$474,0)),"")</f>
        <v>0.58077059031459877</v>
      </c>
      <c r="U216" s="115">
        <f>IFERROR(INDEX('MASTER por modelo'!$AC$8:$AC$474,MATCH(K216,'MASTER por modelo'!$D$8:$D$474,0))+INDEX('MASTER por modelo'!$AD$8:$AD$474,MATCH(K216,'MASTER por modelo'!$D$8:$D$474,0)),"")</f>
        <v>1643</v>
      </c>
      <c r="V216" s="93"/>
    </row>
    <row r="217" spans="1:22" x14ac:dyDescent="0.25">
      <c r="A217" s="109" t="s">
        <v>55</v>
      </c>
      <c r="B217" s="109" t="s">
        <v>99</v>
      </c>
      <c r="C217" s="109" t="s">
        <v>100</v>
      </c>
      <c r="D217" s="103">
        <f t="shared" si="21"/>
        <v>86.130918996875252</v>
      </c>
      <c r="E217" s="110">
        <v>3.7440000000000002</v>
      </c>
      <c r="F217" s="110">
        <f t="shared" si="22"/>
        <v>2.4311688311688311</v>
      </c>
      <c r="G217" s="110">
        <f t="shared" si="23"/>
        <v>3</v>
      </c>
      <c r="H217" s="110"/>
      <c r="I217" s="111">
        <v>700</v>
      </c>
      <c r="J217" s="109" t="str">
        <f t="shared" si="24"/>
        <v>26</v>
      </c>
      <c r="K217" s="109" t="s">
        <v>101</v>
      </c>
      <c r="L217" s="109" t="s">
        <v>772</v>
      </c>
      <c r="M217" s="111">
        <v>39</v>
      </c>
      <c r="N217" s="110">
        <v>369.3</v>
      </c>
      <c r="O217" s="105">
        <f t="shared" si="25"/>
        <v>322.5</v>
      </c>
      <c r="P217" s="112">
        <v>9.6000000000000002E-2</v>
      </c>
      <c r="Q217" s="113">
        <v>5.3489999999999996E-3</v>
      </c>
      <c r="R217" s="107">
        <f t="shared" si="26"/>
        <v>5.3489999999999993</v>
      </c>
      <c r="S217" s="105">
        <f t="shared" si="27"/>
        <v>460.71428571428567</v>
      </c>
      <c r="T217" s="114">
        <f>IFERROR(INDEX('MASTER por modelo'!$AQ$8:$AQ$474,MATCH(K217,'MASTER por modelo'!$D$8:$D$474,0)),"")</f>
        <v>0.58077059031459877</v>
      </c>
      <c r="U217" s="115">
        <f>IFERROR(INDEX('MASTER por modelo'!$AC$8:$AC$474,MATCH(K217,'MASTER por modelo'!$D$8:$D$474,0))+INDEX('MASTER por modelo'!$AD$8:$AD$474,MATCH(K217,'MASTER por modelo'!$D$8:$D$474,0)),"")</f>
        <v>1643</v>
      </c>
      <c r="V217" s="93"/>
    </row>
    <row r="218" spans="1:22" x14ac:dyDescent="0.25">
      <c r="A218" s="109" t="s">
        <v>63</v>
      </c>
      <c r="B218" s="109" t="s">
        <v>171</v>
      </c>
      <c r="C218" s="109" t="s">
        <v>172</v>
      </c>
      <c r="D218" s="103">
        <f t="shared" si="21"/>
        <v>141.92473739674335</v>
      </c>
      <c r="E218" s="110">
        <v>3.6480000000000001</v>
      </c>
      <c r="F218" s="110">
        <f t="shared" si="22"/>
        <v>2.3688311688311687</v>
      </c>
      <c r="G218" s="110">
        <f t="shared" si="23"/>
        <v>3</v>
      </c>
      <c r="H218" s="110"/>
      <c r="I218" s="111">
        <v>713</v>
      </c>
      <c r="J218" s="109" t="str">
        <f t="shared" si="24"/>
        <v>26</v>
      </c>
      <c r="K218" s="109" t="s">
        <v>274</v>
      </c>
      <c r="L218" s="109" t="s">
        <v>784</v>
      </c>
      <c r="M218" s="111">
        <v>38</v>
      </c>
      <c r="N218" s="110">
        <v>563.29999999999995</v>
      </c>
      <c r="O218" s="105">
        <f t="shared" si="25"/>
        <v>517.69999999999993</v>
      </c>
      <c r="P218" s="112">
        <v>9.6000000000000002E-2</v>
      </c>
      <c r="Q218" s="113">
        <v>5.1159999999999999E-3</v>
      </c>
      <c r="R218" s="107">
        <f t="shared" si="26"/>
        <v>5.1159999999999997</v>
      </c>
      <c r="S218" s="105">
        <f t="shared" si="27"/>
        <v>726.08695652173901</v>
      </c>
      <c r="T218" s="114">
        <f>IFERROR(INDEX('MASTER por modelo'!$AQ$8:$AQ$474,MATCH(K218,'MASTER por modelo'!$D$8:$D$474,0)),"")</f>
        <v>0.76016830294530158</v>
      </c>
      <c r="U218" s="115">
        <f>IFERROR(INDEX('MASTER por modelo'!$AC$8:$AC$474,MATCH(K218,'MASTER por modelo'!$D$8:$D$474,0))+INDEX('MASTER por modelo'!$AD$8:$AD$474,MATCH(K218,'MASTER por modelo'!$D$8:$D$474,0)),"")</f>
        <v>542</v>
      </c>
      <c r="V218" s="93"/>
    </row>
    <row r="219" spans="1:22" x14ac:dyDescent="0.25">
      <c r="A219" s="109" t="s">
        <v>55</v>
      </c>
      <c r="B219" s="109" t="s">
        <v>99</v>
      </c>
      <c r="C219" s="109" t="s">
        <v>100</v>
      </c>
      <c r="D219" s="103">
        <f t="shared" si="21"/>
        <v>85.62969760711043</v>
      </c>
      <c r="E219" s="110">
        <v>3.6480000000000001</v>
      </c>
      <c r="F219" s="110">
        <f t="shared" si="22"/>
        <v>2.3688311688311687</v>
      </c>
      <c r="G219" s="110">
        <f t="shared" si="23"/>
        <v>3</v>
      </c>
      <c r="H219" s="110"/>
      <c r="I219" s="111">
        <v>679</v>
      </c>
      <c r="J219" s="109" t="str">
        <f t="shared" si="24"/>
        <v>26</v>
      </c>
      <c r="K219" s="109" t="s">
        <v>101</v>
      </c>
      <c r="L219" s="109" t="s">
        <v>772</v>
      </c>
      <c r="M219" s="111">
        <v>38</v>
      </c>
      <c r="N219" s="110">
        <v>358</v>
      </c>
      <c r="O219" s="105">
        <f t="shared" si="25"/>
        <v>312.39999999999998</v>
      </c>
      <c r="P219" s="112">
        <v>9.6000000000000002E-2</v>
      </c>
      <c r="Q219" s="113">
        <v>5.3730000000000002E-3</v>
      </c>
      <c r="R219" s="107">
        <f t="shared" si="26"/>
        <v>5.3730000000000002</v>
      </c>
      <c r="S219" s="105">
        <f t="shared" si="27"/>
        <v>460.08836524300438</v>
      </c>
      <c r="T219" s="114">
        <f>IFERROR(INDEX('MASTER por modelo'!$AQ$8:$AQ$474,MATCH(K219,'MASTER por modelo'!$D$8:$D$474,0)),"")</f>
        <v>0.58077059031459877</v>
      </c>
      <c r="U219" s="115">
        <f>IFERROR(INDEX('MASTER por modelo'!$AC$8:$AC$474,MATCH(K219,'MASTER por modelo'!$D$8:$D$474,0))+INDEX('MASTER por modelo'!$AD$8:$AD$474,MATCH(K219,'MASTER por modelo'!$D$8:$D$474,0)),"")</f>
        <v>1643</v>
      </c>
      <c r="V219" s="93"/>
    </row>
    <row r="220" spans="1:22" x14ac:dyDescent="0.25">
      <c r="A220" s="109" t="s">
        <v>55</v>
      </c>
      <c r="B220" s="109" t="s">
        <v>99</v>
      </c>
      <c r="C220" s="109" t="s">
        <v>100</v>
      </c>
      <c r="D220" s="103">
        <f t="shared" si="21"/>
        <v>68.337298431695999</v>
      </c>
      <c r="E220" s="110">
        <v>3.6480000000000001</v>
      </c>
      <c r="F220" s="110">
        <f t="shared" si="22"/>
        <v>2.3688311688311687</v>
      </c>
      <c r="G220" s="110">
        <f t="shared" si="23"/>
        <v>3</v>
      </c>
      <c r="H220" s="110"/>
      <c r="I220" s="111">
        <v>699</v>
      </c>
      <c r="J220" s="109" t="str">
        <f t="shared" si="24"/>
        <v>26</v>
      </c>
      <c r="K220" s="109" t="s">
        <v>275</v>
      </c>
      <c r="L220" s="109" t="s">
        <v>785</v>
      </c>
      <c r="M220" s="111">
        <v>38</v>
      </c>
      <c r="N220" s="110">
        <v>294.89999999999998</v>
      </c>
      <c r="O220" s="105">
        <f t="shared" si="25"/>
        <v>249.29999999999998</v>
      </c>
      <c r="P220" s="112">
        <v>9.6000000000000002E-2</v>
      </c>
      <c r="Q220" s="113">
        <v>5.2189999999999997E-3</v>
      </c>
      <c r="R220" s="107">
        <f t="shared" si="26"/>
        <v>5.2189999999999994</v>
      </c>
      <c r="S220" s="105">
        <f t="shared" si="27"/>
        <v>356.65236051502143</v>
      </c>
      <c r="T220" s="114">
        <f>IFERROR(INDEX('MASTER por modelo'!$AQ$8:$AQ$474,MATCH(K220,'MASTER por modelo'!$D$8:$D$474,0)),"")</f>
        <v>0.37768240343347642</v>
      </c>
      <c r="U220" s="115">
        <f>IFERROR(INDEX('MASTER por modelo'!$AC$8:$AC$474,MATCH(K220,'MASTER por modelo'!$D$8:$D$474,0))+INDEX('MASTER por modelo'!$AD$8:$AD$474,MATCH(K220,'MASTER por modelo'!$D$8:$D$474,0)),"")</f>
        <v>264</v>
      </c>
      <c r="V220" s="93"/>
    </row>
    <row r="221" spans="1:22" x14ac:dyDescent="0.25">
      <c r="A221" s="109" t="s">
        <v>63</v>
      </c>
      <c r="B221" s="109" t="s">
        <v>102</v>
      </c>
      <c r="C221" s="109" t="s">
        <v>132</v>
      </c>
      <c r="D221" s="103">
        <f t="shared" si="21"/>
        <v>252.66962517575823</v>
      </c>
      <c r="E221" s="110">
        <v>3.552</v>
      </c>
      <c r="F221" s="110">
        <f t="shared" si="22"/>
        <v>2.3064935064935064</v>
      </c>
      <c r="G221" s="110">
        <f t="shared" si="23"/>
        <v>3</v>
      </c>
      <c r="H221" s="110"/>
      <c r="I221" s="111">
        <v>1471</v>
      </c>
      <c r="J221" s="109" t="str">
        <f t="shared" si="24"/>
        <v>26</v>
      </c>
      <c r="K221" s="109" t="s">
        <v>277</v>
      </c>
      <c r="L221" s="109" t="s">
        <v>777</v>
      </c>
      <c r="M221" s="111">
        <v>37</v>
      </c>
      <c r="N221" s="110">
        <v>942</v>
      </c>
      <c r="O221" s="105">
        <f t="shared" si="25"/>
        <v>897.6</v>
      </c>
      <c r="P221" s="112">
        <v>9.6000000000000002E-2</v>
      </c>
      <c r="Q221" s="113">
        <v>2.415E-3</v>
      </c>
      <c r="R221" s="107">
        <f t="shared" si="26"/>
        <v>2.415</v>
      </c>
      <c r="S221" s="105">
        <f t="shared" si="27"/>
        <v>610.19714479945617</v>
      </c>
      <c r="T221" s="114">
        <f>IFERROR(INDEX('MASTER por modelo'!$AQ$8:$AQ$474,MATCH(K221,'MASTER por modelo'!$D$8:$D$474,0)),"")</f>
        <v>0.57579877634262411</v>
      </c>
      <c r="U221" s="115">
        <f>IFERROR(INDEX('MASTER por modelo'!$AC$8:$AC$474,MATCH(K221,'MASTER por modelo'!$D$8:$D$474,0))+INDEX('MASTER por modelo'!$AD$8:$AD$474,MATCH(K221,'MASTER por modelo'!$D$8:$D$474,0)),"")</f>
        <v>847</v>
      </c>
      <c r="V221" s="93"/>
    </row>
    <row r="222" spans="1:22" x14ac:dyDescent="0.25">
      <c r="A222" s="109" t="s">
        <v>63</v>
      </c>
      <c r="B222" s="109" t="s">
        <v>102</v>
      </c>
      <c r="C222" s="109" t="s">
        <v>132</v>
      </c>
      <c r="D222" s="103">
        <f t="shared" si="21"/>
        <v>276.91067237830123</v>
      </c>
      <c r="E222" s="110">
        <v>3.552</v>
      </c>
      <c r="F222" s="110">
        <f t="shared" si="22"/>
        <v>2.3064935064935064</v>
      </c>
      <c r="G222" s="110">
        <f t="shared" si="23"/>
        <v>3</v>
      </c>
      <c r="H222" s="110"/>
      <c r="I222" s="111">
        <v>1451</v>
      </c>
      <c r="J222" s="109" t="str">
        <f t="shared" si="24"/>
        <v>26</v>
      </c>
      <c r="K222" s="109" t="s">
        <v>278</v>
      </c>
      <c r="L222" s="109" t="s">
        <v>777</v>
      </c>
      <c r="M222" s="111">
        <v>37</v>
      </c>
      <c r="N222" s="110">
        <v>1028</v>
      </c>
      <c r="O222" s="105">
        <f t="shared" si="25"/>
        <v>983.6</v>
      </c>
      <c r="P222" s="112">
        <v>9.6000000000000002E-2</v>
      </c>
      <c r="Q222" s="113">
        <v>2.4480000000000001E-3</v>
      </c>
      <c r="R222" s="107">
        <f t="shared" si="26"/>
        <v>2.448</v>
      </c>
      <c r="S222" s="105">
        <f t="shared" si="27"/>
        <v>677.8773259820814</v>
      </c>
      <c r="T222" s="114">
        <f>IFERROR(INDEX('MASTER por modelo'!$AQ$8:$AQ$474,MATCH(K222,'MASTER por modelo'!$D$8:$D$474,0)),"")</f>
        <v>0.63197794624396963</v>
      </c>
      <c r="U222" s="115">
        <f>IFERROR(INDEX('MASTER por modelo'!$AC$8:$AC$474,MATCH(K222,'MASTER por modelo'!$D$8:$D$474,0))+INDEX('MASTER por modelo'!$AD$8:$AD$474,MATCH(K222,'MASTER por modelo'!$D$8:$D$474,0)),"")</f>
        <v>917</v>
      </c>
      <c r="V222" s="93"/>
    </row>
    <row r="223" spans="1:22" x14ac:dyDescent="0.25">
      <c r="A223" s="109" t="s">
        <v>63</v>
      </c>
      <c r="B223" s="109" t="s">
        <v>110</v>
      </c>
      <c r="C223" s="109" t="s">
        <v>100</v>
      </c>
      <c r="D223" s="103">
        <f t="shared" si="21"/>
        <v>85.443256246718448</v>
      </c>
      <c r="E223" s="110">
        <v>3.552</v>
      </c>
      <c r="F223" s="110">
        <f t="shared" si="22"/>
        <v>2.3064935064935064</v>
      </c>
      <c r="G223" s="110">
        <f t="shared" si="23"/>
        <v>3</v>
      </c>
      <c r="H223" s="110"/>
      <c r="I223" s="111">
        <v>655</v>
      </c>
      <c r="J223" s="109" t="str">
        <f t="shared" si="24"/>
        <v>26</v>
      </c>
      <c r="K223" s="109" t="s">
        <v>279</v>
      </c>
      <c r="L223" s="109" t="s">
        <v>758</v>
      </c>
      <c r="M223" s="111">
        <v>37</v>
      </c>
      <c r="N223" s="110">
        <v>347.9</v>
      </c>
      <c r="O223" s="105">
        <f t="shared" si="25"/>
        <v>303.5</v>
      </c>
      <c r="P223" s="112">
        <v>9.6000000000000002E-2</v>
      </c>
      <c r="Q223" s="113">
        <v>5.4229999999999999E-3</v>
      </c>
      <c r="R223" s="107">
        <f t="shared" si="26"/>
        <v>5.423</v>
      </c>
      <c r="S223" s="105">
        <f t="shared" si="27"/>
        <v>463.35877862595419</v>
      </c>
      <c r="T223" s="114">
        <f>IFERROR(INDEX('MASTER por modelo'!$AQ$8:$AQ$474,MATCH(K223,'MASTER por modelo'!$D$8:$D$474,0)),"")</f>
        <v>3.9694656488549619E-2</v>
      </c>
      <c r="U223" s="115">
        <f>IFERROR(INDEX('MASTER por modelo'!$AC$8:$AC$474,MATCH(K223,'MASTER por modelo'!$D$8:$D$474,0))+INDEX('MASTER por modelo'!$AD$8:$AD$474,MATCH(K223,'MASTER por modelo'!$D$8:$D$474,0)),"")</f>
        <v>26</v>
      </c>
      <c r="V223" s="93"/>
    </row>
    <row r="224" spans="1:22" x14ac:dyDescent="0.25">
      <c r="A224" s="109" t="s">
        <v>63</v>
      </c>
      <c r="B224" s="109" t="s">
        <v>84</v>
      </c>
      <c r="C224" s="109" t="s">
        <v>94</v>
      </c>
      <c r="D224" s="103">
        <f t="shared" si="21"/>
        <v>132.82812632053412</v>
      </c>
      <c r="E224" s="110">
        <v>3.55</v>
      </c>
      <c r="F224" s="110">
        <f t="shared" si="22"/>
        <v>2.3051948051948052</v>
      </c>
      <c r="G224" s="110">
        <f t="shared" si="23"/>
        <v>3</v>
      </c>
      <c r="H224" s="110"/>
      <c r="I224" s="111">
        <v>700</v>
      </c>
      <c r="J224" s="109" t="str">
        <f t="shared" si="24"/>
        <v>26</v>
      </c>
      <c r="K224" s="109" t="s">
        <v>280</v>
      </c>
      <c r="L224" s="109" t="s">
        <v>737</v>
      </c>
      <c r="M224" s="111">
        <v>37</v>
      </c>
      <c r="N224" s="110">
        <v>515.9</v>
      </c>
      <c r="O224" s="105">
        <f t="shared" si="25"/>
        <v>471.5</v>
      </c>
      <c r="P224" s="112">
        <v>9.5899999999999999E-2</v>
      </c>
      <c r="Q224" s="113">
        <v>5.071E-3</v>
      </c>
      <c r="R224" s="107">
        <f t="shared" si="26"/>
        <v>5.0709999999999997</v>
      </c>
      <c r="S224" s="105">
        <f t="shared" si="27"/>
        <v>673.57142857142856</v>
      </c>
      <c r="T224" s="114">
        <f>IFERROR(INDEX('MASTER por modelo'!$AQ$8:$AQ$474,MATCH(K224,'MASTER por modelo'!$D$8:$D$474,0)),"")</f>
        <v>0.73142857142857143</v>
      </c>
      <c r="U224" s="115">
        <f>IFERROR(INDEX('MASTER por modelo'!$AC$8:$AC$474,MATCH(K224,'MASTER por modelo'!$D$8:$D$474,0))+INDEX('MASTER por modelo'!$AD$8:$AD$474,MATCH(K224,'MASTER por modelo'!$D$8:$D$474,0)),"")</f>
        <v>512</v>
      </c>
      <c r="V224" s="93"/>
    </row>
    <row r="225" spans="1:22" x14ac:dyDescent="0.25">
      <c r="A225" s="109" t="s">
        <v>63</v>
      </c>
      <c r="B225" s="109" t="s">
        <v>102</v>
      </c>
      <c r="C225" s="109" t="s">
        <v>132</v>
      </c>
      <c r="D225" s="103">
        <f t="shared" si="21"/>
        <v>270.44166352289324</v>
      </c>
      <c r="E225" s="110">
        <v>3.456</v>
      </c>
      <c r="F225" s="110">
        <f t="shared" si="22"/>
        <v>2.244155844155844</v>
      </c>
      <c r="G225" s="110">
        <f t="shared" si="23"/>
        <v>3</v>
      </c>
      <c r="H225" s="110"/>
      <c r="I225" s="111">
        <v>1268</v>
      </c>
      <c r="J225" s="109" t="str">
        <f t="shared" si="24"/>
        <v>26</v>
      </c>
      <c r="K225" s="109" t="s">
        <v>281</v>
      </c>
      <c r="L225" s="109" t="s">
        <v>777</v>
      </c>
      <c r="M225" s="111">
        <v>36</v>
      </c>
      <c r="N225" s="110">
        <v>978</v>
      </c>
      <c r="O225" s="105">
        <f t="shared" si="25"/>
        <v>934.8</v>
      </c>
      <c r="P225" s="112">
        <v>9.6000000000000002E-2</v>
      </c>
      <c r="Q225" s="113">
        <v>2.7260000000000001E-3</v>
      </c>
      <c r="R225" s="107">
        <f t="shared" si="26"/>
        <v>2.726</v>
      </c>
      <c r="S225" s="105">
        <f t="shared" si="27"/>
        <v>737.223974763407</v>
      </c>
      <c r="T225" s="114">
        <f>IFERROR(INDEX('MASTER por modelo'!$AQ$8:$AQ$474,MATCH(K225,'MASTER por modelo'!$D$8:$D$474,0)),"")</f>
        <v>0.59621451104100942</v>
      </c>
      <c r="U225" s="115">
        <f>IFERROR(INDEX('MASTER por modelo'!$AC$8:$AC$474,MATCH(K225,'MASTER por modelo'!$D$8:$D$474,0))+INDEX('MASTER por modelo'!$AD$8:$AD$474,MATCH(K225,'MASTER por modelo'!$D$8:$D$474,0)),"")</f>
        <v>756</v>
      </c>
      <c r="V225" s="93"/>
    </row>
    <row r="226" spans="1:22" x14ac:dyDescent="0.25">
      <c r="A226" s="109" t="s">
        <v>63</v>
      </c>
      <c r="B226" s="109" t="s">
        <v>64</v>
      </c>
      <c r="C226" s="109" t="s">
        <v>66</v>
      </c>
      <c r="D226" s="103">
        <f t="shared" si="21"/>
        <v>114.93966824916097</v>
      </c>
      <c r="E226" s="110">
        <v>3.456</v>
      </c>
      <c r="F226" s="110">
        <f t="shared" si="22"/>
        <v>2.244155844155844</v>
      </c>
      <c r="G226" s="110">
        <f t="shared" si="23"/>
        <v>3</v>
      </c>
      <c r="H226" s="110"/>
      <c r="I226" s="111">
        <v>697</v>
      </c>
      <c r="J226" s="109" t="str">
        <f t="shared" si="24"/>
        <v>26</v>
      </c>
      <c r="K226" s="109" t="s">
        <v>164</v>
      </c>
      <c r="L226" s="109" t="s">
        <v>746</v>
      </c>
      <c r="M226" s="111">
        <v>36</v>
      </c>
      <c r="N226" s="110">
        <v>440.4</v>
      </c>
      <c r="O226" s="105">
        <f t="shared" si="25"/>
        <v>397.2</v>
      </c>
      <c r="P226" s="112">
        <v>9.6000000000000002E-2</v>
      </c>
      <c r="Q226" s="113">
        <v>4.9579999999999997E-3</v>
      </c>
      <c r="R226" s="107">
        <f t="shared" si="26"/>
        <v>4.9579999999999993</v>
      </c>
      <c r="S226" s="105">
        <f t="shared" si="27"/>
        <v>569.87087517934003</v>
      </c>
      <c r="T226" s="114">
        <f>IFERROR(INDEX('MASTER por modelo'!$AQ$8:$AQ$474,MATCH(K226,'MASTER por modelo'!$D$8:$D$474,0)),"")</f>
        <v>0.65458422174840081</v>
      </c>
      <c r="U226" s="115">
        <f>IFERROR(INDEX('MASTER por modelo'!$AC$8:$AC$474,MATCH(K226,'MASTER por modelo'!$D$8:$D$474,0))+INDEX('MASTER por modelo'!$AD$8:$AD$474,MATCH(K226,'MASTER por modelo'!$D$8:$D$474,0)),"")</f>
        <v>921</v>
      </c>
      <c r="V226" s="93"/>
    </row>
    <row r="227" spans="1:22" x14ac:dyDescent="0.25">
      <c r="A227" s="109" t="s">
        <v>63</v>
      </c>
      <c r="B227" s="109" t="s">
        <v>64</v>
      </c>
      <c r="C227" s="109" t="s">
        <v>87</v>
      </c>
      <c r="D227" s="103">
        <f t="shared" si="21"/>
        <v>148.67457398571125</v>
      </c>
      <c r="E227" s="110">
        <v>3.456</v>
      </c>
      <c r="F227" s="110">
        <f t="shared" si="22"/>
        <v>2.244155844155844</v>
      </c>
      <c r="G227" s="110">
        <f t="shared" si="23"/>
        <v>3</v>
      </c>
      <c r="H227" s="110"/>
      <c r="I227" s="111">
        <v>706</v>
      </c>
      <c r="J227" s="109" t="str">
        <f t="shared" si="24"/>
        <v>27</v>
      </c>
      <c r="K227" s="109" t="s">
        <v>282</v>
      </c>
      <c r="L227" s="109" t="s">
        <v>786</v>
      </c>
      <c r="M227" s="111">
        <v>36</v>
      </c>
      <c r="N227" s="110">
        <v>557</v>
      </c>
      <c r="O227" s="105">
        <f t="shared" si="25"/>
        <v>513.79999999999995</v>
      </c>
      <c r="P227" s="112">
        <v>9.6000000000000002E-2</v>
      </c>
      <c r="Q227" s="113">
        <v>4.895E-3</v>
      </c>
      <c r="R227" s="107">
        <f t="shared" si="26"/>
        <v>4.8950000000000005</v>
      </c>
      <c r="S227" s="105">
        <f t="shared" si="27"/>
        <v>727.76203966005664</v>
      </c>
      <c r="T227" s="114">
        <f>IFERROR(INDEX('MASTER por modelo'!$AQ$8:$AQ$474,MATCH(K227,'MASTER por modelo'!$D$8:$D$474,0)),"")</f>
        <v>0</v>
      </c>
      <c r="U227" s="115">
        <f>IFERROR(INDEX('MASTER por modelo'!$AC$8:$AC$474,MATCH(K227,'MASTER por modelo'!$D$8:$D$474,0))+INDEX('MASTER por modelo'!$AD$8:$AD$474,MATCH(K227,'MASTER por modelo'!$D$8:$D$474,0)),"")</f>
        <v>0</v>
      </c>
      <c r="V227" s="93"/>
    </row>
    <row r="228" spans="1:22" x14ac:dyDescent="0.25">
      <c r="A228" s="109" t="s">
        <v>55</v>
      </c>
      <c r="B228" s="109" t="s">
        <v>182</v>
      </c>
      <c r="C228" s="109" t="s">
        <v>283</v>
      </c>
      <c r="D228" s="103">
        <f t="shared" si="21"/>
        <v>87.767193308550191</v>
      </c>
      <c r="E228" s="110">
        <v>3.4430000000000001</v>
      </c>
      <c r="F228" s="110">
        <f t="shared" si="22"/>
        <v>2.2357142857142858</v>
      </c>
      <c r="G228" s="110">
        <f t="shared" si="23"/>
        <v>3</v>
      </c>
      <c r="H228" s="110"/>
      <c r="I228" s="111">
        <v>400</v>
      </c>
      <c r="J228" s="109" t="str">
        <f t="shared" si="24"/>
        <v>26</v>
      </c>
      <c r="K228" s="109" t="s">
        <v>284</v>
      </c>
      <c r="L228" s="109" t="s">
        <v>763</v>
      </c>
      <c r="M228" s="111">
        <v>34</v>
      </c>
      <c r="N228" s="110">
        <v>343</v>
      </c>
      <c r="O228" s="105">
        <f t="shared" si="25"/>
        <v>302.2</v>
      </c>
      <c r="P228" s="112">
        <v>0.1013</v>
      </c>
      <c r="Q228" s="113">
        <v>8.6079999999999993E-3</v>
      </c>
      <c r="R228" s="107">
        <f t="shared" si="26"/>
        <v>8.6079999999999988</v>
      </c>
      <c r="S228" s="105">
        <f t="shared" si="27"/>
        <v>755.5</v>
      </c>
      <c r="T228" s="114">
        <f>IFERROR(INDEX('MASTER por modelo'!$AQ$8:$AQ$474,MATCH(K228,'MASTER por modelo'!$D$8:$D$474,0)),"")</f>
        <v>0.33500000000000002</v>
      </c>
      <c r="U228" s="115">
        <f>IFERROR(INDEX('MASTER por modelo'!$AC$8:$AC$474,MATCH(K228,'MASTER por modelo'!$D$8:$D$474,0))+INDEX('MASTER por modelo'!$AD$8:$AD$474,MATCH(K228,'MASTER por modelo'!$D$8:$D$474,0)),"")</f>
        <v>134</v>
      </c>
      <c r="V228" s="93"/>
    </row>
    <row r="229" spans="1:22" x14ac:dyDescent="0.25">
      <c r="A229" s="109" t="s">
        <v>63</v>
      </c>
      <c r="B229" s="109" t="s">
        <v>102</v>
      </c>
      <c r="C229" s="109" t="s">
        <v>103</v>
      </c>
      <c r="D229" s="103">
        <f t="shared" si="21"/>
        <v>218.22808029704578</v>
      </c>
      <c r="E229" s="110">
        <v>3.38</v>
      </c>
      <c r="F229" s="110">
        <f t="shared" si="22"/>
        <v>2.1948051948051948</v>
      </c>
      <c r="G229" s="110">
        <f t="shared" si="23"/>
        <v>3</v>
      </c>
      <c r="H229" s="110"/>
      <c r="I229" s="111">
        <v>1110</v>
      </c>
      <c r="J229" s="109" t="str">
        <f t="shared" si="24"/>
        <v>26</v>
      </c>
      <c r="K229" s="109" t="s">
        <v>185</v>
      </c>
      <c r="L229" s="109" t="s">
        <v>787</v>
      </c>
      <c r="M229" s="111">
        <v>47</v>
      </c>
      <c r="N229" s="110">
        <v>794</v>
      </c>
      <c r="O229" s="105">
        <f t="shared" si="25"/>
        <v>737.6</v>
      </c>
      <c r="P229" s="112">
        <v>7.1900000000000006E-2</v>
      </c>
      <c r="Q229" s="113">
        <v>3.045E-3</v>
      </c>
      <c r="R229" s="107">
        <f t="shared" si="26"/>
        <v>3.0449999999999999</v>
      </c>
      <c r="S229" s="105">
        <f t="shared" si="27"/>
        <v>664.50450450450444</v>
      </c>
      <c r="T229" s="114">
        <f>IFERROR(INDEX('MASTER por modelo'!$AQ$8:$AQ$474,MATCH(K229,'MASTER por modelo'!$D$8:$D$474,0)),"")</f>
        <v>0.7221706864564007</v>
      </c>
      <c r="U229" s="115">
        <f>IFERROR(INDEX('MASTER por modelo'!$AC$8:$AC$474,MATCH(K229,'MASTER por modelo'!$D$8:$D$474,0))+INDEX('MASTER por modelo'!$AD$8:$AD$474,MATCH(K229,'MASTER por modelo'!$D$8:$D$474,0)),"")</f>
        <v>1557</v>
      </c>
      <c r="V229" s="93"/>
    </row>
    <row r="230" spans="1:22" x14ac:dyDescent="0.25">
      <c r="A230" s="109" t="s">
        <v>55</v>
      </c>
      <c r="B230" s="109" t="s">
        <v>99</v>
      </c>
      <c r="C230" s="109" t="s">
        <v>100</v>
      </c>
      <c r="D230" s="103">
        <f t="shared" si="21"/>
        <v>106.93452380952382</v>
      </c>
      <c r="E230" s="110">
        <v>3.36</v>
      </c>
      <c r="F230" s="110">
        <f t="shared" si="22"/>
        <v>2.1818181818181817</v>
      </c>
      <c r="G230" s="110">
        <f t="shared" si="23"/>
        <v>3</v>
      </c>
      <c r="H230" s="110"/>
      <c r="I230" s="111">
        <v>700</v>
      </c>
      <c r="J230" s="109" t="str">
        <f t="shared" si="24"/>
        <v>26</v>
      </c>
      <c r="K230" s="109" t="s">
        <v>285</v>
      </c>
      <c r="L230" s="109" t="s">
        <v>772</v>
      </c>
      <c r="M230" s="111">
        <v>35</v>
      </c>
      <c r="N230" s="110">
        <v>401.3</v>
      </c>
      <c r="O230" s="105">
        <f t="shared" si="25"/>
        <v>359.3</v>
      </c>
      <c r="P230" s="112">
        <v>9.6000000000000002E-2</v>
      </c>
      <c r="Q230" s="113">
        <v>4.7999999999999996E-3</v>
      </c>
      <c r="R230" s="107">
        <f t="shared" si="26"/>
        <v>4.8</v>
      </c>
      <c r="S230" s="105">
        <f t="shared" si="27"/>
        <v>513.28571428571433</v>
      </c>
      <c r="T230" s="114">
        <f>IFERROR(INDEX('MASTER por modelo'!$AQ$8:$AQ$474,MATCH(K230,'MASTER por modelo'!$D$8:$D$474,0)),"")</f>
        <v>0.24285714285714285</v>
      </c>
      <c r="U230" s="115">
        <f>IFERROR(INDEX('MASTER por modelo'!$AC$8:$AC$474,MATCH(K230,'MASTER por modelo'!$D$8:$D$474,0))+INDEX('MASTER por modelo'!$AD$8:$AD$474,MATCH(K230,'MASTER por modelo'!$D$8:$D$474,0)),"")</f>
        <v>170</v>
      </c>
      <c r="V230" s="93"/>
    </row>
    <row r="231" spans="1:22" x14ac:dyDescent="0.25">
      <c r="A231" s="109" t="s">
        <v>63</v>
      </c>
      <c r="B231" s="109" t="s">
        <v>84</v>
      </c>
      <c r="C231" s="109" t="s">
        <v>286</v>
      </c>
      <c r="D231" s="103">
        <f t="shared" si="21"/>
        <v>136.61091601690379</v>
      </c>
      <c r="E231" s="110">
        <v>3.36</v>
      </c>
      <c r="F231" s="110">
        <f t="shared" si="22"/>
        <v>2.1818181818181817</v>
      </c>
      <c r="G231" s="110">
        <f t="shared" si="23"/>
        <v>3</v>
      </c>
      <c r="H231" s="110"/>
      <c r="I231" s="111">
        <v>634</v>
      </c>
      <c r="J231" s="109" t="str">
        <f t="shared" si="24"/>
        <v>26</v>
      </c>
      <c r="K231" s="109" t="s">
        <v>287</v>
      </c>
      <c r="L231" s="109" t="s">
        <v>788</v>
      </c>
      <c r="M231" s="111">
        <v>35</v>
      </c>
      <c r="N231" s="110">
        <v>501.04</v>
      </c>
      <c r="O231" s="105">
        <f t="shared" si="25"/>
        <v>459.04</v>
      </c>
      <c r="P231" s="112">
        <v>9.6000000000000002E-2</v>
      </c>
      <c r="Q231" s="113">
        <v>5.3E-3</v>
      </c>
      <c r="R231" s="107">
        <f t="shared" si="26"/>
        <v>5.3</v>
      </c>
      <c r="S231" s="105">
        <f t="shared" si="27"/>
        <v>724.03785488958999</v>
      </c>
      <c r="T231" s="114">
        <f>IFERROR(INDEX('MASTER por modelo'!$AQ$8:$AQ$474,MATCH(K231,'MASTER por modelo'!$D$8:$D$474,0)),"")</f>
        <v>0</v>
      </c>
      <c r="U231" s="115">
        <f>IFERROR(INDEX('MASTER por modelo'!$AC$8:$AC$474,MATCH(K231,'MASTER por modelo'!$D$8:$D$474,0))+INDEX('MASTER por modelo'!$AD$8:$AD$474,MATCH(K231,'MASTER por modelo'!$D$8:$D$474,0)),"")</f>
        <v>0</v>
      </c>
      <c r="V231" s="93"/>
    </row>
    <row r="232" spans="1:22" x14ac:dyDescent="0.25">
      <c r="A232" s="109" t="s">
        <v>63</v>
      </c>
      <c r="B232" s="109" t="s">
        <v>171</v>
      </c>
      <c r="C232" s="109" t="s">
        <v>172</v>
      </c>
      <c r="D232" s="103">
        <f t="shared" si="21"/>
        <v>141.52298850574712</v>
      </c>
      <c r="E232" s="110">
        <v>3.3410000000000002</v>
      </c>
      <c r="F232" s="110">
        <f t="shared" si="22"/>
        <v>2.1694805194805196</v>
      </c>
      <c r="G232" s="110">
        <f t="shared" si="23"/>
        <v>3</v>
      </c>
      <c r="H232" s="110"/>
      <c r="I232" s="111">
        <v>480</v>
      </c>
      <c r="J232" s="109" t="str">
        <f t="shared" si="24"/>
        <v>26</v>
      </c>
      <c r="K232" s="109" t="s">
        <v>199</v>
      </c>
      <c r="L232" s="109" t="s">
        <v>732</v>
      </c>
      <c r="M232" s="111">
        <v>32</v>
      </c>
      <c r="N232" s="110">
        <v>511.2</v>
      </c>
      <c r="O232" s="105">
        <f t="shared" si="25"/>
        <v>472.8</v>
      </c>
      <c r="P232" s="112">
        <v>0.10440000000000001</v>
      </c>
      <c r="Q232" s="113">
        <v>6.96E-3</v>
      </c>
      <c r="R232" s="107">
        <f t="shared" si="26"/>
        <v>6.96</v>
      </c>
      <c r="S232" s="105">
        <f t="shared" si="27"/>
        <v>985</v>
      </c>
      <c r="T232" s="114">
        <f>IFERROR(INDEX('MASTER por modelo'!$AQ$8:$AQ$474,MATCH(K232,'MASTER por modelo'!$D$8:$D$474,0)),"")</f>
        <v>0.36948748510131108</v>
      </c>
      <c r="U232" s="115">
        <f>IFERROR(INDEX('MASTER por modelo'!$AC$8:$AC$474,MATCH(K232,'MASTER por modelo'!$D$8:$D$474,0))+INDEX('MASTER por modelo'!$AD$8:$AD$474,MATCH(K232,'MASTER por modelo'!$D$8:$D$474,0)),"")</f>
        <v>310</v>
      </c>
      <c r="V232" s="93"/>
    </row>
    <row r="233" spans="1:22" x14ac:dyDescent="0.25">
      <c r="A233" s="109" t="s">
        <v>63</v>
      </c>
      <c r="B233" s="109" t="s">
        <v>288</v>
      </c>
      <c r="C233" s="109" t="s">
        <v>289</v>
      </c>
      <c r="D233" s="103">
        <f t="shared" si="21"/>
        <v>190.65633819732182</v>
      </c>
      <c r="E233" s="110">
        <v>3.2639999999999998</v>
      </c>
      <c r="F233" s="110">
        <f t="shared" si="22"/>
        <v>2.1194805194805193</v>
      </c>
      <c r="G233" s="110">
        <f t="shared" si="23"/>
        <v>3</v>
      </c>
      <c r="H233" s="110"/>
      <c r="I233" s="111">
        <v>1586</v>
      </c>
      <c r="J233" s="109" t="str">
        <f t="shared" si="24"/>
        <v>26</v>
      </c>
      <c r="K233" s="109" t="s">
        <v>290</v>
      </c>
      <c r="L233" s="109" t="s">
        <v>789</v>
      </c>
      <c r="M233" s="111">
        <v>34</v>
      </c>
      <c r="N233" s="110">
        <v>663.1</v>
      </c>
      <c r="O233" s="105">
        <f t="shared" si="25"/>
        <v>622.30000000000007</v>
      </c>
      <c r="P233" s="112">
        <v>9.6000000000000002E-2</v>
      </c>
      <c r="Q233" s="113">
        <v>2.0579999999999999E-3</v>
      </c>
      <c r="R233" s="107">
        <f t="shared" si="26"/>
        <v>2.0579999999999998</v>
      </c>
      <c r="S233" s="105">
        <f t="shared" si="27"/>
        <v>392.37074401008829</v>
      </c>
      <c r="T233" s="114">
        <f>IFERROR(INDEX('MASTER por modelo'!$AQ$8:$AQ$474,MATCH(K233,'MASTER por modelo'!$D$8:$D$474,0)),"")</f>
        <v>0.96847414880201765</v>
      </c>
      <c r="U233" s="115">
        <f>IFERROR(INDEX('MASTER por modelo'!$AC$8:$AC$474,MATCH(K233,'MASTER por modelo'!$D$8:$D$474,0))+INDEX('MASTER por modelo'!$AD$8:$AD$474,MATCH(K233,'MASTER por modelo'!$D$8:$D$474,0)),"")</f>
        <v>1536</v>
      </c>
      <c r="V233" s="93"/>
    </row>
    <row r="234" spans="1:22" x14ac:dyDescent="0.25">
      <c r="A234" s="109" t="s">
        <v>55</v>
      </c>
      <c r="B234" s="109" t="s">
        <v>56</v>
      </c>
      <c r="C234" s="109" t="s">
        <v>57</v>
      </c>
      <c r="D234" s="103">
        <f t="shared" si="21"/>
        <v>82.291666666666643</v>
      </c>
      <c r="E234" s="110">
        <v>3.2639999999999998</v>
      </c>
      <c r="F234" s="110">
        <f t="shared" si="22"/>
        <v>2.1194805194805193</v>
      </c>
      <c r="G234" s="110">
        <f t="shared" si="23"/>
        <v>3</v>
      </c>
      <c r="H234" s="110"/>
      <c r="I234" s="111">
        <v>272</v>
      </c>
      <c r="J234" s="109" t="str">
        <f t="shared" si="24"/>
        <v>26</v>
      </c>
      <c r="K234" s="109" t="s">
        <v>62</v>
      </c>
      <c r="L234" s="109" t="s">
        <v>740</v>
      </c>
      <c r="M234" s="111">
        <v>34</v>
      </c>
      <c r="N234" s="110">
        <v>309.39999999999998</v>
      </c>
      <c r="O234" s="105">
        <f t="shared" si="25"/>
        <v>268.59999999999997</v>
      </c>
      <c r="P234" s="112">
        <v>9.6000000000000002E-2</v>
      </c>
      <c r="Q234" s="113">
        <v>1.2E-2</v>
      </c>
      <c r="R234" s="107">
        <f t="shared" si="26"/>
        <v>12</v>
      </c>
      <c r="S234" s="105">
        <f t="shared" si="27"/>
        <v>987.49999999999977</v>
      </c>
      <c r="T234" s="114">
        <f>IFERROR(INDEX('MASTER por modelo'!$AQ$8:$AQ$474,MATCH(K234,'MASTER por modelo'!$D$8:$D$474,0)),"")</f>
        <v>0.10677344010677343</v>
      </c>
      <c r="U234" s="115">
        <f>IFERROR(INDEX('MASTER por modelo'!$AC$8:$AC$474,MATCH(K234,'MASTER por modelo'!$D$8:$D$474,0))+INDEX('MASTER por modelo'!$AD$8:$AD$474,MATCH(K234,'MASTER por modelo'!$D$8:$D$474,0)),"")</f>
        <v>640</v>
      </c>
      <c r="V234" s="93"/>
    </row>
    <row r="235" spans="1:22" x14ac:dyDescent="0.25">
      <c r="A235" s="109" t="s">
        <v>63</v>
      </c>
      <c r="B235" s="109" t="s">
        <v>110</v>
      </c>
      <c r="C235" s="109" t="s">
        <v>100</v>
      </c>
      <c r="D235" s="103">
        <f t="shared" si="21"/>
        <v>134.63247234733586</v>
      </c>
      <c r="E235" s="110">
        <v>3.2639999999999998</v>
      </c>
      <c r="F235" s="110">
        <f t="shared" si="22"/>
        <v>2.1194805194805193</v>
      </c>
      <c r="G235" s="110">
        <f t="shared" si="23"/>
        <v>3</v>
      </c>
      <c r="H235" s="110"/>
      <c r="I235" s="111">
        <v>690</v>
      </c>
      <c r="J235" s="109" t="str">
        <f t="shared" si="24"/>
        <v>26</v>
      </c>
      <c r="K235" s="109" t="s">
        <v>291</v>
      </c>
      <c r="L235" s="109" t="s">
        <v>758</v>
      </c>
      <c r="M235" s="111">
        <v>34</v>
      </c>
      <c r="N235" s="110">
        <v>480.2</v>
      </c>
      <c r="O235" s="105">
        <f t="shared" si="25"/>
        <v>439.4</v>
      </c>
      <c r="P235" s="112">
        <v>9.6000000000000002E-2</v>
      </c>
      <c r="Q235" s="113">
        <v>4.7299999999999998E-3</v>
      </c>
      <c r="R235" s="107">
        <f t="shared" si="26"/>
        <v>4.7299999999999995</v>
      </c>
      <c r="S235" s="105">
        <f t="shared" si="27"/>
        <v>636.81159420289862</v>
      </c>
      <c r="T235" s="114">
        <f>IFERROR(INDEX('MASTER por modelo'!$AQ$8:$AQ$474,MATCH(K235,'MASTER por modelo'!$D$8:$D$474,0)),"")</f>
        <v>3.7681159420289857E-2</v>
      </c>
      <c r="U235" s="115">
        <f>IFERROR(INDEX('MASTER por modelo'!$AC$8:$AC$474,MATCH(K235,'MASTER por modelo'!$D$8:$D$474,0))+INDEX('MASTER por modelo'!$AD$8:$AD$474,MATCH(K235,'MASTER por modelo'!$D$8:$D$474,0)),"")</f>
        <v>26</v>
      </c>
      <c r="V235" s="93"/>
    </row>
    <row r="236" spans="1:22" x14ac:dyDescent="0.25">
      <c r="A236" s="109" t="s">
        <v>63</v>
      </c>
      <c r="B236" s="109" t="s">
        <v>102</v>
      </c>
      <c r="C236" s="109" t="s">
        <v>103</v>
      </c>
      <c r="D236" s="103">
        <f t="shared" si="21"/>
        <v>178.25218409083053</v>
      </c>
      <c r="E236" s="110">
        <v>3.24</v>
      </c>
      <c r="F236" s="110">
        <f t="shared" si="22"/>
        <v>2.1038961038961039</v>
      </c>
      <c r="G236" s="110">
        <f t="shared" si="23"/>
        <v>3</v>
      </c>
      <c r="H236" s="110"/>
      <c r="I236" s="111">
        <v>1108</v>
      </c>
      <c r="J236" s="109" t="str">
        <f t="shared" si="24"/>
        <v>26</v>
      </c>
      <c r="K236" s="109" t="s">
        <v>193</v>
      </c>
      <c r="L236" s="109" t="s">
        <v>787</v>
      </c>
      <c r="M236" s="111">
        <v>45</v>
      </c>
      <c r="N236" s="110">
        <v>631.5</v>
      </c>
      <c r="O236" s="105">
        <f t="shared" si="25"/>
        <v>577.5</v>
      </c>
      <c r="P236" s="112">
        <v>7.1999999999999995E-2</v>
      </c>
      <c r="Q236" s="113">
        <v>2.9239999999999999E-3</v>
      </c>
      <c r="R236" s="107">
        <f t="shared" si="26"/>
        <v>2.9239999999999999</v>
      </c>
      <c r="S236" s="105">
        <f t="shared" si="27"/>
        <v>521.20938628158842</v>
      </c>
      <c r="T236" s="114">
        <f>IFERROR(INDEX('MASTER por modelo'!$AQ$8:$AQ$474,MATCH(K236,'MASTER por modelo'!$D$8:$D$474,0)),"")</f>
        <v>0.77303588748787588</v>
      </c>
      <c r="U236" s="115">
        <f>IFERROR(INDEX('MASTER por modelo'!$AC$8:$AC$474,MATCH(K236,'MASTER por modelo'!$D$8:$D$474,0))+INDEX('MASTER por modelo'!$AD$8:$AD$474,MATCH(K236,'MASTER por modelo'!$D$8:$D$474,0)),"")</f>
        <v>1594</v>
      </c>
      <c r="V236" s="93"/>
    </row>
    <row r="237" spans="1:22" x14ac:dyDescent="0.25">
      <c r="A237" s="109" t="s">
        <v>63</v>
      </c>
      <c r="B237" s="109" t="s">
        <v>102</v>
      </c>
      <c r="C237" s="109" t="s">
        <v>103</v>
      </c>
      <c r="D237" s="103">
        <f t="shared" si="21"/>
        <v>252.61163592347975</v>
      </c>
      <c r="E237" s="110">
        <v>3.23</v>
      </c>
      <c r="F237" s="110">
        <f t="shared" si="22"/>
        <v>2.0974025974025974</v>
      </c>
      <c r="G237" s="110">
        <f t="shared" si="23"/>
        <v>3</v>
      </c>
      <c r="H237" s="110"/>
      <c r="I237" s="111">
        <v>595</v>
      </c>
      <c r="J237" s="109" t="str">
        <f t="shared" si="24"/>
        <v>26</v>
      </c>
      <c r="K237" s="109" t="s">
        <v>292</v>
      </c>
      <c r="L237" s="109" t="s">
        <v>744</v>
      </c>
      <c r="M237" s="111">
        <v>38</v>
      </c>
      <c r="N237" s="110">
        <v>861.6</v>
      </c>
      <c r="O237" s="105">
        <f t="shared" si="25"/>
        <v>816</v>
      </c>
      <c r="P237" s="112">
        <v>8.5000000000000006E-2</v>
      </c>
      <c r="Q237" s="113">
        <v>5.4289999999999998E-3</v>
      </c>
      <c r="R237" s="107">
        <f t="shared" si="26"/>
        <v>5.4289999999999994</v>
      </c>
      <c r="S237" s="105">
        <f t="shared" si="27"/>
        <v>1371.4285714285713</v>
      </c>
      <c r="T237" s="114">
        <f>IFERROR(INDEX('MASTER por modelo'!$AQ$8:$AQ$474,MATCH(K237,'MASTER por modelo'!$D$8:$D$474,0)),"")</f>
        <v>0.92030201342281881</v>
      </c>
      <c r="U237" s="115">
        <f>IFERROR(INDEX('MASTER por modelo'!$AC$8:$AC$474,MATCH(K237,'MASTER por modelo'!$D$8:$D$474,0))+INDEX('MASTER por modelo'!$AD$8:$AD$474,MATCH(K237,'MASTER por modelo'!$D$8:$D$474,0)),"")</f>
        <v>1097</v>
      </c>
      <c r="V237" s="93"/>
    </row>
    <row r="238" spans="1:22" x14ac:dyDescent="0.25">
      <c r="A238" s="109" t="s">
        <v>63</v>
      </c>
      <c r="B238" s="109" t="s">
        <v>84</v>
      </c>
      <c r="C238" s="109" t="s">
        <v>87</v>
      </c>
      <c r="D238" s="103">
        <f t="shared" si="21"/>
        <v>184.35824015998546</v>
      </c>
      <c r="E238" s="110">
        <v>3.1680000000000001</v>
      </c>
      <c r="F238" s="110">
        <f t="shared" si="22"/>
        <v>2.0571428571428574</v>
      </c>
      <c r="G238" s="110">
        <f t="shared" si="23"/>
        <v>3</v>
      </c>
      <c r="H238" s="110"/>
      <c r="I238" s="111">
        <v>608</v>
      </c>
      <c r="J238" s="109" t="str">
        <f t="shared" si="24"/>
        <v>26</v>
      </c>
      <c r="K238" s="109" t="s">
        <v>293</v>
      </c>
      <c r="L238" s="109" t="s">
        <v>753</v>
      </c>
      <c r="M238" s="111">
        <v>33</v>
      </c>
      <c r="N238" s="110">
        <v>623.70000000000005</v>
      </c>
      <c r="O238" s="105">
        <f t="shared" si="25"/>
        <v>584.1</v>
      </c>
      <c r="P238" s="112">
        <v>9.6000000000000002E-2</v>
      </c>
      <c r="Q238" s="113">
        <v>5.2110000000000004E-3</v>
      </c>
      <c r="R238" s="107">
        <f t="shared" si="26"/>
        <v>5.2110000000000003</v>
      </c>
      <c r="S238" s="105">
        <f t="shared" si="27"/>
        <v>960.69078947368428</v>
      </c>
      <c r="T238" s="114">
        <f>IFERROR(INDEX('MASTER por modelo'!$AQ$8:$AQ$474,MATCH(K238,'MASTER por modelo'!$D$8:$D$474,0)),"")</f>
        <v>0.9975186104218362</v>
      </c>
      <c r="U238" s="115">
        <f>IFERROR(INDEX('MASTER por modelo'!$AC$8:$AC$474,MATCH(K238,'MASTER por modelo'!$D$8:$D$474,0))+INDEX('MASTER por modelo'!$AD$8:$AD$474,MATCH(K238,'MASTER por modelo'!$D$8:$D$474,0)),"")</f>
        <v>1206</v>
      </c>
      <c r="V238" s="93"/>
    </row>
    <row r="239" spans="1:22" x14ac:dyDescent="0.25">
      <c r="A239" s="109" t="s">
        <v>63</v>
      </c>
      <c r="B239" s="109" t="s">
        <v>102</v>
      </c>
      <c r="C239" s="109" t="s">
        <v>132</v>
      </c>
      <c r="D239" s="103">
        <f t="shared" si="21"/>
        <v>220.12346357041898</v>
      </c>
      <c r="E239" s="110">
        <v>3.1680000000000001</v>
      </c>
      <c r="F239" s="110">
        <f t="shared" si="22"/>
        <v>2.0571428571428574</v>
      </c>
      <c r="G239" s="110">
        <f t="shared" si="23"/>
        <v>3</v>
      </c>
      <c r="H239" s="110"/>
      <c r="I239" s="111">
        <v>1047</v>
      </c>
      <c r="J239" s="109" t="str">
        <f t="shared" si="24"/>
        <v>26</v>
      </c>
      <c r="K239" s="109" t="s">
        <v>294</v>
      </c>
      <c r="L239" s="109" t="s">
        <v>773</v>
      </c>
      <c r="M239" s="111">
        <v>33</v>
      </c>
      <c r="N239" s="110">
        <v>737</v>
      </c>
      <c r="O239" s="105">
        <f t="shared" si="25"/>
        <v>697.4</v>
      </c>
      <c r="P239" s="112">
        <v>9.6000000000000002E-2</v>
      </c>
      <c r="Q239" s="113">
        <v>3.026E-3</v>
      </c>
      <c r="R239" s="107">
        <f t="shared" si="26"/>
        <v>3.0260000000000002</v>
      </c>
      <c r="S239" s="105">
        <f t="shared" si="27"/>
        <v>666.09360076408791</v>
      </c>
      <c r="T239" s="114">
        <f>IFERROR(INDEX('MASTER por modelo'!$AQ$8:$AQ$474,MATCH(K239,'MASTER por modelo'!$D$8:$D$474,0)),"")</f>
        <v>0.57975167144221584</v>
      </c>
      <c r="U239" s="115">
        <f>IFERROR(INDEX('MASTER por modelo'!$AC$8:$AC$474,MATCH(K239,'MASTER por modelo'!$D$8:$D$474,0))+INDEX('MASTER por modelo'!$AD$8:$AD$474,MATCH(K239,'MASTER por modelo'!$D$8:$D$474,0)),"")</f>
        <v>607</v>
      </c>
      <c r="V239" s="93"/>
    </row>
    <row r="240" spans="1:22" x14ac:dyDescent="0.25">
      <c r="A240" s="109" t="s">
        <v>63</v>
      </c>
      <c r="B240" s="109" t="s">
        <v>102</v>
      </c>
      <c r="C240" s="109" t="s">
        <v>132</v>
      </c>
      <c r="D240" s="103">
        <f t="shared" si="21"/>
        <v>260.21371992935974</v>
      </c>
      <c r="E240" s="110">
        <v>3.1680000000000001</v>
      </c>
      <c r="F240" s="110">
        <f t="shared" si="22"/>
        <v>2.0571428571428574</v>
      </c>
      <c r="G240" s="110">
        <f t="shared" si="23"/>
        <v>3</v>
      </c>
      <c r="H240" s="110"/>
      <c r="I240" s="111">
        <v>1055</v>
      </c>
      <c r="J240" s="109" t="str">
        <f t="shared" si="24"/>
        <v>26</v>
      </c>
      <c r="K240" s="109" t="s">
        <v>295</v>
      </c>
      <c r="L240" s="109" t="s">
        <v>790</v>
      </c>
      <c r="M240" s="111">
        <v>33</v>
      </c>
      <c r="N240" s="110">
        <v>864</v>
      </c>
      <c r="O240" s="105">
        <f t="shared" si="25"/>
        <v>824.4</v>
      </c>
      <c r="P240" s="112">
        <v>9.6000000000000002E-2</v>
      </c>
      <c r="Q240" s="113">
        <v>3.003E-3</v>
      </c>
      <c r="R240" s="107">
        <f t="shared" si="26"/>
        <v>3.0030000000000001</v>
      </c>
      <c r="S240" s="105">
        <f t="shared" si="27"/>
        <v>781.42180094786727</v>
      </c>
      <c r="T240" s="114">
        <f>IFERROR(INDEX('MASTER por modelo'!$AQ$8:$AQ$474,MATCH(K240,'MASTER por modelo'!$D$8:$D$474,0)),"")</f>
        <v>0.69668246445497628</v>
      </c>
      <c r="U240" s="115">
        <f>IFERROR(INDEX('MASTER por modelo'!$AC$8:$AC$474,MATCH(K240,'MASTER por modelo'!$D$8:$D$474,0))+INDEX('MASTER por modelo'!$AD$8:$AD$474,MATCH(K240,'MASTER por modelo'!$D$8:$D$474,0)),"")</f>
        <v>735</v>
      </c>
      <c r="V240" s="93"/>
    </row>
    <row r="241" spans="1:22" x14ac:dyDescent="0.25">
      <c r="A241" s="109" t="s">
        <v>63</v>
      </c>
      <c r="B241" s="109" t="s">
        <v>110</v>
      </c>
      <c r="C241" s="109" t="s">
        <v>100</v>
      </c>
      <c r="D241" s="103">
        <f t="shared" si="21"/>
        <v>133.32491635629066</v>
      </c>
      <c r="E241" s="110">
        <v>3.1680000000000001</v>
      </c>
      <c r="F241" s="110">
        <f t="shared" si="22"/>
        <v>2.0571428571428574</v>
      </c>
      <c r="G241" s="110">
        <f t="shared" si="23"/>
        <v>3</v>
      </c>
      <c r="H241" s="110"/>
      <c r="I241" s="111">
        <v>700</v>
      </c>
      <c r="J241" s="109" t="str">
        <f t="shared" si="24"/>
        <v>26</v>
      </c>
      <c r="K241" s="109" t="s">
        <v>296</v>
      </c>
      <c r="L241" s="109" t="s">
        <v>771</v>
      </c>
      <c r="M241" s="111">
        <v>33</v>
      </c>
      <c r="N241" s="110">
        <v>462</v>
      </c>
      <c r="O241" s="105">
        <f t="shared" si="25"/>
        <v>422.4</v>
      </c>
      <c r="P241" s="112">
        <v>9.6000000000000002E-2</v>
      </c>
      <c r="Q241" s="113">
        <v>4.5259999999999996E-3</v>
      </c>
      <c r="R241" s="107">
        <f t="shared" si="26"/>
        <v>4.5259999999999998</v>
      </c>
      <c r="S241" s="105">
        <f t="shared" si="27"/>
        <v>603.42857142857144</v>
      </c>
      <c r="T241" s="114">
        <f>IFERROR(INDEX('MASTER por modelo'!$AQ$8:$AQ$474,MATCH(K241,'MASTER por modelo'!$D$8:$D$474,0)),"")</f>
        <v>0.22714285714285715</v>
      </c>
      <c r="U241" s="115">
        <f>IFERROR(INDEX('MASTER por modelo'!$AC$8:$AC$474,MATCH(K241,'MASTER por modelo'!$D$8:$D$474,0))+INDEX('MASTER por modelo'!$AD$8:$AD$474,MATCH(K241,'MASTER por modelo'!$D$8:$D$474,0)),"")</f>
        <v>159</v>
      </c>
      <c r="V241" s="93"/>
    </row>
    <row r="242" spans="1:22" x14ac:dyDescent="0.25">
      <c r="A242" s="109" t="s">
        <v>55</v>
      </c>
      <c r="B242" s="109" t="s">
        <v>99</v>
      </c>
      <c r="C242" s="109" t="s">
        <v>100</v>
      </c>
      <c r="D242" s="103">
        <f t="shared" si="21"/>
        <v>124.72283813747228</v>
      </c>
      <c r="E242" s="110">
        <v>3.1680000000000001</v>
      </c>
      <c r="F242" s="110">
        <f t="shared" si="22"/>
        <v>2.0571428571428574</v>
      </c>
      <c r="G242" s="110">
        <f t="shared" si="23"/>
        <v>3</v>
      </c>
      <c r="H242" s="110"/>
      <c r="I242" s="111">
        <v>902</v>
      </c>
      <c r="J242" s="109" t="str">
        <f t="shared" si="24"/>
        <v>26</v>
      </c>
      <c r="K242" s="109" t="s">
        <v>297</v>
      </c>
      <c r="L242" s="109" t="s">
        <v>768</v>
      </c>
      <c r="M242" s="111">
        <v>33</v>
      </c>
      <c r="N242" s="110">
        <v>434.7</v>
      </c>
      <c r="O242" s="105">
        <f t="shared" si="25"/>
        <v>395.09999999999997</v>
      </c>
      <c r="P242" s="112">
        <v>9.6000000000000002E-2</v>
      </c>
      <c r="Q242" s="113">
        <v>3.5119999999999999E-3</v>
      </c>
      <c r="R242" s="107">
        <f t="shared" si="26"/>
        <v>3.512</v>
      </c>
      <c r="S242" s="105">
        <f t="shared" si="27"/>
        <v>438.02660753880264</v>
      </c>
      <c r="T242" s="114">
        <f>IFERROR(INDEX('MASTER por modelo'!$AQ$8:$AQ$474,MATCH(K242,'MASTER por modelo'!$D$8:$D$474,0)),"")</f>
        <v>4.5454545454545456E-2</v>
      </c>
      <c r="U242" s="115">
        <f>IFERROR(INDEX('MASTER por modelo'!$AC$8:$AC$474,MATCH(K242,'MASTER por modelo'!$D$8:$D$474,0))+INDEX('MASTER por modelo'!$AD$8:$AD$474,MATCH(K242,'MASTER por modelo'!$D$8:$D$474,0)),"")</f>
        <v>41</v>
      </c>
      <c r="V242" s="93"/>
    </row>
    <row r="243" spans="1:22" x14ac:dyDescent="0.25">
      <c r="A243" s="109" t="s">
        <v>63</v>
      </c>
      <c r="B243" s="109" t="s">
        <v>102</v>
      </c>
      <c r="C243" s="109" t="s">
        <v>132</v>
      </c>
      <c r="D243" s="103">
        <f t="shared" si="21"/>
        <v>210.5964320778364</v>
      </c>
      <c r="E243" s="110">
        <v>3.1680000000000001</v>
      </c>
      <c r="F243" s="110">
        <f t="shared" si="22"/>
        <v>2.0571428571428574</v>
      </c>
      <c r="G243" s="110">
        <f t="shared" si="23"/>
        <v>3</v>
      </c>
      <c r="H243" s="110"/>
      <c r="I243" s="111">
        <v>993</v>
      </c>
      <c r="J243" s="109" t="str">
        <f t="shared" si="24"/>
        <v>27</v>
      </c>
      <c r="K243" s="109" t="s">
        <v>133</v>
      </c>
      <c r="L243" s="109" t="s">
        <v>775</v>
      </c>
      <c r="M243" s="111">
        <v>33</v>
      </c>
      <c r="N243" s="110">
        <v>706.7</v>
      </c>
      <c r="O243" s="105">
        <f t="shared" si="25"/>
        <v>667.1</v>
      </c>
      <c r="P243" s="112">
        <v>9.6000000000000002E-2</v>
      </c>
      <c r="Q243" s="113">
        <v>3.1900000000000001E-3</v>
      </c>
      <c r="R243" s="107">
        <f t="shared" si="26"/>
        <v>3.19</v>
      </c>
      <c r="S243" s="105">
        <f t="shared" si="27"/>
        <v>671.80261832829808</v>
      </c>
      <c r="T243" s="114">
        <f>IFERROR(INDEX('MASTER por modelo'!$AQ$8:$AQ$474,MATCH(K243,'MASTER por modelo'!$D$8:$D$474,0)),"")</f>
        <v>0</v>
      </c>
      <c r="U243" s="115">
        <f>IFERROR(INDEX('MASTER por modelo'!$AC$8:$AC$474,MATCH(K243,'MASTER por modelo'!$D$8:$D$474,0))+INDEX('MASTER por modelo'!$AD$8:$AD$474,MATCH(K243,'MASTER por modelo'!$D$8:$D$474,0)),"")</f>
        <v>0</v>
      </c>
      <c r="V243" s="93"/>
    </row>
    <row r="244" spans="1:22" x14ac:dyDescent="0.25">
      <c r="A244" s="109" t="s">
        <v>63</v>
      </c>
      <c r="B244" s="109" t="s">
        <v>64</v>
      </c>
      <c r="C244" s="109" t="s">
        <v>87</v>
      </c>
      <c r="D244" s="103">
        <f t="shared" si="21"/>
        <v>97.777777777777771</v>
      </c>
      <c r="E244" s="110">
        <v>3.15</v>
      </c>
      <c r="F244" s="110">
        <f t="shared" si="22"/>
        <v>2.0454545454545454</v>
      </c>
      <c r="G244" s="110">
        <f t="shared" si="23"/>
        <v>3</v>
      </c>
      <c r="H244" s="110"/>
      <c r="I244" s="111">
        <v>700</v>
      </c>
      <c r="J244" s="109" t="str">
        <f t="shared" si="24"/>
        <v>26</v>
      </c>
      <c r="K244" s="109" t="s">
        <v>166</v>
      </c>
      <c r="L244" s="109" t="s">
        <v>738</v>
      </c>
      <c r="M244" s="111">
        <v>35</v>
      </c>
      <c r="N244" s="110">
        <v>350</v>
      </c>
      <c r="O244" s="105">
        <f t="shared" si="25"/>
        <v>308</v>
      </c>
      <c r="P244" s="112">
        <v>0.09</v>
      </c>
      <c r="Q244" s="113">
        <v>4.4999999999999997E-3</v>
      </c>
      <c r="R244" s="107">
        <f t="shared" si="26"/>
        <v>4.5</v>
      </c>
      <c r="S244" s="105">
        <f t="shared" si="27"/>
        <v>440</v>
      </c>
      <c r="T244" s="114">
        <f>IFERROR(INDEX('MASTER por modelo'!$AQ$8:$AQ$474,MATCH(K244,'MASTER por modelo'!$D$8:$D$474,0)),"")</f>
        <v>0.75334957369062117</v>
      </c>
      <c r="U244" s="115">
        <f>IFERROR(INDEX('MASTER por modelo'!$AC$8:$AC$474,MATCH(K244,'MASTER por modelo'!$D$8:$D$474,0))+INDEX('MASTER por modelo'!$AD$8:$AD$474,MATCH(K244,'MASTER por modelo'!$D$8:$D$474,0)),"")</f>
        <v>1237</v>
      </c>
      <c r="V244" s="93"/>
    </row>
    <row r="245" spans="1:22" x14ac:dyDescent="0.25">
      <c r="A245" s="109" t="s">
        <v>55</v>
      </c>
      <c r="B245" s="109" t="s">
        <v>255</v>
      </c>
      <c r="C245" s="109" t="s">
        <v>132</v>
      </c>
      <c r="D245" s="103">
        <f t="shared" si="21"/>
        <v>236.51293484699073</v>
      </c>
      <c r="E245" s="110">
        <v>3.1488</v>
      </c>
      <c r="F245" s="110">
        <f t="shared" si="22"/>
        <v>2.0446753246753246</v>
      </c>
      <c r="G245" s="110">
        <f t="shared" si="23"/>
        <v>3</v>
      </c>
      <c r="H245" s="110"/>
      <c r="I245" s="111">
        <v>1205</v>
      </c>
      <c r="J245" s="109" t="str">
        <f t="shared" si="24"/>
        <v>26</v>
      </c>
      <c r="K245" s="109" t="s">
        <v>298</v>
      </c>
      <c r="L245" s="109" t="s">
        <v>791</v>
      </c>
      <c r="M245" s="111">
        <v>41</v>
      </c>
      <c r="N245" s="110">
        <v>793.9</v>
      </c>
      <c r="O245" s="105">
        <f t="shared" si="25"/>
        <v>744.69999999999993</v>
      </c>
      <c r="P245" s="112">
        <v>7.6799999999999993E-2</v>
      </c>
      <c r="Q245" s="113">
        <v>2.6129999999999999E-3</v>
      </c>
      <c r="R245" s="107">
        <f t="shared" si="26"/>
        <v>2.613</v>
      </c>
      <c r="S245" s="105">
        <f t="shared" si="27"/>
        <v>618.00829875518673</v>
      </c>
      <c r="T245" s="114">
        <f>IFERROR(INDEX('MASTER por modelo'!$AQ$8:$AQ$474,MATCH(K245,'MASTER por modelo'!$D$8:$D$474,0)),"")</f>
        <v>0.51618257261410794</v>
      </c>
      <c r="U245" s="115">
        <f>IFERROR(INDEX('MASTER por modelo'!$AC$8:$AC$474,MATCH(K245,'MASTER por modelo'!$D$8:$D$474,0))+INDEX('MASTER por modelo'!$AD$8:$AD$474,MATCH(K245,'MASTER por modelo'!$D$8:$D$474,0)),"")</f>
        <v>622</v>
      </c>
      <c r="V245" s="93"/>
    </row>
    <row r="246" spans="1:22" x14ac:dyDescent="0.25">
      <c r="A246" s="109" t="s">
        <v>63</v>
      </c>
      <c r="B246" s="109" t="s">
        <v>102</v>
      </c>
      <c r="C246" s="109" t="s">
        <v>103</v>
      </c>
      <c r="D246" s="103">
        <f t="shared" si="21"/>
        <v>218.23384759884712</v>
      </c>
      <c r="E246" s="110">
        <v>3.1</v>
      </c>
      <c r="F246" s="110">
        <f t="shared" si="22"/>
        <v>2.0129870129870131</v>
      </c>
      <c r="G246" s="110">
        <f t="shared" si="23"/>
        <v>3</v>
      </c>
      <c r="H246" s="110"/>
      <c r="I246" s="111">
        <v>1046</v>
      </c>
      <c r="J246" s="109" t="str">
        <f t="shared" si="24"/>
        <v>26</v>
      </c>
      <c r="K246" s="109" t="s">
        <v>185</v>
      </c>
      <c r="L246" s="109" t="s">
        <v>787</v>
      </c>
      <c r="M246" s="111">
        <v>43</v>
      </c>
      <c r="N246" s="110">
        <v>728.2</v>
      </c>
      <c r="O246" s="105">
        <f t="shared" si="25"/>
        <v>676.6</v>
      </c>
      <c r="P246" s="112">
        <v>7.2099999999999997E-2</v>
      </c>
      <c r="Q246" s="113">
        <v>2.9640000000000001E-3</v>
      </c>
      <c r="R246" s="107">
        <f t="shared" si="26"/>
        <v>2.964</v>
      </c>
      <c r="S246" s="105">
        <f t="shared" si="27"/>
        <v>646.84512428298285</v>
      </c>
      <c r="T246" s="114">
        <f>IFERROR(INDEX('MASTER por modelo'!$AQ$8:$AQ$474,MATCH(K246,'MASTER por modelo'!$D$8:$D$474,0)),"")</f>
        <v>0.7221706864564007</v>
      </c>
      <c r="U246" s="115">
        <f>IFERROR(INDEX('MASTER por modelo'!$AC$8:$AC$474,MATCH(K246,'MASTER por modelo'!$D$8:$D$474,0))+INDEX('MASTER por modelo'!$AD$8:$AD$474,MATCH(K246,'MASTER por modelo'!$D$8:$D$474,0)),"")</f>
        <v>1557</v>
      </c>
      <c r="V246" s="93"/>
    </row>
    <row r="247" spans="1:22" x14ac:dyDescent="0.25">
      <c r="A247" s="109" t="s">
        <v>55</v>
      </c>
      <c r="B247" s="109" t="s">
        <v>99</v>
      </c>
      <c r="C247" s="109" t="s">
        <v>100</v>
      </c>
      <c r="D247" s="103">
        <f t="shared" si="21"/>
        <v>77.903728831216171</v>
      </c>
      <c r="E247" s="110">
        <v>3.0720000000000001</v>
      </c>
      <c r="F247" s="110">
        <f t="shared" si="22"/>
        <v>1.9948051948051948</v>
      </c>
      <c r="G247" s="110">
        <f t="shared" si="23"/>
        <v>2</v>
      </c>
      <c r="H247" s="110"/>
      <c r="I247" s="111">
        <v>593</v>
      </c>
      <c r="J247" s="109" t="str">
        <f t="shared" si="24"/>
        <v>26</v>
      </c>
      <c r="K247" s="109" t="s">
        <v>300</v>
      </c>
      <c r="L247" s="109" t="s">
        <v>785</v>
      </c>
      <c r="M247" s="111">
        <v>32</v>
      </c>
      <c r="N247" s="110">
        <v>277.7</v>
      </c>
      <c r="O247" s="105">
        <f t="shared" si="25"/>
        <v>239.29999999999998</v>
      </c>
      <c r="P247" s="112">
        <v>9.6000000000000002E-2</v>
      </c>
      <c r="Q247" s="113">
        <v>5.1799999999999997E-3</v>
      </c>
      <c r="R247" s="107">
        <f t="shared" si="26"/>
        <v>5.18</v>
      </c>
      <c r="S247" s="105">
        <f t="shared" si="27"/>
        <v>403.54131534569979</v>
      </c>
      <c r="T247" s="114">
        <f>IFERROR(INDEX('MASTER por modelo'!$AQ$8:$AQ$474,MATCH(K247,'MASTER por modelo'!$D$8:$D$474,0)),"")</f>
        <v>0.42327150084317033</v>
      </c>
      <c r="U247" s="115">
        <f>IFERROR(INDEX('MASTER por modelo'!$AC$8:$AC$474,MATCH(K247,'MASTER por modelo'!$D$8:$D$474,0))+INDEX('MASTER por modelo'!$AD$8:$AD$474,MATCH(K247,'MASTER por modelo'!$D$8:$D$474,0)),"")</f>
        <v>251</v>
      </c>
      <c r="V247" s="93"/>
    </row>
    <row r="248" spans="1:22" x14ac:dyDescent="0.25">
      <c r="A248" s="109" t="s">
        <v>63</v>
      </c>
      <c r="B248" s="109" t="s">
        <v>84</v>
      </c>
      <c r="C248" s="109" t="s">
        <v>85</v>
      </c>
      <c r="D248" s="103">
        <f t="shared" si="21"/>
        <v>181.72702530244428</v>
      </c>
      <c r="E248" s="110">
        <v>3.0720000000000001</v>
      </c>
      <c r="F248" s="110">
        <f t="shared" si="22"/>
        <v>1.9948051948051948</v>
      </c>
      <c r="G248" s="110">
        <f t="shared" si="23"/>
        <v>2</v>
      </c>
      <c r="H248" s="110"/>
      <c r="I248" s="111">
        <v>858</v>
      </c>
      <c r="J248" s="109" t="str">
        <f t="shared" si="24"/>
        <v>26</v>
      </c>
      <c r="K248" s="109" t="s">
        <v>301</v>
      </c>
      <c r="L248" s="109" t="s">
        <v>792</v>
      </c>
      <c r="M248" s="111">
        <v>32</v>
      </c>
      <c r="N248" s="110">
        <v>596.6</v>
      </c>
      <c r="O248" s="105">
        <f t="shared" si="25"/>
        <v>558.20000000000005</v>
      </c>
      <c r="P248" s="112">
        <v>9.6000000000000002E-2</v>
      </c>
      <c r="Q248" s="113">
        <v>3.5799999999999998E-3</v>
      </c>
      <c r="R248" s="107">
        <f t="shared" si="26"/>
        <v>3.58</v>
      </c>
      <c r="S248" s="105">
        <f t="shared" si="27"/>
        <v>650.58275058275058</v>
      </c>
      <c r="T248" s="114">
        <f>IFERROR(INDEX('MASTER por modelo'!$AQ$8:$AQ$474,MATCH(K248,'MASTER por modelo'!$D$8:$D$474,0)),"")</f>
        <v>0.28438228438228436</v>
      </c>
      <c r="U248" s="115">
        <f>IFERROR(INDEX('MASTER por modelo'!$AC$8:$AC$474,MATCH(K248,'MASTER por modelo'!$D$8:$D$474,0))+INDEX('MASTER por modelo'!$AD$8:$AD$474,MATCH(K248,'MASTER por modelo'!$D$8:$D$474,0)),"")</f>
        <v>244</v>
      </c>
      <c r="V248" s="93"/>
    </row>
    <row r="249" spans="1:22" x14ac:dyDescent="0.25">
      <c r="A249" s="109" t="s">
        <v>63</v>
      </c>
      <c r="B249" s="109" t="s">
        <v>102</v>
      </c>
      <c r="C249" s="109" t="s">
        <v>132</v>
      </c>
      <c r="D249" s="103">
        <f t="shared" si="21"/>
        <v>206.5058455737308</v>
      </c>
      <c r="E249" s="110">
        <v>3.0720000000000001</v>
      </c>
      <c r="F249" s="110">
        <f t="shared" si="22"/>
        <v>1.9948051948051948</v>
      </c>
      <c r="G249" s="110">
        <f t="shared" si="23"/>
        <v>2</v>
      </c>
      <c r="H249" s="110"/>
      <c r="I249" s="111">
        <v>947</v>
      </c>
      <c r="J249" s="109" t="str">
        <f t="shared" si="24"/>
        <v>27</v>
      </c>
      <c r="K249" s="109" t="s">
        <v>133</v>
      </c>
      <c r="L249" s="109" t="s">
        <v>775</v>
      </c>
      <c r="M249" s="111">
        <v>32</v>
      </c>
      <c r="N249" s="110">
        <v>672.8</v>
      </c>
      <c r="O249" s="105">
        <f t="shared" si="25"/>
        <v>634.4</v>
      </c>
      <c r="P249" s="112">
        <v>9.6000000000000002E-2</v>
      </c>
      <c r="Q249" s="113">
        <v>3.2439999999999999E-3</v>
      </c>
      <c r="R249" s="107">
        <f t="shared" si="26"/>
        <v>3.2439999999999998</v>
      </c>
      <c r="S249" s="105">
        <f t="shared" si="27"/>
        <v>669.90496304118267</v>
      </c>
      <c r="T249" s="114">
        <f>IFERROR(INDEX('MASTER por modelo'!$AQ$8:$AQ$474,MATCH(K249,'MASTER por modelo'!$D$8:$D$474,0)),"")</f>
        <v>0</v>
      </c>
      <c r="U249" s="115">
        <f>IFERROR(INDEX('MASTER por modelo'!$AC$8:$AC$474,MATCH(K249,'MASTER por modelo'!$D$8:$D$474,0))+INDEX('MASTER por modelo'!$AD$8:$AD$474,MATCH(K249,'MASTER por modelo'!$D$8:$D$474,0)),"")</f>
        <v>0</v>
      </c>
      <c r="V249" s="93"/>
    </row>
    <row r="250" spans="1:22" x14ac:dyDescent="0.25">
      <c r="A250" s="109" t="s">
        <v>63</v>
      </c>
      <c r="B250" s="109" t="s">
        <v>84</v>
      </c>
      <c r="C250" s="109" t="s">
        <v>87</v>
      </c>
      <c r="D250" s="103">
        <f t="shared" si="21"/>
        <v>159.78493846195434</v>
      </c>
      <c r="E250" s="110">
        <v>3.07</v>
      </c>
      <c r="F250" s="110">
        <f t="shared" si="22"/>
        <v>1.9935064935064934</v>
      </c>
      <c r="G250" s="110">
        <f t="shared" si="23"/>
        <v>2</v>
      </c>
      <c r="H250" s="110"/>
      <c r="I250" s="111">
        <v>877</v>
      </c>
      <c r="J250" s="109" t="str">
        <f t="shared" si="24"/>
        <v>26</v>
      </c>
      <c r="K250" s="109" t="s">
        <v>305</v>
      </c>
      <c r="L250" s="109" t="s">
        <v>737</v>
      </c>
      <c r="M250" s="111">
        <v>32</v>
      </c>
      <c r="N250" s="110">
        <v>529</v>
      </c>
      <c r="O250" s="105">
        <f t="shared" si="25"/>
        <v>490.6</v>
      </c>
      <c r="P250" s="112">
        <v>9.5899999999999999E-2</v>
      </c>
      <c r="Q250" s="113">
        <v>3.5010000000000002E-3</v>
      </c>
      <c r="R250" s="107">
        <f t="shared" si="26"/>
        <v>3.5010000000000003</v>
      </c>
      <c r="S250" s="105">
        <f t="shared" si="27"/>
        <v>559.4070695553022</v>
      </c>
      <c r="T250" s="114">
        <f>IFERROR(INDEX('MASTER por modelo'!$AQ$8:$AQ$474,MATCH(K250,'MASTER por modelo'!$D$8:$D$474,0)),"")</f>
        <v>0.51881413911060437</v>
      </c>
      <c r="U250" s="115">
        <f>IFERROR(INDEX('MASTER por modelo'!$AC$8:$AC$474,MATCH(K250,'MASTER por modelo'!$D$8:$D$474,0))+INDEX('MASTER por modelo'!$AD$8:$AD$474,MATCH(K250,'MASTER por modelo'!$D$8:$D$474,0)),"")</f>
        <v>455</v>
      </c>
      <c r="V250" s="93"/>
    </row>
    <row r="251" spans="1:22" x14ac:dyDescent="0.25">
      <c r="A251" s="109" t="s">
        <v>55</v>
      </c>
      <c r="B251" s="109" t="s">
        <v>99</v>
      </c>
      <c r="C251" s="109" t="s">
        <v>100</v>
      </c>
      <c r="D251" s="103">
        <f t="shared" si="21"/>
        <v>123.17815949208486</v>
      </c>
      <c r="E251" s="110">
        <v>3.0680000000000001</v>
      </c>
      <c r="F251" s="110">
        <f t="shared" si="22"/>
        <v>1.9922077922077921</v>
      </c>
      <c r="G251" s="110">
        <f t="shared" si="23"/>
        <v>2</v>
      </c>
      <c r="H251" s="110"/>
      <c r="I251" s="111">
        <v>654</v>
      </c>
      <c r="J251" s="109" t="str">
        <f t="shared" si="24"/>
        <v>26</v>
      </c>
      <c r="K251" s="109" t="s">
        <v>306</v>
      </c>
      <c r="L251" s="109" t="s">
        <v>793</v>
      </c>
      <c r="M251" s="111">
        <v>28</v>
      </c>
      <c r="N251" s="110">
        <v>411.5</v>
      </c>
      <c r="O251" s="105">
        <f t="shared" si="25"/>
        <v>377.9</v>
      </c>
      <c r="P251" s="112">
        <v>0.1096</v>
      </c>
      <c r="Q251" s="113">
        <v>4.6909999999999999E-3</v>
      </c>
      <c r="R251" s="107">
        <f t="shared" si="26"/>
        <v>4.6909999999999998</v>
      </c>
      <c r="S251" s="105">
        <f t="shared" si="27"/>
        <v>577.82874617737002</v>
      </c>
      <c r="T251" s="114">
        <f>IFERROR(INDEX('MASTER por modelo'!$AQ$8:$AQ$474,MATCH(K251,'MASTER por modelo'!$D$8:$D$474,0)),"")</f>
        <v>0.21865443425076453</v>
      </c>
      <c r="U251" s="115">
        <f>IFERROR(INDEX('MASTER por modelo'!$AC$8:$AC$474,MATCH(K251,'MASTER por modelo'!$D$8:$D$474,0))+INDEX('MASTER por modelo'!$AD$8:$AD$474,MATCH(K251,'MASTER por modelo'!$D$8:$D$474,0)),"")</f>
        <v>143</v>
      </c>
      <c r="V251" s="93"/>
    </row>
    <row r="252" spans="1:22" x14ac:dyDescent="0.25">
      <c r="A252" s="109" t="s">
        <v>55</v>
      </c>
      <c r="B252" s="109" t="s">
        <v>255</v>
      </c>
      <c r="C252" s="109" t="s">
        <v>132</v>
      </c>
      <c r="D252" s="103">
        <f t="shared" si="21"/>
        <v>179.42527798894054</v>
      </c>
      <c r="E252" s="110">
        <v>2.9940000000000002</v>
      </c>
      <c r="F252" s="110">
        <f t="shared" si="22"/>
        <v>1.9441558441558442</v>
      </c>
      <c r="G252" s="110">
        <f t="shared" si="23"/>
        <v>2</v>
      </c>
      <c r="H252" s="110"/>
      <c r="I252" s="111">
        <v>1118</v>
      </c>
      <c r="J252" s="109" t="str">
        <f t="shared" si="24"/>
        <v>27</v>
      </c>
      <c r="K252" s="109" t="s">
        <v>307</v>
      </c>
      <c r="L252" s="109" t="s">
        <v>794</v>
      </c>
      <c r="M252" s="111">
        <v>36</v>
      </c>
      <c r="N252" s="110">
        <v>580.4</v>
      </c>
      <c r="O252" s="105">
        <f t="shared" si="25"/>
        <v>537.19999999999993</v>
      </c>
      <c r="P252" s="112">
        <v>8.3199999999999996E-2</v>
      </c>
      <c r="Q252" s="113">
        <v>2.6779999999999998E-3</v>
      </c>
      <c r="R252" s="107">
        <f t="shared" si="26"/>
        <v>2.6779999999999999</v>
      </c>
      <c r="S252" s="105">
        <f t="shared" si="27"/>
        <v>480.50089445438277</v>
      </c>
      <c r="T252" s="114">
        <f>IFERROR(INDEX('MASTER por modelo'!$AQ$8:$AQ$474,MATCH(K252,'MASTER por modelo'!$D$8:$D$474,0)),"")</f>
        <v>0</v>
      </c>
      <c r="U252" s="115">
        <f>IFERROR(INDEX('MASTER por modelo'!$AC$8:$AC$474,MATCH(K252,'MASTER por modelo'!$D$8:$D$474,0))+INDEX('MASTER por modelo'!$AD$8:$AD$474,MATCH(K252,'MASTER por modelo'!$D$8:$D$474,0)),"")</f>
        <v>0</v>
      </c>
      <c r="V252" s="93"/>
    </row>
    <row r="253" spans="1:22" x14ac:dyDescent="0.25">
      <c r="A253" s="109" t="s">
        <v>55</v>
      </c>
      <c r="B253" s="109" t="s">
        <v>93</v>
      </c>
      <c r="C253" s="109" t="s">
        <v>87</v>
      </c>
      <c r="D253" s="103">
        <f t="shared" si="21"/>
        <v>126.65288909051195</v>
      </c>
      <c r="E253" s="110">
        <v>2.976</v>
      </c>
      <c r="F253" s="110">
        <f t="shared" si="22"/>
        <v>1.9324675324675324</v>
      </c>
      <c r="G253" s="110">
        <f t="shared" si="23"/>
        <v>2</v>
      </c>
      <c r="H253" s="110"/>
      <c r="I253" s="111">
        <v>850</v>
      </c>
      <c r="J253" s="109" t="str">
        <f t="shared" si="24"/>
        <v>26</v>
      </c>
      <c r="K253" s="109" t="s">
        <v>234</v>
      </c>
      <c r="L253" s="109" t="s">
        <v>795</v>
      </c>
      <c r="M253" s="111">
        <v>31</v>
      </c>
      <c r="N253" s="110">
        <v>414.1</v>
      </c>
      <c r="O253" s="105">
        <f t="shared" si="25"/>
        <v>376.90000000000003</v>
      </c>
      <c r="P253" s="112">
        <v>9.6000000000000002E-2</v>
      </c>
      <c r="Q253" s="113">
        <v>3.5010000000000002E-3</v>
      </c>
      <c r="R253" s="107">
        <f t="shared" si="26"/>
        <v>3.5010000000000003</v>
      </c>
      <c r="S253" s="105">
        <f t="shared" si="27"/>
        <v>443.41176470588238</v>
      </c>
      <c r="T253" s="114">
        <f>IFERROR(INDEX('MASTER por modelo'!$AQ$8:$AQ$474,MATCH(K253,'MASTER por modelo'!$D$8:$D$474,0)),"")</f>
        <v>0.97971014492753628</v>
      </c>
      <c r="U253" s="115">
        <f>IFERROR(INDEX('MASTER por modelo'!$AC$8:$AC$474,MATCH(K253,'MASTER por modelo'!$D$8:$D$474,0))+INDEX('MASTER por modelo'!$AD$8:$AD$474,MATCH(K253,'MASTER por modelo'!$D$8:$D$474,0)),"")</f>
        <v>1352</v>
      </c>
      <c r="V253" s="93"/>
    </row>
    <row r="254" spans="1:22" x14ac:dyDescent="0.25">
      <c r="A254" s="109" t="s">
        <v>63</v>
      </c>
      <c r="B254" s="109" t="s">
        <v>110</v>
      </c>
      <c r="C254" s="109" t="s">
        <v>100</v>
      </c>
      <c r="D254" s="103">
        <f t="shared" si="21"/>
        <v>129.15872444671581</v>
      </c>
      <c r="E254" s="110">
        <v>2.976</v>
      </c>
      <c r="F254" s="110">
        <f t="shared" si="22"/>
        <v>1.9324675324675324</v>
      </c>
      <c r="G254" s="110">
        <f t="shared" si="23"/>
        <v>2</v>
      </c>
      <c r="H254" s="110"/>
      <c r="I254" s="111">
        <v>609</v>
      </c>
      <c r="J254" s="109" t="str">
        <f t="shared" si="24"/>
        <v>26</v>
      </c>
      <c r="K254" s="109" t="s">
        <v>308</v>
      </c>
      <c r="L254" s="109" t="s">
        <v>753</v>
      </c>
      <c r="M254" s="111">
        <v>31</v>
      </c>
      <c r="N254" s="110">
        <v>421.6</v>
      </c>
      <c r="O254" s="105">
        <f t="shared" si="25"/>
        <v>384.40000000000003</v>
      </c>
      <c r="P254" s="112">
        <v>9.6000000000000002E-2</v>
      </c>
      <c r="Q254" s="113">
        <v>4.8869999999999999E-3</v>
      </c>
      <c r="R254" s="107">
        <f t="shared" si="26"/>
        <v>4.8869999999999996</v>
      </c>
      <c r="S254" s="105">
        <f t="shared" si="27"/>
        <v>631.19868637110017</v>
      </c>
      <c r="T254" s="114">
        <f>IFERROR(INDEX('MASTER por modelo'!$AQ$8:$AQ$474,MATCH(K254,'MASTER por modelo'!$D$8:$D$474,0)),"")</f>
        <v>2.7914614121510674E-2</v>
      </c>
      <c r="U254" s="115">
        <f>IFERROR(INDEX('MASTER por modelo'!$AC$8:$AC$474,MATCH(K254,'MASTER por modelo'!$D$8:$D$474,0))+INDEX('MASTER por modelo'!$AD$8:$AD$474,MATCH(K254,'MASTER por modelo'!$D$8:$D$474,0)),"")</f>
        <v>17</v>
      </c>
      <c r="V254" s="93"/>
    </row>
    <row r="255" spans="1:22" x14ac:dyDescent="0.25">
      <c r="A255" s="109" t="s">
        <v>63</v>
      </c>
      <c r="B255" s="109" t="s">
        <v>84</v>
      </c>
      <c r="C255" s="109" t="s">
        <v>94</v>
      </c>
      <c r="D255" s="103">
        <f t="shared" si="21"/>
        <v>175.55072992676202</v>
      </c>
      <c r="E255" s="110">
        <v>2.976</v>
      </c>
      <c r="F255" s="110">
        <f t="shared" si="22"/>
        <v>1.9324675324675324</v>
      </c>
      <c r="G255" s="110">
        <f t="shared" si="23"/>
        <v>2</v>
      </c>
      <c r="H255" s="110"/>
      <c r="I255" s="111">
        <v>702</v>
      </c>
      <c r="J255" s="109" t="str">
        <f t="shared" si="24"/>
        <v>26</v>
      </c>
      <c r="K255" s="109" t="s">
        <v>309</v>
      </c>
      <c r="L255" s="109" t="s">
        <v>796</v>
      </c>
      <c r="M255" s="111">
        <v>31</v>
      </c>
      <c r="N255" s="110">
        <v>559.6</v>
      </c>
      <c r="O255" s="105">
        <f t="shared" si="25"/>
        <v>522.4</v>
      </c>
      <c r="P255" s="112">
        <v>9.6000000000000002E-2</v>
      </c>
      <c r="Q255" s="113">
        <v>4.2389999999999997E-3</v>
      </c>
      <c r="R255" s="107">
        <f t="shared" si="26"/>
        <v>4.2389999999999999</v>
      </c>
      <c r="S255" s="105">
        <f t="shared" si="27"/>
        <v>744.15954415954411</v>
      </c>
      <c r="T255" s="114">
        <f>IFERROR(INDEX('MASTER por modelo'!$AQ$8:$AQ$474,MATCH(K255,'MASTER por modelo'!$D$8:$D$474,0)),"")</f>
        <v>0.66096866096866091</v>
      </c>
      <c r="U255" s="115">
        <f>IFERROR(INDEX('MASTER por modelo'!$AC$8:$AC$474,MATCH(K255,'MASTER por modelo'!$D$8:$D$474,0))+INDEX('MASTER por modelo'!$AD$8:$AD$474,MATCH(K255,'MASTER por modelo'!$D$8:$D$474,0)),"")</f>
        <v>464</v>
      </c>
      <c r="V255" s="93"/>
    </row>
    <row r="256" spans="1:22" x14ac:dyDescent="0.25">
      <c r="A256" s="109" t="s">
        <v>63</v>
      </c>
      <c r="B256" s="109" t="s">
        <v>288</v>
      </c>
      <c r="C256" s="109" t="s">
        <v>289</v>
      </c>
      <c r="D256" s="103">
        <f t="shared" si="21"/>
        <v>201.25382138672956</v>
      </c>
      <c r="E256" s="110">
        <v>2.976</v>
      </c>
      <c r="F256" s="110">
        <f t="shared" si="22"/>
        <v>1.9324675324675324</v>
      </c>
      <c r="G256" s="110">
        <f t="shared" si="23"/>
        <v>2</v>
      </c>
      <c r="H256" s="110"/>
      <c r="I256" s="111">
        <v>1433</v>
      </c>
      <c r="J256" s="109" t="str">
        <f t="shared" si="24"/>
        <v>26</v>
      </c>
      <c r="K256" s="109" t="s">
        <v>310</v>
      </c>
      <c r="L256" s="109" t="s">
        <v>789</v>
      </c>
      <c r="M256" s="111">
        <v>31</v>
      </c>
      <c r="N256" s="110">
        <v>636.20000000000005</v>
      </c>
      <c r="O256" s="105">
        <f t="shared" si="25"/>
        <v>599</v>
      </c>
      <c r="P256" s="112">
        <v>9.6000000000000002E-2</v>
      </c>
      <c r="Q256" s="113">
        <v>2.0769999999999999E-3</v>
      </c>
      <c r="R256" s="107">
        <f t="shared" si="26"/>
        <v>2.077</v>
      </c>
      <c r="S256" s="105">
        <f t="shared" si="27"/>
        <v>418.00418702023728</v>
      </c>
      <c r="T256" s="114">
        <f>IFERROR(INDEX('MASTER por modelo'!$AQ$8:$AQ$474,MATCH(K256,'MASTER por modelo'!$D$8:$D$474,0)),"")</f>
        <v>0.95673412421493376</v>
      </c>
      <c r="U256" s="115">
        <f>IFERROR(INDEX('MASTER por modelo'!$AC$8:$AC$474,MATCH(K256,'MASTER por modelo'!$D$8:$D$474,0))+INDEX('MASTER por modelo'!$AD$8:$AD$474,MATCH(K256,'MASTER por modelo'!$D$8:$D$474,0)),"")</f>
        <v>1371</v>
      </c>
      <c r="V256" s="93"/>
    </row>
    <row r="257" spans="1:22" x14ac:dyDescent="0.25">
      <c r="A257" s="109" t="s">
        <v>63</v>
      </c>
      <c r="B257" s="109" t="s">
        <v>288</v>
      </c>
      <c r="C257" s="109" t="s">
        <v>289</v>
      </c>
      <c r="D257" s="103">
        <f t="shared" si="21"/>
        <v>206.43862230587669</v>
      </c>
      <c r="E257" s="110">
        <v>2.97</v>
      </c>
      <c r="F257" s="110">
        <f t="shared" si="22"/>
        <v>1.9285714285714286</v>
      </c>
      <c r="G257" s="110">
        <f t="shared" si="23"/>
        <v>2</v>
      </c>
      <c r="H257" s="110"/>
      <c r="I257" s="111">
        <v>1595</v>
      </c>
      <c r="J257" s="109" t="str">
        <f t="shared" si="24"/>
        <v>26</v>
      </c>
      <c r="K257" s="109" t="s">
        <v>311</v>
      </c>
      <c r="L257" s="109" t="s">
        <v>783</v>
      </c>
      <c r="M257" s="111">
        <v>29</v>
      </c>
      <c r="N257" s="110">
        <v>647.9</v>
      </c>
      <c r="O257" s="105">
        <f t="shared" si="25"/>
        <v>613.1</v>
      </c>
      <c r="P257" s="112">
        <v>0.1024</v>
      </c>
      <c r="Q257" s="113">
        <v>1.8619999999999999E-3</v>
      </c>
      <c r="R257" s="107">
        <f t="shared" si="26"/>
        <v>1.8619999999999999</v>
      </c>
      <c r="S257" s="105">
        <f t="shared" si="27"/>
        <v>384.38871473354237</v>
      </c>
      <c r="T257" s="114">
        <f>IFERROR(INDEX('MASTER por modelo'!$AQ$8:$AQ$474,MATCH(K257,'MASTER por modelo'!$D$8:$D$474,0)),"")</f>
        <v>0.80313479623824446</v>
      </c>
      <c r="U257" s="115">
        <f>IFERROR(INDEX('MASTER por modelo'!$AC$8:$AC$474,MATCH(K257,'MASTER por modelo'!$D$8:$D$474,0))+INDEX('MASTER por modelo'!$AD$8:$AD$474,MATCH(K257,'MASTER por modelo'!$D$8:$D$474,0)),"")</f>
        <v>1281</v>
      </c>
      <c r="V257" s="93"/>
    </row>
    <row r="258" spans="1:22" x14ac:dyDescent="0.25">
      <c r="A258" s="109" t="s">
        <v>55</v>
      </c>
      <c r="B258" s="109" t="s">
        <v>56</v>
      </c>
      <c r="C258" s="109" t="s">
        <v>66</v>
      </c>
      <c r="D258" s="103">
        <f t="shared" si="21"/>
        <v>172.82621204399359</v>
      </c>
      <c r="E258" s="110">
        <v>2.92</v>
      </c>
      <c r="F258" s="110">
        <f t="shared" si="22"/>
        <v>1.8961038961038961</v>
      </c>
      <c r="G258" s="110">
        <f t="shared" si="23"/>
        <v>2</v>
      </c>
      <c r="H258" s="110"/>
      <c r="I258" s="111">
        <v>624</v>
      </c>
      <c r="J258" s="109" t="str">
        <f t="shared" si="24"/>
        <v>26</v>
      </c>
      <c r="K258" s="109" t="s">
        <v>313</v>
      </c>
      <c r="L258" s="109" t="s">
        <v>741</v>
      </c>
      <c r="M258" s="111">
        <v>39</v>
      </c>
      <c r="N258" s="110">
        <v>551.4</v>
      </c>
      <c r="O258" s="105">
        <f t="shared" si="25"/>
        <v>504.59999999999997</v>
      </c>
      <c r="P258" s="112">
        <v>7.4899999999999994E-2</v>
      </c>
      <c r="Q258" s="113">
        <v>4.679E-3</v>
      </c>
      <c r="R258" s="107">
        <f t="shared" si="26"/>
        <v>4.6790000000000003</v>
      </c>
      <c r="S258" s="105">
        <f t="shared" si="27"/>
        <v>808.65384615384608</v>
      </c>
      <c r="T258" s="114">
        <f>IFERROR(INDEX('MASTER por modelo'!$AQ$8:$AQ$474,MATCH(K258,'MASTER por modelo'!$D$8:$D$474,0)),"")</f>
        <v>0.99038461538461542</v>
      </c>
      <c r="U258" s="115">
        <f>IFERROR(INDEX('MASTER por modelo'!$AC$8:$AC$474,MATCH(K258,'MASTER por modelo'!$D$8:$D$474,0))+INDEX('MASTER por modelo'!$AD$8:$AD$474,MATCH(K258,'MASTER por modelo'!$D$8:$D$474,0)),"")</f>
        <v>618</v>
      </c>
      <c r="V258" s="93"/>
    </row>
    <row r="259" spans="1:22" x14ac:dyDescent="0.25">
      <c r="A259" s="109" t="s">
        <v>63</v>
      </c>
      <c r="B259" s="109" t="s">
        <v>288</v>
      </c>
      <c r="C259" s="109" t="s">
        <v>289</v>
      </c>
      <c r="D259" s="103">
        <f t="shared" si="21"/>
        <v>177.08333333333334</v>
      </c>
      <c r="E259" s="110">
        <v>2.88</v>
      </c>
      <c r="F259" s="110">
        <f t="shared" si="22"/>
        <v>1.8701298701298701</v>
      </c>
      <c r="G259" s="110">
        <f t="shared" si="23"/>
        <v>2</v>
      </c>
      <c r="H259" s="110"/>
      <c r="I259" s="111">
        <v>720</v>
      </c>
      <c r="J259" s="109" t="str">
        <f t="shared" si="24"/>
        <v>26</v>
      </c>
      <c r="K259" s="109" t="s">
        <v>317</v>
      </c>
      <c r="L259" s="109" t="s">
        <v>753</v>
      </c>
      <c r="M259" s="111">
        <v>30</v>
      </c>
      <c r="N259" s="110">
        <v>546</v>
      </c>
      <c r="O259" s="105">
        <f t="shared" si="25"/>
        <v>510</v>
      </c>
      <c r="P259" s="112">
        <v>9.6000000000000002E-2</v>
      </c>
      <c r="Q259" s="113">
        <v>4.0000000000000001E-3</v>
      </c>
      <c r="R259" s="107">
        <f t="shared" si="26"/>
        <v>4</v>
      </c>
      <c r="S259" s="105">
        <f t="shared" si="27"/>
        <v>708.33333333333337</v>
      </c>
      <c r="T259" s="114">
        <f>IFERROR(INDEX('MASTER por modelo'!$AQ$8:$AQ$474,MATCH(K259,'MASTER por modelo'!$D$8:$D$474,0)),"")</f>
        <v>0.82837370242214536</v>
      </c>
      <c r="U259" s="115">
        <f>IFERROR(INDEX('MASTER por modelo'!$AC$8:$AC$474,MATCH(K259,'MASTER por modelo'!$D$8:$D$474,0))+INDEX('MASTER por modelo'!$AD$8:$AD$474,MATCH(K259,'MASTER por modelo'!$D$8:$D$474,0)),"")</f>
        <v>1197</v>
      </c>
      <c r="V259" s="93"/>
    </row>
    <row r="260" spans="1:22" x14ac:dyDescent="0.25">
      <c r="A260" s="109" t="s">
        <v>63</v>
      </c>
      <c r="B260" s="109" t="s">
        <v>102</v>
      </c>
      <c r="C260" s="109" t="s">
        <v>103</v>
      </c>
      <c r="D260" s="103">
        <f t="shared" si="21"/>
        <v>177.1797483860081</v>
      </c>
      <c r="E260" s="110">
        <v>2.88</v>
      </c>
      <c r="F260" s="110">
        <f t="shared" si="22"/>
        <v>1.8701298701298701</v>
      </c>
      <c r="G260" s="110">
        <f t="shared" si="23"/>
        <v>2</v>
      </c>
      <c r="H260" s="110"/>
      <c r="I260" s="111">
        <v>954</v>
      </c>
      <c r="J260" s="109" t="str">
        <f t="shared" si="24"/>
        <v>26</v>
      </c>
      <c r="K260" s="109" t="s">
        <v>193</v>
      </c>
      <c r="L260" s="109" t="s">
        <v>787</v>
      </c>
      <c r="M260" s="111">
        <v>40</v>
      </c>
      <c r="N260" s="110">
        <v>558.29999999999995</v>
      </c>
      <c r="O260" s="105">
        <f t="shared" si="25"/>
        <v>510.29999999999995</v>
      </c>
      <c r="P260" s="112">
        <v>7.1999999999999995E-2</v>
      </c>
      <c r="Q260" s="113">
        <v>3.019E-3</v>
      </c>
      <c r="R260" s="107">
        <f t="shared" si="26"/>
        <v>3.0190000000000001</v>
      </c>
      <c r="S260" s="105">
        <f t="shared" si="27"/>
        <v>534.90566037735846</v>
      </c>
      <c r="T260" s="114">
        <f>IFERROR(INDEX('MASTER por modelo'!$AQ$8:$AQ$474,MATCH(K260,'MASTER por modelo'!$D$8:$D$474,0)),"")</f>
        <v>0.77303588748787588</v>
      </c>
      <c r="U260" s="115">
        <f>IFERROR(INDEX('MASTER por modelo'!$AC$8:$AC$474,MATCH(K260,'MASTER por modelo'!$D$8:$D$474,0))+INDEX('MASTER por modelo'!$AD$8:$AD$474,MATCH(K260,'MASTER por modelo'!$D$8:$D$474,0)),"")</f>
        <v>1594</v>
      </c>
      <c r="V260" s="93"/>
    </row>
    <row r="261" spans="1:22" x14ac:dyDescent="0.25">
      <c r="A261" s="109" t="s">
        <v>55</v>
      </c>
      <c r="B261" s="109" t="s">
        <v>99</v>
      </c>
      <c r="C261" s="109" t="s">
        <v>100</v>
      </c>
      <c r="D261" s="103">
        <f t="shared" si="21"/>
        <v>88.321189169822489</v>
      </c>
      <c r="E261" s="110">
        <v>2.88</v>
      </c>
      <c r="F261" s="110">
        <f t="shared" si="22"/>
        <v>1.8701298701298701</v>
      </c>
      <c r="G261" s="110">
        <f t="shared" si="23"/>
        <v>2</v>
      </c>
      <c r="H261" s="110"/>
      <c r="I261" s="111">
        <v>801</v>
      </c>
      <c r="J261" s="109" t="str">
        <f t="shared" si="24"/>
        <v>26</v>
      </c>
      <c r="K261" s="109" t="s">
        <v>318</v>
      </c>
      <c r="L261" s="109" t="s">
        <v>768</v>
      </c>
      <c r="M261" s="111">
        <v>30</v>
      </c>
      <c r="N261" s="110">
        <v>290.39999999999998</v>
      </c>
      <c r="O261" s="105">
        <f t="shared" si="25"/>
        <v>254.39999999999998</v>
      </c>
      <c r="P261" s="112">
        <v>9.6000000000000002E-2</v>
      </c>
      <c r="Q261" s="113">
        <v>3.5959999999999998E-3</v>
      </c>
      <c r="R261" s="107">
        <f t="shared" si="26"/>
        <v>3.5959999999999996</v>
      </c>
      <c r="S261" s="105">
        <f t="shared" si="27"/>
        <v>317.60299625468161</v>
      </c>
      <c r="T261" s="114">
        <f>IFERROR(INDEX('MASTER por modelo'!$AQ$8:$AQ$474,MATCH(K261,'MASTER por modelo'!$D$8:$D$474,0)),"")</f>
        <v>5.2434456928838954E-2</v>
      </c>
      <c r="U261" s="115">
        <f>IFERROR(INDEX('MASTER por modelo'!$AC$8:$AC$474,MATCH(K261,'MASTER por modelo'!$D$8:$D$474,0))+INDEX('MASTER por modelo'!$AD$8:$AD$474,MATCH(K261,'MASTER por modelo'!$D$8:$D$474,0)),"")</f>
        <v>42</v>
      </c>
      <c r="V261" s="93"/>
    </row>
    <row r="262" spans="1:22" x14ac:dyDescent="0.25">
      <c r="A262" s="109" t="s">
        <v>63</v>
      </c>
      <c r="B262" s="109" t="s">
        <v>102</v>
      </c>
      <c r="C262" s="109" t="s">
        <v>132</v>
      </c>
      <c r="D262" s="103">
        <f t="shared" si="21"/>
        <v>210.8205962556429</v>
      </c>
      <c r="E262" s="110">
        <v>2.88</v>
      </c>
      <c r="F262" s="110">
        <f t="shared" si="22"/>
        <v>1.8701298701298701</v>
      </c>
      <c r="G262" s="110">
        <f t="shared" si="23"/>
        <v>2</v>
      </c>
      <c r="H262" s="110"/>
      <c r="I262" s="111">
        <v>906</v>
      </c>
      <c r="J262" s="109" t="str">
        <f t="shared" si="24"/>
        <v>27</v>
      </c>
      <c r="K262" s="109" t="s">
        <v>133</v>
      </c>
      <c r="L262" s="109" t="s">
        <v>775</v>
      </c>
      <c r="M262" s="111">
        <v>30</v>
      </c>
      <c r="N262" s="110">
        <v>643.20000000000005</v>
      </c>
      <c r="O262" s="105">
        <f t="shared" si="25"/>
        <v>607.20000000000005</v>
      </c>
      <c r="P262" s="112">
        <v>9.6000000000000002E-2</v>
      </c>
      <c r="Q262" s="113">
        <v>3.179E-3</v>
      </c>
      <c r="R262" s="107">
        <f t="shared" si="26"/>
        <v>3.1789999999999998</v>
      </c>
      <c r="S262" s="105">
        <f t="shared" si="27"/>
        <v>670.19867549668879</v>
      </c>
      <c r="T262" s="114">
        <f>IFERROR(INDEX('MASTER por modelo'!$AQ$8:$AQ$474,MATCH(K262,'MASTER por modelo'!$D$8:$D$474,0)),"")</f>
        <v>0</v>
      </c>
      <c r="U262" s="115">
        <f>IFERROR(INDEX('MASTER por modelo'!$AC$8:$AC$474,MATCH(K262,'MASTER por modelo'!$D$8:$D$474,0))+INDEX('MASTER por modelo'!$AD$8:$AD$474,MATCH(K262,'MASTER por modelo'!$D$8:$D$474,0)),"")</f>
        <v>0</v>
      </c>
      <c r="V262" s="93"/>
    </row>
    <row r="263" spans="1:22" x14ac:dyDescent="0.25">
      <c r="A263" s="109" t="s">
        <v>63</v>
      </c>
      <c r="B263" s="109" t="s">
        <v>102</v>
      </c>
      <c r="C263" s="109" t="s">
        <v>132</v>
      </c>
      <c r="D263" s="103">
        <f t="shared" si="21"/>
        <v>228.53915987251816</v>
      </c>
      <c r="E263" s="110">
        <v>2.7839999999999998</v>
      </c>
      <c r="F263" s="110">
        <f t="shared" si="22"/>
        <v>1.8077922077922077</v>
      </c>
      <c r="G263" s="110">
        <f t="shared" si="23"/>
        <v>2</v>
      </c>
      <c r="H263" s="110"/>
      <c r="I263" s="111">
        <v>923</v>
      </c>
      <c r="J263" s="109" t="str">
        <f t="shared" si="24"/>
        <v>26</v>
      </c>
      <c r="K263" s="109" t="s">
        <v>319</v>
      </c>
      <c r="L263" s="109" t="s">
        <v>790</v>
      </c>
      <c r="M263" s="111">
        <v>29</v>
      </c>
      <c r="N263" s="110">
        <v>671</v>
      </c>
      <c r="O263" s="105">
        <f t="shared" si="25"/>
        <v>636.20000000000005</v>
      </c>
      <c r="P263" s="112">
        <v>9.6000000000000002E-2</v>
      </c>
      <c r="Q263" s="113">
        <v>3.016E-3</v>
      </c>
      <c r="R263" s="107">
        <f t="shared" si="26"/>
        <v>3.016</v>
      </c>
      <c r="S263" s="105">
        <f t="shared" si="27"/>
        <v>689.2741061755147</v>
      </c>
      <c r="T263" s="114">
        <f>IFERROR(INDEX('MASTER por modelo'!$AQ$8:$AQ$474,MATCH(K263,'MASTER por modelo'!$D$8:$D$474,0)),"")</f>
        <v>0.63705308775731306</v>
      </c>
      <c r="U263" s="115">
        <f>IFERROR(INDEX('MASTER por modelo'!$AC$8:$AC$474,MATCH(K263,'MASTER por modelo'!$D$8:$D$474,0))+INDEX('MASTER por modelo'!$AD$8:$AD$474,MATCH(K263,'MASTER por modelo'!$D$8:$D$474,0)),"")</f>
        <v>588</v>
      </c>
      <c r="V263" s="93"/>
    </row>
    <row r="264" spans="1:22" x14ac:dyDescent="0.25">
      <c r="A264" s="109" t="s">
        <v>55</v>
      </c>
      <c r="B264" s="109" t="s">
        <v>99</v>
      </c>
      <c r="C264" s="109" t="s">
        <v>100</v>
      </c>
      <c r="D264" s="103">
        <f t="shared" ref="D264:D327" si="28">IFERROR((1/R264)*S264,0)</f>
        <v>123.96848592485301</v>
      </c>
      <c r="E264" s="110">
        <v>2.7839999999999998</v>
      </c>
      <c r="F264" s="110">
        <f t="shared" ref="F264:F327" si="29">E264/1.54</f>
        <v>1.8077922077922077</v>
      </c>
      <c r="G264" s="110">
        <f t="shared" ref="G264:G327" si="30">ROUNDUP(F264,0)</f>
        <v>2</v>
      </c>
      <c r="H264" s="110"/>
      <c r="I264" s="111">
        <v>954</v>
      </c>
      <c r="J264" s="109" t="str">
        <f t="shared" ref="J264:J327" si="31">LEFT(K264,2)</f>
        <v>26</v>
      </c>
      <c r="K264" s="109" t="s">
        <v>320</v>
      </c>
      <c r="L264" s="109" t="s">
        <v>768</v>
      </c>
      <c r="M264" s="111">
        <v>29</v>
      </c>
      <c r="N264" s="110">
        <v>379.9</v>
      </c>
      <c r="O264" s="105">
        <f t="shared" ref="O264:O327" si="32">N264-(M264*1.2)</f>
        <v>345.09999999999997</v>
      </c>
      <c r="P264" s="112">
        <v>9.6000000000000002E-2</v>
      </c>
      <c r="Q264" s="113">
        <v>2.918E-3</v>
      </c>
      <c r="R264" s="107">
        <f t="shared" ref="R264:R327" si="33">Q264*1000</f>
        <v>2.9180000000000001</v>
      </c>
      <c r="S264" s="105">
        <f t="shared" ref="S264:S327" si="34">IFERROR((O264/I264)*1000,0)</f>
        <v>361.7400419287211</v>
      </c>
      <c r="T264" s="114">
        <f>IFERROR(INDEX('MASTER por modelo'!$AQ$8:$AQ$474,MATCH(K264,'MASTER por modelo'!$D$8:$D$474,0)),"")</f>
        <v>0.46960167714884699</v>
      </c>
      <c r="U264" s="115">
        <f>IFERROR(INDEX('MASTER por modelo'!$AC$8:$AC$474,MATCH(K264,'MASTER por modelo'!$D$8:$D$474,0))+INDEX('MASTER por modelo'!$AD$8:$AD$474,MATCH(K264,'MASTER por modelo'!$D$8:$D$474,0)),"")</f>
        <v>448</v>
      </c>
      <c r="V264" s="93"/>
    </row>
    <row r="265" spans="1:22" x14ac:dyDescent="0.25">
      <c r="A265" s="109" t="s">
        <v>138</v>
      </c>
      <c r="B265" s="109" t="s">
        <v>139</v>
      </c>
      <c r="C265" s="109" t="s">
        <v>57</v>
      </c>
      <c r="D265" s="103">
        <f t="shared" si="28"/>
        <v>122.81239302408366</v>
      </c>
      <c r="E265" s="110">
        <v>2.7839999999999998</v>
      </c>
      <c r="F265" s="110">
        <f t="shared" si="29"/>
        <v>1.8077922077922077</v>
      </c>
      <c r="G265" s="110">
        <f t="shared" si="30"/>
        <v>2</v>
      </c>
      <c r="H265" s="110"/>
      <c r="I265" s="111">
        <v>499</v>
      </c>
      <c r="J265" s="109" t="str">
        <f t="shared" si="31"/>
        <v>26</v>
      </c>
      <c r="K265" s="109" t="s">
        <v>321</v>
      </c>
      <c r="L265" s="109" t="s">
        <v>797</v>
      </c>
      <c r="M265" s="111">
        <v>29</v>
      </c>
      <c r="N265" s="110">
        <v>376.7</v>
      </c>
      <c r="O265" s="105">
        <f t="shared" si="32"/>
        <v>341.9</v>
      </c>
      <c r="P265" s="112">
        <v>9.6000000000000002E-2</v>
      </c>
      <c r="Q265" s="113">
        <v>5.5789999999999998E-3</v>
      </c>
      <c r="R265" s="107">
        <f t="shared" si="33"/>
        <v>5.5789999999999997</v>
      </c>
      <c r="S265" s="105">
        <f t="shared" si="34"/>
        <v>685.17034068136275</v>
      </c>
      <c r="T265" s="114">
        <f>IFERROR(INDEX('MASTER por modelo'!$AQ$8:$AQ$474,MATCH(K265,'MASTER por modelo'!$D$8:$D$474,0)),"")</f>
        <v>0.10220440881763528</v>
      </c>
      <c r="U265" s="115">
        <f>IFERROR(INDEX('MASTER por modelo'!$AC$8:$AC$474,MATCH(K265,'MASTER por modelo'!$D$8:$D$474,0))+INDEX('MASTER por modelo'!$AD$8:$AD$474,MATCH(K265,'MASTER por modelo'!$D$8:$D$474,0)),"")</f>
        <v>51</v>
      </c>
      <c r="V265" s="93"/>
    </row>
    <row r="266" spans="1:22" x14ac:dyDescent="0.25">
      <c r="A266" s="109" t="s">
        <v>63</v>
      </c>
      <c r="B266" s="109" t="s">
        <v>110</v>
      </c>
      <c r="C266" s="109" t="s">
        <v>111</v>
      </c>
      <c r="D266" s="103">
        <f t="shared" si="28"/>
        <v>136.9138410147348</v>
      </c>
      <c r="E266" s="110">
        <v>2.76</v>
      </c>
      <c r="F266" s="110">
        <f t="shared" si="29"/>
        <v>1.7922077922077921</v>
      </c>
      <c r="G266" s="110">
        <f t="shared" si="30"/>
        <v>2</v>
      </c>
      <c r="H266" s="110"/>
      <c r="I266" s="111">
        <v>730</v>
      </c>
      <c r="J266" s="109" t="str">
        <f t="shared" si="31"/>
        <v>27</v>
      </c>
      <c r="K266" s="109" t="s">
        <v>322</v>
      </c>
      <c r="L266" s="109" t="s">
        <v>798</v>
      </c>
      <c r="M266" s="111">
        <v>27</v>
      </c>
      <c r="N266" s="110">
        <v>410.3</v>
      </c>
      <c r="O266" s="105">
        <f t="shared" si="32"/>
        <v>377.90000000000003</v>
      </c>
      <c r="P266" s="112">
        <v>0.1022</v>
      </c>
      <c r="Q266" s="113">
        <v>3.7810000000000001E-3</v>
      </c>
      <c r="R266" s="107">
        <f t="shared" si="33"/>
        <v>3.7810000000000001</v>
      </c>
      <c r="S266" s="105">
        <f t="shared" si="34"/>
        <v>517.67123287671234</v>
      </c>
      <c r="T266" s="114">
        <f>IFERROR(INDEX('MASTER por modelo'!$AQ$8:$AQ$474,MATCH(K266,'MASTER por modelo'!$D$8:$D$474,0)),"")</f>
        <v>0</v>
      </c>
      <c r="U266" s="115">
        <f>IFERROR(INDEX('MASTER por modelo'!$AC$8:$AC$474,MATCH(K266,'MASTER por modelo'!$D$8:$D$474,0))+INDEX('MASTER por modelo'!$AD$8:$AD$474,MATCH(K266,'MASTER por modelo'!$D$8:$D$474,0)),"")</f>
        <v>0</v>
      </c>
      <c r="V266" s="93"/>
    </row>
    <row r="267" spans="1:22" x14ac:dyDescent="0.25">
      <c r="A267" s="109" t="s">
        <v>63</v>
      </c>
      <c r="B267" s="109" t="s">
        <v>110</v>
      </c>
      <c r="C267" s="109" t="s">
        <v>100</v>
      </c>
      <c r="D267" s="103">
        <f t="shared" si="28"/>
        <v>112.42504996668885</v>
      </c>
      <c r="E267" s="110">
        <v>2.69</v>
      </c>
      <c r="F267" s="110">
        <f t="shared" si="29"/>
        <v>1.7467532467532467</v>
      </c>
      <c r="G267" s="110">
        <f t="shared" si="30"/>
        <v>2</v>
      </c>
      <c r="H267" s="110"/>
      <c r="I267" s="111">
        <v>608</v>
      </c>
      <c r="J267" s="109" t="str">
        <f t="shared" si="31"/>
        <v>27</v>
      </c>
      <c r="K267" s="109" t="s">
        <v>324</v>
      </c>
      <c r="L267" s="109" t="s">
        <v>799</v>
      </c>
      <c r="M267" s="111">
        <v>28</v>
      </c>
      <c r="N267" s="110">
        <v>336</v>
      </c>
      <c r="O267" s="105">
        <f t="shared" si="32"/>
        <v>302.39999999999998</v>
      </c>
      <c r="P267" s="112">
        <v>9.6100000000000005E-2</v>
      </c>
      <c r="Q267" s="113">
        <v>4.424E-3</v>
      </c>
      <c r="R267" s="107">
        <f t="shared" si="33"/>
        <v>4.4240000000000004</v>
      </c>
      <c r="S267" s="105">
        <f t="shared" si="34"/>
        <v>497.3684210526315</v>
      </c>
      <c r="T267" s="114">
        <f>IFERROR(INDEX('MASTER por modelo'!$AQ$8:$AQ$474,MATCH(K267,'MASTER por modelo'!$D$8:$D$474,0)),"")</f>
        <v>0</v>
      </c>
      <c r="U267" s="115">
        <f>IFERROR(INDEX('MASTER por modelo'!$AC$8:$AC$474,MATCH(K267,'MASTER por modelo'!$D$8:$D$474,0))+INDEX('MASTER por modelo'!$AD$8:$AD$474,MATCH(K267,'MASTER por modelo'!$D$8:$D$474,0)),"")</f>
        <v>0</v>
      </c>
      <c r="V267" s="93"/>
    </row>
    <row r="268" spans="1:22" x14ac:dyDescent="0.25">
      <c r="A268" s="109" t="s">
        <v>63</v>
      </c>
      <c r="B268" s="109" t="s">
        <v>84</v>
      </c>
      <c r="C268" s="109" t="s">
        <v>94</v>
      </c>
      <c r="D268" s="103">
        <f t="shared" si="28"/>
        <v>173.6807444310914</v>
      </c>
      <c r="E268" s="110">
        <v>2.6880000000000002</v>
      </c>
      <c r="F268" s="110">
        <f t="shared" si="29"/>
        <v>1.7454545454545456</v>
      </c>
      <c r="G268" s="110">
        <f t="shared" si="30"/>
        <v>2</v>
      </c>
      <c r="H268" s="110"/>
      <c r="I268" s="111">
        <v>677</v>
      </c>
      <c r="J268" s="109" t="str">
        <f t="shared" si="31"/>
        <v>26</v>
      </c>
      <c r="K268" s="109" t="s">
        <v>325</v>
      </c>
      <c r="L268" s="109" t="s">
        <v>796</v>
      </c>
      <c r="M268" s="111">
        <v>28</v>
      </c>
      <c r="N268" s="110">
        <v>500.4</v>
      </c>
      <c r="O268" s="105">
        <f t="shared" si="32"/>
        <v>466.79999999999995</v>
      </c>
      <c r="P268" s="112">
        <v>9.6000000000000002E-2</v>
      </c>
      <c r="Q268" s="113">
        <v>3.9699999999999996E-3</v>
      </c>
      <c r="R268" s="107">
        <f t="shared" si="33"/>
        <v>3.9699999999999998</v>
      </c>
      <c r="S268" s="105">
        <f t="shared" si="34"/>
        <v>689.51255539143278</v>
      </c>
      <c r="T268" s="114">
        <f>IFERROR(INDEX('MASTER por modelo'!$AQ$8:$AQ$474,MATCH(K268,'MASTER por modelo'!$D$8:$D$474,0)),"")</f>
        <v>0.84638109305760711</v>
      </c>
      <c r="U268" s="115">
        <f>IFERROR(INDEX('MASTER por modelo'!$AC$8:$AC$474,MATCH(K268,'MASTER por modelo'!$D$8:$D$474,0))+INDEX('MASTER por modelo'!$AD$8:$AD$474,MATCH(K268,'MASTER por modelo'!$D$8:$D$474,0)),"")</f>
        <v>573</v>
      </c>
      <c r="V268" s="93"/>
    </row>
    <row r="269" spans="1:22" x14ac:dyDescent="0.25">
      <c r="A269" s="109" t="s">
        <v>63</v>
      </c>
      <c r="B269" s="109" t="s">
        <v>84</v>
      </c>
      <c r="C269" s="109" t="s">
        <v>87</v>
      </c>
      <c r="D269" s="103">
        <f t="shared" si="28"/>
        <v>179.2012690292068</v>
      </c>
      <c r="E269" s="110">
        <v>2.6880000000000002</v>
      </c>
      <c r="F269" s="110">
        <f t="shared" si="29"/>
        <v>1.7454545454545456</v>
      </c>
      <c r="G269" s="110">
        <f t="shared" si="30"/>
        <v>2</v>
      </c>
      <c r="H269" s="110"/>
      <c r="I269" s="111">
        <v>783</v>
      </c>
      <c r="J269" s="109" t="str">
        <f t="shared" si="31"/>
        <v>26</v>
      </c>
      <c r="K269" s="109" t="s">
        <v>326</v>
      </c>
      <c r="L269" s="109" t="s">
        <v>792</v>
      </c>
      <c r="M269" s="111">
        <v>28</v>
      </c>
      <c r="N269" s="110">
        <v>515.29999999999995</v>
      </c>
      <c r="O269" s="105">
        <f t="shared" si="32"/>
        <v>481.69999999999993</v>
      </c>
      <c r="P269" s="112">
        <v>9.6000000000000002E-2</v>
      </c>
      <c r="Q269" s="113">
        <v>3.4329999999999999E-3</v>
      </c>
      <c r="R269" s="107">
        <f t="shared" si="33"/>
        <v>3.4329999999999998</v>
      </c>
      <c r="S269" s="105">
        <f t="shared" si="34"/>
        <v>615.19795657726684</v>
      </c>
      <c r="T269" s="114">
        <f>IFERROR(INDEX('MASTER por modelo'!$AQ$8:$AQ$474,MATCH(K269,'MASTER por modelo'!$D$8:$D$474,0)),"")</f>
        <v>0.12260536398467432</v>
      </c>
      <c r="U269" s="115">
        <f>IFERROR(INDEX('MASTER por modelo'!$AC$8:$AC$474,MATCH(K269,'MASTER por modelo'!$D$8:$D$474,0))+INDEX('MASTER por modelo'!$AD$8:$AD$474,MATCH(K269,'MASTER por modelo'!$D$8:$D$474,0)),"")</f>
        <v>96</v>
      </c>
      <c r="V269" s="93"/>
    </row>
    <row r="270" spans="1:22" x14ac:dyDescent="0.25">
      <c r="A270" s="109" t="s">
        <v>63</v>
      </c>
      <c r="B270" s="109" t="s">
        <v>102</v>
      </c>
      <c r="C270" s="109" t="s">
        <v>132</v>
      </c>
      <c r="D270" s="103">
        <f t="shared" si="28"/>
        <v>203.80950396680709</v>
      </c>
      <c r="E270" s="110">
        <v>2.6880000000000002</v>
      </c>
      <c r="F270" s="110">
        <f t="shared" si="29"/>
        <v>1.7454545454545456</v>
      </c>
      <c r="G270" s="110">
        <f t="shared" si="30"/>
        <v>2</v>
      </c>
      <c r="H270" s="110"/>
      <c r="I270" s="111">
        <v>826</v>
      </c>
      <c r="J270" s="109" t="str">
        <f t="shared" si="31"/>
        <v>27</v>
      </c>
      <c r="K270" s="109" t="s">
        <v>133</v>
      </c>
      <c r="L270" s="109" t="s">
        <v>775</v>
      </c>
      <c r="M270" s="111">
        <v>28</v>
      </c>
      <c r="N270" s="110">
        <v>581.4</v>
      </c>
      <c r="O270" s="105">
        <f t="shared" si="32"/>
        <v>547.79999999999995</v>
      </c>
      <c r="P270" s="112">
        <v>9.6000000000000002E-2</v>
      </c>
      <c r="Q270" s="113">
        <v>3.2539999999999999E-3</v>
      </c>
      <c r="R270" s="107">
        <f t="shared" si="33"/>
        <v>3.254</v>
      </c>
      <c r="S270" s="105">
        <f t="shared" si="34"/>
        <v>663.19612590799022</v>
      </c>
      <c r="T270" s="114">
        <f>IFERROR(INDEX('MASTER por modelo'!$AQ$8:$AQ$474,MATCH(K270,'MASTER por modelo'!$D$8:$D$474,0)),"")</f>
        <v>0</v>
      </c>
      <c r="U270" s="115">
        <f>IFERROR(INDEX('MASTER por modelo'!$AC$8:$AC$474,MATCH(K270,'MASTER por modelo'!$D$8:$D$474,0))+INDEX('MASTER por modelo'!$AD$8:$AD$474,MATCH(K270,'MASTER por modelo'!$D$8:$D$474,0)),"")</f>
        <v>0</v>
      </c>
      <c r="V270" s="93"/>
    </row>
    <row r="271" spans="1:22" x14ac:dyDescent="0.25">
      <c r="A271" s="109" t="s">
        <v>63</v>
      </c>
      <c r="B271" s="109" t="s">
        <v>102</v>
      </c>
      <c r="C271" s="109" t="s">
        <v>132</v>
      </c>
      <c r="D271" s="103">
        <f t="shared" si="28"/>
        <v>207.03987666152756</v>
      </c>
      <c r="E271" s="110">
        <v>2.6880000000000002</v>
      </c>
      <c r="F271" s="110">
        <f t="shared" si="29"/>
        <v>1.7454545454545456</v>
      </c>
      <c r="G271" s="110">
        <f t="shared" si="30"/>
        <v>2</v>
      </c>
      <c r="H271" s="110"/>
      <c r="I271" s="111">
        <v>824</v>
      </c>
      <c r="J271" s="109" t="str">
        <f t="shared" si="31"/>
        <v>27</v>
      </c>
      <c r="K271" s="109" t="s">
        <v>327</v>
      </c>
      <c r="L271" s="109" t="s">
        <v>775</v>
      </c>
      <c r="M271" s="111">
        <v>28</v>
      </c>
      <c r="N271" s="110">
        <v>590.1</v>
      </c>
      <c r="O271" s="105">
        <f t="shared" si="32"/>
        <v>556.5</v>
      </c>
      <c r="P271" s="112">
        <v>9.6000000000000002E-2</v>
      </c>
      <c r="Q271" s="113">
        <v>3.2620000000000001E-3</v>
      </c>
      <c r="R271" s="107">
        <f t="shared" si="33"/>
        <v>3.262</v>
      </c>
      <c r="S271" s="105">
        <f t="shared" si="34"/>
        <v>675.36407766990294</v>
      </c>
      <c r="T271" s="114">
        <f>IFERROR(INDEX('MASTER por modelo'!$AQ$8:$AQ$474,MATCH(K271,'MASTER por modelo'!$D$8:$D$474,0)),"")</f>
        <v>0</v>
      </c>
      <c r="U271" s="115">
        <f>IFERROR(INDEX('MASTER por modelo'!$AC$8:$AC$474,MATCH(K271,'MASTER por modelo'!$D$8:$D$474,0))+INDEX('MASTER por modelo'!$AD$8:$AD$474,MATCH(K271,'MASTER por modelo'!$D$8:$D$474,0)),"")</f>
        <v>0</v>
      </c>
      <c r="V271" s="93"/>
    </row>
    <row r="272" spans="1:22" x14ac:dyDescent="0.25">
      <c r="A272" s="109" t="s">
        <v>63</v>
      </c>
      <c r="B272" s="109" t="s">
        <v>64</v>
      </c>
      <c r="C272" s="109" t="s">
        <v>66</v>
      </c>
      <c r="D272" s="103">
        <f t="shared" si="28"/>
        <v>238.41786973186916</v>
      </c>
      <c r="E272" s="110">
        <v>2.6880000000000002</v>
      </c>
      <c r="F272" s="110">
        <f t="shared" si="29"/>
        <v>1.7454545454545456</v>
      </c>
      <c r="G272" s="110">
        <f t="shared" si="30"/>
        <v>2</v>
      </c>
      <c r="H272" s="110"/>
      <c r="I272" s="111">
        <v>633</v>
      </c>
      <c r="J272" s="109" t="str">
        <f t="shared" si="31"/>
        <v>27</v>
      </c>
      <c r="K272" s="109" t="s">
        <v>328</v>
      </c>
      <c r="L272" s="109" t="s">
        <v>747</v>
      </c>
      <c r="M272" s="111">
        <v>28</v>
      </c>
      <c r="N272" s="110">
        <v>674.39999999999986</v>
      </c>
      <c r="O272" s="105">
        <f t="shared" si="32"/>
        <v>640.79999999999984</v>
      </c>
      <c r="P272" s="112">
        <v>9.6000000000000002E-2</v>
      </c>
      <c r="Q272" s="113">
        <v>4.2459999999999998E-3</v>
      </c>
      <c r="R272" s="107">
        <f t="shared" si="33"/>
        <v>4.2459999999999996</v>
      </c>
      <c r="S272" s="105">
        <f t="shared" si="34"/>
        <v>1012.3222748815164</v>
      </c>
      <c r="T272" s="114">
        <f>IFERROR(INDEX('MASTER por modelo'!$AQ$8:$AQ$474,MATCH(K272,'MASTER por modelo'!$D$8:$D$474,0)),"")</f>
        <v>0</v>
      </c>
      <c r="U272" s="115">
        <f>IFERROR(INDEX('MASTER por modelo'!$AC$8:$AC$474,MATCH(K272,'MASTER por modelo'!$D$8:$D$474,0))+INDEX('MASTER por modelo'!$AD$8:$AD$474,MATCH(K272,'MASTER por modelo'!$D$8:$D$474,0)),"")</f>
        <v>0</v>
      </c>
      <c r="V272" s="93"/>
    </row>
    <row r="273" spans="1:22" x14ac:dyDescent="0.25">
      <c r="A273" s="109" t="s">
        <v>63</v>
      </c>
      <c r="B273" s="109" t="s">
        <v>64</v>
      </c>
      <c r="C273" s="109" t="s">
        <v>66</v>
      </c>
      <c r="D273" s="103">
        <f t="shared" si="28"/>
        <v>240.46910186160048</v>
      </c>
      <c r="E273" s="110">
        <v>2.592000000000001</v>
      </c>
      <c r="F273" s="110">
        <f t="shared" si="29"/>
        <v>1.6831168831168837</v>
      </c>
      <c r="G273" s="110">
        <f t="shared" si="30"/>
        <v>2</v>
      </c>
      <c r="H273" s="110"/>
      <c r="I273" s="111">
        <v>617</v>
      </c>
      <c r="J273" s="109" t="str">
        <f t="shared" si="31"/>
        <v>27</v>
      </c>
      <c r="K273" s="109" t="s">
        <v>334</v>
      </c>
      <c r="L273" s="109" t="s">
        <v>747</v>
      </c>
      <c r="M273" s="111">
        <v>27</v>
      </c>
      <c r="N273" s="110">
        <v>655.7</v>
      </c>
      <c r="O273" s="105">
        <f t="shared" si="32"/>
        <v>623.30000000000007</v>
      </c>
      <c r="P273" s="112">
        <v>9.6000000000000002E-2</v>
      </c>
      <c r="Q273" s="113">
        <v>4.2009999999999999E-3</v>
      </c>
      <c r="R273" s="107">
        <f t="shared" si="33"/>
        <v>4.2009999999999996</v>
      </c>
      <c r="S273" s="105">
        <f t="shared" si="34"/>
        <v>1010.2106969205835</v>
      </c>
      <c r="T273" s="114">
        <f>IFERROR(INDEX('MASTER por modelo'!$AQ$8:$AQ$474,MATCH(K273,'MASTER por modelo'!$D$8:$D$474,0)),"")</f>
        <v>0</v>
      </c>
      <c r="U273" s="115">
        <f>IFERROR(INDEX('MASTER por modelo'!$AC$8:$AC$474,MATCH(K273,'MASTER por modelo'!$D$8:$D$474,0))+INDEX('MASTER por modelo'!$AD$8:$AD$474,MATCH(K273,'MASTER por modelo'!$D$8:$D$474,0)),"")</f>
        <v>0</v>
      </c>
      <c r="V273" s="93"/>
    </row>
    <row r="274" spans="1:22" x14ac:dyDescent="0.25">
      <c r="A274" s="109" t="s">
        <v>55</v>
      </c>
      <c r="B274" s="109" t="s">
        <v>314</v>
      </c>
      <c r="C274" s="109" t="s">
        <v>315</v>
      </c>
      <c r="D274" s="103">
        <f t="shared" si="28"/>
        <v>168.26775635662113</v>
      </c>
      <c r="E274" s="110">
        <v>2.5920000000000001</v>
      </c>
      <c r="F274" s="110">
        <f t="shared" si="29"/>
        <v>1.6831168831168832</v>
      </c>
      <c r="G274" s="110">
        <f t="shared" si="30"/>
        <v>2</v>
      </c>
      <c r="H274" s="110"/>
      <c r="I274" s="111">
        <v>1433</v>
      </c>
      <c r="J274" s="109" t="str">
        <f t="shared" si="31"/>
        <v>26</v>
      </c>
      <c r="K274" s="109" t="s">
        <v>335</v>
      </c>
      <c r="L274" s="109" t="s">
        <v>800</v>
      </c>
      <c r="M274" s="111">
        <v>27</v>
      </c>
      <c r="N274" s="110">
        <v>468.6</v>
      </c>
      <c r="O274" s="105">
        <f t="shared" si="32"/>
        <v>436.20000000000005</v>
      </c>
      <c r="P274" s="112">
        <v>9.6000000000000002E-2</v>
      </c>
      <c r="Q274" s="113">
        <v>1.8090000000000001E-3</v>
      </c>
      <c r="R274" s="107">
        <f t="shared" si="33"/>
        <v>1.8090000000000002</v>
      </c>
      <c r="S274" s="105">
        <f t="shared" si="34"/>
        <v>304.3963712491277</v>
      </c>
      <c r="T274" s="114">
        <f>IFERROR(INDEX('MASTER por modelo'!$AQ$8:$AQ$474,MATCH(K274,'MASTER por modelo'!$D$8:$D$474,0)),"")</f>
        <v>0.51221214235868806</v>
      </c>
      <c r="U274" s="115">
        <f>IFERROR(INDEX('MASTER por modelo'!$AC$8:$AC$474,MATCH(K274,'MASTER por modelo'!$D$8:$D$474,0))+INDEX('MASTER por modelo'!$AD$8:$AD$474,MATCH(K274,'MASTER por modelo'!$D$8:$D$474,0)),"")</f>
        <v>734</v>
      </c>
      <c r="V274" s="93"/>
    </row>
    <row r="275" spans="1:22" x14ac:dyDescent="0.25">
      <c r="A275" s="109" t="s">
        <v>63</v>
      </c>
      <c r="B275" s="109" t="s">
        <v>102</v>
      </c>
      <c r="C275" s="109" t="s">
        <v>132</v>
      </c>
      <c r="D275" s="103">
        <f t="shared" si="28"/>
        <v>250.25214273091996</v>
      </c>
      <c r="E275" s="110">
        <v>2.5920000000000001</v>
      </c>
      <c r="F275" s="110">
        <f t="shared" si="29"/>
        <v>1.6831168831168832</v>
      </c>
      <c r="G275" s="110">
        <f t="shared" si="30"/>
        <v>2</v>
      </c>
      <c r="H275" s="110"/>
      <c r="I275" s="111">
        <v>1054</v>
      </c>
      <c r="J275" s="109" t="str">
        <f t="shared" si="31"/>
        <v>26</v>
      </c>
      <c r="K275" s="109" t="s">
        <v>336</v>
      </c>
      <c r="L275" s="109" t="s">
        <v>773</v>
      </c>
      <c r="M275" s="111">
        <v>27</v>
      </c>
      <c r="N275" s="110">
        <v>681</v>
      </c>
      <c r="O275" s="105">
        <f t="shared" si="32"/>
        <v>648.6</v>
      </c>
      <c r="P275" s="112">
        <v>9.6000000000000002E-2</v>
      </c>
      <c r="Q275" s="113">
        <v>2.4589999999999998E-3</v>
      </c>
      <c r="R275" s="107">
        <f t="shared" si="33"/>
        <v>2.4589999999999996</v>
      </c>
      <c r="S275" s="105">
        <f t="shared" si="34"/>
        <v>615.37001897533207</v>
      </c>
      <c r="T275" s="114">
        <f>IFERROR(INDEX('MASTER por modelo'!$AQ$8:$AQ$474,MATCH(K275,'MASTER por modelo'!$D$8:$D$474,0)),"")</f>
        <v>0.56261859582542695</v>
      </c>
      <c r="U275" s="115">
        <f>IFERROR(INDEX('MASTER por modelo'!$AC$8:$AC$474,MATCH(K275,'MASTER por modelo'!$D$8:$D$474,0))+INDEX('MASTER por modelo'!$AD$8:$AD$474,MATCH(K275,'MASTER por modelo'!$D$8:$D$474,0)),"")</f>
        <v>593</v>
      </c>
      <c r="V275" s="93"/>
    </row>
    <row r="276" spans="1:22" x14ac:dyDescent="0.25">
      <c r="A276" s="109" t="s">
        <v>55</v>
      </c>
      <c r="B276" s="109" t="s">
        <v>99</v>
      </c>
      <c r="C276" s="109" t="s">
        <v>100</v>
      </c>
      <c r="D276" s="103">
        <f t="shared" si="28"/>
        <v>81.407116216567616</v>
      </c>
      <c r="E276" s="110">
        <v>2.5920000000000001</v>
      </c>
      <c r="F276" s="110">
        <f t="shared" si="29"/>
        <v>1.6831168831168832</v>
      </c>
      <c r="G276" s="110">
        <f t="shared" si="30"/>
        <v>2</v>
      </c>
      <c r="H276" s="110"/>
      <c r="I276" s="111">
        <v>553</v>
      </c>
      <c r="J276" s="109" t="str">
        <f t="shared" si="31"/>
        <v>26</v>
      </c>
      <c r="K276" s="109" t="s">
        <v>337</v>
      </c>
      <c r="L276" s="109" t="s">
        <v>785</v>
      </c>
      <c r="M276" s="111">
        <v>27</v>
      </c>
      <c r="N276" s="110">
        <v>243.4</v>
      </c>
      <c r="O276" s="105">
        <f t="shared" si="32"/>
        <v>211</v>
      </c>
      <c r="P276" s="112">
        <v>9.6000000000000002E-2</v>
      </c>
      <c r="Q276" s="113">
        <v>4.6870000000000002E-3</v>
      </c>
      <c r="R276" s="107">
        <f t="shared" si="33"/>
        <v>4.6870000000000003</v>
      </c>
      <c r="S276" s="105">
        <f t="shared" si="34"/>
        <v>381.55515370705245</v>
      </c>
      <c r="T276" s="114">
        <f>IFERROR(INDEX('MASTER por modelo'!$AQ$8:$AQ$474,MATCH(K276,'MASTER por modelo'!$D$8:$D$474,0)),"")</f>
        <v>0.67992766726943943</v>
      </c>
      <c r="U276" s="115">
        <f>IFERROR(INDEX('MASTER por modelo'!$AC$8:$AC$474,MATCH(K276,'MASTER por modelo'!$D$8:$D$474,0))+INDEX('MASTER por modelo'!$AD$8:$AD$474,MATCH(K276,'MASTER por modelo'!$D$8:$D$474,0)),"")</f>
        <v>376</v>
      </c>
      <c r="V276" s="93"/>
    </row>
    <row r="277" spans="1:22" x14ac:dyDescent="0.25">
      <c r="A277" s="109" t="s">
        <v>63</v>
      </c>
      <c r="B277" s="109" t="s">
        <v>110</v>
      </c>
      <c r="C277" s="109" t="s">
        <v>100</v>
      </c>
      <c r="D277" s="103">
        <f t="shared" si="28"/>
        <v>156.7098795509811</v>
      </c>
      <c r="E277" s="110">
        <v>2.5920000000000001</v>
      </c>
      <c r="F277" s="110">
        <f t="shared" si="29"/>
        <v>1.6831168831168832</v>
      </c>
      <c r="G277" s="110">
        <f t="shared" si="30"/>
        <v>2</v>
      </c>
      <c r="H277" s="110"/>
      <c r="I277" s="111">
        <v>687</v>
      </c>
      <c r="J277" s="109" t="str">
        <f t="shared" si="31"/>
        <v>26</v>
      </c>
      <c r="K277" s="109" t="s">
        <v>338</v>
      </c>
      <c r="L277" s="109" t="s">
        <v>745</v>
      </c>
      <c r="M277" s="111">
        <v>27</v>
      </c>
      <c r="N277" s="110">
        <v>438.6</v>
      </c>
      <c r="O277" s="105">
        <f t="shared" si="32"/>
        <v>406.20000000000005</v>
      </c>
      <c r="P277" s="112">
        <v>9.6000000000000002E-2</v>
      </c>
      <c r="Q277" s="113">
        <v>3.7729999999999999E-3</v>
      </c>
      <c r="R277" s="107">
        <f t="shared" si="33"/>
        <v>3.7729999999999997</v>
      </c>
      <c r="S277" s="105">
        <f t="shared" si="34"/>
        <v>591.26637554585159</v>
      </c>
      <c r="T277" s="114">
        <f>IFERROR(INDEX('MASTER por modelo'!$AQ$8:$AQ$474,MATCH(K277,'MASTER por modelo'!$D$8:$D$474,0)),"")</f>
        <v>0.34643377001455605</v>
      </c>
      <c r="U277" s="115">
        <f>IFERROR(INDEX('MASTER por modelo'!$AC$8:$AC$474,MATCH(K277,'MASTER por modelo'!$D$8:$D$474,0))+INDEX('MASTER por modelo'!$AD$8:$AD$474,MATCH(K277,'MASTER por modelo'!$D$8:$D$474,0)),"")</f>
        <v>238</v>
      </c>
      <c r="V277" s="93"/>
    </row>
    <row r="278" spans="1:22" x14ac:dyDescent="0.25">
      <c r="A278" s="109" t="s">
        <v>138</v>
      </c>
      <c r="B278" s="109" t="s">
        <v>139</v>
      </c>
      <c r="C278" s="109" t="s">
        <v>122</v>
      </c>
      <c r="D278" s="103">
        <f t="shared" si="28"/>
        <v>118.74587687927503</v>
      </c>
      <c r="E278" s="110">
        <v>2.5920000000000001</v>
      </c>
      <c r="F278" s="110">
        <f t="shared" si="29"/>
        <v>1.6831168831168832</v>
      </c>
      <c r="G278" s="110">
        <f t="shared" si="30"/>
        <v>2</v>
      </c>
      <c r="H278" s="110"/>
      <c r="I278" s="111">
        <v>498</v>
      </c>
      <c r="J278" s="109" t="str">
        <f t="shared" si="31"/>
        <v>26</v>
      </c>
      <c r="K278" s="109" t="s">
        <v>339</v>
      </c>
      <c r="L278" s="109" t="s">
        <v>730</v>
      </c>
      <c r="M278" s="111">
        <v>27</v>
      </c>
      <c r="N278" s="110">
        <v>340.2</v>
      </c>
      <c r="O278" s="105">
        <f t="shared" si="32"/>
        <v>307.8</v>
      </c>
      <c r="P278" s="112">
        <v>9.6000000000000002E-2</v>
      </c>
      <c r="Q278" s="113">
        <v>5.2050000000000004E-3</v>
      </c>
      <c r="R278" s="107">
        <f t="shared" si="33"/>
        <v>5.2050000000000001</v>
      </c>
      <c r="S278" s="105">
        <f t="shared" si="34"/>
        <v>618.07228915662654</v>
      </c>
      <c r="T278" s="114">
        <f>IFERROR(INDEX('MASTER por modelo'!$AQ$8:$AQ$474,MATCH(K278,'MASTER por modelo'!$D$8:$D$474,0)),"")</f>
        <v>0.43775100401606426</v>
      </c>
      <c r="U278" s="115">
        <f>IFERROR(INDEX('MASTER por modelo'!$AC$8:$AC$474,MATCH(K278,'MASTER por modelo'!$D$8:$D$474,0))+INDEX('MASTER por modelo'!$AD$8:$AD$474,MATCH(K278,'MASTER por modelo'!$D$8:$D$474,0)),"")</f>
        <v>218</v>
      </c>
      <c r="V278" s="93"/>
    </row>
    <row r="279" spans="1:22" x14ac:dyDescent="0.25">
      <c r="A279" s="109" t="s">
        <v>63</v>
      </c>
      <c r="B279" s="109" t="s">
        <v>84</v>
      </c>
      <c r="C279" s="109" t="s">
        <v>94</v>
      </c>
      <c r="D279" s="103">
        <f t="shared" si="28"/>
        <v>157.49732393415431</v>
      </c>
      <c r="E279" s="110">
        <v>2.5920000000000001</v>
      </c>
      <c r="F279" s="110">
        <f t="shared" si="29"/>
        <v>1.6831168831168832</v>
      </c>
      <c r="G279" s="110">
        <f t="shared" si="30"/>
        <v>2</v>
      </c>
      <c r="H279" s="110"/>
      <c r="I279" s="111">
        <v>857</v>
      </c>
      <c r="J279" s="109" t="str">
        <f t="shared" si="31"/>
        <v>26</v>
      </c>
      <c r="K279" s="109" t="s">
        <v>340</v>
      </c>
      <c r="L279" s="109" t="s">
        <v>792</v>
      </c>
      <c r="M279" s="111">
        <v>27</v>
      </c>
      <c r="N279" s="110">
        <v>440.7</v>
      </c>
      <c r="O279" s="105">
        <f t="shared" si="32"/>
        <v>408.3</v>
      </c>
      <c r="P279" s="112">
        <v>9.6000000000000002E-2</v>
      </c>
      <c r="Q279" s="113">
        <v>3.0249999999999999E-3</v>
      </c>
      <c r="R279" s="107">
        <f t="shared" si="33"/>
        <v>3.0249999999999999</v>
      </c>
      <c r="S279" s="105">
        <f t="shared" si="34"/>
        <v>476.42940490081679</v>
      </c>
      <c r="T279" s="114">
        <f>IFERROR(INDEX('MASTER por modelo'!$AQ$8:$AQ$474,MATCH(K279,'MASTER por modelo'!$D$8:$D$474,0)),"")</f>
        <v>0.79113185530921826</v>
      </c>
      <c r="U279" s="115">
        <f>IFERROR(INDEX('MASTER por modelo'!$AC$8:$AC$474,MATCH(K279,'MASTER por modelo'!$D$8:$D$474,0))+INDEX('MASTER por modelo'!$AD$8:$AD$474,MATCH(K279,'MASTER por modelo'!$D$8:$D$474,0)),"")</f>
        <v>678</v>
      </c>
      <c r="V279" s="93"/>
    </row>
    <row r="280" spans="1:22" x14ac:dyDescent="0.25">
      <c r="A280" s="109" t="s">
        <v>63</v>
      </c>
      <c r="B280" s="109" t="s">
        <v>84</v>
      </c>
      <c r="C280" s="109" t="s">
        <v>85</v>
      </c>
      <c r="D280" s="103">
        <f t="shared" si="28"/>
        <v>169.22027495015217</v>
      </c>
      <c r="E280" s="110">
        <v>2.5920000000000001</v>
      </c>
      <c r="F280" s="110">
        <f t="shared" si="29"/>
        <v>1.6831168831168832</v>
      </c>
      <c r="G280" s="110">
        <f t="shared" si="30"/>
        <v>2</v>
      </c>
      <c r="H280" s="110"/>
      <c r="I280" s="111">
        <v>733</v>
      </c>
      <c r="J280" s="109" t="str">
        <f t="shared" si="31"/>
        <v>26</v>
      </c>
      <c r="K280" s="109" t="s">
        <v>341</v>
      </c>
      <c r="L280" s="109" t="s">
        <v>792</v>
      </c>
      <c r="M280" s="111">
        <v>27</v>
      </c>
      <c r="N280" s="110">
        <v>471</v>
      </c>
      <c r="O280" s="105">
        <f t="shared" si="32"/>
        <v>438.6</v>
      </c>
      <c r="P280" s="112">
        <v>9.6000000000000002E-2</v>
      </c>
      <c r="Q280" s="113">
        <v>3.5360000000000001E-3</v>
      </c>
      <c r="R280" s="107">
        <f t="shared" si="33"/>
        <v>3.536</v>
      </c>
      <c r="S280" s="105">
        <f t="shared" si="34"/>
        <v>598.36289222373807</v>
      </c>
      <c r="T280" s="114">
        <f>IFERROR(INDEX('MASTER por modelo'!$AQ$8:$AQ$474,MATCH(K280,'MASTER por modelo'!$D$8:$D$474,0)),"")</f>
        <v>0.52660300136425653</v>
      </c>
      <c r="U280" s="115">
        <f>IFERROR(INDEX('MASTER por modelo'!$AC$8:$AC$474,MATCH(K280,'MASTER por modelo'!$D$8:$D$474,0))+INDEX('MASTER por modelo'!$AD$8:$AD$474,MATCH(K280,'MASTER por modelo'!$D$8:$D$474,0)),"")</f>
        <v>386</v>
      </c>
      <c r="V280" s="93"/>
    </row>
    <row r="281" spans="1:22" x14ac:dyDescent="0.25">
      <c r="A281" s="109" t="s">
        <v>55</v>
      </c>
      <c r="B281" s="109" t="s">
        <v>99</v>
      </c>
      <c r="C281" s="109" t="s">
        <v>100</v>
      </c>
      <c r="D281" s="103">
        <f t="shared" si="28"/>
        <v>73.032830051099822</v>
      </c>
      <c r="E281" s="110">
        <v>2.5920000000000001</v>
      </c>
      <c r="F281" s="110">
        <f t="shared" si="29"/>
        <v>1.6831168831168832</v>
      </c>
      <c r="G281" s="110">
        <f t="shared" si="30"/>
        <v>2</v>
      </c>
      <c r="H281" s="110"/>
      <c r="I281" s="111">
        <v>759</v>
      </c>
      <c r="J281" s="109" t="str">
        <f t="shared" si="31"/>
        <v>26</v>
      </c>
      <c r="K281" s="109" t="s">
        <v>342</v>
      </c>
      <c r="L281" s="109" t="s">
        <v>768</v>
      </c>
      <c r="M281" s="111">
        <v>27</v>
      </c>
      <c r="N281" s="110">
        <v>221.7</v>
      </c>
      <c r="O281" s="105">
        <f t="shared" si="32"/>
        <v>189.29999999999998</v>
      </c>
      <c r="P281" s="112">
        <v>9.6000000000000002E-2</v>
      </c>
      <c r="Q281" s="113">
        <v>3.4150000000000001E-3</v>
      </c>
      <c r="R281" s="107">
        <f t="shared" si="33"/>
        <v>3.415</v>
      </c>
      <c r="S281" s="105">
        <f t="shared" si="34"/>
        <v>249.40711462450591</v>
      </c>
      <c r="T281" s="114">
        <f>IFERROR(INDEX('MASTER por modelo'!$AQ$8:$AQ$474,MATCH(K281,'MASTER por modelo'!$D$8:$D$474,0)),"")</f>
        <v>0.61396574440052698</v>
      </c>
      <c r="U281" s="115">
        <f>IFERROR(INDEX('MASTER por modelo'!$AC$8:$AC$474,MATCH(K281,'MASTER por modelo'!$D$8:$D$474,0))+INDEX('MASTER por modelo'!$AD$8:$AD$474,MATCH(K281,'MASTER por modelo'!$D$8:$D$474,0)),"")</f>
        <v>466</v>
      </c>
      <c r="V281" s="93"/>
    </row>
    <row r="282" spans="1:22" x14ac:dyDescent="0.25">
      <c r="A282" s="109" t="s">
        <v>55</v>
      </c>
      <c r="B282" s="109" t="s">
        <v>99</v>
      </c>
      <c r="C282" s="109" t="s">
        <v>100</v>
      </c>
      <c r="D282" s="103">
        <f t="shared" si="28"/>
        <v>86.806828186524328</v>
      </c>
      <c r="E282" s="110">
        <v>2.5920000000000001</v>
      </c>
      <c r="F282" s="110">
        <f t="shared" si="29"/>
        <v>1.6831168831168832</v>
      </c>
      <c r="G282" s="110">
        <f t="shared" si="30"/>
        <v>2</v>
      </c>
      <c r="H282" s="110"/>
      <c r="I282" s="111">
        <v>667</v>
      </c>
      <c r="J282" s="109" t="str">
        <f t="shared" si="31"/>
        <v>26</v>
      </c>
      <c r="K282" s="109" t="s">
        <v>343</v>
      </c>
      <c r="L282" s="109" t="s">
        <v>768</v>
      </c>
      <c r="M282" s="111">
        <v>27</v>
      </c>
      <c r="N282" s="110">
        <v>257.39999999999998</v>
      </c>
      <c r="O282" s="105">
        <f t="shared" si="32"/>
        <v>224.99999999999997</v>
      </c>
      <c r="P282" s="112">
        <v>9.6000000000000002E-2</v>
      </c>
      <c r="Q282" s="113">
        <v>3.8860000000000001E-3</v>
      </c>
      <c r="R282" s="107">
        <f t="shared" si="33"/>
        <v>3.8860000000000001</v>
      </c>
      <c r="S282" s="105">
        <f t="shared" si="34"/>
        <v>337.33133433283353</v>
      </c>
      <c r="T282" s="114">
        <f>IFERROR(INDEX('MASTER por modelo'!$AQ$8:$AQ$474,MATCH(K282,'MASTER por modelo'!$D$8:$D$474,0)),"")</f>
        <v>5.5472263868065967E-2</v>
      </c>
      <c r="U282" s="115">
        <f>IFERROR(INDEX('MASTER por modelo'!$AC$8:$AC$474,MATCH(K282,'MASTER por modelo'!$D$8:$D$474,0))+INDEX('MASTER por modelo'!$AD$8:$AD$474,MATCH(K282,'MASTER por modelo'!$D$8:$D$474,0)),"")</f>
        <v>37</v>
      </c>
      <c r="V282" s="93"/>
    </row>
    <row r="283" spans="1:22" x14ac:dyDescent="0.25">
      <c r="A283" s="109" t="s">
        <v>55</v>
      </c>
      <c r="B283" s="109" t="s">
        <v>255</v>
      </c>
      <c r="C283" s="109" t="s">
        <v>132</v>
      </c>
      <c r="D283" s="103">
        <f t="shared" si="28"/>
        <v>275.80875715006107</v>
      </c>
      <c r="E283" s="110">
        <v>2.59</v>
      </c>
      <c r="F283" s="110">
        <f t="shared" si="29"/>
        <v>1.6818181818181817</v>
      </c>
      <c r="G283" s="110">
        <f t="shared" si="30"/>
        <v>2</v>
      </c>
      <c r="H283" s="110"/>
      <c r="I283" s="111">
        <v>1438</v>
      </c>
      <c r="J283" s="109" t="str">
        <f t="shared" si="31"/>
        <v>26</v>
      </c>
      <c r="K283" s="109" t="s">
        <v>344</v>
      </c>
      <c r="L283" s="109" t="s">
        <v>801</v>
      </c>
      <c r="M283" s="111">
        <v>36</v>
      </c>
      <c r="N283" s="110">
        <v>757.5</v>
      </c>
      <c r="O283" s="105">
        <f t="shared" si="32"/>
        <v>714.3</v>
      </c>
      <c r="P283" s="112">
        <v>7.1900000000000006E-2</v>
      </c>
      <c r="Q283" s="113">
        <v>1.8010000000000001E-3</v>
      </c>
      <c r="R283" s="107">
        <f t="shared" si="33"/>
        <v>1.8010000000000002</v>
      </c>
      <c r="S283" s="105">
        <f t="shared" si="34"/>
        <v>496.73157162726005</v>
      </c>
      <c r="T283" s="114">
        <f>IFERROR(INDEX('MASTER por modelo'!$AQ$8:$AQ$474,MATCH(K283,'MASTER por modelo'!$D$8:$D$474,0)),"")</f>
        <v>0.44019471488178025</v>
      </c>
      <c r="U283" s="115">
        <f>IFERROR(INDEX('MASTER por modelo'!$AC$8:$AC$474,MATCH(K283,'MASTER por modelo'!$D$8:$D$474,0))+INDEX('MASTER por modelo'!$AD$8:$AD$474,MATCH(K283,'MASTER por modelo'!$D$8:$D$474,0)),"")</f>
        <v>633</v>
      </c>
      <c r="V283" s="93"/>
    </row>
    <row r="284" spans="1:22" x14ac:dyDescent="0.25">
      <c r="A284" s="109" t="s">
        <v>63</v>
      </c>
      <c r="B284" s="109" t="s">
        <v>84</v>
      </c>
      <c r="C284" s="109" t="s">
        <v>87</v>
      </c>
      <c r="D284" s="103">
        <f t="shared" si="28"/>
        <v>187.05774370996053</v>
      </c>
      <c r="E284" s="110">
        <v>2.58</v>
      </c>
      <c r="F284" s="110">
        <f t="shared" si="29"/>
        <v>1.6753246753246753</v>
      </c>
      <c r="G284" s="110">
        <f t="shared" si="30"/>
        <v>2</v>
      </c>
      <c r="H284" s="110"/>
      <c r="I284" s="111">
        <v>911</v>
      </c>
      <c r="J284" s="109" t="str">
        <f t="shared" si="31"/>
        <v>27</v>
      </c>
      <c r="K284" s="109" t="s">
        <v>345</v>
      </c>
      <c r="L284" s="109" t="s">
        <v>782</v>
      </c>
      <c r="M284" s="111">
        <v>25</v>
      </c>
      <c r="N284" s="110">
        <v>512.6</v>
      </c>
      <c r="O284" s="105">
        <f t="shared" si="32"/>
        <v>482.6</v>
      </c>
      <c r="P284" s="112">
        <v>0.1032</v>
      </c>
      <c r="Q284" s="113">
        <v>2.8319999999999999E-3</v>
      </c>
      <c r="R284" s="107">
        <f t="shared" si="33"/>
        <v>2.8319999999999999</v>
      </c>
      <c r="S284" s="105">
        <f t="shared" si="34"/>
        <v>529.74753018660817</v>
      </c>
      <c r="T284" s="114">
        <f>IFERROR(INDEX('MASTER por modelo'!$AQ$8:$AQ$474,MATCH(K284,'MASTER por modelo'!$D$8:$D$474,0)),"")</f>
        <v>0</v>
      </c>
      <c r="U284" s="115">
        <f>IFERROR(INDEX('MASTER por modelo'!$AC$8:$AC$474,MATCH(K284,'MASTER por modelo'!$D$8:$D$474,0))+INDEX('MASTER por modelo'!$AD$8:$AD$474,MATCH(K284,'MASTER por modelo'!$D$8:$D$474,0)),"")</f>
        <v>0</v>
      </c>
      <c r="V284" s="93"/>
    </row>
    <row r="285" spans="1:22" x14ac:dyDescent="0.25">
      <c r="A285" s="109" t="s">
        <v>55</v>
      </c>
      <c r="B285" s="109" t="s">
        <v>255</v>
      </c>
      <c r="C285" s="109" t="s">
        <v>132</v>
      </c>
      <c r="D285" s="103">
        <f t="shared" si="28"/>
        <v>244.25251077851493</v>
      </c>
      <c r="E285" s="110">
        <v>2.5344000000000002</v>
      </c>
      <c r="F285" s="110">
        <f t="shared" si="29"/>
        <v>1.6457142857142859</v>
      </c>
      <c r="G285" s="110">
        <f t="shared" si="30"/>
        <v>2</v>
      </c>
      <c r="H285" s="110"/>
      <c r="I285" s="111">
        <v>976</v>
      </c>
      <c r="J285" s="109" t="str">
        <f t="shared" si="31"/>
        <v>26</v>
      </c>
      <c r="K285" s="109" t="s">
        <v>346</v>
      </c>
      <c r="L285" s="109" t="s">
        <v>791</v>
      </c>
      <c r="M285" s="111">
        <v>33</v>
      </c>
      <c r="N285" s="110">
        <v>658.7</v>
      </c>
      <c r="O285" s="105">
        <f t="shared" si="32"/>
        <v>619.1</v>
      </c>
      <c r="P285" s="112">
        <v>7.6799999999999993E-2</v>
      </c>
      <c r="Q285" s="113">
        <v>2.5969999999999999E-3</v>
      </c>
      <c r="R285" s="107">
        <f t="shared" si="33"/>
        <v>2.597</v>
      </c>
      <c r="S285" s="105">
        <f t="shared" si="34"/>
        <v>634.32377049180332</v>
      </c>
      <c r="T285" s="114">
        <f>IFERROR(INDEX('MASTER por modelo'!$AQ$8:$AQ$474,MATCH(K285,'MASTER por modelo'!$D$8:$D$474,0)),"")</f>
        <v>0.96004098360655743</v>
      </c>
      <c r="U285" s="115">
        <f>IFERROR(INDEX('MASTER por modelo'!$AC$8:$AC$474,MATCH(K285,'MASTER por modelo'!$D$8:$D$474,0))+INDEX('MASTER por modelo'!$AD$8:$AD$474,MATCH(K285,'MASTER por modelo'!$D$8:$D$474,0)),"")</f>
        <v>937</v>
      </c>
      <c r="V285" s="93"/>
    </row>
    <row r="286" spans="1:22" x14ac:dyDescent="0.25">
      <c r="A286" s="109" t="s">
        <v>63</v>
      </c>
      <c r="B286" s="109" t="s">
        <v>171</v>
      </c>
      <c r="C286" s="109" t="s">
        <v>172</v>
      </c>
      <c r="D286" s="103">
        <f t="shared" si="28"/>
        <v>155.88846465200183</v>
      </c>
      <c r="E286" s="110">
        <v>2.5099999999999998</v>
      </c>
      <c r="F286" s="110">
        <f t="shared" si="29"/>
        <v>1.6298701298701297</v>
      </c>
      <c r="G286" s="110">
        <f t="shared" si="30"/>
        <v>2</v>
      </c>
      <c r="H286" s="110"/>
      <c r="I286" s="111">
        <v>359</v>
      </c>
      <c r="J286" s="109" t="str">
        <f t="shared" si="31"/>
        <v>26</v>
      </c>
      <c r="K286" s="109" t="s">
        <v>199</v>
      </c>
      <c r="L286" s="109" t="s">
        <v>802</v>
      </c>
      <c r="M286" s="111">
        <v>24</v>
      </c>
      <c r="N286" s="110">
        <v>420.1</v>
      </c>
      <c r="O286" s="105">
        <f t="shared" si="32"/>
        <v>391.3</v>
      </c>
      <c r="P286" s="112">
        <v>0.1046</v>
      </c>
      <c r="Q286" s="113">
        <v>6.992E-3</v>
      </c>
      <c r="R286" s="107">
        <f t="shared" si="33"/>
        <v>6.992</v>
      </c>
      <c r="S286" s="105">
        <f t="shared" si="34"/>
        <v>1089.9721448467967</v>
      </c>
      <c r="T286" s="114">
        <f>IFERROR(INDEX('MASTER por modelo'!$AQ$8:$AQ$474,MATCH(K286,'MASTER por modelo'!$D$8:$D$474,0)),"")</f>
        <v>0.36948748510131108</v>
      </c>
      <c r="U286" s="115">
        <f>IFERROR(INDEX('MASTER por modelo'!$AC$8:$AC$474,MATCH(K286,'MASTER por modelo'!$D$8:$D$474,0))+INDEX('MASTER por modelo'!$AD$8:$AD$474,MATCH(K286,'MASTER por modelo'!$D$8:$D$474,0)),"")</f>
        <v>310</v>
      </c>
      <c r="V286" s="93"/>
    </row>
    <row r="287" spans="1:22" x14ac:dyDescent="0.25">
      <c r="A287" s="109" t="s">
        <v>55</v>
      </c>
      <c r="B287" s="109" t="s">
        <v>255</v>
      </c>
      <c r="C287" s="109" t="s">
        <v>347</v>
      </c>
      <c r="D287" s="103">
        <f t="shared" si="28"/>
        <v>222.92693773951927</v>
      </c>
      <c r="E287" s="110">
        <v>2.496</v>
      </c>
      <c r="F287" s="110">
        <f t="shared" si="29"/>
        <v>1.6207792207792207</v>
      </c>
      <c r="G287" s="110">
        <f t="shared" si="30"/>
        <v>2</v>
      </c>
      <c r="H287" s="110"/>
      <c r="I287" s="111">
        <v>1015</v>
      </c>
      <c r="J287" s="109" t="str">
        <f t="shared" si="31"/>
        <v>26</v>
      </c>
      <c r="K287" s="109" t="s">
        <v>348</v>
      </c>
      <c r="L287" s="109" t="s">
        <v>803</v>
      </c>
      <c r="M287" s="111">
        <v>26</v>
      </c>
      <c r="N287" s="110">
        <v>587.6</v>
      </c>
      <c r="O287" s="105">
        <f t="shared" si="32"/>
        <v>556.4</v>
      </c>
      <c r="P287" s="112">
        <v>9.6000000000000002E-2</v>
      </c>
      <c r="Q287" s="113">
        <v>2.4589999999999998E-3</v>
      </c>
      <c r="R287" s="107">
        <f t="shared" si="33"/>
        <v>2.4589999999999996</v>
      </c>
      <c r="S287" s="105">
        <f t="shared" si="34"/>
        <v>548.17733990147781</v>
      </c>
      <c r="T287" s="114">
        <f>IFERROR(INDEX('MASTER por modelo'!$AQ$8:$AQ$474,MATCH(K287,'MASTER por modelo'!$D$8:$D$474,0)),"")</f>
        <v>0.83251231527093594</v>
      </c>
      <c r="U287" s="115">
        <f>IFERROR(INDEX('MASTER por modelo'!$AC$8:$AC$474,MATCH(K287,'MASTER por modelo'!$D$8:$D$474,0))+INDEX('MASTER por modelo'!$AD$8:$AD$474,MATCH(K287,'MASTER por modelo'!$D$8:$D$474,0)),"")</f>
        <v>845</v>
      </c>
      <c r="V287" s="93"/>
    </row>
    <row r="288" spans="1:22" x14ac:dyDescent="0.25">
      <c r="A288" s="109" t="s">
        <v>55</v>
      </c>
      <c r="B288" s="109" t="s">
        <v>99</v>
      </c>
      <c r="C288" s="109" t="s">
        <v>100</v>
      </c>
      <c r="D288" s="103">
        <f t="shared" si="28"/>
        <v>71.585258964781815</v>
      </c>
      <c r="E288" s="110">
        <v>2.496</v>
      </c>
      <c r="F288" s="110">
        <f t="shared" si="29"/>
        <v>1.6207792207792207</v>
      </c>
      <c r="G288" s="110">
        <f t="shared" si="30"/>
        <v>2</v>
      </c>
      <c r="H288" s="110"/>
      <c r="I288" s="111">
        <v>751</v>
      </c>
      <c r="J288" s="109" t="str">
        <f t="shared" si="31"/>
        <v>26</v>
      </c>
      <c r="K288" s="109" t="s">
        <v>235</v>
      </c>
      <c r="L288" s="109" t="s">
        <v>772</v>
      </c>
      <c r="M288" s="111">
        <v>26</v>
      </c>
      <c r="N288" s="110">
        <v>209.9</v>
      </c>
      <c r="O288" s="105">
        <f t="shared" si="32"/>
        <v>178.70000000000002</v>
      </c>
      <c r="P288" s="112">
        <v>9.6000000000000002E-2</v>
      </c>
      <c r="Q288" s="113">
        <v>3.3240000000000001E-3</v>
      </c>
      <c r="R288" s="107">
        <f t="shared" si="33"/>
        <v>3.3240000000000003</v>
      </c>
      <c r="S288" s="105">
        <f t="shared" si="34"/>
        <v>237.94940079893479</v>
      </c>
      <c r="T288" s="114">
        <f>IFERROR(INDEX('MASTER por modelo'!$AQ$8:$AQ$474,MATCH(K288,'MASTER por modelo'!$D$8:$D$474,0)),"")</f>
        <v>0.61283643892339545</v>
      </c>
      <c r="U288" s="115">
        <f>IFERROR(INDEX('MASTER por modelo'!$AC$8:$AC$474,MATCH(K288,'MASTER por modelo'!$D$8:$D$474,0))+INDEX('MASTER por modelo'!$AD$8:$AD$474,MATCH(K288,'MASTER por modelo'!$D$8:$D$474,0)),"")</f>
        <v>888</v>
      </c>
      <c r="V288" s="93"/>
    </row>
    <row r="289" spans="1:22" x14ac:dyDescent="0.25">
      <c r="A289" s="109" t="s">
        <v>63</v>
      </c>
      <c r="B289" s="109" t="s">
        <v>110</v>
      </c>
      <c r="C289" s="109" t="s">
        <v>100</v>
      </c>
      <c r="D289" s="103">
        <f t="shared" si="28"/>
        <v>141.04683195592287</v>
      </c>
      <c r="E289" s="110">
        <v>2.496</v>
      </c>
      <c r="F289" s="110">
        <f t="shared" si="29"/>
        <v>1.6207792207792207</v>
      </c>
      <c r="G289" s="110">
        <f t="shared" si="30"/>
        <v>2</v>
      </c>
      <c r="H289" s="110"/>
      <c r="I289" s="111">
        <v>825</v>
      </c>
      <c r="J289" s="109" t="str">
        <f t="shared" si="31"/>
        <v>26</v>
      </c>
      <c r="K289" s="109" t="s">
        <v>225</v>
      </c>
      <c r="L289" s="109" t="s">
        <v>778</v>
      </c>
      <c r="M289" s="111">
        <v>26</v>
      </c>
      <c r="N289" s="110">
        <v>383.2</v>
      </c>
      <c r="O289" s="105">
        <f t="shared" si="32"/>
        <v>352</v>
      </c>
      <c r="P289" s="112">
        <v>9.6000000000000002E-2</v>
      </c>
      <c r="Q289" s="113">
        <v>3.0249999999999999E-3</v>
      </c>
      <c r="R289" s="107">
        <f t="shared" si="33"/>
        <v>3.0249999999999999</v>
      </c>
      <c r="S289" s="105">
        <f t="shared" si="34"/>
        <v>426.66666666666669</v>
      </c>
      <c r="T289" s="114">
        <f>IFERROR(INDEX('MASTER por modelo'!$AQ$8:$AQ$474,MATCH(K289,'MASTER por modelo'!$D$8:$D$474,0)),"")</f>
        <v>0</v>
      </c>
      <c r="U289" s="115">
        <f>IFERROR(INDEX('MASTER por modelo'!$AC$8:$AC$474,MATCH(K289,'MASTER por modelo'!$D$8:$D$474,0))+INDEX('MASTER por modelo'!$AD$8:$AD$474,MATCH(K289,'MASTER por modelo'!$D$8:$D$474,0)),"")</f>
        <v>0</v>
      </c>
      <c r="V289" s="93"/>
    </row>
    <row r="290" spans="1:22" x14ac:dyDescent="0.25">
      <c r="A290" s="109" t="s">
        <v>63</v>
      </c>
      <c r="B290" s="109" t="s">
        <v>110</v>
      </c>
      <c r="C290" s="109" t="s">
        <v>100</v>
      </c>
      <c r="D290" s="103">
        <f t="shared" si="28"/>
        <v>141.02422852335212</v>
      </c>
      <c r="E290" s="110">
        <v>2.496</v>
      </c>
      <c r="F290" s="110">
        <f t="shared" si="29"/>
        <v>1.6207792207792207</v>
      </c>
      <c r="G290" s="110">
        <f t="shared" si="30"/>
        <v>2</v>
      </c>
      <c r="H290" s="110"/>
      <c r="I290" s="111">
        <v>839</v>
      </c>
      <c r="J290" s="109" t="str">
        <f t="shared" si="31"/>
        <v>26</v>
      </c>
      <c r="K290" s="109" t="s">
        <v>225</v>
      </c>
      <c r="L290" s="109" t="s">
        <v>778</v>
      </c>
      <c r="M290" s="111">
        <v>26</v>
      </c>
      <c r="N290" s="110">
        <v>383.2</v>
      </c>
      <c r="O290" s="105">
        <f t="shared" si="32"/>
        <v>352</v>
      </c>
      <c r="P290" s="112">
        <v>9.6000000000000002E-2</v>
      </c>
      <c r="Q290" s="113">
        <v>2.9750000000000002E-3</v>
      </c>
      <c r="R290" s="107">
        <f t="shared" si="33"/>
        <v>2.9750000000000001</v>
      </c>
      <c r="S290" s="105">
        <f t="shared" si="34"/>
        <v>419.54707985697257</v>
      </c>
      <c r="T290" s="114">
        <f>IFERROR(INDEX('MASTER por modelo'!$AQ$8:$AQ$474,MATCH(K290,'MASTER por modelo'!$D$8:$D$474,0)),"")</f>
        <v>0</v>
      </c>
      <c r="U290" s="115">
        <f>IFERROR(INDEX('MASTER por modelo'!$AC$8:$AC$474,MATCH(K290,'MASTER por modelo'!$D$8:$D$474,0))+INDEX('MASTER por modelo'!$AD$8:$AD$474,MATCH(K290,'MASTER por modelo'!$D$8:$D$474,0)),"")</f>
        <v>0</v>
      </c>
      <c r="V290" s="93"/>
    </row>
    <row r="291" spans="1:22" x14ac:dyDescent="0.25">
      <c r="A291" s="109" t="s">
        <v>55</v>
      </c>
      <c r="B291" s="109" t="s">
        <v>99</v>
      </c>
      <c r="C291" s="109" t="s">
        <v>100</v>
      </c>
      <c r="D291" s="103">
        <f t="shared" si="28"/>
        <v>109.06641631877206</v>
      </c>
      <c r="E291" s="110">
        <v>2.496</v>
      </c>
      <c r="F291" s="110">
        <f t="shared" si="29"/>
        <v>1.6207792207792207</v>
      </c>
      <c r="G291" s="110">
        <f t="shared" si="30"/>
        <v>2</v>
      </c>
      <c r="H291" s="110"/>
      <c r="I291" s="111">
        <v>747</v>
      </c>
      <c r="J291" s="109" t="str">
        <f t="shared" si="31"/>
        <v>26</v>
      </c>
      <c r="K291" s="109" t="s">
        <v>349</v>
      </c>
      <c r="L291" s="109" t="s">
        <v>768</v>
      </c>
      <c r="M291" s="111">
        <v>26</v>
      </c>
      <c r="N291" s="110">
        <v>303.39999999999998</v>
      </c>
      <c r="O291" s="105">
        <f t="shared" si="32"/>
        <v>272.2</v>
      </c>
      <c r="P291" s="112">
        <v>9.6000000000000002E-2</v>
      </c>
      <c r="Q291" s="113">
        <v>3.3409999999999998E-3</v>
      </c>
      <c r="R291" s="107">
        <f t="shared" si="33"/>
        <v>3.3409999999999997</v>
      </c>
      <c r="S291" s="105">
        <f t="shared" si="34"/>
        <v>364.39089692101737</v>
      </c>
      <c r="T291" s="114">
        <f>IFERROR(INDEX('MASTER por modelo'!$AQ$8:$AQ$474,MATCH(K291,'MASTER por modelo'!$D$8:$D$474,0)),"")</f>
        <v>0.50736278447121819</v>
      </c>
      <c r="U291" s="115">
        <f>IFERROR(INDEX('MASTER por modelo'!$AC$8:$AC$474,MATCH(K291,'MASTER por modelo'!$D$8:$D$474,0))+INDEX('MASTER por modelo'!$AD$8:$AD$474,MATCH(K291,'MASTER por modelo'!$D$8:$D$474,0)),"")</f>
        <v>379</v>
      </c>
      <c r="V291" s="93"/>
    </row>
    <row r="292" spans="1:22" x14ac:dyDescent="0.25">
      <c r="A292" s="109" t="s">
        <v>63</v>
      </c>
      <c r="B292" s="109" t="s">
        <v>84</v>
      </c>
      <c r="C292" s="109" t="s">
        <v>94</v>
      </c>
      <c r="D292" s="103">
        <f t="shared" si="28"/>
        <v>178.94056847545221</v>
      </c>
      <c r="E292" s="110">
        <v>2.4767999999999999</v>
      </c>
      <c r="F292" s="110">
        <f t="shared" si="29"/>
        <v>1.6083116883116881</v>
      </c>
      <c r="G292" s="110">
        <f t="shared" si="30"/>
        <v>2</v>
      </c>
      <c r="H292" s="110"/>
      <c r="I292" s="111">
        <v>600</v>
      </c>
      <c r="J292" s="109" t="str">
        <f t="shared" si="31"/>
        <v>27</v>
      </c>
      <c r="K292" s="109" t="s">
        <v>350</v>
      </c>
      <c r="L292" s="109" t="s">
        <v>782</v>
      </c>
      <c r="M292" s="111">
        <v>24</v>
      </c>
      <c r="N292" s="110">
        <v>472</v>
      </c>
      <c r="O292" s="105">
        <f t="shared" si="32"/>
        <v>443.2</v>
      </c>
      <c r="P292" s="112">
        <v>0.1032</v>
      </c>
      <c r="Q292" s="113">
        <v>4.1279999999999997E-3</v>
      </c>
      <c r="R292" s="107">
        <f t="shared" si="33"/>
        <v>4.1280000000000001</v>
      </c>
      <c r="S292" s="105">
        <f t="shared" si="34"/>
        <v>738.66666666666674</v>
      </c>
      <c r="T292" s="114">
        <f>IFERROR(INDEX('MASTER por modelo'!$AQ$8:$AQ$474,MATCH(K292,'MASTER por modelo'!$D$8:$D$474,0)),"")</f>
        <v>0</v>
      </c>
      <c r="U292" s="115">
        <f>IFERROR(INDEX('MASTER por modelo'!$AC$8:$AC$474,MATCH(K292,'MASTER por modelo'!$D$8:$D$474,0))+INDEX('MASTER por modelo'!$AD$8:$AD$474,MATCH(K292,'MASTER por modelo'!$D$8:$D$474,0)),"")</f>
        <v>0</v>
      </c>
      <c r="V292" s="93"/>
    </row>
    <row r="293" spans="1:22" x14ac:dyDescent="0.25">
      <c r="A293" s="109" t="s">
        <v>55</v>
      </c>
      <c r="B293" s="109" t="s">
        <v>255</v>
      </c>
      <c r="C293" s="109" t="s">
        <v>347</v>
      </c>
      <c r="D293" s="103">
        <f t="shared" si="28"/>
        <v>192.33572157332333</v>
      </c>
      <c r="E293" s="110">
        <v>2.4500000000000002</v>
      </c>
      <c r="F293" s="110">
        <f t="shared" si="29"/>
        <v>1.5909090909090911</v>
      </c>
      <c r="G293" s="110">
        <f t="shared" si="30"/>
        <v>2</v>
      </c>
      <c r="H293" s="110"/>
      <c r="I293" s="111">
        <v>1351</v>
      </c>
      <c r="J293" s="109" t="str">
        <f t="shared" si="31"/>
        <v>26</v>
      </c>
      <c r="K293" s="109" t="s">
        <v>351</v>
      </c>
      <c r="L293" s="109" t="s">
        <v>787</v>
      </c>
      <c r="M293" s="111">
        <v>34</v>
      </c>
      <c r="N293" s="110">
        <v>511.9</v>
      </c>
      <c r="O293" s="105">
        <f t="shared" si="32"/>
        <v>471.09999999999997</v>
      </c>
      <c r="P293" s="112">
        <v>7.2099999999999997E-2</v>
      </c>
      <c r="Q293" s="113">
        <v>1.8129999999999999E-3</v>
      </c>
      <c r="R293" s="107">
        <f t="shared" si="33"/>
        <v>1.8129999999999999</v>
      </c>
      <c r="S293" s="105">
        <f t="shared" si="34"/>
        <v>348.70466321243521</v>
      </c>
      <c r="T293" s="114">
        <f>IFERROR(INDEX('MASTER por modelo'!$AQ$8:$AQ$474,MATCH(K293,'MASTER por modelo'!$D$8:$D$474,0)),"")</f>
        <v>0.37231680236861586</v>
      </c>
      <c r="U293" s="115">
        <f>IFERROR(INDEX('MASTER por modelo'!$AC$8:$AC$474,MATCH(K293,'MASTER por modelo'!$D$8:$D$474,0))+INDEX('MASTER por modelo'!$AD$8:$AD$474,MATCH(K293,'MASTER por modelo'!$D$8:$D$474,0)),"")</f>
        <v>503</v>
      </c>
      <c r="V293" s="93"/>
    </row>
    <row r="294" spans="1:22" x14ac:dyDescent="0.25">
      <c r="A294" s="109" t="s">
        <v>63</v>
      </c>
      <c r="B294" s="109" t="s">
        <v>110</v>
      </c>
      <c r="C294" s="109" t="s">
        <v>100</v>
      </c>
      <c r="D294" s="103">
        <f t="shared" si="28"/>
        <v>112.48837620112586</v>
      </c>
      <c r="E294" s="110">
        <v>2.4</v>
      </c>
      <c r="F294" s="110">
        <f t="shared" si="29"/>
        <v>1.5584415584415583</v>
      </c>
      <c r="G294" s="110">
        <f t="shared" si="30"/>
        <v>2</v>
      </c>
      <c r="H294" s="110"/>
      <c r="I294" s="111">
        <v>788</v>
      </c>
      <c r="J294" s="109" t="str">
        <f t="shared" si="31"/>
        <v>26</v>
      </c>
      <c r="K294" s="109" t="s">
        <v>352</v>
      </c>
      <c r="L294" s="109" t="s">
        <v>753</v>
      </c>
      <c r="M294" s="111">
        <v>25</v>
      </c>
      <c r="N294" s="110">
        <v>300</v>
      </c>
      <c r="O294" s="105">
        <f t="shared" si="32"/>
        <v>270</v>
      </c>
      <c r="P294" s="112">
        <v>9.6000000000000002E-2</v>
      </c>
      <c r="Q294" s="113">
        <v>3.0460000000000001E-3</v>
      </c>
      <c r="R294" s="107">
        <f t="shared" si="33"/>
        <v>3.0460000000000003</v>
      </c>
      <c r="S294" s="105">
        <f t="shared" si="34"/>
        <v>342.63959390862942</v>
      </c>
      <c r="T294" s="114">
        <f>IFERROR(INDEX('MASTER por modelo'!$AQ$8:$AQ$474,MATCH(K294,'MASTER por modelo'!$D$8:$D$474,0)),"")</f>
        <v>1.3959390862944163E-2</v>
      </c>
      <c r="U294" s="115">
        <f>IFERROR(INDEX('MASTER por modelo'!$AC$8:$AC$474,MATCH(K294,'MASTER por modelo'!$D$8:$D$474,0))+INDEX('MASTER por modelo'!$AD$8:$AD$474,MATCH(K294,'MASTER por modelo'!$D$8:$D$474,0)),"")</f>
        <v>11</v>
      </c>
      <c r="V294" s="93"/>
    </row>
    <row r="295" spans="1:22" x14ac:dyDescent="0.25">
      <c r="A295" s="109" t="s">
        <v>63</v>
      </c>
      <c r="B295" s="109" t="s">
        <v>102</v>
      </c>
      <c r="C295" s="109" t="s">
        <v>132</v>
      </c>
      <c r="D295" s="103">
        <f t="shared" si="28"/>
        <v>220.37580531943036</v>
      </c>
      <c r="E295" s="110">
        <v>2.4</v>
      </c>
      <c r="F295" s="110">
        <f t="shared" si="29"/>
        <v>1.5584415584415583</v>
      </c>
      <c r="G295" s="110">
        <f t="shared" si="30"/>
        <v>2</v>
      </c>
      <c r="H295" s="110"/>
      <c r="I295" s="111">
        <v>985</v>
      </c>
      <c r="J295" s="109" t="str">
        <f t="shared" si="31"/>
        <v>26</v>
      </c>
      <c r="K295" s="109" t="s">
        <v>353</v>
      </c>
      <c r="L295" s="109" t="s">
        <v>790</v>
      </c>
      <c r="M295" s="111">
        <v>25</v>
      </c>
      <c r="N295" s="110">
        <v>559</v>
      </c>
      <c r="O295" s="105">
        <f t="shared" si="32"/>
        <v>529</v>
      </c>
      <c r="P295" s="112">
        <v>9.6000000000000002E-2</v>
      </c>
      <c r="Q295" s="113">
        <v>2.4369999999999999E-3</v>
      </c>
      <c r="R295" s="107">
        <f t="shared" si="33"/>
        <v>2.4369999999999998</v>
      </c>
      <c r="S295" s="105">
        <f t="shared" si="34"/>
        <v>537.05583756345175</v>
      </c>
      <c r="T295" s="114">
        <f>IFERROR(INDEX('MASTER por modelo'!$AQ$8:$AQ$474,MATCH(K295,'MASTER por modelo'!$D$8:$D$474,0)),"")</f>
        <v>0.64162436548223345</v>
      </c>
      <c r="U295" s="115">
        <f>IFERROR(INDEX('MASTER por modelo'!$AC$8:$AC$474,MATCH(K295,'MASTER por modelo'!$D$8:$D$474,0))+INDEX('MASTER por modelo'!$AD$8:$AD$474,MATCH(K295,'MASTER por modelo'!$D$8:$D$474,0)),"")</f>
        <v>632</v>
      </c>
      <c r="V295" s="93"/>
    </row>
    <row r="296" spans="1:22" x14ac:dyDescent="0.25">
      <c r="A296" s="109" t="s">
        <v>63</v>
      </c>
      <c r="B296" s="109" t="s">
        <v>110</v>
      </c>
      <c r="C296" s="109" t="s">
        <v>100</v>
      </c>
      <c r="D296" s="103">
        <f t="shared" si="28"/>
        <v>157.69335246484917</v>
      </c>
      <c r="E296" s="110">
        <v>2.4</v>
      </c>
      <c r="F296" s="110">
        <f t="shared" si="29"/>
        <v>1.5584415584415583</v>
      </c>
      <c r="G296" s="110">
        <f t="shared" si="30"/>
        <v>2</v>
      </c>
      <c r="H296" s="110"/>
      <c r="I296" s="111">
        <v>732</v>
      </c>
      <c r="J296" s="109" t="str">
        <f t="shared" si="31"/>
        <v>26</v>
      </c>
      <c r="K296" s="109" t="s">
        <v>354</v>
      </c>
      <c r="L296" s="109" t="s">
        <v>778</v>
      </c>
      <c r="M296" s="111">
        <v>25</v>
      </c>
      <c r="N296" s="110">
        <v>408.5</v>
      </c>
      <c r="O296" s="105">
        <f t="shared" si="32"/>
        <v>378.5</v>
      </c>
      <c r="P296" s="112">
        <v>9.6000000000000002E-2</v>
      </c>
      <c r="Q296" s="113">
        <v>3.2789999999999998E-3</v>
      </c>
      <c r="R296" s="107">
        <f t="shared" si="33"/>
        <v>3.2789999999999999</v>
      </c>
      <c r="S296" s="105">
        <f t="shared" si="34"/>
        <v>517.07650273224044</v>
      </c>
      <c r="T296" s="114">
        <f>IFERROR(INDEX('MASTER por modelo'!$AQ$8:$AQ$474,MATCH(K296,'MASTER por modelo'!$D$8:$D$474,0)),"")</f>
        <v>0</v>
      </c>
      <c r="U296" s="115">
        <f>IFERROR(INDEX('MASTER por modelo'!$AC$8:$AC$474,MATCH(K296,'MASTER por modelo'!$D$8:$D$474,0))+INDEX('MASTER por modelo'!$AD$8:$AD$474,MATCH(K296,'MASTER por modelo'!$D$8:$D$474,0)),"")</f>
        <v>0</v>
      </c>
      <c r="V296" s="93"/>
    </row>
    <row r="297" spans="1:22" x14ac:dyDescent="0.25">
      <c r="A297" s="109" t="s">
        <v>55</v>
      </c>
      <c r="B297" s="109" t="s">
        <v>99</v>
      </c>
      <c r="C297" s="109" t="s">
        <v>100</v>
      </c>
      <c r="D297" s="103">
        <f t="shared" si="28"/>
        <v>96.322737832171782</v>
      </c>
      <c r="E297" s="110">
        <v>2.4</v>
      </c>
      <c r="F297" s="110">
        <f t="shared" si="29"/>
        <v>1.5584415584415583</v>
      </c>
      <c r="G297" s="110">
        <f t="shared" si="30"/>
        <v>2</v>
      </c>
      <c r="H297" s="110"/>
      <c r="I297" s="111">
        <v>901</v>
      </c>
      <c r="J297" s="109" t="str">
        <f t="shared" si="31"/>
        <v>26</v>
      </c>
      <c r="K297" s="109" t="s">
        <v>355</v>
      </c>
      <c r="L297" s="109" t="s">
        <v>768</v>
      </c>
      <c r="M297" s="111">
        <v>25</v>
      </c>
      <c r="N297" s="110">
        <v>261.2</v>
      </c>
      <c r="O297" s="105">
        <f t="shared" si="32"/>
        <v>231.2</v>
      </c>
      <c r="P297" s="112">
        <v>9.6000000000000002E-2</v>
      </c>
      <c r="Q297" s="113">
        <v>2.6640000000000001E-3</v>
      </c>
      <c r="R297" s="107">
        <f t="shared" si="33"/>
        <v>2.6640000000000001</v>
      </c>
      <c r="S297" s="105">
        <f t="shared" si="34"/>
        <v>256.60377358490564</v>
      </c>
      <c r="T297" s="114">
        <f>IFERROR(INDEX('MASTER por modelo'!$AQ$8:$AQ$474,MATCH(K297,'MASTER por modelo'!$D$8:$D$474,0)),"")</f>
        <v>0.51831298557158711</v>
      </c>
      <c r="U297" s="115">
        <f>IFERROR(INDEX('MASTER por modelo'!$AC$8:$AC$474,MATCH(K297,'MASTER por modelo'!$D$8:$D$474,0))+INDEX('MASTER por modelo'!$AD$8:$AD$474,MATCH(K297,'MASTER por modelo'!$D$8:$D$474,0)),"")</f>
        <v>467</v>
      </c>
      <c r="V297" s="93"/>
    </row>
    <row r="298" spans="1:22" x14ac:dyDescent="0.25">
      <c r="A298" s="109" t="s">
        <v>55</v>
      </c>
      <c r="B298" s="109" t="s">
        <v>99</v>
      </c>
      <c r="C298" s="109" t="s">
        <v>100</v>
      </c>
      <c r="D298" s="103">
        <f t="shared" si="28"/>
        <v>105.95634665183361</v>
      </c>
      <c r="E298" s="110">
        <v>2.4</v>
      </c>
      <c r="F298" s="110">
        <f t="shared" si="29"/>
        <v>1.5584415584415583</v>
      </c>
      <c r="G298" s="110">
        <f t="shared" si="30"/>
        <v>2</v>
      </c>
      <c r="H298" s="110"/>
      <c r="I298" s="111">
        <v>645</v>
      </c>
      <c r="J298" s="109" t="str">
        <f t="shared" si="31"/>
        <v>26</v>
      </c>
      <c r="K298" s="109" t="s">
        <v>356</v>
      </c>
      <c r="L298" s="109" t="s">
        <v>768</v>
      </c>
      <c r="M298" s="111">
        <v>25</v>
      </c>
      <c r="N298" s="110">
        <v>284.3</v>
      </c>
      <c r="O298" s="105">
        <f t="shared" si="32"/>
        <v>254.3</v>
      </c>
      <c r="P298" s="112">
        <v>9.6000000000000002E-2</v>
      </c>
      <c r="Q298" s="113">
        <v>3.7209999999999999E-3</v>
      </c>
      <c r="R298" s="107">
        <f t="shared" si="33"/>
        <v>3.7210000000000001</v>
      </c>
      <c r="S298" s="105">
        <f t="shared" si="34"/>
        <v>394.26356589147287</v>
      </c>
      <c r="T298" s="114">
        <f>IFERROR(INDEX('MASTER por modelo'!$AQ$8:$AQ$474,MATCH(K298,'MASTER por modelo'!$D$8:$D$474,0)),"")</f>
        <v>5.8914728682170542E-2</v>
      </c>
      <c r="U298" s="115">
        <f>IFERROR(INDEX('MASTER por modelo'!$AC$8:$AC$474,MATCH(K298,'MASTER por modelo'!$D$8:$D$474,0))+INDEX('MASTER por modelo'!$AD$8:$AD$474,MATCH(K298,'MASTER por modelo'!$D$8:$D$474,0)),"")</f>
        <v>38</v>
      </c>
      <c r="V298" s="93"/>
    </row>
    <row r="299" spans="1:22" x14ac:dyDescent="0.25">
      <c r="A299" s="109" t="s">
        <v>55</v>
      </c>
      <c r="B299" s="109" t="s">
        <v>99</v>
      </c>
      <c r="C299" s="109" t="s">
        <v>111</v>
      </c>
      <c r="D299" s="103">
        <f t="shared" si="28"/>
        <v>131.4453531047142</v>
      </c>
      <c r="E299" s="110">
        <v>2.4</v>
      </c>
      <c r="F299" s="110">
        <f t="shared" si="29"/>
        <v>1.5584415584415583</v>
      </c>
      <c r="G299" s="110">
        <f t="shared" si="30"/>
        <v>2</v>
      </c>
      <c r="H299" s="110"/>
      <c r="I299" s="111">
        <v>651</v>
      </c>
      <c r="J299" s="109" t="str">
        <f t="shared" si="31"/>
        <v>26</v>
      </c>
      <c r="K299" s="109" t="s">
        <v>357</v>
      </c>
      <c r="L299" s="109" t="s">
        <v>768</v>
      </c>
      <c r="M299" s="111">
        <v>25</v>
      </c>
      <c r="N299" s="110">
        <v>345.5</v>
      </c>
      <c r="O299" s="105">
        <f t="shared" si="32"/>
        <v>315.5</v>
      </c>
      <c r="P299" s="112">
        <v>9.6000000000000002E-2</v>
      </c>
      <c r="Q299" s="113">
        <v>3.6870000000000002E-3</v>
      </c>
      <c r="R299" s="107">
        <f t="shared" si="33"/>
        <v>3.6870000000000003</v>
      </c>
      <c r="S299" s="105">
        <f t="shared" si="34"/>
        <v>484.63901689708138</v>
      </c>
      <c r="T299" s="114">
        <f>IFERROR(INDEX('MASTER por modelo'!$AQ$8:$AQ$474,MATCH(K299,'MASTER por modelo'!$D$8:$D$474,0)),"")</f>
        <v>4.9155145929339478E-2</v>
      </c>
      <c r="U299" s="115">
        <f>IFERROR(INDEX('MASTER por modelo'!$AC$8:$AC$474,MATCH(K299,'MASTER por modelo'!$D$8:$D$474,0))+INDEX('MASTER por modelo'!$AD$8:$AD$474,MATCH(K299,'MASTER por modelo'!$D$8:$D$474,0)),"")</f>
        <v>32</v>
      </c>
      <c r="V299" s="93"/>
    </row>
    <row r="300" spans="1:22" x14ac:dyDescent="0.25">
      <c r="A300" s="109" t="s">
        <v>63</v>
      </c>
      <c r="B300" s="109" t="s">
        <v>64</v>
      </c>
      <c r="C300" s="109" t="s">
        <v>66</v>
      </c>
      <c r="D300" s="103">
        <f t="shared" si="28"/>
        <v>148.13857936977556</v>
      </c>
      <c r="E300" s="110">
        <v>2.4</v>
      </c>
      <c r="F300" s="110">
        <f t="shared" si="29"/>
        <v>1.5584415584415583</v>
      </c>
      <c r="G300" s="110">
        <f t="shared" si="30"/>
        <v>2</v>
      </c>
      <c r="H300" s="110"/>
      <c r="I300" s="111">
        <v>485</v>
      </c>
      <c r="J300" s="109" t="str">
        <f t="shared" si="31"/>
        <v>26</v>
      </c>
      <c r="K300" s="109" t="s">
        <v>157</v>
      </c>
      <c r="L300" s="109" t="s">
        <v>746</v>
      </c>
      <c r="M300" s="111">
        <v>25</v>
      </c>
      <c r="N300" s="110">
        <v>385.5</v>
      </c>
      <c r="O300" s="105">
        <f t="shared" si="32"/>
        <v>355.5</v>
      </c>
      <c r="P300" s="112">
        <v>9.6000000000000002E-2</v>
      </c>
      <c r="Q300" s="113">
        <v>4.9480000000000001E-3</v>
      </c>
      <c r="R300" s="107">
        <f t="shared" si="33"/>
        <v>4.9480000000000004</v>
      </c>
      <c r="S300" s="105">
        <f t="shared" si="34"/>
        <v>732.98969072164948</v>
      </c>
      <c r="T300" s="114">
        <f>IFERROR(INDEX('MASTER por modelo'!$AQ$8:$AQ$474,MATCH(K300,'MASTER por modelo'!$D$8:$D$474,0)),"")</f>
        <v>0.6335476329631794</v>
      </c>
      <c r="U300" s="115">
        <f>IFERROR(INDEX('MASTER por modelo'!$AC$8:$AC$474,MATCH(K300,'MASTER por modelo'!$D$8:$D$474,0))+INDEX('MASTER por modelo'!$AD$8:$AD$474,MATCH(K300,'MASTER por modelo'!$D$8:$D$474,0)),"")</f>
        <v>1084</v>
      </c>
      <c r="V300" s="93"/>
    </row>
    <row r="301" spans="1:22" x14ac:dyDescent="0.25">
      <c r="A301" s="109" t="s">
        <v>63</v>
      </c>
      <c r="B301" s="109" t="s">
        <v>102</v>
      </c>
      <c r="C301" s="109" t="s">
        <v>132</v>
      </c>
      <c r="D301" s="103">
        <f t="shared" si="28"/>
        <v>263.7182637182637</v>
      </c>
      <c r="E301" s="110">
        <v>2.3807999999999998</v>
      </c>
      <c r="F301" s="110">
        <f t="shared" si="29"/>
        <v>1.5459740259740258</v>
      </c>
      <c r="G301" s="110">
        <f t="shared" si="30"/>
        <v>2</v>
      </c>
      <c r="H301" s="110"/>
      <c r="I301" s="111">
        <v>814</v>
      </c>
      <c r="J301" s="109" t="str">
        <f t="shared" si="31"/>
        <v>26</v>
      </c>
      <c r="K301" s="109" t="s">
        <v>358</v>
      </c>
      <c r="L301" s="109" t="s">
        <v>791</v>
      </c>
      <c r="M301" s="111">
        <v>31</v>
      </c>
      <c r="N301" s="110">
        <v>665.1</v>
      </c>
      <c r="O301" s="105">
        <f t="shared" si="32"/>
        <v>627.9</v>
      </c>
      <c r="P301" s="112">
        <v>7.6799999999999993E-2</v>
      </c>
      <c r="Q301" s="113">
        <v>2.9250000000000001E-3</v>
      </c>
      <c r="R301" s="107">
        <f t="shared" si="33"/>
        <v>2.9250000000000003</v>
      </c>
      <c r="S301" s="105">
        <f t="shared" si="34"/>
        <v>771.37592137592139</v>
      </c>
      <c r="T301" s="114">
        <f>IFERROR(INDEX('MASTER por modelo'!$AQ$8:$AQ$474,MATCH(K301,'MASTER por modelo'!$D$8:$D$474,0)),"")</f>
        <v>0.81695331695331697</v>
      </c>
      <c r="U301" s="115">
        <f>IFERROR(INDEX('MASTER por modelo'!$AC$8:$AC$474,MATCH(K301,'MASTER por modelo'!$D$8:$D$474,0))+INDEX('MASTER por modelo'!$AD$8:$AD$474,MATCH(K301,'MASTER por modelo'!$D$8:$D$474,0)),"")</f>
        <v>665</v>
      </c>
      <c r="V301" s="93"/>
    </row>
    <row r="302" spans="1:22" x14ac:dyDescent="0.25">
      <c r="A302" s="109" t="s">
        <v>55</v>
      </c>
      <c r="B302" s="109" t="s">
        <v>314</v>
      </c>
      <c r="C302" s="109" t="s">
        <v>315</v>
      </c>
      <c r="D302" s="103">
        <f t="shared" si="28"/>
        <v>218.59827747587588</v>
      </c>
      <c r="E302" s="110">
        <v>2.3759999999999999</v>
      </c>
      <c r="F302" s="110">
        <f t="shared" si="29"/>
        <v>1.5428571428571427</v>
      </c>
      <c r="G302" s="110">
        <f t="shared" si="30"/>
        <v>2</v>
      </c>
      <c r="H302" s="110"/>
      <c r="I302" s="111">
        <v>708</v>
      </c>
      <c r="J302" s="109" t="str">
        <f t="shared" si="31"/>
        <v>26</v>
      </c>
      <c r="K302" s="109" t="s">
        <v>359</v>
      </c>
      <c r="L302" s="109" t="s">
        <v>804</v>
      </c>
      <c r="M302" s="111">
        <v>25</v>
      </c>
      <c r="N302" s="110">
        <v>549.4</v>
      </c>
      <c r="O302" s="105">
        <f t="shared" si="32"/>
        <v>519.4</v>
      </c>
      <c r="P302" s="112">
        <v>9.5000000000000001E-2</v>
      </c>
      <c r="Q302" s="113">
        <v>3.356E-3</v>
      </c>
      <c r="R302" s="107">
        <f t="shared" si="33"/>
        <v>3.3559999999999999</v>
      </c>
      <c r="S302" s="105">
        <f t="shared" si="34"/>
        <v>733.6158192090395</v>
      </c>
      <c r="T302" s="114">
        <f>IFERROR(INDEX('MASTER por modelo'!$AQ$8:$AQ$474,MATCH(K302,'MASTER por modelo'!$D$8:$D$474,0)),"")</f>
        <v>0.9428763440860215</v>
      </c>
      <c r="U302" s="115">
        <f>IFERROR(INDEX('MASTER por modelo'!$AC$8:$AC$474,MATCH(K302,'MASTER por modelo'!$D$8:$D$474,0))+INDEX('MASTER por modelo'!$AD$8:$AD$474,MATCH(K302,'MASTER por modelo'!$D$8:$D$474,0)),"")</f>
        <v>1403</v>
      </c>
      <c r="V302" s="93"/>
    </row>
    <row r="303" spans="1:22" x14ac:dyDescent="0.25">
      <c r="A303" s="109" t="s">
        <v>63</v>
      </c>
      <c r="B303" s="109" t="s">
        <v>263</v>
      </c>
      <c r="C303" s="109" t="s">
        <v>264</v>
      </c>
      <c r="D303" s="103">
        <f t="shared" si="28"/>
        <v>196.17420065685101</v>
      </c>
      <c r="E303" s="110">
        <v>2.36</v>
      </c>
      <c r="F303" s="110">
        <f t="shared" si="29"/>
        <v>1.5324675324675323</v>
      </c>
      <c r="G303" s="110">
        <f t="shared" si="30"/>
        <v>2</v>
      </c>
      <c r="H303" s="110"/>
      <c r="I303" s="111">
        <v>1763</v>
      </c>
      <c r="J303" s="109" t="str">
        <f t="shared" si="31"/>
        <v>26</v>
      </c>
      <c r="K303" s="109" t="s">
        <v>360</v>
      </c>
      <c r="L303" s="109" t="s">
        <v>779</v>
      </c>
      <c r="M303" s="111">
        <v>23</v>
      </c>
      <c r="N303" s="110">
        <v>490.7</v>
      </c>
      <c r="O303" s="105">
        <f t="shared" si="32"/>
        <v>463.09999999999997</v>
      </c>
      <c r="P303" s="112">
        <v>0.1026</v>
      </c>
      <c r="Q303" s="113">
        <v>1.3389999999999999E-3</v>
      </c>
      <c r="R303" s="107">
        <f t="shared" si="33"/>
        <v>1.339</v>
      </c>
      <c r="S303" s="105">
        <f t="shared" si="34"/>
        <v>262.67725467952351</v>
      </c>
      <c r="T303" s="114">
        <f>IFERROR(INDEX('MASTER por modelo'!$AQ$8:$AQ$474,MATCH(K303,'MASTER por modelo'!$D$8:$D$474,0)),"")</f>
        <v>0.70731707317073167</v>
      </c>
      <c r="U303" s="115">
        <f>IFERROR(INDEX('MASTER por modelo'!$AC$8:$AC$474,MATCH(K303,'MASTER por modelo'!$D$8:$D$474,0))+INDEX('MASTER por modelo'!$AD$8:$AD$474,MATCH(K303,'MASTER por modelo'!$D$8:$D$474,0)),"")</f>
        <v>1247</v>
      </c>
      <c r="V303" s="93"/>
    </row>
    <row r="304" spans="1:22" x14ac:dyDescent="0.25">
      <c r="A304" s="109" t="s">
        <v>55</v>
      </c>
      <c r="B304" s="109" t="s">
        <v>255</v>
      </c>
      <c r="C304" s="109" t="s">
        <v>132</v>
      </c>
      <c r="D304" s="103">
        <f t="shared" si="28"/>
        <v>256.1195073930532</v>
      </c>
      <c r="E304" s="110">
        <v>2.3039999999999998</v>
      </c>
      <c r="F304" s="110">
        <f t="shared" si="29"/>
        <v>1.4961038961038959</v>
      </c>
      <c r="G304" s="110">
        <f t="shared" si="30"/>
        <v>2</v>
      </c>
      <c r="H304" s="110"/>
      <c r="I304" s="111">
        <v>1101</v>
      </c>
      <c r="J304" s="109" t="str">
        <f t="shared" si="31"/>
        <v>26</v>
      </c>
      <c r="K304" s="109" t="s">
        <v>362</v>
      </c>
      <c r="L304" s="109" t="s">
        <v>777</v>
      </c>
      <c r="M304" s="111">
        <v>24</v>
      </c>
      <c r="N304" s="110">
        <v>619</v>
      </c>
      <c r="O304" s="105">
        <f t="shared" si="32"/>
        <v>590.20000000000005</v>
      </c>
      <c r="P304" s="112">
        <v>9.6000000000000002E-2</v>
      </c>
      <c r="Q304" s="113">
        <v>2.0929999999999998E-3</v>
      </c>
      <c r="R304" s="107">
        <f t="shared" si="33"/>
        <v>2.093</v>
      </c>
      <c r="S304" s="105">
        <f t="shared" si="34"/>
        <v>536.05812897366036</v>
      </c>
      <c r="T304" s="114">
        <f>IFERROR(INDEX('MASTER por modelo'!$AQ$8:$AQ$474,MATCH(K304,'MASTER por modelo'!$D$8:$D$474,0)),"")</f>
        <v>0.61852861035422346</v>
      </c>
      <c r="U304" s="115">
        <f>IFERROR(INDEX('MASTER por modelo'!$AC$8:$AC$474,MATCH(K304,'MASTER por modelo'!$D$8:$D$474,0))+INDEX('MASTER por modelo'!$AD$8:$AD$474,MATCH(K304,'MASTER por modelo'!$D$8:$D$474,0)),"")</f>
        <v>681</v>
      </c>
      <c r="V304" s="93"/>
    </row>
    <row r="305" spans="1:22" x14ac:dyDescent="0.25">
      <c r="A305" s="109" t="s">
        <v>63</v>
      </c>
      <c r="B305" s="109" t="s">
        <v>171</v>
      </c>
      <c r="C305" s="109" t="s">
        <v>363</v>
      </c>
      <c r="D305" s="103">
        <f t="shared" si="28"/>
        <v>140.98641877133466</v>
      </c>
      <c r="E305" s="110">
        <v>2.3039999999999998</v>
      </c>
      <c r="F305" s="110">
        <f t="shared" si="29"/>
        <v>1.4961038961038959</v>
      </c>
      <c r="G305" s="110">
        <f t="shared" si="30"/>
        <v>2</v>
      </c>
      <c r="H305" s="110"/>
      <c r="I305" s="111">
        <v>724</v>
      </c>
      <c r="J305" s="109" t="str">
        <f t="shared" si="31"/>
        <v>26</v>
      </c>
      <c r="K305" s="109" t="s">
        <v>364</v>
      </c>
      <c r="L305" s="109" t="s">
        <v>784</v>
      </c>
      <c r="M305" s="111">
        <v>24</v>
      </c>
      <c r="N305" s="110">
        <v>353.6</v>
      </c>
      <c r="O305" s="105">
        <f t="shared" si="32"/>
        <v>324.8</v>
      </c>
      <c r="P305" s="112">
        <v>9.6000000000000002E-2</v>
      </c>
      <c r="Q305" s="113">
        <v>3.1819999999999999E-3</v>
      </c>
      <c r="R305" s="107">
        <f t="shared" si="33"/>
        <v>3.1819999999999999</v>
      </c>
      <c r="S305" s="105">
        <f t="shared" si="34"/>
        <v>448.61878453038679</v>
      </c>
      <c r="T305" s="114">
        <f>IFERROR(INDEX('MASTER por modelo'!$AQ$8:$AQ$474,MATCH(K305,'MASTER por modelo'!$D$8:$D$474,0)),"")</f>
        <v>0.91298342541436461</v>
      </c>
      <c r="U305" s="115">
        <f>IFERROR(INDEX('MASTER por modelo'!$AC$8:$AC$474,MATCH(K305,'MASTER por modelo'!$D$8:$D$474,0))+INDEX('MASTER por modelo'!$AD$8:$AD$474,MATCH(K305,'MASTER por modelo'!$D$8:$D$474,0)),"")</f>
        <v>661</v>
      </c>
      <c r="V305" s="93"/>
    </row>
    <row r="306" spans="1:22" x14ac:dyDescent="0.25">
      <c r="A306" s="109" t="s">
        <v>63</v>
      </c>
      <c r="B306" s="109" t="s">
        <v>102</v>
      </c>
      <c r="C306" s="109" t="s">
        <v>132</v>
      </c>
      <c r="D306" s="103">
        <f t="shared" si="28"/>
        <v>219.25370413769761</v>
      </c>
      <c r="E306" s="110">
        <v>2.3039999999999998</v>
      </c>
      <c r="F306" s="110">
        <f t="shared" si="29"/>
        <v>1.4961038961038959</v>
      </c>
      <c r="G306" s="110">
        <f t="shared" si="30"/>
        <v>2</v>
      </c>
      <c r="H306" s="110"/>
      <c r="I306" s="111">
        <v>753</v>
      </c>
      <c r="J306" s="109" t="str">
        <f t="shared" si="31"/>
        <v>26</v>
      </c>
      <c r="K306" s="109" t="s">
        <v>365</v>
      </c>
      <c r="L306" s="109" t="s">
        <v>773</v>
      </c>
      <c r="M306" s="111">
        <v>24</v>
      </c>
      <c r="N306" s="110">
        <v>534</v>
      </c>
      <c r="O306" s="105">
        <f t="shared" si="32"/>
        <v>505.2</v>
      </c>
      <c r="P306" s="112">
        <v>9.6000000000000002E-2</v>
      </c>
      <c r="Q306" s="113">
        <v>3.0599999999999998E-3</v>
      </c>
      <c r="R306" s="107">
        <f t="shared" si="33"/>
        <v>3.0599999999999996</v>
      </c>
      <c r="S306" s="105">
        <f t="shared" si="34"/>
        <v>670.91633466135454</v>
      </c>
      <c r="T306" s="114">
        <f>IFERROR(INDEX('MASTER por modelo'!$AQ$8:$AQ$474,MATCH(K306,'MASTER por modelo'!$D$8:$D$474,0)),"")</f>
        <v>0.88579017264276227</v>
      </c>
      <c r="U306" s="115">
        <f>IFERROR(INDEX('MASTER por modelo'!$AC$8:$AC$474,MATCH(K306,'MASTER por modelo'!$D$8:$D$474,0))+INDEX('MASTER por modelo'!$AD$8:$AD$474,MATCH(K306,'MASTER por modelo'!$D$8:$D$474,0)),"")</f>
        <v>667</v>
      </c>
      <c r="V306" s="93"/>
    </row>
    <row r="307" spans="1:22" x14ac:dyDescent="0.25">
      <c r="A307" s="109" t="s">
        <v>55</v>
      </c>
      <c r="B307" s="109" t="s">
        <v>99</v>
      </c>
      <c r="C307" s="109" t="s">
        <v>100</v>
      </c>
      <c r="D307" s="103">
        <f t="shared" si="28"/>
        <v>74.996810031517754</v>
      </c>
      <c r="E307" s="110">
        <v>2.3039999999999998</v>
      </c>
      <c r="F307" s="110">
        <f t="shared" si="29"/>
        <v>1.4961038961038959</v>
      </c>
      <c r="G307" s="110">
        <f t="shared" si="30"/>
        <v>2</v>
      </c>
      <c r="H307" s="110"/>
      <c r="I307" s="111">
        <v>698</v>
      </c>
      <c r="J307" s="109" t="str">
        <f t="shared" si="31"/>
        <v>26</v>
      </c>
      <c r="K307" s="109" t="s">
        <v>235</v>
      </c>
      <c r="L307" s="109" t="s">
        <v>772</v>
      </c>
      <c r="M307" s="111">
        <v>24</v>
      </c>
      <c r="N307" s="110">
        <v>201.6</v>
      </c>
      <c r="O307" s="105">
        <f t="shared" si="32"/>
        <v>172.8</v>
      </c>
      <c r="P307" s="112">
        <v>9.6000000000000002E-2</v>
      </c>
      <c r="Q307" s="113">
        <v>3.3010000000000001E-3</v>
      </c>
      <c r="R307" s="107">
        <f t="shared" si="33"/>
        <v>3.3010000000000002</v>
      </c>
      <c r="S307" s="105">
        <f t="shared" si="34"/>
        <v>247.56446991404013</v>
      </c>
      <c r="T307" s="114">
        <f>IFERROR(INDEX('MASTER por modelo'!$AQ$8:$AQ$474,MATCH(K307,'MASTER por modelo'!$D$8:$D$474,0)),"")</f>
        <v>0.61283643892339545</v>
      </c>
      <c r="U307" s="115">
        <f>IFERROR(INDEX('MASTER por modelo'!$AC$8:$AC$474,MATCH(K307,'MASTER por modelo'!$D$8:$D$474,0))+INDEX('MASTER por modelo'!$AD$8:$AD$474,MATCH(K307,'MASTER por modelo'!$D$8:$D$474,0)),"")</f>
        <v>888</v>
      </c>
      <c r="V307" s="93"/>
    </row>
    <row r="308" spans="1:22" x14ac:dyDescent="0.25">
      <c r="A308" s="109" t="s">
        <v>55</v>
      </c>
      <c r="B308" s="109" t="s">
        <v>99</v>
      </c>
      <c r="C308" s="109" t="s">
        <v>100</v>
      </c>
      <c r="D308" s="103">
        <f t="shared" si="28"/>
        <v>146.54151604490698</v>
      </c>
      <c r="E308" s="110">
        <v>2.3039999999999998</v>
      </c>
      <c r="F308" s="110">
        <f t="shared" si="29"/>
        <v>1.4961038961038959</v>
      </c>
      <c r="G308" s="110">
        <f t="shared" si="30"/>
        <v>2</v>
      </c>
      <c r="H308" s="110"/>
      <c r="I308" s="111">
        <v>653</v>
      </c>
      <c r="J308" s="109" t="str">
        <f t="shared" si="31"/>
        <v>26</v>
      </c>
      <c r="K308" s="109" t="s">
        <v>366</v>
      </c>
      <c r="L308" s="109" t="s">
        <v>768</v>
      </c>
      <c r="M308" s="111">
        <v>24</v>
      </c>
      <c r="N308" s="110">
        <v>366.4</v>
      </c>
      <c r="O308" s="105">
        <f t="shared" si="32"/>
        <v>337.59999999999997</v>
      </c>
      <c r="P308" s="112">
        <v>9.6000000000000002E-2</v>
      </c>
      <c r="Q308" s="113">
        <v>3.5279999999999999E-3</v>
      </c>
      <c r="R308" s="107">
        <f t="shared" si="33"/>
        <v>3.528</v>
      </c>
      <c r="S308" s="105">
        <f t="shared" si="34"/>
        <v>516.99846860643186</v>
      </c>
      <c r="T308" s="114">
        <f>IFERROR(INDEX('MASTER por modelo'!$AQ$8:$AQ$474,MATCH(K308,'MASTER por modelo'!$D$8:$D$474,0)),"")</f>
        <v>0.6447166921898928</v>
      </c>
      <c r="U308" s="115">
        <f>IFERROR(INDEX('MASTER por modelo'!$AC$8:$AC$474,MATCH(K308,'MASTER por modelo'!$D$8:$D$474,0))+INDEX('MASTER por modelo'!$AD$8:$AD$474,MATCH(K308,'MASTER por modelo'!$D$8:$D$474,0)),"")</f>
        <v>421</v>
      </c>
      <c r="V308" s="93"/>
    </row>
    <row r="309" spans="1:22" x14ac:dyDescent="0.25">
      <c r="A309" s="109" t="s">
        <v>55</v>
      </c>
      <c r="B309" s="109" t="s">
        <v>99</v>
      </c>
      <c r="C309" s="109" t="s">
        <v>100</v>
      </c>
      <c r="D309" s="103">
        <f t="shared" si="28"/>
        <v>122.29575783877618</v>
      </c>
      <c r="E309" s="110">
        <v>2.3039999999999998</v>
      </c>
      <c r="F309" s="110">
        <f t="shared" si="29"/>
        <v>1.4961038961038959</v>
      </c>
      <c r="G309" s="110">
        <f t="shared" si="30"/>
        <v>2</v>
      </c>
      <c r="H309" s="110"/>
      <c r="I309" s="111">
        <v>650</v>
      </c>
      <c r="J309" s="109" t="str">
        <f t="shared" si="31"/>
        <v>26</v>
      </c>
      <c r="K309" s="109" t="s">
        <v>367</v>
      </c>
      <c r="L309" s="109" t="s">
        <v>768</v>
      </c>
      <c r="M309" s="111">
        <v>24</v>
      </c>
      <c r="N309" s="110">
        <v>310.60000000000002</v>
      </c>
      <c r="O309" s="105">
        <f t="shared" si="32"/>
        <v>281.8</v>
      </c>
      <c r="P309" s="112">
        <v>9.6000000000000002E-2</v>
      </c>
      <c r="Q309" s="113">
        <v>3.545E-3</v>
      </c>
      <c r="R309" s="107">
        <f t="shared" si="33"/>
        <v>3.5449999999999999</v>
      </c>
      <c r="S309" s="105">
        <f t="shared" si="34"/>
        <v>433.53846153846155</v>
      </c>
      <c r="T309" s="114">
        <f>IFERROR(INDEX('MASTER por modelo'!$AQ$8:$AQ$474,MATCH(K309,'MASTER por modelo'!$D$8:$D$474,0)),"")</f>
        <v>0.29384615384615387</v>
      </c>
      <c r="U309" s="115">
        <f>IFERROR(INDEX('MASTER por modelo'!$AC$8:$AC$474,MATCH(K309,'MASTER por modelo'!$D$8:$D$474,0))+INDEX('MASTER por modelo'!$AD$8:$AD$474,MATCH(K309,'MASTER por modelo'!$D$8:$D$474,0)),"")</f>
        <v>191</v>
      </c>
      <c r="V309" s="93"/>
    </row>
    <row r="310" spans="1:22" x14ac:dyDescent="0.25">
      <c r="A310" s="109" t="s">
        <v>63</v>
      </c>
      <c r="B310" s="109" t="s">
        <v>110</v>
      </c>
      <c r="C310" s="109" t="s">
        <v>100</v>
      </c>
      <c r="D310" s="103">
        <f t="shared" si="28"/>
        <v>173.2469702394514</v>
      </c>
      <c r="E310" s="110">
        <v>2.3039999999999998</v>
      </c>
      <c r="F310" s="110">
        <f t="shared" si="29"/>
        <v>1.4961038961038959</v>
      </c>
      <c r="G310" s="110">
        <f t="shared" si="30"/>
        <v>2</v>
      </c>
      <c r="H310" s="110"/>
      <c r="I310" s="111">
        <v>665</v>
      </c>
      <c r="J310" s="109" t="str">
        <f t="shared" si="31"/>
        <v>27</v>
      </c>
      <c r="K310" s="109" t="s">
        <v>368</v>
      </c>
      <c r="L310" s="109" t="s">
        <v>805</v>
      </c>
      <c r="M310" s="111">
        <v>24</v>
      </c>
      <c r="N310" s="110">
        <v>428</v>
      </c>
      <c r="O310" s="105">
        <f t="shared" si="32"/>
        <v>399.2</v>
      </c>
      <c r="P310" s="112">
        <v>9.6000000000000002E-2</v>
      </c>
      <c r="Q310" s="113">
        <v>3.4650000000000002E-3</v>
      </c>
      <c r="R310" s="107">
        <f t="shared" si="33"/>
        <v>3.4650000000000003</v>
      </c>
      <c r="S310" s="105">
        <f t="shared" si="34"/>
        <v>600.30075187969919</v>
      </c>
      <c r="T310" s="114">
        <f>IFERROR(INDEX('MASTER por modelo'!$AQ$8:$AQ$474,MATCH(K310,'MASTER por modelo'!$D$8:$D$474,0)),"")</f>
        <v>0</v>
      </c>
      <c r="U310" s="115">
        <f>IFERROR(INDEX('MASTER por modelo'!$AC$8:$AC$474,MATCH(K310,'MASTER por modelo'!$D$8:$D$474,0))+INDEX('MASTER por modelo'!$AD$8:$AD$474,MATCH(K310,'MASTER por modelo'!$D$8:$D$474,0)),"")</f>
        <v>0</v>
      </c>
      <c r="V310" s="93"/>
    </row>
    <row r="311" spans="1:22" x14ac:dyDescent="0.25">
      <c r="A311" s="109" t="s">
        <v>55</v>
      </c>
      <c r="B311" s="109" t="s">
        <v>255</v>
      </c>
      <c r="C311" s="109" t="s">
        <v>132</v>
      </c>
      <c r="D311" s="103">
        <f t="shared" si="28"/>
        <v>255.1587814082971</v>
      </c>
      <c r="E311" s="110">
        <v>2.23</v>
      </c>
      <c r="F311" s="110">
        <f t="shared" si="29"/>
        <v>1.448051948051948</v>
      </c>
      <c r="G311" s="110">
        <f t="shared" si="30"/>
        <v>2</v>
      </c>
      <c r="H311" s="110"/>
      <c r="I311" s="111">
        <v>928</v>
      </c>
      <c r="J311" s="109" t="str">
        <f t="shared" si="31"/>
        <v>26</v>
      </c>
      <c r="K311" s="109" t="s">
        <v>369</v>
      </c>
      <c r="L311" s="109" t="s">
        <v>801</v>
      </c>
      <c r="M311" s="111">
        <v>31</v>
      </c>
      <c r="N311" s="110">
        <v>606.20000000000005</v>
      </c>
      <c r="O311" s="105">
        <f t="shared" si="32"/>
        <v>569</v>
      </c>
      <c r="P311" s="112">
        <v>7.1900000000000006E-2</v>
      </c>
      <c r="Q311" s="113">
        <v>2.4030000000000002E-3</v>
      </c>
      <c r="R311" s="107">
        <f t="shared" si="33"/>
        <v>2.403</v>
      </c>
      <c r="S311" s="105">
        <f t="shared" si="34"/>
        <v>613.14655172413791</v>
      </c>
      <c r="T311" s="114">
        <f>IFERROR(INDEX('MASTER por modelo'!$AQ$8:$AQ$474,MATCH(K311,'MASTER por modelo'!$D$8:$D$474,0)),"")</f>
        <v>0.7068965517241379</v>
      </c>
      <c r="U311" s="115">
        <f>IFERROR(INDEX('MASTER por modelo'!$AC$8:$AC$474,MATCH(K311,'MASTER por modelo'!$D$8:$D$474,0))+INDEX('MASTER por modelo'!$AD$8:$AD$474,MATCH(K311,'MASTER por modelo'!$D$8:$D$474,0)),"")</f>
        <v>656</v>
      </c>
      <c r="V311" s="93"/>
    </row>
    <row r="312" spans="1:22" x14ac:dyDescent="0.25">
      <c r="A312" s="109" t="s">
        <v>55</v>
      </c>
      <c r="B312" s="109" t="s">
        <v>255</v>
      </c>
      <c r="C312" s="109" t="s">
        <v>132</v>
      </c>
      <c r="D312" s="103">
        <f t="shared" si="28"/>
        <v>243.22018678160919</v>
      </c>
      <c r="E312" s="110">
        <v>2.2271999999999998</v>
      </c>
      <c r="F312" s="110">
        <f t="shared" si="29"/>
        <v>1.4462337662337661</v>
      </c>
      <c r="G312" s="110">
        <f t="shared" si="30"/>
        <v>2</v>
      </c>
      <c r="H312" s="110"/>
      <c r="I312" s="111">
        <v>870</v>
      </c>
      <c r="J312" s="109" t="str">
        <f t="shared" si="31"/>
        <v>26</v>
      </c>
      <c r="K312" s="109" t="s">
        <v>256</v>
      </c>
      <c r="L312" s="109" t="s">
        <v>791</v>
      </c>
      <c r="M312" s="111">
        <v>29</v>
      </c>
      <c r="N312" s="110">
        <v>576.5</v>
      </c>
      <c r="O312" s="105">
        <f t="shared" si="32"/>
        <v>541.70000000000005</v>
      </c>
      <c r="P312" s="112">
        <v>7.6799999999999993E-2</v>
      </c>
      <c r="Q312" s="113">
        <v>2.5600000000000002E-3</v>
      </c>
      <c r="R312" s="107">
        <f t="shared" si="33"/>
        <v>2.56</v>
      </c>
      <c r="S312" s="105">
        <f t="shared" si="34"/>
        <v>622.64367816091954</v>
      </c>
      <c r="T312" s="114">
        <f>IFERROR(INDEX('MASTER por modelo'!$AQ$8:$AQ$474,MATCH(K312,'MASTER por modelo'!$D$8:$D$474,0)),"")</f>
        <v>0.98933500627352577</v>
      </c>
      <c r="U312" s="115">
        <f>IFERROR(INDEX('MASTER por modelo'!$AC$8:$AC$474,MATCH(K312,'MASTER por modelo'!$D$8:$D$474,0))+INDEX('MASTER por modelo'!$AD$8:$AD$474,MATCH(K312,'MASTER por modelo'!$D$8:$D$474,0)),"")</f>
        <v>1577</v>
      </c>
      <c r="V312" s="93"/>
    </row>
    <row r="313" spans="1:22" x14ac:dyDescent="0.25">
      <c r="A313" s="109" t="s">
        <v>55</v>
      </c>
      <c r="B313" s="109" t="s">
        <v>255</v>
      </c>
      <c r="C313" s="109" t="s">
        <v>132</v>
      </c>
      <c r="D313" s="103">
        <f t="shared" si="28"/>
        <v>241.33441091954026</v>
      </c>
      <c r="E313" s="110">
        <v>2.2271999999999998</v>
      </c>
      <c r="F313" s="110">
        <f t="shared" si="29"/>
        <v>1.4462337662337661</v>
      </c>
      <c r="G313" s="110">
        <f t="shared" si="30"/>
        <v>2</v>
      </c>
      <c r="H313" s="110"/>
      <c r="I313" s="111">
        <v>928</v>
      </c>
      <c r="J313" s="109" t="str">
        <f t="shared" si="31"/>
        <v>26</v>
      </c>
      <c r="K313" s="109" t="s">
        <v>370</v>
      </c>
      <c r="L313" s="109" t="s">
        <v>791</v>
      </c>
      <c r="M313" s="111">
        <v>29</v>
      </c>
      <c r="N313" s="110">
        <v>572.29999999999995</v>
      </c>
      <c r="O313" s="105">
        <f t="shared" si="32"/>
        <v>537.5</v>
      </c>
      <c r="P313" s="112">
        <v>7.6799999999999993E-2</v>
      </c>
      <c r="Q313" s="113">
        <v>2.3999999999999998E-3</v>
      </c>
      <c r="R313" s="107">
        <f t="shared" si="33"/>
        <v>2.4</v>
      </c>
      <c r="S313" s="105">
        <f t="shared" si="34"/>
        <v>579.20258620689663</v>
      </c>
      <c r="T313" s="114">
        <f>IFERROR(INDEX('MASTER por modelo'!$AQ$8:$AQ$474,MATCH(K313,'MASTER por modelo'!$D$8:$D$474,0)),"")</f>
        <v>0.625</v>
      </c>
      <c r="U313" s="115">
        <f>IFERROR(INDEX('MASTER por modelo'!$AC$8:$AC$474,MATCH(K313,'MASTER por modelo'!$D$8:$D$474,0))+INDEX('MASTER por modelo'!$AD$8:$AD$474,MATCH(K313,'MASTER por modelo'!$D$8:$D$474,0)),"")</f>
        <v>580</v>
      </c>
      <c r="V313" s="93"/>
    </row>
    <row r="314" spans="1:22" x14ac:dyDescent="0.25">
      <c r="A314" s="109" t="s">
        <v>55</v>
      </c>
      <c r="B314" s="109" t="s">
        <v>255</v>
      </c>
      <c r="C314" s="109" t="s">
        <v>132</v>
      </c>
      <c r="D314" s="103">
        <f t="shared" si="28"/>
        <v>245.45281487281528</v>
      </c>
      <c r="E314" s="110">
        <v>2.2271999999999998</v>
      </c>
      <c r="F314" s="110">
        <f t="shared" si="29"/>
        <v>1.4462337662337661</v>
      </c>
      <c r="G314" s="110">
        <f t="shared" si="30"/>
        <v>2</v>
      </c>
      <c r="H314" s="110"/>
      <c r="I314" s="111">
        <v>856</v>
      </c>
      <c r="J314" s="109" t="str">
        <f t="shared" si="31"/>
        <v>26</v>
      </c>
      <c r="K314" s="109" t="s">
        <v>371</v>
      </c>
      <c r="L314" s="109" t="s">
        <v>791</v>
      </c>
      <c r="M314" s="111">
        <v>29</v>
      </c>
      <c r="N314" s="110">
        <v>581.5</v>
      </c>
      <c r="O314" s="105">
        <f t="shared" si="32"/>
        <v>546.70000000000005</v>
      </c>
      <c r="P314" s="112">
        <v>7.6799999999999993E-2</v>
      </c>
      <c r="Q314" s="113">
        <v>2.6020000000000001E-3</v>
      </c>
      <c r="R314" s="107">
        <f t="shared" si="33"/>
        <v>2.6020000000000003</v>
      </c>
      <c r="S314" s="105">
        <f t="shared" si="34"/>
        <v>638.6682242990654</v>
      </c>
      <c r="T314" s="114">
        <f>IFERROR(INDEX('MASTER por modelo'!$AQ$8:$AQ$474,MATCH(K314,'MASTER por modelo'!$D$8:$D$474,0)),"")</f>
        <v>0.76051401869158874</v>
      </c>
      <c r="U314" s="115">
        <f>IFERROR(INDEX('MASTER por modelo'!$AC$8:$AC$474,MATCH(K314,'MASTER por modelo'!$D$8:$D$474,0))+INDEX('MASTER por modelo'!$AD$8:$AD$474,MATCH(K314,'MASTER por modelo'!$D$8:$D$474,0)),"")</f>
        <v>651</v>
      </c>
      <c r="V314" s="93"/>
    </row>
    <row r="315" spans="1:22" x14ac:dyDescent="0.25">
      <c r="A315" s="109" t="s">
        <v>63</v>
      </c>
      <c r="B315" s="109" t="s">
        <v>171</v>
      </c>
      <c r="C315" s="109" t="s">
        <v>363</v>
      </c>
      <c r="D315" s="103">
        <f t="shared" si="28"/>
        <v>213.07190962022614</v>
      </c>
      <c r="E315" s="110">
        <v>2.21</v>
      </c>
      <c r="F315" s="110">
        <f t="shared" si="29"/>
        <v>1.4350649350649349</v>
      </c>
      <c r="G315" s="110">
        <f t="shared" si="30"/>
        <v>2</v>
      </c>
      <c r="H315" s="110"/>
      <c r="I315" s="111">
        <v>806</v>
      </c>
      <c r="J315" s="109" t="str">
        <f t="shared" si="31"/>
        <v>26</v>
      </c>
      <c r="K315" s="109" t="s">
        <v>372</v>
      </c>
      <c r="L315" s="109" t="s">
        <v>761</v>
      </c>
      <c r="M315" s="111">
        <v>23</v>
      </c>
      <c r="N315" s="110">
        <v>498.5</v>
      </c>
      <c r="O315" s="105">
        <f t="shared" si="32"/>
        <v>470.9</v>
      </c>
      <c r="P315" s="112">
        <v>9.6100000000000005E-2</v>
      </c>
      <c r="Q315" s="113">
        <v>2.7420000000000001E-3</v>
      </c>
      <c r="R315" s="107">
        <f t="shared" si="33"/>
        <v>2.742</v>
      </c>
      <c r="S315" s="105">
        <f t="shared" si="34"/>
        <v>584.24317617866006</v>
      </c>
      <c r="T315" s="114">
        <f>IFERROR(INDEX('MASTER por modelo'!$AQ$8:$AQ$474,MATCH(K315,'MASTER por modelo'!$D$8:$D$474,0)),"")</f>
        <v>1.6662531017369726</v>
      </c>
      <c r="U315" s="115">
        <f>IFERROR(INDEX('MASTER por modelo'!$AC$8:$AC$474,MATCH(K315,'MASTER por modelo'!$D$8:$D$474,0))+INDEX('MASTER por modelo'!$AD$8:$AD$474,MATCH(K315,'MASTER por modelo'!$D$8:$D$474,0)),"")</f>
        <v>1343</v>
      </c>
      <c r="V315" s="93"/>
    </row>
    <row r="316" spans="1:22" x14ac:dyDescent="0.25">
      <c r="A316" s="109" t="s">
        <v>63</v>
      </c>
      <c r="B316" s="109" t="s">
        <v>171</v>
      </c>
      <c r="C316" s="109" t="s">
        <v>363</v>
      </c>
      <c r="D316" s="103">
        <f t="shared" si="28"/>
        <v>188.2223485081569</v>
      </c>
      <c r="E316" s="110">
        <v>2.21</v>
      </c>
      <c r="F316" s="110">
        <f t="shared" si="29"/>
        <v>1.4350649350649349</v>
      </c>
      <c r="G316" s="110">
        <f t="shared" si="30"/>
        <v>2</v>
      </c>
      <c r="H316" s="110"/>
      <c r="I316" s="111">
        <v>647</v>
      </c>
      <c r="J316" s="109" t="str">
        <f t="shared" si="31"/>
        <v>26</v>
      </c>
      <c r="K316" s="109" t="s">
        <v>373</v>
      </c>
      <c r="L316" s="109" t="s">
        <v>761</v>
      </c>
      <c r="M316" s="111">
        <v>23</v>
      </c>
      <c r="N316" s="110">
        <v>443.6</v>
      </c>
      <c r="O316" s="105">
        <f t="shared" si="32"/>
        <v>416</v>
      </c>
      <c r="P316" s="112">
        <v>9.6100000000000005E-2</v>
      </c>
      <c r="Q316" s="113">
        <v>3.4160000000000002E-3</v>
      </c>
      <c r="R316" s="107">
        <f t="shared" si="33"/>
        <v>3.4160000000000004</v>
      </c>
      <c r="S316" s="105">
        <f t="shared" si="34"/>
        <v>642.96754250386402</v>
      </c>
      <c r="T316" s="114">
        <f>IFERROR(INDEX('MASTER por modelo'!$AQ$8:$AQ$474,MATCH(K316,'MASTER por modelo'!$D$8:$D$474,0)),"")</f>
        <v>0.48686244204018547</v>
      </c>
      <c r="U316" s="115">
        <f>IFERROR(INDEX('MASTER por modelo'!$AC$8:$AC$474,MATCH(K316,'MASTER por modelo'!$D$8:$D$474,0))+INDEX('MASTER por modelo'!$AD$8:$AD$474,MATCH(K316,'MASTER por modelo'!$D$8:$D$474,0)),"")</f>
        <v>315</v>
      </c>
      <c r="V316" s="93"/>
    </row>
    <row r="317" spans="1:22" x14ac:dyDescent="0.25">
      <c r="A317" s="109" t="s">
        <v>63</v>
      </c>
      <c r="B317" s="109" t="s">
        <v>102</v>
      </c>
      <c r="C317" s="109" t="s">
        <v>132</v>
      </c>
      <c r="D317" s="103">
        <f t="shared" si="28"/>
        <v>168.18245214905838</v>
      </c>
      <c r="E317" s="110">
        <v>2.2080000000000002</v>
      </c>
      <c r="F317" s="110">
        <f t="shared" si="29"/>
        <v>1.4337662337662338</v>
      </c>
      <c r="G317" s="110">
        <f t="shared" si="30"/>
        <v>2</v>
      </c>
      <c r="H317" s="110"/>
      <c r="I317" s="111">
        <v>682</v>
      </c>
      <c r="J317" s="109" t="str">
        <f t="shared" si="31"/>
        <v>26</v>
      </c>
      <c r="K317" s="109" t="s">
        <v>244</v>
      </c>
      <c r="L317" s="109" t="s">
        <v>777</v>
      </c>
      <c r="M317" s="111">
        <v>23</v>
      </c>
      <c r="N317" s="110">
        <v>399</v>
      </c>
      <c r="O317" s="105">
        <f t="shared" si="32"/>
        <v>371.4</v>
      </c>
      <c r="P317" s="112">
        <v>9.6000000000000002E-2</v>
      </c>
      <c r="Q317" s="113">
        <v>3.238E-3</v>
      </c>
      <c r="R317" s="107">
        <f t="shared" si="33"/>
        <v>3.238</v>
      </c>
      <c r="S317" s="105">
        <f t="shared" si="34"/>
        <v>544.57478005865096</v>
      </c>
      <c r="T317" s="114">
        <f>IFERROR(INDEX('MASTER por modelo'!$AQ$8:$AQ$474,MATCH(K317,'MASTER por modelo'!$D$8:$D$474,0)),"")</f>
        <v>0.8069644208932627</v>
      </c>
      <c r="U317" s="115">
        <f>IFERROR(INDEX('MASTER por modelo'!$AC$8:$AC$474,MATCH(K317,'MASTER por modelo'!$D$8:$D$474,0))+INDEX('MASTER por modelo'!$AD$8:$AD$474,MATCH(K317,'MASTER por modelo'!$D$8:$D$474,0)),"")</f>
        <v>1066</v>
      </c>
      <c r="V317" s="93"/>
    </row>
    <row r="318" spans="1:22" x14ac:dyDescent="0.25">
      <c r="A318" s="109" t="s">
        <v>63</v>
      </c>
      <c r="B318" s="109" t="s">
        <v>110</v>
      </c>
      <c r="C318" s="109" t="s">
        <v>100</v>
      </c>
      <c r="D318" s="103">
        <f t="shared" si="28"/>
        <v>118.75193617287239</v>
      </c>
      <c r="E318" s="110">
        <v>2.2080000000000002</v>
      </c>
      <c r="F318" s="110">
        <f t="shared" si="29"/>
        <v>1.4337662337662338</v>
      </c>
      <c r="G318" s="110">
        <f t="shared" si="30"/>
        <v>2</v>
      </c>
      <c r="H318" s="110"/>
      <c r="I318" s="111">
        <v>778</v>
      </c>
      <c r="J318" s="109" t="str">
        <f t="shared" si="31"/>
        <v>26</v>
      </c>
      <c r="K318" s="109" t="s">
        <v>374</v>
      </c>
      <c r="L318" s="109" t="s">
        <v>766</v>
      </c>
      <c r="M318" s="111">
        <v>23</v>
      </c>
      <c r="N318" s="110">
        <v>289.8</v>
      </c>
      <c r="O318" s="105">
        <f t="shared" si="32"/>
        <v>262.2</v>
      </c>
      <c r="P318" s="112">
        <v>9.6000000000000002E-2</v>
      </c>
      <c r="Q318" s="113">
        <v>2.8379999999999998E-3</v>
      </c>
      <c r="R318" s="107">
        <f t="shared" si="33"/>
        <v>2.8379999999999996</v>
      </c>
      <c r="S318" s="105">
        <f t="shared" si="34"/>
        <v>337.01799485861181</v>
      </c>
      <c r="T318" s="114">
        <f>IFERROR(INDEX('MASTER por modelo'!$AQ$8:$AQ$474,MATCH(K318,'MASTER por modelo'!$D$8:$D$474,0)),"")</f>
        <v>0.30205655526992287</v>
      </c>
      <c r="U318" s="115">
        <f>IFERROR(INDEX('MASTER por modelo'!$AC$8:$AC$474,MATCH(K318,'MASTER por modelo'!$D$8:$D$474,0))+INDEX('MASTER por modelo'!$AD$8:$AD$474,MATCH(K318,'MASTER por modelo'!$D$8:$D$474,0)),"")</f>
        <v>235</v>
      </c>
      <c r="V318" s="93"/>
    </row>
    <row r="319" spans="1:22" x14ac:dyDescent="0.25">
      <c r="A319" s="109" t="s">
        <v>55</v>
      </c>
      <c r="B319" s="109" t="s">
        <v>99</v>
      </c>
      <c r="C319" s="109" t="s">
        <v>100</v>
      </c>
      <c r="D319" s="103">
        <f t="shared" si="28"/>
        <v>104.12137681159419</v>
      </c>
      <c r="E319" s="110">
        <v>2.2080000000000002</v>
      </c>
      <c r="F319" s="110">
        <f t="shared" si="29"/>
        <v>1.4337662337662338</v>
      </c>
      <c r="G319" s="110">
        <f t="shared" si="30"/>
        <v>2</v>
      </c>
      <c r="H319" s="110"/>
      <c r="I319" s="111">
        <v>750</v>
      </c>
      <c r="J319" s="109" t="str">
        <f t="shared" si="31"/>
        <v>26</v>
      </c>
      <c r="K319" s="109" t="s">
        <v>375</v>
      </c>
      <c r="L319" s="109" t="s">
        <v>768</v>
      </c>
      <c r="M319" s="111">
        <v>23</v>
      </c>
      <c r="N319" s="110">
        <v>257.5</v>
      </c>
      <c r="O319" s="105">
        <f t="shared" si="32"/>
        <v>229.9</v>
      </c>
      <c r="P319" s="112">
        <v>9.6000000000000002E-2</v>
      </c>
      <c r="Q319" s="113">
        <v>2.944E-3</v>
      </c>
      <c r="R319" s="107">
        <f t="shared" si="33"/>
        <v>2.944</v>
      </c>
      <c r="S319" s="105">
        <f t="shared" si="34"/>
        <v>306.5333333333333</v>
      </c>
      <c r="T319" s="114">
        <f>IFERROR(INDEX('MASTER por modelo'!$AQ$8:$AQ$474,MATCH(K319,'MASTER por modelo'!$D$8:$D$474,0)),"")</f>
        <v>0.58933333333333338</v>
      </c>
      <c r="U319" s="115">
        <f>IFERROR(INDEX('MASTER por modelo'!$AC$8:$AC$474,MATCH(K319,'MASTER por modelo'!$D$8:$D$474,0))+INDEX('MASTER por modelo'!$AD$8:$AD$474,MATCH(K319,'MASTER por modelo'!$D$8:$D$474,0)),"")</f>
        <v>442</v>
      </c>
      <c r="V319" s="93"/>
    </row>
    <row r="320" spans="1:22" x14ac:dyDescent="0.25">
      <c r="A320" s="109" t="s">
        <v>138</v>
      </c>
      <c r="B320" s="109" t="s">
        <v>139</v>
      </c>
      <c r="C320" s="109" t="s">
        <v>122</v>
      </c>
      <c r="D320" s="103">
        <f t="shared" si="28"/>
        <v>228.31678013763167</v>
      </c>
      <c r="E320" s="110">
        <v>2.1819999999999999</v>
      </c>
      <c r="F320" s="110">
        <f t="shared" si="29"/>
        <v>1.4168831168831169</v>
      </c>
      <c r="G320" s="110">
        <f t="shared" si="30"/>
        <v>2</v>
      </c>
      <c r="H320" s="110"/>
      <c r="I320" s="111">
        <v>536</v>
      </c>
      <c r="J320" s="109" t="str">
        <f t="shared" si="31"/>
        <v>26</v>
      </c>
      <c r="K320" s="109" t="s">
        <v>376</v>
      </c>
      <c r="L320" s="109" t="s">
        <v>734</v>
      </c>
      <c r="M320" s="111">
        <v>22</v>
      </c>
      <c r="N320" s="110">
        <v>524.6</v>
      </c>
      <c r="O320" s="105">
        <f t="shared" si="32"/>
        <v>498.20000000000005</v>
      </c>
      <c r="P320" s="112">
        <v>9.9199999999999997E-2</v>
      </c>
      <c r="Q320" s="113">
        <v>4.071E-3</v>
      </c>
      <c r="R320" s="107">
        <f t="shared" si="33"/>
        <v>4.0709999999999997</v>
      </c>
      <c r="S320" s="105">
        <f t="shared" si="34"/>
        <v>929.47761194029852</v>
      </c>
      <c r="T320" s="114">
        <f>IFERROR(INDEX('MASTER por modelo'!$AQ$8:$AQ$474,MATCH(K320,'MASTER por modelo'!$D$8:$D$474,0)),"")</f>
        <v>0.32089552238805968</v>
      </c>
      <c r="U320" s="115">
        <f>IFERROR(INDEX('MASTER por modelo'!$AC$8:$AC$474,MATCH(K320,'MASTER por modelo'!$D$8:$D$474,0))+INDEX('MASTER por modelo'!$AD$8:$AD$474,MATCH(K320,'MASTER por modelo'!$D$8:$D$474,0)),"")</f>
        <v>172</v>
      </c>
      <c r="V320" s="93"/>
    </row>
    <row r="321" spans="1:22" x14ac:dyDescent="0.25">
      <c r="A321" s="109" t="s">
        <v>55</v>
      </c>
      <c r="B321" s="109" t="s">
        <v>255</v>
      </c>
      <c r="C321" s="109" t="s">
        <v>132</v>
      </c>
      <c r="D321" s="103">
        <f t="shared" si="28"/>
        <v>238.40184726739858</v>
      </c>
      <c r="E321" s="110">
        <v>2.1619999999999999</v>
      </c>
      <c r="F321" s="110">
        <f t="shared" si="29"/>
        <v>1.4038961038961038</v>
      </c>
      <c r="G321" s="110">
        <f t="shared" si="30"/>
        <v>2</v>
      </c>
      <c r="H321" s="110"/>
      <c r="I321" s="111">
        <v>836</v>
      </c>
      <c r="J321" s="109" t="str">
        <f t="shared" si="31"/>
        <v>27</v>
      </c>
      <c r="K321" s="109" t="s">
        <v>377</v>
      </c>
      <c r="L321" s="109" t="s">
        <v>794</v>
      </c>
      <c r="M321" s="111">
        <v>26</v>
      </c>
      <c r="N321" s="110">
        <v>546.6</v>
      </c>
      <c r="O321" s="105">
        <f t="shared" si="32"/>
        <v>515.4</v>
      </c>
      <c r="P321" s="112">
        <v>8.3199999999999996E-2</v>
      </c>
      <c r="Q321" s="113">
        <v>2.5860000000000002E-3</v>
      </c>
      <c r="R321" s="107">
        <f t="shared" si="33"/>
        <v>2.5860000000000003</v>
      </c>
      <c r="S321" s="105">
        <f t="shared" si="34"/>
        <v>616.50717703349278</v>
      </c>
      <c r="T321" s="114">
        <f>IFERROR(INDEX('MASTER por modelo'!$AQ$8:$AQ$474,MATCH(K321,'MASTER por modelo'!$D$8:$D$474,0)),"")</f>
        <v>0</v>
      </c>
      <c r="U321" s="115">
        <f>IFERROR(INDEX('MASTER por modelo'!$AC$8:$AC$474,MATCH(K321,'MASTER por modelo'!$D$8:$D$474,0))+INDEX('MASTER por modelo'!$AD$8:$AD$474,MATCH(K321,'MASTER por modelo'!$D$8:$D$474,0)),"")</f>
        <v>0</v>
      </c>
      <c r="V321" s="93"/>
    </row>
    <row r="322" spans="1:22" x14ac:dyDescent="0.25">
      <c r="A322" s="109" t="s">
        <v>55</v>
      </c>
      <c r="B322" s="109" t="s">
        <v>255</v>
      </c>
      <c r="C322" s="109" t="s">
        <v>132</v>
      </c>
      <c r="D322" s="103">
        <f t="shared" si="28"/>
        <v>231.35547087642897</v>
      </c>
      <c r="E322" s="110">
        <v>2.16</v>
      </c>
      <c r="F322" s="110">
        <f t="shared" si="29"/>
        <v>1.4025974025974026</v>
      </c>
      <c r="G322" s="110">
        <f t="shared" si="30"/>
        <v>2</v>
      </c>
      <c r="H322" s="110"/>
      <c r="I322" s="111">
        <v>924</v>
      </c>
      <c r="J322" s="109" t="str">
        <f t="shared" si="31"/>
        <v>26</v>
      </c>
      <c r="K322" s="109" t="s">
        <v>378</v>
      </c>
      <c r="L322" s="109" t="s">
        <v>806</v>
      </c>
      <c r="M322" s="111">
        <v>30</v>
      </c>
      <c r="N322" s="110">
        <v>535.79999999999995</v>
      </c>
      <c r="O322" s="105">
        <f t="shared" si="32"/>
        <v>499.79999999999995</v>
      </c>
      <c r="P322" s="112">
        <v>7.1999999999999995E-2</v>
      </c>
      <c r="Q322" s="113">
        <v>2.3379999999999998E-3</v>
      </c>
      <c r="R322" s="107">
        <f t="shared" si="33"/>
        <v>2.3379999999999996</v>
      </c>
      <c r="S322" s="105">
        <f t="shared" si="34"/>
        <v>540.90909090909088</v>
      </c>
      <c r="T322" s="114">
        <f>IFERROR(INDEX('MASTER por modelo'!$AQ$8:$AQ$474,MATCH(K322,'MASTER por modelo'!$D$8:$D$474,0)),"")</f>
        <v>0.68073593073593075</v>
      </c>
      <c r="U322" s="115">
        <f>IFERROR(INDEX('MASTER por modelo'!$AC$8:$AC$474,MATCH(K322,'MASTER por modelo'!$D$8:$D$474,0))+INDEX('MASTER por modelo'!$AD$8:$AD$474,MATCH(K322,'MASTER por modelo'!$D$8:$D$474,0)),"")</f>
        <v>629</v>
      </c>
      <c r="V322" s="93"/>
    </row>
    <row r="323" spans="1:22" x14ac:dyDescent="0.25">
      <c r="A323" s="109" t="s">
        <v>55</v>
      </c>
      <c r="B323" s="109" t="s">
        <v>255</v>
      </c>
      <c r="C323" s="109" t="s">
        <v>132</v>
      </c>
      <c r="D323" s="103">
        <f t="shared" si="28"/>
        <v>246.04553074639077</v>
      </c>
      <c r="E323" s="110">
        <v>2.1503999999999999</v>
      </c>
      <c r="F323" s="110">
        <f t="shared" si="29"/>
        <v>1.3963636363636363</v>
      </c>
      <c r="G323" s="110">
        <f t="shared" si="30"/>
        <v>2</v>
      </c>
      <c r="H323" s="110"/>
      <c r="I323" s="111">
        <v>937</v>
      </c>
      <c r="J323" s="109" t="str">
        <f t="shared" si="31"/>
        <v>26</v>
      </c>
      <c r="K323" s="109" t="s">
        <v>379</v>
      </c>
      <c r="L323" s="109" t="s">
        <v>791</v>
      </c>
      <c r="M323" s="111">
        <v>28</v>
      </c>
      <c r="N323" s="110">
        <v>562.70000000000005</v>
      </c>
      <c r="O323" s="105">
        <f t="shared" si="32"/>
        <v>529.1</v>
      </c>
      <c r="P323" s="112">
        <v>7.6799999999999993E-2</v>
      </c>
      <c r="Q323" s="113">
        <v>2.2950000000000002E-3</v>
      </c>
      <c r="R323" s="107">
        <f t="shared" si="33"/>
        <v>2.2950000000000004</v>
      </c>
      <c r="S323" s="105">
        <f t="shared" si="34"/>
        <v>564.67449306296692</v>
      </c>
      <c r="T323" s="114">
        <f>IFERROR(INDEX('MASTER por modelo'!$AQ$8:$AQ$474,MATCH(K323,'MASTER por modelo'!$D$8:$D$474,0)),"")</f>
        <v>0.66168623265741733</v>
      </c>
      <c r="U323" s="115">
        <f>IFERROR(INDEX('MASTER por modelo'!$AC$8:$AC$474,MATCH(K323,'MASTER por modelo'!$D$8:$D$474,0))+INDEX('MASTER por modelo'!$AD$8:$AD$474,MATCH(K323,'MASTER por modelo'!$D$8:$D$474,0)),"")</f>
        <v>620</v>
      </c>
      <c r="V323" s="93"/>
    </row>
    <row r="324" spans="1:22" x14ac:dyDescent="0.25">
      <c r="A324" s="109" t="s">
        <v>63</v>
      </c>
      <c r="B324" s="109" t="s">
        <v>102</v>
      </c>
      <c r="C324" s="109" t="s">
        <v>103</v>
      </c>
      <c r="D324" s="103">
        <f t="shared" si="28"/>
        <v>218.61089148332726</v>
      </c>
      <c r="E324" s="110">
        <v>2.12</v>
      </c>
      <c r="F324" s="110">
        <f t="shared" si="29"/>
        <v>1.3766233766233766</v>
      </c>
      <c r="G324" s="110">
        <f t="shared" si="30"/>
        <v>2</v>
      </c>
      <c r="H324" s="110"/>
      <c r="I324" s="111">
        <v>796</v>
      </c>
      <c r="J324" s="109" t="str">
        <f t="shared" si="31"/>
        <v>26</v>
      </c>
      <c r="K324" s="109" t="s">
        <v>380</v>
      </c>
      <c r="L324" s="109" t="s">
        <v>744</v>
      </c>
      <c r="M324" s="111">
        <v>25</v>
      </c>
      <c r="N324" s="110">
        <v>493.4</v>
      </c>
      <c r="O324" s="105">
        <f t="shared" si="32"/>
        <v>463.4</v>
      </c>
      <c r="P324" s="112">
        <v>8.48E-2</v>
      </c>
      <c r="Q324" s="113">
        <v>2.663E-3</v>
      </c>
      <c r="R324" s="107">
        <f t="shared" si="33"/>
        <v>2.6629999999999998</v>
      </c>
      <c r="S324" s="105">
        <f t="shared" si="34"/>
        <v>582.1608040201005</v>
      </c>
      <c r="T324" s="114">
        <f>IFERROR(INDEX('MASTER por modelo'!$AQ$8:$AQ$474,MATCH(K324,'MASTER por modelo'!$D$8:$D$474,0)),"")</f>
        <v>0.62311557788944727</v>
      </c>
      <c r="U324" s="115">
        <f>IFERROR(INDEX('MASTER por modelo'!$AC$8:$AC$474,MATCH(K324,'MASTER por modelo'!$D$8:$D$474,0))+INDEX('MASTER por modelo'!$AD$8:$AD$474,MATCH(K324,'MASTER por modelo'!$D$8:$D$474,0)),"")</f>
        <v>496</v>
      </c>
      <c r="V324" s="93"/>
    </row>
    <row r="325" spans="1:22" x14ac:dyDescent="0.25">
      <c r="A325" s="109" t="s">
        <v>63</v>
      </c>
      <c r="B325" s="109" t="s">
        <v>102</v>
      </c>
      <c r="C325" s="109" t="s">
        <v>103</v>
      </c>
      <c r="D325" s="103">
        <f t="shared" si="28"/>
        <v>229.38679245283021</v>
      </c>
      <c r="E325" s="110">
        <v>2.12</v>
      </c>
      <c r="F325" s="110">
        <f t="shared" si="29"/>
        <v>1.3766233766233766</v>
      </c>
      <c r="G325" s="110">
        <f t="shared" si="30"/>
        <v>2</v>
      </c>
      <c r="H325" s="110"/>
      <c r="I325" s="111">
        <v>800</v>
      </c>
      <c r="J325" s="109" t="str">
        <f t="shared" si="31"/>
        <v>26</v>
      </c>
      <c r="K325" s="109" t="s">
        <v>381</v>
      </c>
      <c r="L325" s="109" t="s">
        <v>744</v>
      </c>
      <c r="M325" s="111">
        <v>25</v>
      </c>
      <c r="N325" s="110">
        <v>516.29999999999995</v>
      </c>
      <c r="O325" s="105">
        <f t="shared" si="32"/>
        <v>486.29999999999995</v>
      </c>
      <c r="P325" s="112">
        <v>8.48E-2</v>
      </c>
      <c r="Q325" s="113">
        <v>2.65E-3</v>
      </c>
      <c r="R325" s="107">
        <f t="shared" si="33"/>
        <v>2.65</v>
      </c>
      <c r="S325" s="105">
        <f t="shared" si="34"/>
        <v>607.875</v>
      </c>
      <c r="T325" s="114">
        <f>IFERROR(INDEX('MASTER por modelo'!$AQ$8:$AQ$474,MATCH(K325,'MASTER por modelo'!$D$8:$D$474,0)),"")</f>
        <v>0.93125000000000002</v>
      </c>
      <c r="U325" s="115">
        <f>IFERROR(INDEX('MASTER por modelo'!$AC$8:$AC$474,MATCH(K325,'MASTER por modelo'!$D$8:$D$474,0))+INDEX('MASTER por modelo'!$AD$8:$AD$474,MATCH(K325,'MASTER por modelo'!$D$8:$D$474,0)),"")</f>
        <v>745</v>
      </c>
      <c r="V325" s="93"/>
    </row>
    <row r="326" spans="1:22" x14ac:dyDescent="0.25">
      <c r="A326" s="109" t="s">
        <v>63</v>
      </c>
      <c r="B326" s="109" t="s">
        <v>84</v>
      </c>
      <c r="C326" s="109" t="s">
        <v>87</v>
      </c>
      <c r="D326" s="103">
        <f t="shared" si="28"/>
        <v>170.84182689006792</v>
      </c>
      <c r="E326" s="110">
        <v>2.1120000000000001</v>
      </c>
      <c r="F326" s="110">
        <f t="shared" si="29"/>
        <v>1.3714285714285714</v>
      </c>
      <c r="G326" s="110">
        <f t="shared" si="30"/>
        <v>2</v>
      </c>
      <c r="H326" s="110"/>
      <c r="I326" s="111">
        <v>639</v>
      </c>
      <c r="J326" s="109" t="str">
        <f t="shared" si="31"/>
        <v>26</v>
      </c>
      <c r="K326" s="109" t="s">
        <v>382</v>
      </c>
      <c r="L326" s="109" t="s">
        <v>753</v>
      </c>
      <c r="M326" s="111">
        <v>22</v>
      </c>
      <c r="N326" s="110">
        <v>387.2</v>
      </c>
      <c r="O326" s="105">
        <f t="shared" si="32"/>
        <v>360.8</v>
      </c>
      <c r="P326" s="112">
        <v>9.6000000000000002E-2</v>
      </c>
      <c r="Q326" s="113">
        <v>3.3050000000000002E-3</v>
      </c>
      <c r="R326" s="107">
        <f t="shared" si="33"/>
        <v>3.3050000000000002</v>
      </c>
      <c r="S326" s="105">
        <f t="shared" si="34"/>
        <v>564.63223787167453</v>
      </c>
      <c r="T326" s="114">
        <f>IFERROR(INDEX('MASTER por modelo'!$AQ$8:$AQ$474,MATCH(K326,'MASTER por modelo'!$D$8:$D$474,0)),"")</f>
        <v>0.7699530516431925</v>
      </c>
      <c r="U326" s="115">
        <f>IFERROR(INDEX('MASTER por modelo'!$AC$8:$AC$474,MATCH(K326,'MASTER por modelo'!$D$8:$D$474,0))+INDEX('MASTER por modelo'!$AD$8:$AD$474,MATCH(K326,'MASTER por modelo'!$D$8:$D$474,0)),"")</f>
        <v>492</v>
      </c>
      <c r="V326" s="93"/>
    </row>
    <row r="327" spans="1:22" x14ac:dyDescent="0.25">
      <c r="A327" s="109" t="s">
        <v>63</v>
      </c>
      <c r="B327" s="109" t="s">
        <v>102</v>
      </c>
      <c r="C327" s="109" t="s">
        <v>132</v>
      </c>
      <c r="D327" s="103">
        <f t="shared" si="28"/>
        <v>162.22397420326294</v>
      </c>
      <c r="E327" s="110">
        <v>2.1120000000000001</v>
      </c>
      <c r="F327" s="110">
        <f t="shared" si="29"/>
        <v>1.3714285714285714</v>
      </c>
      <c r="G327" s="110">
        <f t="shared" si="30"/>
        <v>2</v>
      </c>
      <c r="H327" s="110"/>
      <c r="I327" s="111">
        <v>639</v>
      </c>
      <c r="J327" s="109" t="str">
        <f t="shared" si="31"/>
        <v>26</v>
      </c>
      <c r="K327" s="109" t="s">
        <v>244</v>
      </c>
      <c r="L327" s="109" t="s">
        <v>777</v>
      </c>
      <c r="M327" s="111">
        <v>22</v>
      </c>
      <c r="N327" s="110">
        <v>369</v>
      </c>
      <c r="O327" s="105">
        <f t="shared" si="32"/>
        <v>342.6</v>
      </c>
      <c r="P327" s="112">
        <v>9.6000000000000002E-2</v>
      </c>
      <c r="Q327" s="113">
        <v>3.3050000000000002E-3</v>
      </c>
      <c r="R327" s="107">
        <f t="shared" si="33"/>
        <v>3.3050000000000002</v>
      </c>
      <c r="S327" s="105">
        <f t="shared" si="34"/>
        <v>536.15023474178406</v>
      </c>
      <c r="T327" s="114">
        <f>IFERROR(INDEX('MASTER por modelo'!$AQ$8:$AQ$474,MATCH(K327,'MASTER por modelo'!$D$8:$D$474,0)),"")</f>
        <v>0.8069644208932627</v>
      </c>
      <c r="U327" s="115">
        <f>IFERROR(INDEX('MASTER por modelo'!$AC$8:$AC$474,MATCH(K327,'MASTER por modelo'!$D$8:$D$474,0))+INDEX('MASTER por modelo'!$AD$8:$AD$474,MATCH(K327,'MASTER por modelo'!$D$8:$D$474,0)),"")</f>
        <v>1066</v>
      </c>
      <c r="V327" s="93"/>
    </row>
    <row r="328" spans="1:22" x14ac:dyDescent="0.25">
      <c r="A328" s="109" t="s">
        <v>63</v>
      </c>
      <c r="B328" s="109" t="s">
        <v>102</v>
      </c>
      <c r="C328" s="109" t="s">
        <v>132</v>
      </c>
      <c r="D328" s="103">
        <f t="shared" ref="D328:D391" si="35">IFERROR((1/R328)*S328,0)</f>
        <v>246.05907690908887</v>
      </c>
      <c r="E328" s="110">
        <v>2.1120000000000001</v>
      </c>
      <c r="F328" s="110">
        <f t="shared" ref="F328:F391" si="36">E328/1.54</f>
        <v>1.3714285714285714</v>
      </c>
      <c r="G328" s="110">
        <f t="shared" ref="G328:G391" si="37">ROUNDUP(F328,0)</f>
        <v>2</v>
      </c>
      <c r="H328" s="110"/>
      <c r="I328" s="111">
        <v>844</v>
      </c>
      <c r="J328" s="109" t="str">
        <f t="shared" ref="J328:J391" si="38">LEFT(K328,2)</f>
        <v>26</v>
      </c>
      <c r="K328" s="109" t="s">
        <v>383</v>
      </c>
      <c r="L328" s="109" t="s">
        <v>777</v>
      </c>
      <c r="M328" s="111">
        <v>22</v>
      </c>
      <c r="N328" s="110">
        <v>546</v>
      </c>
      <c r="O328" s="105">
        <f t="shared" ref="O328:O391" si="39">N328-(M328*1.2)</f>
        <v>519.6</v>
      </c>
      <c r="P328" s="112">
        <v>9.6000000000000002E-2</v>
      </c>
      <c r="Q328" s="113">
        <v>2.5019999999999999E-3</v>
      </c>
      <c r="R328" s="107">
        <f t="shared" ref="R328:R391" si="40">Q328*1000</f>
        <v>2.5019999999999998</v>
      </c>
      <c r="S328" s="105">
        <f t="shared" ref="S328:S391" si="41">IFERROR((O328/I328)*1000,0)</f>
        <v>615.63981042654029</v>
      </c>
      <c r="T328" s="114">
        <f>IFERROR(INDEX('MASTER por modelo'!$AQ$8:$AQ$474,MATCH(K328,'MASTER por modelo'!$D$8:$D$474,0)),"")</f>
        <v>0.71208530805687209</v>
      </c>
      <c r="U328" s="115">
        <f>IFERROR(INDEX('MASTER por modelo'!$AC$8:$AC$474,MATCH(K328,'MASTER por modelo'!$D$8:$D$474,0))+INDEX('MASTER por modelo'!$AD$8:$AD$474,MATCH(K328,'MASTER por modelo'!$D$8:$D$474,0)),"")</f>
        <v>601</v>
      </c>
      <c r="V328" s="93"/>
    </row>
    <row r="329" spans="1:22" x14ac:dyDescent="0.25">
      <c r="A329" s="109" t="s">
        <v>63</v>
      </c>
      <c r="B329" s="109" t="s">
        <v>102</v>
      </c>
      <c r="C329" s="109" t="s">
        <v>132</v>
      </c>
      <c r="D329" s="103">
        <f t="shared" si="35"/>
        <v>281.9595144766991</v>
      </c>
      <c r="E329" s="110">
        <v>2.1120000000000001</v>
      </c>
      <c r="F329" s="110">
        <f t="shared" si="36"/>
        <v>1.3714285714285714</v>
      </c>
      <c r="G329" s="110">
        <f t="shared" si="37"/>
        <v>2</v>
      </c>
      <c r="H329" s="110"/>
      <c r="I329" s="111">
        <v>870</v>
      </c>
      <c r="J329" s="109" t="str">
        <f t="shared" si="38"/>
        <v>26</v>
      </c>
      <c r="K329" s="109" t="s">
        <v>384</v>
      </c>
      <c r="L329" s="109" t="s">
        <v>773</v>
      </c>
      <c r="M329" s="111">
        <v>22</v>
      </c>
      <c r="N329" s="110">
        <v>622</v>
      </c>
      <c r="O329" s="105">
        <f t="shared" si="39"/>
        <v>595.6</v>
      </c>
      <c r="P329" s="112">
        <v>9.6000000000000002E-2</v>
      </c>
      <c r="Q329" s="113">
        <v>2.428E-3</v>
      </c>
      <c r="R329" s="107">
        <f t="shared" si="40"/>
        <v>2.4279999999999999</v>
      </c>
      <c r="S329" s="105">
        <f t="shared" si="41"/>
        <v>684.59770114942535</v>
      </c>
      <c r="T329" s="114">
        <f>IFERROR(INDEX('MASTER por modelo'!$AQ$8:$AQ$474,MATCH(K329,'MASTER por modelo'!$D$8:$D$474,0)),"")</f>
        <v>0.65402298850574714</v>
      </c>
      <c r="U329" s="115">
        <f>IFERROR(INDEX('MASTER por modelo'!$AC$8:$AC$474,MATCH(K329,'MASTER por modelo'!$D$8:$D$474,0))+INDEX('MASTER por modelo'!$AD$8:$AD$474,MATCH(K329,'MASTER por modelo'!$D$8:$D$474,0)),"")</f>
        <v>569</v>
      </c>
      <c r="V329" s="93"/>
    </row>
    <row r="330" spans="1:22" x14ac:dyDescent="0.25">
      <c r="A330" s="109" t="s">
        <v>63</v>
      </c>
      <c r="B330" s="109" t="s">
        <v>263</v>
      </c>
      <c r="C330" s="109" t="s">
        <v>264</v>
      </c>
      <c r="D330" s="103">
        <f t="shared" si="35"/>
        <v>103.60613757455569</v>
      </c>
      <c r="E330" s="110">
        <v>2.1120000000000001</v>
      </c>
      <c r="F330" s="110">
        <f t="shared" si="36"/>
        <v>1.3714285714285714</v>
      </c>
      <c r="G330" s="110">
        <f t="shared" si="37"/>
        <v>2</v>
      </c>
      <c r="H330" s="110"/>
      <c r="I330" s="111">
        <v>1622</v>
      </c>
      <c r="J330" s="109" t="str">
        <f t="shared" si="38"/>
        <v>26</v>
      </c>
      <c r="K330" s="109" t="s">
        <v>385</v>
      </c>
      <c r="L330" s="109" t="s">
        <v>789</v>
      </c>
      <c r="M330" s="111">
        <v>22</v>
      </c>
      <c r="N330" s="110">
        <v>245.2</v>
      </c>
      <c r="O330" s="105">
        <f t="shared" si="39"/>
        <v>218.79999999999998</v>
      </c>
      <c r="P330" s="112">
        <v>9.6000000000000002E-2</v>
      </c>
      <c r="Q330" s="113">
        <v>1.302E-3</v>
      </c>
      <c r="R330" s="107">
        <f t="shared" si="40"/>
        <v>1.302</v>
      </c>
      <c r="S330" s="105">
        <f t="shared" si="41"/>
        <v>134.89519112207151</v>
      </c>
      <c r="T330" s="114">
        <f>IFERROR(INDEX('MASTER por modelo'!$AQ$8:$AQ$474,MATCH(K330,'MASTER por modelo'!$D$8:$D$474,0)),"")</f>
        <v>0.81874229346485816</v>
      </c>
      <c r="U330" s="115">
        <f>IFERROR(INDEX('MASTER por modelo'!$AC$8:$AC$474,MATCH(K330,'MASTER por modelo'!$D$8:$D$474,0))+INDEX('MASTER por modelo'!$AD$8:$AD$474,MATCH(K330,'MASTER por modelo'!$D$8:$D$474,0)),"")</f>
        <v>1328</v>
      </c>
      <c r="V330" s="93"/>
    </row>
    <row r="331" spans="1:22" x14ac:dyDescent="0.25">
      <c r="A331" s="109" t="s">
        <v>55</v>
      </c>
      <c r="B331" s="109" t="s">
        <v>255</v>
      </c>
      <c r="C331" s="109" t="s">
        <v>132</v>
      </c>
      <c r="D331" s="103">
        <f t="shared" si="35"/>
        <v>268.2067139246418</v>
      </c>
      <c r="E331" s="110">
        <v>2.09</v>
      </c>
      <c r="F331" s="110">
        <f t="shared" si="36"/>
        <v>1.357142857142857</v>
      </c>
      <c r="G331" s="110">
        <f t="shared" si="37"/>
        <v>2</v>
      </c>
      <c r="H331" s="110"/>
      <c r="I331" s="111">
        <v>919</v>
      </c>
      <c r="J331" s="109" t="str">
        <f t="shared" si="38"/>
        <v>26</v>
      </c>
      <c r="K331" s="109" t="s">
        <v>386</v>
      </c>
      <c r="L331" s="109" t="s">
        <v>787</v>
      </c>
      <c r="M331" s="111">
        <v>29</v>
      </c>
      <c r="N331" s="110">
        <v>595.29999999999995</v>
      </c>
      <c r="O331" s="105">
        <f t="shared" si="39"/>
        <v>560.5</v>
      </c>
      <c r="P331" s="112">
        <v>7.2099999999999997E-2</v>
      </c>
      <c r="Q331" s="113">
        <v>2.274E-3</v>
      </c>
      <c r="R331" s="107">
        <f t="shared" si="40"/>
        <v>2.274</v>
      </c>
      <c r="S331" s="105">
        <f t="shared" si="41"/>
        <v>609.90206746463548</v>
      </c>
      <c r="T331" s="114">
        <f>IFERROR(INDEX('MASTER por modelo'!$AQ$8:$AQ$474,MATCH(K331,'MASTER por modelo'!$D$8:$D$474,0)),"")</f>
        <v>0.91077257889009788</v>
      </c>
      <c r="U331" s="115">
        <f>IFERROR(INDEX('MASTER por modelo'!$AC$8:$AC$474,MATCH(K331,'MASTER por modelo'!$D$8:$D$474,0))+INDEX('MASTER por modelo'!$AD$8:$AD$474,MATCH(K331,'MASTER por modelo'!$D$8:$D$474,0)),"")</f>
        <v>837</v>
      </c>
      <c r="V331" s="93"/>
    </row>
    <row r="332" spans="1:22" x14ac:dyDescent="0.25">
      <c r="A332" s="109" t="s">
        <v>63</v>
      </c>
      <c r="B332" s="109" t="s">
        <v>171</v>
      </c>
      <c r="C332" s="109" t="s">
        <v>363</v>
      </c>
      <c r="D332" s="103">
        <f t="shared" si="35"/>
        <v>164.17910447761193</v>
      </c>
      <c r="E332" s="110">
        <v>2.0499999999999998</v>
      </c>
      <c r="F332" s="110">
        <f t="shared" si="36"/>
        <v>1.331168831168831</v>
      </c>
      <c r="G332" s="110">
        <f t="shared" si="37"/>
        <v>2</v>
      </c>
      <c r="H332" s="110"/>
      <c r="I332" s="111">
        <v>765</v>
      </c>
      <c r="J332" s="109" t="str">
        <f t="shared" si="38"/>
        <v>26</v>
      </c>
      <c r="K332" s="109" t="s">
        <v>387</v>
      </c>
      <c r="L332" s="109" t="s">
        <v>807</v>
      </c>
      <c r="M332" s="111">
        <v>20</v>
      </c>
      <c r="N332" s="110">
        <v>360.6</v>
      </c>
      <c r="O332" s="105">
        <f t="shared" si="39"/>
        <v>336.6</v>
      </c>
      <c r="P332" s="112">
        <v>0.10249999999999999</v>
      </c>
      <c r="Q332" s="113">
        <v>2.6800000000000001E-3</v>
      </c>
      <c r="R332" s="107">
        <f t="shared" si="40"/>
        <v>2.68</v>
      </c>
      <c r="S332" s="105">
        <f t="shared" si="41"/>
        <v>440</v>
      </c>
      <c r="T332" s="114">
        <f>IFERROR(INDEX('MASTER por modelo'!$AQ$8:$AQ$474,MATCH(K332,'MASTER por modelo'!$D$8:$D$474,0)),"")</f>
        <v>0.95163398692810452</v>
      </c>
      <c r="U332" s="115">
        <f>IFERROR(INDEX('MASTER por modelo'!$AC$8:$AC$474,MATCH(K332,'MASTER por modelo'!$D$8:$D$474,0))+INDEX('MASTER por modelo'!$AD$8:$AD$474,MATCH(K332,'MASTER por modelo'!$D$8:$D$474,0)),"")</f>
        <v>728</v>
      </c>
      <c r="V332" s="93"/>
    </row>
    <row r="333" spans="1:22" x14ac:dyDescent="0.25">
      <c r="A333" s="109" t="s">
        <v>63</v>
      </c>
      <c r="B333" s="109" t="s">
        <v>102</v>
      </c>
      <c r="C333" s="109" t="s">
        <v>132</v>
      </c>
      <c r="D333" s="103">
        <f t="shared" si="35"/>
        <v>257.82834921406499</v>
      </c>
      <c r="E333" s="110">
        <v>2.016</v>
      </c>
      <c r="F333" s="110">
        <f t="shared" si="36"/>
        <v>1.3090909090909091</v>
      </c>
      <c r="G333" s="110">
        <f t="shared" si="37"/>
        <v>2</v>
      </c>
      <c r="H333" s="110"/>
      <c r="I333" s="111">
        <v>830</v>
      </c>
      <c r="J333" s="109" t="str">
        <f t="shared" si="38"/>
        <v>26</v>
      </c>
      <c r="K333" s="109" t="s">
        <v>388</v>
      </c>
      <c r="L333" s="109" t="s">
        <v>777</v>
      </c>
      <c r="M333" s="111">
        <v>21</v>
      </c>
      <c r="N333" s="110">
        <v>545</v>
      </c>
      <c r="O333" s="105">
        <f t="shared" si="39"/>
        <v>519.79999999999995</v>
      </c>
      <c r="P333" s="112">
        <v>9.6000000000000002E-2</v>
      </c>
      <c r="Q333" s="113">
        <v>2.4290000000000002E-3</v>
      </c>
      <c r="R333" s="107">
        <f t="shared" si="40"/>
        <v>2.4290000000000003</v>
      </c>
      <c r="S333" s="105">
        <f t="shared" si="41"/>
        <v>626.26506024096386</v>
      </c>
      <c r="T333" s="114">
        <f>IFERROR(INDEX('MASTER por modelo'!$AQ$8:$AQ$474,MATCH(K333,'MASTER por modelo'!$D$8:$D$474,0)),"")</f>
        <v>0.77469879518072293</v>
      </c>
      <c r="U333" s="115">
        <f>IFERROR(INDEX('MASTER por modelo'!$AC$8:$AC$474,MATCH(K333,'MASTER por modelo'!$D$8:$D$474,0))+INDEX('MASTER por modelo'!$AD$8:$AD$474,MATCH(K333,'MASTER por modelo'!$D$8:$D$474,0)),"")</f>
        <v>643</v>
      </c>
      <c r="V333" s="93"/>
    </row>
    <row r="334" spans="1:22" x14ac:dyDescent="0.25">
      <c r="A334" s="109" t="s">
        <v>55</v>
      </c>
      <c r="B334" s="109" t="s">
        <v>314</v>
      </c>
      <c r="C334" s="109" t="s">
        <v>315</v>
      </c>
      <c r="D334" s="103">
        <f t="shared" si="35"/>
        <v>177.1603946332105</v>
      </c>
      <c r="E334" s="110">
        <v>2.016</v>
      </c>
      <c r="F334" s="110">
        <f t="shared" si="36"/>
        <v>1.3090909090909091</v>
      </c>
      <c r="G334" s="110">
        <f t="shared" si="37"/>
        <v>2</v>
      </c>
      <c r="H334" s="110"/>
      <c r="I334" s="111">
        <v>882</v>
      </c>
      <c r="J334" s="109" t="str">
        <f t="shared" si="38"/>
        <v>26</v>
      </c>
      <c r="K334" s="109" t="s">
        <v>389</v>
      </c>
      <c r="L334" s="109" t="s">
        <v>808</v>
      </c>
      <c r="M334" s="111">
        <v>28</v>
      </c>
      <c r="N334" s="110">
        <v>390.8</v>
      </c>
      <c r="O334" s="105">
        <f t="shared" si="39"/>
        <v>357.2</v>
      </c>
      <c r="P334" s="112">
        <v>7.1999999999999995E-2</v>
      </c>
      <c r="Q334" s="113">
        <v>2.2859999999999998E-3</v>
      </c>
      <c r="R334" s="107">
        <f t="shared" si="40"/>
        <v>2.286</v>
      </c>
      <c r="S334" s="105">
        <f t="shared" si="41"/>
        <v>404.98866213151922</v>
      </c>
      <c r="T334" s="114">
        <f>IFERROR(INDEX('MASTER por modelo'!$AQ$8:$AQ$474,MATCH(K334,'MASTER por modelo'!$D$8:$D$474,0)),"")</f>
        <v>0.76793981481481477</v>
      </c>
      <c r="U334" s="115">
        <f>IFERROR(INDEX('MASTER por modelo'!$AC$8:$AC$474,MATCH(K334,'MASTER por modelo'!$D$8:$D$474,0))+INDEX('MASTER por modelo'!$AD$8:$AD$474,MATCH(K334,'MASTER por modelo'!$D$8:$D$474,0)),"")</f>
        <v>1327</v>
      </c>
      <c r="V334" s="93"/>
    </row>
    <row r="335" spans="1:22" x14ac:dyDescent="0.25">
      <c r="A335" s="109" t="s">
        <v>55</v>
      </c>
      <c r="B335" s="109" t="s">
        <v>99</v>
      </c>
      <c r="C335" s="109" t="s">
        <v>100</v>
      </c>
      <c r="D335" s="103">
        <f t="shared" si="35"/>
        <v>97.860073486814443</v>
      </c>
      <c r="E335" s="110">
        <v>2.016</v>
      </c>
      <c r="F335" s="110">
        <f t="shared" si="36"/>
        <v>1.3090909090909091</v>
      </c>
      <c r="G335" s="110">
        <f t="shared" si="37"/>
        <v>2</v>
      </c>
      <c r="H335" s="110"/>
      <c r="I335" s="111">
        <v>702</v>
      </c>
      <c r="J335" s="109" t="str">
        <f t="shared" si="38"/>
        <v>26</v>
      </c>
      <c r="K335" s="109" t="s">
        <v>390</v>
      </c>
      <c r="L335" s="109" t="s">
        <v>768</v>
      </c>
      <c r="M335" s="111">
        <v>21</v>
      </c>
      <c r="N335" s="110">
        <v>222.5</v>
      </c>
      <c r="O335" s="105">
        <f t="shared" si="39"/>
        <v>197.3</v>
      </c>
      <c r="P335" s="112">
        <v>9.6000000000000002E-2</v>
      </c>
      <c r="Q335" s="113">
        <v>2.872E-3</v>
      </c>
      <c r="R335" s="107">
        <f t="shared" si="40"/>
        <v>2.8719999999999999</v>
      </c>
      <c r="S335" s="105">
        <f t="shared" si="41"/>
        <v>281.05413105413106</v>
      </c>
      <c r="T335" s="114">
        <f>IFERROR(INDEX('MASTER por modelo'!$AQ$8:$AQ$474,MATCH(K335,'MASTER por modelo'!$D$8:$D$474,0)),"")</f>
        <v>3.1339031339031341E-2</v>
      </c>
      <c r="U335" s="115">
        <f>IFERROR(INDEX('MASTER por modelo'!$AC$8:$AC$474,MATCH(K335,'MASTER por modelo'!$D$8:$D$474,0))+INDEX('MASTER por modelo'!$AD$8:$AD$474,MATCH(K335,'MASTER por modelo'!$D$8:$D$474,0)),"")</f>
        <v>22</v>
      </c>
      <c r="V335" s="93"/>
    </row>
    <row r="336" spans="1:22" x14ac:dyDescent="0.25">
      <c r="A336" s="109" t="s">
        <v>55</v>
      </c>
      <c r="B336" s="109" t="s">
        <v>99</v>
      </c>
      <c r="C336" s="109" t="s">
        <v>100</v>
      </c>
      <c r="D336" s="103">
        <f t="shared" si="35"/>
        <v>133.00234056338226</v>
      </c>
      <c r="E336" s="110">
        <v>2.016</v>
      </c>
      <c r="F336" s="110">
        <f t="shared" si="36"/>
        <v>1.3090909090909091</v>
      </c>
      <c r="G336" s="110">
        <f t="shared" si="37"/>
        <v>2</v>
      </c>
      <c r="H336" s="110"/>
      <c r="I336" s="111">
        <v>559</v>
      </c>
      <c r="J336" s="109" t="str">
        <f t="shared" si="38"/>
        <v>26</v>
      </c>
      <c r="K336" s="109" t="s">
        <v>391</v>
      </c>
      <c r="L336" s="109" t="s">
        <v>768</v>
      </c>
      <c r="M336" s="111">
        <v>21</v>
      </c>
      <c r="N336" s="110">
        <v>293.3</v>
      </c>
      <c r="O336" s="105">
        <f t="shared" si="39"/>
        <v>268.10000000000002</v>
      </c>
      <c r="P336" s="112">
        <v>9.6000000000000002E-2</v>
      </c>
      <c r="Q336" s="113">
        <v>3.6059999999999998E-3</v>
      </c>
      <c r="R336" s="107">
        <f t="shared" si="40"/>
        <v>3.6059999999999999</v>
      </c>
      <c r="S336" s="105">
        <f t="shared" si="41"/>
        <v>479.60644007155639</v>
      </c>
      <c r="T336" s="114">
        <f>IFERROR(INDEX('MASTER por modelo'!$AQ$8:$AQ$474,MATCH(K336,'MASTER por modelo'!$D$8:$D$474,0)),"")</f>
        <v>6.4400715563506267E-2</v>
      </c>
      <c r="U336" s="115">
        <f>IFERROR(INDEX('MASTER por modelo'!$AC$8:$AC$474,MATCH(K336,'MASTER por modelo'!$D$8:$D$474,0))+INDEX('MASTER por modelo'!$AD$8:$AD$474,MATCH(K336,'MASTER por modelo'!$D$8:$D$474,0)),"")</f>
        <v>36</v>
      </c>
      <c r="V336" s="93"/>
    </row>
    <row r="337" spans="1:22" x14ac:dyDescent="0.25">
      <c r="A337" s="109" t="s">
        <v>55</v>
      </c>
      <c r="B337" s="109" t="s">
        <v>255</v>
      </c>
      <c r="C337" s="109" t="s">
        <v>347</v>
      </c>
      <c r="D337" s="103">
        <f t="shared" si="35"/>
        <v>276.03623104376845</v>
      </c>
      <c r="E337" s="110">
        <v>1.94</v>
      </c>
      <c r="F337" s="110">
        <f t="shared" si="36"/>
        <v>1.2597402597402596</v>
      </c>
      <c r="G337" s="110">
        <f t="shared" si="37"/>
        <v>2</v>
      </c>
      <c r="H337" s="110"/>
      <c r="I337" s="111">
        <v>1025</v>
      </c>
      <c r="J337" s="109" t="str">
        <f t="shared" si="38"/>
        <v>26</v>
      </c>
      <c r="K337" s="109" t="s">
        <v>392</v>
      </c>
      <c r="L337" s="109" t="s">
        <v>806</v>
      </c>
      <c r="M337" s="111">
        <v>27</v>
      </c>
      <c r="N337" s="110">
        <v>568</v>
      </c>
      <c r="O337" s="105">
        <f t="shared" si="39"/>
        <v>535.6</v>
      </c>
      <c r="P337" s="112">
        <v>7.1900000000000006E-2</v>
      </c>
      <c r="Q337" s="113">
        <v>1.8929999999999999E-3</v>
      </c>
      <c r="R337" s="107">
        <f t="shared" si="40"/>
        <v>1.893</v>
      </c>
      <c r="S337" s="105">
        <f t="shared" si="41"/>
        <v>522.53658536585363</v>
      </c>
      <c r="T337" s="114">
        <f>IFERROR(INDEX('MASTER por modelo'!$AQ$8:$AQ$474,MATCH(K337,'MASTER por modelo'!$D$8:$D$474,0)),"")</f>
        <v>0.39512195121951221</v>
      </c>
      <c r="U337" s="115">
        <f>IFERROR(INDEX('MASTER por modelo'!$AC$8:$AC$474,MATCH(K337,'MASTER por modelo'!$D$8:$D$474,0))+INDEX('MASTER por modelo'!$AD$8:$AD$474,MATCH(K337,'MASTER por modelo'!$D$8:$D$474,0)),"")</f>
        <v>405</v>
      </c>
      <c r="V337" s="93"/>
    </row>
    <row r="338" spans="1:22" x14ac:dyDescent="0.25">
      <c r="A338" s="109" t="s">
        <v>63</v>
      </c>
      <c r="B338" s="109" t="s">
        <v>110</v>
      </c>
      <c r="C338" s="109" t="s">
        <v>395</v>
      </c>
      <c r="D338" s="103">
        <f t="shared" si="35"/>
        <v>143.75224612884574</v>
      </c>
      <c r="E338" s="110">
        <v>1.92</v>
      </c>
      <c r="F338" s="110">
        <f t="shared" si="36"/>
        <v>1.2467532467532467</v>
      </c>
      <c r="G338" s="110">
        <f t="shared" si="37"/>
        <v>2</v>
      </c>
      <c r="H338" s="110"/>
      <c r="I338" s="111">
        <v>702</v>
      </c>
      <c r="J338" s="109" t="str">
        <f t="shared" si="38"/>
        <v>26</v>
      </c>
      <c r="K338" s="109" t="s">
        <v>396</v>
      </c>
      <c r="L338" s="109" t="s">
        <v>753</v>
      </c>
      <c r="M338" s="111">
        <v>20</v>
      </c>
      <c r="N338" s="110">
        <v>300</v>
      </c>
      <c r="O338" s="105">
        <f t="shared" si="39"/>
        <v>276</v>
      </c>
      <c r="P338" s="112">
        <v>9.6000000000000002E-2</v>
      </c>
      <c r="Q338" s="113">
        <v>2.735E-3</v>
      </c>
      <c r="R338" s="107">
        <f t="shared" si="40"/>
        <v>2.7349999999999999</v>
      </c>
      <c r="S338" s="105">
        <f t="shared" si="41"/>
        <v>393.16239316239313</v>
      </c>
      <c r="T338" s="114">
        <f>IFERROR(INDEX('MASTER por modelo'!$AQ$8:$AQ$474,MATCH(K338,'MASTER por modelo'!$D$8:$D$474,0)),"")</f>
        <v>0.57122507122507127</v>
      </c>
      <c r="U338" s="115">
        <f>IFERROR(INDEX('MASTER por modelo'!$AC$8:$AC$474,MATCH(K338,'MASTER por modelo'!$D$8:$D$474,0))+INDEX('MASTER por modelo'!$AD$8:$AD$474,MATCH(K338,'MASTER por modelo'!$D$8:$D$474,0)),"")</f>
        <v>401</v>
      </c>
      <c r="V338" s="93"/>
    </row>
    <row r="339" spans="1:22" x14ac:dyDescent="0.25">
      <c r="A339" s="109" t="s">
        <v>55</v>
      </c>
      <c r="B339" s="109" t="s">
        <v>255</v>
      </c>
      <c r="C339" s="109" t="s">
        <v>132</v>
      </c>
      <c r="D339" s="103">
        <f t="shared" si="35"/>
        <v>245.34316789598699</v>
      </c>
      <c r="E339" s="110">
        <v>1.92</v>
      </c>
      <c r="F339" s="110">
        <f t="shared" si="36"/>
        <v>1.2467532467532467</v>
      </c>
      <c r="G339" s="110">
        <f t="shared" si="37"/>
        <v>2</v>
      </c>
      <c r="H339" s="110"/>
      <c r="I339" s="111">
        <v>912</v>
      </c>
      <c r="J339" s="109" t="str">
        <f t="shared" si="38"/>
        <v>26</v>
      </c>
      <c r="K339" s="109" t="s">
        <v>397</v>
      </c>
      <c r="L339" s="109" t="s">
        <v>777</v>
      </c>
      <c r="M339" s="111">
        <v>20</v>
      </c>
      <c r="N339" s="110">
        <v>495</v>
      </c>
      <c r="O339" s="105">
        <f t="shared" si="39"/>
        <v>471</v>
      </c>
      <c r="P339" s="112">
        <v>9.6000000000000002E-2</v>
      </c>
      <c r="Q339" s="113">
        <v>2.1050000000000001E-3</v>
      </c>
      <c r="R339" s="107">
        <f t="shared" si="40"/>
        <v>2.105</v>
      </c>
      <c r="S339" s="105">
        <f t="shared" si="41"/>
        <v>516.4473684210526</v>
      </c>
      <c r="T339" s="114">
        <f>IFERROR(INDEX('MASTER por modelo'!$AQ$8:$AQ$474,MATCH(K339,'MASTER por modelo'!$D$8:$D$474,0)),"")</f>
        <v>0.63706140350877194</v>
      </c>
      <c r="U339" s="115">
        <f>IFERROR(INDEX('MASTER por modelo'!$AC$8:$AC$474,MATCH(K339,'MASTER por modelo'!$D$8:$D$474,0))+INDEX('MASTER por modelo'!$AD$8:$AD$474,MATCH(K339,'MASTER por modelo'!$D$8:$D$474,0)),"")</f>
        <v>581</v>
      </c>
      <c r="V339" s="93"/>
    </row>
    <row r="340" spans="1:22" x14ac:dyDescent="0.25">
      <c r="A340" s="109" t="s">
        <v>63</v>
      </c>
      <c r="B340" s="109" t="s">
        <v>102</v>
      </c>
      <c r="C340" s="109" t="s">
        <v>103</v>
      </c>
      <c r="D340" s="103">
        <f t="shared" si="35"/>
        <v>194.47947054083937</v>
      </c>
      <c r="E340" s="110">
        <v>1.92</v>
      </c>
      <c r="F340" s="110">
        <f t="shared" si="36"/>
        <v>1.2467532467532467</v>
      </c>
      <c r="G340" s="110">
        <f t="shared" si="37"/>
        <v>2</v>
      </c>
      <c r="H340" s="110"/>
      <c r="I340" s="111">
        <v>799</v>
      </c>
      <c r="J340" s="109" t="str">
        <f t="shared" si="38"/>
        <v>26</v>
      </c>
      <c r="K340" s="109" t="s">
        <v>398</v>
      </c>
      <c r="L340" s="109" t="s">
        <v>730</v>
      </c>
      <c r="M340" s="111">
        <v>20</v>
      </c>
      <c r="N340" s="110">
        <v>397.4</v>
      </c>
      <c r="O340" s="105">
        <f t="shared" si="39"/>
        <v>373.4</v>
      </c>
      <c r="P340" s="112">
        <v>9.6000000000000002E-2</v>
      </c>
      <c r="Q340" s="113">
        <v>2.4030000000000002E-3</v>
      </c>
      <c r="R340" s="107">
        <f t="shared" si="40"/>
        <v>2.403</v>
      </c>
      <c r="S340" s="105">
        <f t="shared" si="41"/>
        <v>467.33416770963703</v>
      </c>
      <c r="T340" s="114">
        <f>IFERROR(INDEX('MASTER por modelo'!$AQ$8:$AQ$474,MATCH(K340,'MASTER por modelo'!$D$8:$D$474,0)),"")</f>
        <v>0.40425531914893614</v>
      </c>
      <c r="U340" s="115">
        <f>IFERROR(INDEX('MASTER por modelo'!$AC$8:$AC$474,MATCH(K340,'MASTER por modelo'!$D$8:$D$474,0))+INDEX('MASTER por modelo'!$AD$8:$AD$474,MATCH(K340,'MASTER por modelo'!$D$8:$D$474,0)),"")</f>
        <v>323</v>
      </c>
      <c r="V340" s="93"/>
    </row>
    <row r="341" spans="1:22" x14ac:dyDescent="0.25">
      <c r="A341" s="109" t="s">
        <v>55</v>
      </c>
      <c r="B341" s="109" t="s">
        <v>314</v>
      </c>
      <c r="C341" s="109" t="s">
        <v>315</v>
      </c>
      <c r="D341" s="103">
        <f t="shared" si="35"/>
        <v>188.17182763823794</v>
      </c>
      <c r="E341" s="110">
        <v>1.8720000000000001</v>
      </c>
      <c r="F341" s="110">
        <f t="shared" si="36"/>
        <v>1.2155844155844155</v>
      </c>
      <c r="G341" s="110">
        <f t="shared" si="37"/>
        <v>2</v>
      </c>
      <c r="H341" s="110"/>
      <c r="I341" s="111">
        <v>785</v>
      </c>
      <c r="J341" s="109" t="str">
        <f t="shared" si="38"/>
        <v>26</v>
      </c>
      <c r="K341" s="109" t="s">
        <v>399</v>
      </c>
      <c r="L341" s="109" t="s">
        <v>804</v>
      </c>
      <c r="M341" s="111">
        <v>26</v>
      </c>
      <c r="N341" s="110">
        <v>383.5</v>
      </c>
      <c r="O341" s="105">
        <f t="shared" si="39"/>
        <v>352.3</v>
      </c>
      <c r="P341" s="112">
        <v>7.1999999999999995E-2</v>
      </c>
      <c r="Q341" s="113">
        <v>2.385E-3</v>
      </c>
      <c r="R341" s="107">
        <f t="shared" si="40"/>
        <v>2.3849999999999998</v>
      </c>
      <c r="S341" s="105">
        <f t="shared" si="41"/>
        <v>448.78980891719743</v>
      </c>
      <c r="T341" s="114">
        <f>IFERROR(INDEX('MASTER por modelo'!$AQ$8:$AQ$474,MATCH(K341,'MASTER por modelo'!$D$8:$D$474,0)),"")</f>
        <v>0.69490358126721763</v>
      </c>
      <c r="U341" s="115">
        <f>IFERROR(INDEX('MASTER por modelo'!$AC$8:$AC$474,MATCH(K341,'MASTER por modelo'!$D$8:$D$474,0))+INDEX('MASTER por modelo'!$AD$8:$AD$474,MATCH(K341,'MASTER por modelo'!$D$8:$D$474,0)),"")</f>
        <v>1009</v>
      </c>
      <c r="V341" s="93"/>
    </row>
    <row r="342" spans="1:22" x14ac:dyDescent="0.25">
      <c r="A342" s="109" t="s">
        <v>63</v>
      </c>
      <c r="B342" s="109" t="s">
        <v>263</v>
      </c>
      <c r="C342" s="109" t="s">
        <v>264</v>
      </c>
      <c r="D342" s="103">
        <f t="shared" si="35"/>
        <v>205.26121746877294</v>
      </c>
      <c r="E342" s="110">
        <v>1.85</v>
      </c>
      <c r="F342" s="110">
        <f t="shared" si="36"/>
        <v>1.2012987012987013</v>
      </c>
      <c r="G342" s="110">
        <f t="shared" si="37"/>
        <v>2</v>
      </c>
      <c r="H342" s="110"/>
      <c r="I342" s="111">
        <v>697</v>
      </c>
      <c r="J342" s="109" t="str">
        <f t="shared" si="38"/>
        <v>26</v>
      </c>
      <c r="K342" s="109" t="s">
        <v>400</v>
      </c>
      <c r="L342" s="109" t="s">
        <v>783</v>
      </c>
      <c r="M342" s="111">
        <v>18</v>
      </c>
      <c r="N342" s="110">
        <v>401.3</v>
      </c>
      <c r="O342" s="105">
        <f t="shared" si="39"/>
        <v>379.7</v>
      </c>
      <c r="P342" s="112">
        <v>0.1028</v>
      </c>
      <c r="Q342" s="113">
        <v>2.6540000000000001E-3</v>
      </c>
      <c r="R342" s="107">
        <f t="shared" si="40"/>
        <v>2.6539999999999999</v>
      </c>
      <c r="S342" s="105">
        <f t="shared" si="41"/>
        <v>544.76327116212337</v>
      </c>
      <c r="T342" s="114">
        <f>IFERROR(INDEX('MASTER por modelo'!$AQ$8:$AQ$474,MATCH(K342,'MASTER por modelo'!$D$8:$D$474,0)),"")</f>
        <v>0.86083213773314204</v>
      </c>
      <c r="U342" s="115">
        <f>IFERROR(INDEX('MASTER por modelo'!$AC$8:$AC$474,MATCH(K342,'MASTER por modelo'!$D$8:$D$474,0))+INDEX('MASTER por modelo'!$AD$8:$AD$474,MATCH(K342,'MASTER por modelo'!$D$8:$D$474,0)),"")</f>
        <v>600</v>
      </c>
      <c r="V342" s="93"/>
    </row>
    <row r="343" spans="1:22" x14ac:dyDescent="0.25">
      <c r="A343" s="109" t="s">
        <v>63</v>
      </c>
      <c r="B343" s="109" t="s">
        <v>102</v>
      </c>
      <c r="C343" s="109" t="s">
        <v>132</v>
      </c>
      <c r="D343" s="103">
        <f t="shared" si="35"/>
        <v>256.02735575466386</v>
      </c>
      <c r="E343" s="110">
        <v>1.8485</v>
      </c>
      <c r="F343" s="110">
        <f t="shared" si="36"/>
        <v>1.2003246753246752</v>
      </c>
      <c r="G343" s="110">
        <f t="shared" si="37"/>
        <v>2</v>
      </c>
      <c r="H343" s="110"/>
      <c r="I343" s="111">
        <v>755</v>
      </c>
      <c r="J343" s="109" t="str">
        <f t="shared" si="38"/>
        <v>26</v>
      </c>
      <c r="K343" s="109" t="s">
        <v>333</v>
      </c>
      <c r="L343" s="109" t="s">
        <v>790</v>
      </c>
      <c r="M343" s="111">
        <v>19</v>
      </c>
      <c r="N343" s="110">
        <v>496</v>
      </c>
      <c r="O343" s="105">
        <f t="shared" si="39"/>
        <v>473.2</v>
      </c>
      <c r="P343" s="112">
        <v>9.7299999999999998E-2</v>
      </c>
      <c r="Q343" s="113">
        <v>2.4480000000000001E-3</v>
      </c>
      <c r="R343" s="107">
        <f t="shared" si="40"/>
        <v>2.448</v>
      </c>
      <c r="S343" s="105">
        <f t="shared" si="41"/>
        <v>626.75496688741714</v>
      </c>
      <c r="T343" s="114">
        <f>IFERROR(INDEX('MASTER por modelo'!$AQ$8:$AQ$474,MATCH(K343,'MASTER por modelo'!$D$8:$D$474,0)),"")</f>
        <v>0.6347305389221557</v>
      </c>
      <c r="U343" s="115">
        <f>IFERROR(INDEX('MASTER por modelo'!$AC$8:$AC$474,MATCH(K343,'MASTER por modelo'!$D$8:$D$474,0))+INDEX('MASTER por modelo'!$AD$8:$AD$474,MATCH(K343,'MASTER por modelo'!$D$8:$D$474,0)),"")</f>
        <v>636</v>
      </c>
      <c r="V343" s="93"/>
    </row>
    <row r="344" spans="1:22" x14ac:dyDescent="0.25">
      <c r="A344" s="109" t="s">
        <v>55</v>
      </c>
      <c r="B344" s="109" t="s">
        <v>255</v>
      </c>
      <c r="C344" s="109" t="s">
        <v>132</v>
      </c>
      <c r="D344" s="103">
        <f t="shared" si="35"/>
        <v>243.25884390203674</v>
      </c>
      <c r="E344" s="110">
        <v>1.8431999999999999</v>
      </c>
      <c r="F344" s="110">
        <f t="shared" si="36"/>
        <v>1.1968831168831169</v>
      </c>
      <c r="G344" s="110">
        <f t="shared" si="37"/>
        <v>2</v>
      </c>
      <c r="H344" s="110"/>
      <c r="I344" s="111">
        <v>724</v>
      </c>
      <c r="J344" s="109" t="str">
        <f t="shared" si="38"/>
        <v>26</v>
      </c>
      <c r="K344" s="109" t="s">
        <v>256</v>
      </c>
      <c r="L344" s="109" t="s">
        <v>791</v>
      </c>
      <c r="M344" s="111">
        <v>24</v>
      </c>
      <c r="N344" s="110">
        <v>477.2</v>
      </c>
      <c r="O344" s="105">
        <f t="shared" si="39"/>
        <v>448.4</v>
      </c>
      <c r="P344" s="112">
        <v>7.6799999999999993E-2</v>
      </c>
      <c r="Q344" s="113">
        <v>2.5460000000000001E-3</v>
      </c>
      <c r="R344" s="107">
        <f t="shared" si="40"/>
        <v>2.5460000000000003</v>
      </c>
      <c r="S344" s="105">
        <f t="shared" si="41"/>
        <v>619.33701657458562</v>
      </c>
      <c r="T344" s="114">
        <f>IFERROR(INDEX('MASTER por modelo'!$AQ$8:$AQ$474,MATCH(K344,'MASTER por modelo'!$D$8:$D$474,0)),"")</f>
        <v>0.98933500627352577</v>
      </c>
      <c r="U344" s="115">
        <f>IFERROR(INDEX('MASTER por modelo'!$AC$8:$AC$474,MATCH(K344,'MASTER por modelo'!$D$8:$D$474,0))+INDEX('MASTER por modelo'!$AD$8:$AD$474,MATCH(K344,'MASTER por modelo'!$D$8:$D$474,0)),"")</f>
        <v>1577</v>
      </c>
      <c r="V344" s="93"/>
    </row>
    <row r="345" spans="1:22" x14ac:dyDescent="0.25">
      <c r="A345" s="109" t="s">
        <v>55</v>
      </c>
      <c r="B345" s="109" t="s">
        <v>93</v>
      </c>
      <c r="C345" s="109" t="s">
        <v>87</v>
      </c>
      <c r="D345" s="103">
        <f t="shared" si="35"/>
        <v>129.86087509455885</v>
      </c>
      <c r="E345" s="110">
        <v>1.8240000000000001</v>
      </c>
      <c r="F345" s="110">
        <f t="shared" si="36"/>
        <v>1.1844155844155844</v>
      </c>
      <c r="G345" s="110">
        <f t="shared" si="37"/>
        <v>2</v>
      </c>
      <c r="H345" s="110"/>
      <c r="I345" s="111">
        <v>530</v>
      </c>
      <c r="J345" s="109" t="str">
        <f t="shared" si="38"/>
        <v>26</v>
      </c>
      <c r="K345" s="109" t="s">
        <v>234</v>
      </c>
      <c r="L345" s="109" t="s">
        <v>795</v>
      </c>
      <c r="M345" s="111">
        <v>19</v>
      </c>
      <c r="N345" s="110">
        <v>259.7</v>
      </c>
      <c r="O345" s="105">
        <f t="shared" si="39"/>
        <v>236.89999999999998</v>
      </c>
      <c r="P345" s="112">
        <v>9.6000000000000002E-2</v>
      </c>
      <c r="Q345" s="113">
        <v>3.4420000000000002E-3</v>
      </c>
      <c r="R345" s="107">
        <f t="shared" si="40"/>
        <v>3.4420000000000002</v>
      </c>
      <c r="S345" s="105">
        <f t="shared" si="41"/>
        <v>446.98113207547163</v>
      </c>
      <c r="T345" s="114">
        <f>IFERROR(INDEX('MASTER por modelo'!$AQ$8:$AQ$474,MATCH(K345,'MASTER por modelo'!$D$8:$D$474,0)),"")</f>
        <v>0.97971014492753628</v>
      </c>
      <c r="U345" s="115">
        <f>IFERROR(INDEX('MASTER por modelo'!$AC$8:$AC$474,MATCH(K345,'MASTER por modelo'!$D$8:$D$474,0))+INDEX('MASTER por modelo'!$AD$8:$AD$474,MATCH(K345,'MASTER por modelo'!$D$8:$D$474,0)),"")</f>
        <v>1352</v>
      </c>
      <c r="V345" s="93"/>
    </row>
    <row r="346" spans="1:22" x14ac:dyDescent="0.25">
      <c r="A346" s="109" t="s">
        <v>63</v>
      </c>
      <c r="B346" s="109" t="s">
        <v>84</v>
      </c>
      <c r="C346" s="109" t="s">
        <v>87</v>
      </c>
      <c r="D346" s="103">
        <f t="shared" si="35"/>
        <v>182.26468669659644</v>
      </c>
      <c r="E346" s="110">
        <v>1.8240000000000001</v>
      </c>
      <c r="F346" s="110">
        <f t="shared" si="36"/>
        <v>1.1844155844155844</v>
      </c>
      <c r="G346" s="110">
        <f t="shared" si="37"/>
        <v>2</v>
      </c>
      <c r="H346" s="110"/>
      <c r="I346" s="111">
        <v>730</v>
      </c>
      <c r="J346" s="109" t="str">
        <f t="shared" si="38"/>
        <v>26</v>
      </c>
      <c r="K346" s="109" t="s">
        <v>401</v>
      </c>
      <c r="L346" s="109" t="s">
        <v>753</v>
      </c>
      <c r="M346" s="111">
        <v>19</v>
      </c>
      <c r="N346" s="110">
        <v>355.3</v>
      </c>
      <c r="O346" s="105">
        <f t="shared" si="39"/>
        <v>332.5</v>
      </c>
      <c r="P346" s="112">
        <v>9.6000000000000002E-2</v>
      </c>
      <c r="Q346" s="113">
        <v>2.4989999999999999E-3</v>
      </c>
      <c r="R346" s="107">
        <f t="shared" si="40"/>
        <v>2.4990000000000001</v>
      </c>
      <c r="S346" s="105">
        <f t="shared" si="41"/>
        <v>455.47945205479454</v>
      </c>
      <c r="T346" s="114">
        <f>IFERROR(INDEX('MASTER por modelo'!$AQ$8:$AQ$474,MATCH(K346,'MASTER por modelo'!$D$8:$D$474,0)),"")</f>
        <v>0.96027397260273972</v>
      </c>
      <c r="U346" s="115">
        <f>IFERROR(INDEX('MASTER por modelo'!$AC$8:$AC$474,MATCH(K346,'MASTER por modelo'!$D$8:$D$474,0))+INDEX('MASTER por modelo'!$AD$8:$AD$474,MATCH(K346,'MASTER por modelo'!$D$8:$D$474,0)),"")</f>
        <v>701</v>
      </c>
      <c r="V346" s="93"/>
    </row>
    <row r="347" spans="1:22" x14ac:dyDescent="0.25">
      <c r="A347" s="109" t="s">
        <v>55</v>
      </c>
      <c r="B347" s="109" t="s">
        <v>255</v>
      </c>
      <c r="C347" s="109" t="s">
        <v>132</v>
      </c>
      <c r="D347" s="103">
        <f t="shared" si="35"/>
        <v>184.89923759223026</v>
      </c>
      <c r="E347" s="110">
        <v>1.8240000000000001</v>
      </c>
      <c r="F347" s="110">
        <f t="shared" si="36"/>
        <v>1.1844155844155844</v>
      </c>
      <c r="G347" s="110">
        <f t="shared" si="37"/>
        <v>2</v>
      </c>
      <c r="H347" s="110"/>
      <c r="I347" s="111">
        <v>857</v>
      </c>
      <c r="J347" s="109" t="str">
        <f t="shared" si="38"/>
        <v>26</v>
      </c>
      <c r="K347" s="109" t="s">
        <v>402</v>
      </c>
      <c r="L347" s="109" t="s">
        <v>777</v>
      </c>
      <c r="M347" s="111">
        <v>19</v>
      </c>
      <c r="N347" s="110">
        <v>360</v>
      </c>
      <c r="O347" s="105">
        <f t="shared" si="39"/>
        <v>337.2</v>
      </c>
      <c r="P347" s="112">
        <v>9.6000000000000002E-2</v>
      </c>
      <c r="Q347" s="113">
        <v>2.1280000000000001E-3</v>
      </c>
      <c r="R347" s="107">
        <f t="shared" si="40"/>
        <v>2.1280000000000001</v>
      </c>
      <c r="S347" s="105">
        <f t="shared" si="41"/>
        <v>393.46557759626603</v>
      </c>
      <c r="T347" s="114">
        <f>IFERROR(INDEX('MASTER por modelo'!$AQ$8:$AQ$474,MATCH(K347,'MASTER por modelo'!$D$8:$D$474,0)),"")</f>
        <v>0.67094515752625439</v>
      </c>
      <c r="U347" s="115">
        <f>IFERROR(INDEX('MASTER por modelo'!$AC$8:$AC$474,MATCH(K347,'MASTER por modelo'!$D$8:$D$474,0))+INDEX('MASTER por modelo'!$AD$8:$AD$474,MATCH(K347,'MASTER por modelo'!$D$8:$D$474,0)),"")</f>
        <v>575</v>
      </c>
      <c r="V347" s="93"/>
    </row>
    <row r="348" spans="1:22" x14ac:dyDescent="0.25">
      <c r="A348" s="109" t="s">
        <v>63</v>
      </c>
      <c r="B348" s="109" t="s">
        <v>102</v>
      </c>
      <c r="C348" s="109" t="s">
        <v>132</v>
      </c>
      <c r="D348" s="103">
        <f t="shared" si="35"/>
        <v>249.56140350877192</v>
      </c>
      <c r="E348" s="110">
        <v>1.8240000000000001</v>
      </c>
      <c r="F348" s="110">
        <f t="shared" si="36"/>
        <v>1.1844155844155844</v>
      </c>
      <c r="G348" s="110">
        <f t="shared" si="37"/>
        <v>2</v>
      </c>
      <c r="H348" s="110"/>
      <c r="I348" s="111">
        <v>750</v>
      </c>
      <c r="J348" s="109" t="str">
        <f t="shared" si="38"/>
        <v>26</v>
      </c>
      <c r="K348" s="109" t="s">
        <v>403</v>
      </c>
      <c r="L348" s="109" t="s">
        <v>773</v>
      </c>
      <c r="M348" s="111">
        <v>19</v>
      </c>
      <c r="N348" s="110">
        <v>478</v>
      </c>
      <c r="O348" s="105">
        <f t="shared" si="39"/>
        <v>455.2</v>
      </c>
      <c r="P348" s="112">
        <v>9.6000000000000002E-2</v>
      </c>
      <c r="Q348" s="113">
        <v>2.4320000000000001E-3</v>
      </c>
      <c r="R348" s="107">
        <f t="shared" si="40"/>
        <v>2.4319999999999999</v>
      </c>
      <c r="S348" s="105">
        <f t="shared" si="41"/>
        <v>606.93333333333328</v>
      </c>
      <c r="T348" s="114">
        <f>IFERROR(INDEX('MASTER por modelo'!$AQ$8:$AQ$474,MATCH(K348,'MASTER por modelo'!$D$8:$D$474,0)),"")</f>
        <v>0.86799999999999999</v>
      </c>
      <c r="U348" s="115">
        <f>IFERROR(INDEX('MASTER por modelo'!$AC$8:$AC$474,MATCH(K348,'MASTER por modelo'!$D$8:$D$474,0))+INDEX('MASTER por modelo'!$AD$8:$AD$474,MATCH(K348,'MASTER por modelo'!$D$8:$D$474,0)),"")</f>
        <v>651</v>
      </c>
      <c r="V348" s="93"/>
    </row>
    <row r="349" spans="1:22" x14ac:dyDescent="0.25">
      <c r="A349" s="109" t="s">
        <v>55</v>
      </c>
      <c r="B349" s="109" t="s">
        <v>255</v>
      </c>
      <c r="C349" s="109" t="s">
        <v>132</v>
      </c>
      <c r="D349" s="103">
        <f t="shared" si="35"/>
        <v>254.56686963865056</v>
      </c>
      <c r="E349" s="110">
        <v>1.8</v>
      </c>
      <c r="F349" s="110">
        <f t="shared" si="36"/>
        <v>1.1688311688311688</v>
      </c>
      <c r="G349" s="110">
        <f t="shared" si="37"/>
        <v>2</v>
      </c>
      <c r="H349" s="110"/>
      <c r="I349" s="111">
        <v>745</v>
      </c>
      <c r="J349" s="109" t="str">
        <f t="shared" si="38"/>
        <v>26</v>
      </c>
      <c r="K349" s="109" t="s">
        <v>404</v>
      </c>
      <c r="L349" s="109" t="s">
        <v>787</v>
      </c>
      <c r="M349" s="111">
        <v>25</v>
      </c>
      <c r="N349" s="110">
        <v>488.2</v>
      </c>
      <c r="O349" s="105">
        <f t="shared" si="39"/>
        <v>458.2</v>
      </c>
      <c r="P349" s="112">
        <v>7.1999999999999995E-2</v>
      </c>
      <c r="Q349" s="113">
        <v>2.4160000000000002E-3</v>
      </c>
      <c r="R349" s="107">
        <f t="shared" si="40"/>
        <v>2.4160000000000004</v>
      </c>
      <c r="S349" s="105">
        <f t="shared" si="41"/>
        <v>615.03355704697981</v>
      </c>
      <c r="T349" s="114">
        <f>IFERROR(INDEX('MASTER por modelo'!$AQ$8:$AQ$474,MATCH(K349,'MASTER por modelo'!$D$8:$D$474,0)),"")</f>
        <v>0.83489932885906037</v>
      </c>
      <c r="U349" s="115">
        <f>IFERROR(INDEX('MASTER por modelo'!$AC$8:$AC$474,MATCH(K349,'MASTER por modelo'!$D$8:$D$474,0))+INDEX('MASTER por modelo'!$AD$8:$AD$474,MATCH(K349,'MASTER por modelo'!$D$8:$D$474,0)),"")</f>
        <v>622</v>
      </c>
      <c r="V349" s="93"/>
    </row>
    <row r="350" spans="1:22" x14ac:dyDescent="0.25">
      <c r="A350" s="109" t="s">
        <v>55</v>
      </c>
      <c r="B350" s="109" t="s">
        <v>255</v>
      </c>
      <c r="C350" s="109" t="s">
        <v>132</v>
      </c>
      <c r="D350" s="103">
        <f t="shared" si="35"/>
        <v>255.08817695171322</v>
      </c>
      <c r="E350" s="110">
        <v>1.7664</v>
      </c>
      <c r="F350" s="110">
        <f t="shared" si="36"/>
        <v>1.147012987012987</v>
      </c>
      <c r="G350" s="110">
        <f t="shared" si="37"/>
        <v>2</v>
      </c>
      <c r="H350" s="110"/>
      <c r="I350" s="111">
        <v>783</v>
      </c>
      <c r="J350" s="109" t="str">
        <f t="shared" si="38"/>
        <v>26</v>
      </c>
      <c r="K350" s="109" t="s">
        <v>406</v>
      </c>
      <c r="L350" s="109" t="s">
        <v>791</v>
      </c>
      <c r="M350" s="111">
        <v>23</v>
      </c>
      <c r="N350" s="110">
        <v>478.2</v>
      </c>
      <c r="O350" s="105">
        <f t="shared" si="39"/>
        <v>450.59999999999997</v>
      </c>
      <c r="P350" s="112">
        <v>7.6799999999999993E-2</v>
      </c>
      <c r="Q350" s="113">
        <v>2.2560000000000002E-3</v>
      </c>
      <c r="R350" s="107">
        <f t="shared" si="40"/>
        <v>2.2560000000000002</v>
      </c>
      <c r="S350" s="105">
        <f t="shared" si="41"/>
        <v>575.47892720306504</v>
      </c>
      <c r="T350" s="114">
        <f>IFERROR(INDEX('MASTER por modelo'!$AQ$8:$AQ$474,MATCH(K350,'MASTER por modelo'!$D$8:$D$474,0)),"")</f>
        <v>0.70625798212005109</v>
      </c>
      <c r="U350" s="115">
        <f>IFERROR(INDEX('MASTER por modelo'!$AC$8:$AC$474,MATCH(K350,'MASTER por modelo'!$D$8:$D$474,0))+INDEX('MASTER por modelo'!$AD$8:$AD$474,MATCH(K350,'MASTER por modelo'!$D$8:$D$474,0)),"")</f>
        <v>553</v>
      </c>
      <c r="V350" s="93"/>
    </row>
    <row r="351" spans="1:22" x14ac:dyDescent="0.25">
      <c r="A351" s="109" t="s">
        <v>138</v>
      </c>
      <c r="B351" s="109" t="s">
        <v>407</v>
      </c>
      <c r="C351" s="109" t="s">
        <v>172</v>
      </c>
      <c r="D351" s="103">
        <f t="shared" si="35"/>
        <v>114.11719887345403</v>
      </c>
      <c r="E351" s="110">
        <v>1.764</v>
      </c>
      <c r="F351" s="110">
        <f t="shared" si="36"/>
        <v>1.1454545454545455</v>
      </c>
      <c r="G351" s="110">
        <f t="shared" si="37"/>
        <v>2</v>
      </c>
      <c r="H351" s="110"/>
      <c r="I351" s="111">
        <v>402</v>
      </c>
      <c r="J351" s="109" t="str">
        <f t="shared" si="38"/>
        <v>26</v>
      </c>
      <c r="K351" s="109" t="s">
        <v>408</v>
      </c>
      <c r="L351" s="109" t="s">
        <v>748</v>
      </c>
      <c r="M351" s="111">
        <v>14</v>
      </c>
      <c r="N351" s="110">
        <v>218.1</v>
      </c>
      <c r="O351" s="105">
        <f t="shared" si="39"/>
        <v>201.29999999999998</v>
      </c>
      <c r="P351" s="112">
        <v>0.126</v>
      </c>
      <c r="Q351" s="113">
        <v>4.3880000000000004E-3</v>
      </c>
      <c r="R351" s="107">
        <f t="shared" si="40"/>
        <v>4.3880000000000008</v>
      </c>
      <c r="S351" s="105">
        <f t="shared" si="41"/>
        <v>500.74626865671632</v>
      </c>
      <c r="T351" s="114">
        <f>IFERROR(INDEX('MASTER por modelo'!$AQ$8:$AQ$474,MATCH(K351,'MASTER por modelo'!$D$8:$D$474,0)),"")</f>
        <v>0.54975124378109452</v>
      </c>
      <c r="U351" s="115">
        <f>IFERROR(INDEX('MASTER por modelo'!$AC$8:$AC$474,MATCH(K351,'MASTER por modelo'!$D$8:$D$474,0))+INDEX('MASTER por modelo'!$AD$8:$AD$474,MATCH(K351,'MASTER por modelo'!$D$8:$D$474,0)),"")</f>
        <v>221</v>
      </c>
      <c r="V351" s="93"/>
    </row>
    <row r="352" spans="1:22" x14ac:dyDescent="0.25">
      <c r="A352" s="109" t="s">
        <v>63</v>
      </c>
      <c r="B352" s="109" t="s">
        <v>84</v>
      </c>
      <c r="C352" s="109" t="s">
        <v>94</v>
      </c>
      <c r="D352" s="103">
        <f t="shared" si="35"/>
        <v>173.73783239208788</v>
      </c>
      <c r="E352" s="110">
        <v>1.762</v>
      </c>
      <c r="F352" s="110">
        <f t="shared" si="36"/>
        <v>1.1441558441558441</v>
      </c>
      <c r="G352" s="110">
        <f t="shared" si="37"/>
        <v>2</v>
      </c>
      <c r="H352" s="110"/>
      <c r="I352" s="111">
        <v>422</v>
      </c>
      <c r="J352" s="109" t="str">
        <f t="shared" si="38"/>
        <v>27</v>
      </c>
      <c r="K352" s="109" t="s">
        <v>409</v>
      </c>
      <c r="L352" s="109" t="s">
        <v>782</v>
      </c>
      <c r="M352" s="111">
        <v>17</v>
      </c>
      <c r="N352" s="110">
        <v>326.5</v>
      </c>
      <c r="O352" s="105">
        <f t="shared" si="39"/>
        <v>306.10000000000002</v>
      </c>
      <c r="P352" s="112">
        <v>0.1036</v>
      </c>
      <c r="Q352" s="113">
        <v>4.1749999999999999E-3</v>
      </c>
      <c r="R352" s="107">
        <f t="shared" si="40"/>
        <v>4.1749999999999998</v>
      </c>
      <c r="S352" s="105">
        <f t="shared" si="41"/>
        <v>725.35545023696693</v>
      </c>
      <c r="T352" s="114">
        <f>IFERROR(INDEX('MASTER por modelo'!$AQ$8:$AQ$474,MATCH(K352,'MASTER por modelo'!$D$8:$D$474,0)),"")</f>
        <v>0</v>
      </c>
      <c r="U352" s="115">
        <f>IFERROR(INDEX('MASTER por modelo'!$AC$8:$AC$474,MATCH(K352,'MASTER por modelo'!$D$8:$D$474,0))+INDEX('MASTER por modelo'!$AD$8:$AD$474,MATCH(K352,'MASTER por modelo'!$D$8:$D$474,0)),"")</f>
        <v>0</v>
      </c>
      <c r="V352" s="93"/>
    </row>
    <row r="353" spans="1:22" x14ac:dyDescent="0.25">
      <c r="A353" s="109" t="s">
        <v>63</v>
      </c>
      <c r="B353" s="109" t="s">
        <v>84</v>
      </c>
      <c r="C353" s="109" t="s">
        <v>87</v>
      </c>
      <c r="D353" s="103">
        <f t="shared" si="35"/>
        <v>165.91943075556895</v>
      </c>
      <c r="E353" s="110">
        <v>1.7544</v>
      </c>
      <c r="F353" s="110">
        <f t="shared" si="36"/>
        <v>1.1392207792207791</v>
      </c>
      <c r="G353" s="110">
        <f t="shared" si="37"/>
        <v>2</v>
      </c>
      <c r="H353" s="110"/>
      <c r="I353" s="111">
        <v>518</v>
      </c>
      <c r="J353" s="109" t="str">
        <f t="shared" si="38"/>
        <v>27</v>
      </c>
      <c r="K353" s="109" t="s">
        <v>410</v>
      </c>
      <c r="L353" s="109" t="s">
        <v>782</v>
      </c>
      <c r="M353" s="111">
        <v>17</v>
      </c>
      <c r="N353" s="110">
        <v>311.5</v>
      </c>
      <c r="O353" s="105">
        <f t="shared" si="39"/>
        <v>291.10000000000002</v>
      </c>
      <c r="P353" s="112">
        <v>0.1032</v>
      </c>
      <c r="Q353" s="113">
        <v>3.3869999999999998E-3</v>
      </c>
      <c r="R353" s="107">
        <f t="shared" si="40"/>
        <v>3.387</v>
      </c>
      <c r="S353" s="105">
        <f t="shared" si="41"/>
        <v>561.96911196911208</v>
      </c>
      <c r="T353" s="114">
        <f>IFERROR(INDEX('MASTER por modelo'!$AQ$8:$AQ$474,MATCH(K353,'MASTER por modelo'!$D$8:$D$474,0)),"")</f>
        <v>0</v>
      </c>
      <c r="U353" s="115">
        <f>IFERROR(INDEX('MASTER por modelo'!$AC$8:$AC$474,MATCH(K353,'MASTER por modelo'!$D$8:$D$474,0))+INDEX('MASTER por modelo'!$AD$8:$AD$474,MATCH(K353,'MASTER por modelo'!$D$8:$D$474,0)),"")</f>
        <v>0</v>
      </c>
      <c r="V353" s="93"/>
    </row>
    <row r="354" spans="1:22" x14ac:dyDescent="0.25">
      <c r="A354" s="109" t="s">
        <v>63</v>
      </c>
      <c r="B354" s="109" t="s">
        <v>263</v>
      </c>
      <c r="C354" s="109" t="s">
        <v>264</v>
      </c>
      <c r="D354" s="103">
        <f t="shared" si="35"/>
        <v>189.62117137616704</v>
      </c>
      <c r="E354" s="110">
        <v>1.74</v>
      </c>
      <c r="F354" s="110">
        <f t="shared" si="36"/>
        <v>1.1298701298701299</v>
      </c>
      <c r="G354" s="110">
        <f t="shared" si="37"/>
        <v>2</v>
      </c>
      <c r="H354" s="110"/>
      <c r="I354" s="111">
        <v>756</v>
      </c>
      <c r="J354" s="109" t="str">
        <f t="shared" si="38"/>
        <v>26</v>
      </c>
      <c r="K354" s="109" t="s">
        <v>411</v>
      </c>
      <c r="L354" s="109" t="s">
        <v>783</v>
      </c>
      <c r="M354" s="111">
        <v>17</v>
      </c>
      <c r="N354" s="110">
        <v>350.4</v>
      </c>
      <c r="O354" s="105">
        <f t="shared" si="39"/>
        <v>330</v>
      </c>
      <c r="P354" s="112">
        <v>0.1024</v>
      </c>
      <c r="Q354" s="113">
        <v>2.3019999999999998E-3</v>
      </c>
      <c r="R354" s="107">
        <f t="shared" si="40"/>
        <v>2.3019999999999996</v>
      </c>
      <c r="S354" s="105">
        <f t="shared" si="41"/>
        <v>436.50793650793651</v>
      </c>
      <c r="T354" s="114">
        <f>IFERROR(INDEX('MASTER por modelo'!$AQ$8:$AQ$474,MATCH(K354,'MASTER por modelo'!$D$8:$D$474,0)),"")</f>
        <v>0.89947089947089942</v>
      </c>
      <c r="U354" s="115">
        <f>IFERROR(INDEX('MASTER por modelo'!$AC$8:$AC$474,MATCH(K354,'MASTER por modelo'!$D$8:$D$474,0))+INDEX('MASTER por modelo'!$AD$8:$AD$474,MATCH(K354,'MASTER por modelo'!$D$8:$D$474,0)),"")</f>
        <v>680</v>
      </c>
      <c r="V354" s="93"/>
    </row>
    <row r="355" spans="1:22" x14ac:dyDescent="0.25">
      <c r="A355" s="109" t="s">
        <v>63</v>
      </c>
      <c r="B355" s="109" t="s">
        <v>171</v>
      </c>
      <c r="C355" s="109" t="s">
        <v>363</v>
      </c>
      <c r="D355" s="103">
        <f t="shared" si="35"/>
        <v>204.27485893242979</v>
      </c>
      <c r="E355" s="110">
        <v>1.73</v>
      </c>
      <c r="F355" s="110">
        <f t="shared" si="36"/>
        <v>1.1233766233766234</v>
      </c>
      <c r="G355" s="110">
        <f t="shared" si="37"/>
        <v>2</v>
      </c>
      <c r="H355" s="110"/>
      <c r="I355" s="111">
        <v>714</v>
      </c>
      <c r="J355" s="109" t="str">
        <f t="shared" si="38"/>
        <v>26</v>
      </c>
      <c r="K355" s="109" t="s">
        <v>412</v>
      </c>
      <c r="L355" s="109" t="s">
        <v>761</v>
      </c>
      <c r="M355" s="111">
        <v>18</v>
      </c>
      <c r="N355" s="110">
        <v>375</v>
      </c>
      <c r="O355" s="105">
        <f t="shared" si="39"/>
        <v>353.4</v>
      </c>
      <c r="P355" s="112">
        <v>9.6100000000000005E-2</v>
      </c>
      <c r="Q355" s="113">
        <v>2.4229999999999998E-3</v>
      </c>
      <c r="R355" s="107">
        <f t="shared" si="40"/>
        <v>2.4229999999999996</v>
      </c>
      <c r="S355" s="105">
        <f t="shared" si="41"/>
        <v>494.9579831932773</v>
      </c>
      <c r="T355" s="114">
        <f>IFERROR(INDEX('MASTER por modelo'!$AQ$8:$AQ$474,MATCH(K355,'MASTER por modelo'!$D$8:$D$474,0)),"")</f>
        <v>0.78991596638655459</v>
      </c>
      <c r="U355" s="115">
        <f>IFERROR(INDEX('MASTER por modelo'!$AC$8:$AC$474,MATCH(K355,'MASTER por modelo'!$D$8:$D$474,0))+INDEX('MASTER por modelo'!$AD$8:$AD$474,MATCH(K355,'MASTER por modelo'!$D$8:$D$474,0)),"")</f>
        <v>564</v>
      </c>
      <c r="V355" s="93"/>
    </row>
    <row r="356" spans="1:22" x14ac:dyDescent="0.25">
      <c r="A356" s="109" t="s">
        <v>55</v>
      </c>
      <c r="B356" s="109" t="s">
        <v>302</v>
      </c>
      <c r="C356" s="109" t="s">
        <v>303</v>
      </c>
      <c r="D356" s="103">
        <f t="shared" si="35"/>
        <v>78.46059842986223</v>
      </c>
      <c r="E356" s="110">
        <v>1.728</v>
      </c>
      <c r="F356" s="110">
        <f t="shared" si="36"/>
        <v>1.122077922077922</v>
      </c>
      <c r="G356" s="110">
        <f t="shared" si="37"/>
        <v>2</v>
      </c>
      <c r="H356" s="110"/>
      <c r="I356" s="111">
        <v>628</v>
      </c>
      <c r="J356" s="109" t="str">
        <f t="shared" si="38"/>
        <v>26</v>
      </c>
      <c r="K356" s="109" t="s">
        <v>413</v>
      </c>
      <c r="L356" s="109" t="s">
        <v>800</v>
      </c>
      <c r="M356" s="111">
        <v>18</v>
      </c>
      <c r="N356" s="110">
        <v>157.19999999999999</v>
      </c>
      <c r="O356" s="105">
        <f t="shared" si="39"/>
        <v>135.6</v>
      </c>
      <c r="P356" s="112">
        <v>9.6000000000000002E-2</v>
      </c>
      <c r="Q356" s="113">
        <v>2.7520000000000001E-3</v>
      </c>
      <c r="R356" s="107">
        <f t="shared" si="40"/>
        <v>2.7520000000000002</v>
      </c>
      <c r="S356" s="105">
        <f t="shared" si="41"/>
        <v>215.92356687898086</v>
      </c>
      <c r="T356" s="114">
        <f>IFERROR(INDEX('MASTER por modelo'!$AQ$8:$AQ$474,MATCH(K356,'MASTER por modelo'!$D$8:$D$474,0)),"")</f>
        <v>0.428343949044586</v>
      </c>
      <c r="U356" s="115">
        <f>IFERROR(INDEX('MASTER por modelo'!$AC$8:$AC$474,MATCH(K356,'MASTER por modelo'!$D$8:$D$474,0))+INDEX('MASTER por modelo'!$AD$8:$AD$474,MATCH(K356,'MASTER por modelo'!$D$8:$D$474,0)),"")</f>
        <v>269</v>
      </c>
      <c r="V356" s="93"/>
    </row>
    <row r="357" spans="1:22" x14ac:dyDescent="0.25">
      <c r="A357" s="109" t="s">
        <v>55</v>
      </c>
      <c r="B357" s="109" t="s">
        <v>314</v>
      </c>
      <c r="C357" s="109" t="s">
        <v>315</v>
      </c>
      <c r="D357" s="103">
        <f t="shared" si="35"/>
        <v>174.96886098339101</v>
      </c>
      <c r="E357" s="110">
        <v>1.728</v>
      </c>
      <c r="F357" s="110">
        <f t="shared" si="36"/>
        <v>1.122077922077922</v>
      </c>
      <c r="G357" s="110">
        <f t="shared" si="37"/>
        <v>2</v>
      </c>
      <c r="H357" s="110"/>
      <c r="I357" s="111">
        <v>746</v>
      </c>
      <c r="J357" s="109" t="str">
        <f t="shared" si="38"/>
        <v>26</v>
      </c>
      <c r="K357" s="109" t="s">
        <v>414</v>
      </c>
      <c r="L357" s="109" t="s">
        <v>804</v>
      </c>
      <c r="M357" s="111">
        <v>24</v>
      </c>
      <c r="N357" s="110">
        <v>331.1</v>
      </c>
      <c r="O357" s="105">
        <f t="shared" si="39"/>
        <v>302.3</v>
      </c>
      <c r="P357" s="112">
        <v>7.1999999999999995E-2</v>
      </c>
      <c r="Q357" s="113">
        <v>2.3159999999999999E-3</v>
      </c>
      <c r="R357" s="107">
        <f t="shared" si="40"/>
        <v>2.3159999999999998</v>
      </c>
      <c r="S357" s="105">
        <f t="shared" si="41"/>
        <v>405.2278820375335</v>
      </c>
      <c r="T357" s="114">
        <f>IFERROR(INDEX('MASTER por modelo'!$AQ$8:$AQ$474,MATCH(K357,'MASTER por modelo'!$D$8:$D$474,0)),"")</f>
        <v>0.61574382921947968</v>
      </c>
      <c r="U357" s="115">
        <f>IFERROR(INDEX('MASTER por modelo'!$AC$8:$AC$474,MATCH(K357,'MASTER por modelo'!$D$8:$D$474,0))+INDEX('MASTER por modelo'!$AD$8:$AD$474,MATCH(K357,'MASTER por modelo'!$D$8:$D$474,0)),"")</f>
        <v>923</v>
      </c>
      <c r="V357" s="93"/>
    </row>
    <row r="358" spans="1:22" x14ac:dyDescent="0.25">
      <c r="A358" s="109" t="s">
        <v>63</v>
      </c>
      <c r="B358" s="109" t="s">
        <v>171</v>
      </c>
      <c r="C358" s="109" t="s">
        <v>363</v>
      </c>
      <c r="D358" s="103">
        <f t="shared" si="35"/>
        <v>112.45774876140206</v>
      </c>
      <c r="E358" s="110">
        <v>1.728</v>
      </c>
      <c r="F358" s="110">
        <f t="shared" si="36"/>
        <v>1.122077922077922</v>
      </c>
      <c r="G358" s="110">
        <f t="shared" si="37"/>
        <v>2</v>
      </c>
      <c r="H358" s="110"/>
      <c r="I358" s="111">
        <v>690</v>
      </c>
      <c r="J358" s="109" t="str">
        <f t="shared" si="38"/>
        <v>26</v>
      </c>
      <c r="K358" s="109" t="s">
        <v>415</v>
      </c>
      <c r="L358" s="109" t="s">
        <v>784</v>
      </c>
      <c r="M358" s="111">
        <v>18</v>
      </c>
      <c r="N358" s="110">
        <v>215.9</v>
      </c>
      <c r="O358" s="105">
        <f t="shared" si="39"/>
        <v>194.3</v>
      </c>
      <c r="P358" s="112">
        <v>9.6000000000000002E-2</v>
      </c>
      <c r="Q358" s="113">
        <v>2.5040000000000001E-3</v>
      </c>
      <c r="R358" s="107">
        <f t="shared" si="40"/>
        <v>2.504</v>
      </c>
      <c r="S358" s="105">
        <f t="shared" si="41"/>
        <v>281.59420289855075</v>
      </c>
      <c r="T358" s="114">
        <f>IFERROR(INDEX('MASTER por modelo'!$AQ$8:$AQ$474,MATCH(K358,'MASTER por modelo'!$D$8:$D$474,0)),"")</f>
        <v>0.83333333333333337</v>
      </c>
      <c r="U358" s="115">
        <f>IFERROR(INDEX('MASTER por modelo'!$AC$8:$AC$474,MATCH(K358,'MASTER por modelo'!$D$8:$D$474,0))+INDEX('MASTER por modelo'!$AD$8:$AD$474,MATCH(K358,'MASTER por modelo'!$D$8:$D$474,0)),"")</f>
        <v>575</v>
      </c>
      <c r="V358" s="93"/>
    </row>
    <row r="359" spans="1:22" x14ac:dyDescent="0.25">
      <c r="A359" s="109" t="s">
        <v>55</v>
      </c>
      <c r="B359" s="109" t="s">
        <v>255</v>
      </c>
      <c r="C359" s="109" t="s">
        <v>347</v>
      </c>
      <c r="D359" s="103">
        <f t="shared" si="35"/>
        <v>222.92647130313603</v>
      </c>
      <c r="E359" s="110">
        <v>1.728</v>
      </c>
      <c r="F359" s="110">
        <f t="shared" si="36"/>
        <v>1.122077922077922</v>
      </c>
      <c r="G359" s="110">
        <f t="shared" si="37"/>
        <v>2</v>
      </c>
      <c r="H359" s="110"/>
      <c r="I359" s="111">
        <v>908</v>
      </c>
      <c r="J359" s="109" t="str">
        <f t="shared" si="38"/>
        <v>26</v>
      </c>
      <c r="K359" s="109" t="s">
        <v>416</v>
      </c>
      <c r="L359" s="109" t="s">
        <v>803</v>
      </c>
      <c r="M359" s="111">
        <v>18</v>
      </c>
      <c r="N359" s="110">
        <v>406.8</v>
      </c>
      <c r="O359" s="105">
        <f t="shared" si="39"/>
        <v>385.2</v>
      </c>
      <c r="P359" s="112">
        <v>9.6000000000000002E-2</v>
      </c>
      <c r="Q359" s="113">
        <v>1.903E-3</v>
      </c>
      <c r="R359" s="107">
        <f t="shared" si="40"/>
        <v>1.903</v>
      </c>
      <c r="S359" s="105">
        <f t="shared" si="41"/>
        <v>424.22907488986783</v>
      </c>
      <c r="T359" s="114">
        <f>IFERROR(INDEX('MASTER por modelo'!$AQ$8:$AQ$474,MATCH(K359,'MASTER por modelo'!$D$8:$D$474,0)),"")</f>
        <v>0.68832599118942728</v>
      </c>
      <c r="U359" s="115">
        <f>IFERROR(INDEX('MASTER por modelo'!$AC$8:$AC$474,MATCH(K359,'MASTER por modelo'!$D$8:$D$474,0))+INDEX('MASTER por modelo'!$AD$8:$AD$474,MATCH(K359,'MASTER por modelo'!$D$8:$D$474,0)),"")</f>
        <v>625</v>
      </c>
      <c r="V359" s="93"/>
    </row>
    <row r="360" spans="1:22" x14ac:dyDescent="0.25">
      <c r="A360" s="109" t="s">
        <v>55</v>
      </c>
      <c r="B360" s="109" t="s">
        <v>255</v>
      </c>
      <c r="C360" s="109" t="s">
        <v>132</v>
      </c>
      <c r="D360" s="103">
        <f t="shared" si="35"/>
        <v>247.97047970479701</v>
      </c>
      <c r="E360" s="110">
        <v>1.728</v>
      </c>
      <c r="F360" s="110">
        <f t="shared" si="36"/>
        <v>1.122077922077922</v>
      </c>
      <c r="G360" s="110">
        <f t="shared" si="37"/>
        <v>2</v>
      </c>
      <c r="H360" s="110"/>
      <c r="I360" s="111">
        <v>813</v>
      </c>
      <c r="J360" s="109" t="str">
        <f t="shared" si="38"/>
        <v>26</v>
      </c>
      <c r="K360" s="109" t="s">
        <v>417</v>
      </c>
      <c r="L360" s="109" t="s">
        <v>773</v>
      </c>
      <c r="M360" s="111">
        <v>18</v>
      </c>
      <c r="N360" s="110">
        <v>450</v>
      </c>
      <c r="O360" s="105">
        <f t="shared" si="39"/>
        <v>428.4</v>
      </c>
      <c r="P360" s="112">
        <v>9.6000000000000002E-2</v>
      </c>
      <c r="Q360" s="113">
        <v>2.1250000000000002E-3</v>
      </c>
      <c r="R360" s="107">
        <f t="shared" si="40"/>
        <v>2.125</v>
      </c>
      <c r="S360" s="105">
        <f t="shared" si="41"/>
        <v>526.93726937269366</v>
      </c>
      <c r="T360" s="114">
        <f>IFERROR(INDEX('MASTER por modelo'!$AQ$8:$AQ$474,MATCH(K360,'MASTER por modelo'!$D$8:$D$474,0)),"")</f>
        <v>0.80811808118081185</v>
      </c>
      <c r="U360" s="115">
        <f>IFERROR(INDEX('MASTER por modelo'!$AC$8:$AC$474,MATCH(K360,'MASTER por modelo'!$D$8:$D$474,0))+INDEX('MASTER por modelo'!$AD$8:$AD$474,MATCH(K360,'MASTER por modelo'!$D$8:$D$474,0)),"")</f>
        <v>657</v>
      </c>
      <c r="V360" s="93"/>
    </row>
    <row r="361" spans="1:22" x14ac:dyDescent="0.25">
      <c r="A361" s="109" t="s">
        <v>63</v>
      </c>
      <c r="B361" s="109" t="s">
        <v>84</v>
      </c>
      <c r="C361" s="109" t="s">
        <v>87</v>
      </c>
      <c r="D361" s="103">
        <f t="shared" si="35"/>
        <v>182.92824074074073</v>
      </c>
      <c r="E361" s="110">
        <v>1.728</v>
      </c>
      <c r="F361" s="110">
        <f t="shared" si="36"/>
        <v>1.122077922077922</v>
      </c>
      <c r="G361" s="110">
        <f t="shared" si="37"/>
        <v>2</v>
      </c>
      <c r="H361" s="110"/>
      <c r="I361" s="111">
        <v>675</v>
      </c>
      <c r="J361" s="109" t="str">
        <f t="shared" si="38"/>
        <v>26</v>
      </c>
      <c r="K361" s="109" t="s">
        <v>418</v>
      </c>
      <c r="L361" s="109" t="s">
        <v>796</v>
      </c>
      <c r="M361" s="111">
        <v>18</v>
      </c>
      <c r="N361" s="110">
        <v>337.7</v>
      </c>
      <c r="O361" s="105">
        <f t="shared" si="39"/>
        <v>316.09999999999997</v>
      </c>
      <c r="P361" s="112">
        <v>9.6000000000000002E-2</v>
      </c>
      <c r="Q361" s="113">
        <v>2.5600000000000002E-3</v>
      </c>
      <c r="R361" s="107">
        <f t="shared" si="40"/>
        <v>2.56</v>
      </c>
      <c r="S361" s="105">
        <f t="shared" si="41"/>
        <v>468.29629629629625</v>
      </c>
      <c r="T361" s="114">
        <f>IFERROR(INDEX('MASTER por modelo'!$AQ$8:$AQ$474,MATCH(K361,'MASTER por modelo'!$D$8:$D$474,0)),"")</f>
        <v>0.66518518518518521</v>
      </c>
      <c r="U361" s="115">
        <f>IFERROR(INDEX('MASTER por modelo'!$AC$8:$AC$474,MATCH(K361,'MASTER por modelo'!$D$8:$D$474,0))+INDEX('MASTER por modelo'!$AD$8:$AD$474,MATCH(K361,'MASTER por modelo'!$D$8:$D$474,0)),"")</f>
        <v>449</v>
      </c>
      <c r="V361" s="93"/>
    </row>
    <row r="362" spans="1:22" x14ac:dyDescent="0.25">
      <c r="A362" s="109" t="s">
        <v>63</v>
      </c>
      <c r="B362" s="109" t="s">
        <v>288</v>
      </c>
      <c r="C362" s="109" t="s">
        <v>289</v>
      </c>
      <c r="D362" s="103">
        <f t="shared" si="35"/>
        <v>178.76705709145014</v>
      </c>
      <c r="E362" s="110">
        <v>1.728</v>
      </c>
      <c r="F362" s="110">
        <f t="shared" si="36"/>
        <v>1.122077922077922</v>
      </c>
      <c r="G362" s="110">
        <f t="shared" si="37"/>
        <v>2</v>
      </c>
      <c r="H362" s="110"/>
      <c r="I362" s="111">
        <v>793</v>
      </c>
      <c r="J362" s="109" t="str">
        <f t="shared" si="38"/>
        <v>26</v>
      </c>
      <c r="K362" s="109" t="s">
        <v>419</v>
      </c>
      <c r="L362" s="109" t="s">
        <v>809</v>
      </c>
      <c r="M362" s="111">
        <v>18</v>
      </c>
      <c r="N362" s="110">
        <v>330.5</v>
      </c>
      <c r="O362" s="105">
        <f t="shared" si="39"/>
        <v>308.89999999999998</v>
      </c>
      <c r="P362" s="112">
        <v>9.6000000000000002E-2</v>
      </c>
      <c r="Q362" s="113">
        <v>2.1789999999999999E-3</v>
      </c>
      <c r="R362" s="107">
        <f t="shared" si="40"/>
        <v>2.1789999999999998</v>
      </c>
      <c r="S362" s="105">
        <f t="shared" si="41"/>
        <v>389.53341740226983</v>
      </c>
      <c r="T362" s="114">
        <f>IFERROR(INDEX('MASTER por modelo'!$AQ$8:$AQ$474,MATCH(K362,'MASTER por modelo'!$D$8:$D$474,0)),"")</f>
        <v>0.60277427490542246</v>
      </c>
      <c r="U362" s="115">
        <f>IFERROR(INDEX('MASTER por modelo'!$AC$8:$AC$474,MATCH(K362,'MASTER por modelo'!$D$8:$D$474,0))+INDEX('MASTER por modelo'!$AD$8:$AD$474,MATCH(K362,'MASTER por modelo'!$D$8:$D$474,0)),"")</f>
        <v>478</v>
      </c>
      <c r="V362" s="93"/>
    </row>
    <row r="363" spans="1:22" x14ac:dyDescent="0.25">
      <c r="A363" s="109" t="s">
        <v>63</v>
      </c>
      <c r="B363" s="109" t="s">
        <v>288</v>
      </c>
      <c r="C363" s="109" t="s">
        <v>289</v>
      </c>
      <c r="D363" s="103">
        <f t="shared" si="35"/>
        <v>138.54904312035131</v>
      </c>
      <c r="E363" s="110">
        <v>1.728</v>
      </c>
      <c r="F363" s="110">
        <f t="shared" si="36"/>
        <v>1.122077922077922</v>
      </c>
      <c r="G363" s="110">
        <f t="shared" si="37"/>
        <v>2</v>
      </c>
      <c r="H363" s="110"/>
      <c r="I363" s="111">
        <v>658</v>
      </c>
      <c r="J363" s="109" t="str">
        <f t="shared" si="38"/>
        <v>26</v>
      </c>
      <c r="K363" s="109" t="s">
        <v>420</v>
      </c>
      <c r="L363" s="109" t="s">
        <v>810</v>
      </c>
      <c r="M363" s="111">
        <v>18</v>
      </c>
      <c r="N363" s="110">
        <v>261</v>
      </c>
      <c r="O363" s="105">
        <f t="shared" si="39"/>
        <v>239.4</v>
      </c>
      <c r="P363" s="112">
        <v>9.6000000000000002E-2</v>
      </c>
      <c r="Q363" s="113">
        <v>2.6259999999999999E-3</v>
      </c>
      <c r="R363" s="107">
        <f t="shared" si="40"/>
        <v>2.6259999999999999</v>
      </c>
      <c r="S363" s="105">
        <f t="shared" si="41"/>
        <v>363.82978723404256</v>
      </c>
      <c r="T363" s="114">
        <f>IFERROR(INDEX('MASTER por modelo'!$AQ$8:$AQ$474,MATCH(K363,'MASTER por modelo'!$D$8:$D$474,0)),"")</f>
        <v>0.87234042553191493</v>
      </c>
      <c r="U363" s="115">
        <f>IFERROR(INDEX('MASTER por modelo'!$AC$8:$AC$474,MATCH(K363,'MASTER por modelo'!$D$8:$D$474,0))+INDEX('MASTER por modelo'!$AD$8:$AD$474,MATCH(K363,'MASTER por modelo'!$D$8:$D$474,0)),"")</f>
        <v>574</v>
      </c>
      <c r="V363" s="93"/>
    </row>
    <row r="364" spans="1:22" x14ac:dyDescent="0.25">
      <c r="A364" s="109" t="s">
        <v>63</v>
      </c>
      <c r="B364" s="109" t="s">
        <v>64</v>
      </c>
      <c r="C364" s="109" t="s">
        <v>66</v>
      </c>
      <c r="D364" s="103">
        <f t="shared" si="35"/>
        <v>107.46527777777779</v>
      </c>
      <c r="E364" s="110">
        <v>1.728</v>
      </c>
      <c r="F364" s="110">
        <f t="shared" si="36"/>
        <v>1.122077922077922</v>
      </c>
      <c r="G364" s="110">
        <f t="shared" si="37"/>
        <v>2</v>
      </c>
      <c r="H364" s="110"/>
      <c r="I364" s="111">
        <v>270</v>
      </c>
      <c r="J364" s="109" t="str">
        <f t="shared" si="38"/>
        <v>26</v>
      </c>
      <c r="K364" s="109" t="s">
        <v>127</v>
      </c>
      <c r="L364" s="109" t="s">
        <v>730</v>
      </c>
      <c r="M364" s="111">
        <v>18</v>
      </c>
      <c r="N364" s="110">
        <v>207.3</v>
      </c>
      <c r="O364" s="105">
        <f t="shared" si="39"/>
        <v>185.70000000000002</v>
      </c>
      <c r="P364" s="112">
        <v>9.6000000000000002E-2</v>
      </c>
      <c r="Q364" s="113">
        <v>6.4000000000000003E-3</v>
      </c>
      <c r="R364" s="107">
        <f t="shared" si="40"/>
        <v>6.4</v>
      </c>
      <c r="S364" s="105">
        <f t="shared" si="41"/>
        <v>687.77777777777783</v>
      </c>
      <c r="T364" s="114">
        <f>IFERROR(INDEX('MASTER por modelo'!$AQ$8:$AQ$474,MATCH(K364,'MASTER por modelo'!$D$8:$D$474,0)),"")</f>
        <v>0.45279934613812833</v>
      </c>
      <c r="U364" s="115">
        <f>IFERROR(INDEX('MASTER por modelo'!$AC$8:$AC$474,MATCH(K364,'MASTER por modelo'!$D$8:$D$474,0))+INDEX('MASTER por modelo'!$AD$8:$AD$474,MATCH(K364,'MASTER por modelo'!$D$8:$D$474,0)),"")</f>
        <v>1108</v>
      </c>
      <c r="V364" s="93"/>
    </row>
    <row r="365" spans="1:22" x14ac:dyDescent="0.25">
      <c r="A365" s="109" t="s">
        <v>63</v>
      </c>
      <c r="B365" s="109" t="s">
        <v>171</v>
      </c>
      <c r="C365" s="109" t="s">
        <v>363</v>
      </c>
      <c r="D365" s="103">
        <f t="shared" si="35"/>
        <v>201.38703498830148</v>
      </c>
      <c r="E365" s="110">
        <v>1.7156</v>
      </c>
      <c r="F365" s="110">
        <f t="shared" si="36"/>
        <v>1.1140259740259739</v>
      </c>
      <c r="G365" s="110">
        <f t="shared" si="37"/>
        <v>2</v>
      </c>
      <c r="H365" s="110"/>
      <c r="I365" s="111">
        <v>826</v>
      </c>
      <c r="J365" s="109" t="str">
        <f t="shared" si="38"/>
        <v>26</v>
      </c>
      <c r="K365" s="109" t="s">
        <v>421</v>
      </c>
      <c r="L365" s="109" t="s">
        <v>769</v>
      </c>
      <c r="M365" s="111">
        <v>23</v>
      </c>
      <c r="N365" s="110">
        <v>373.1</v>
      </c>
      <c r="O365" s="105">
        <f t="shared" si="39"/>
        <v>345.5</v>
      </c>
      <c r="P365" s="112">
        <v>7.46E-2</v>
      </c>
      <c r="Q365" s="113">
        <v>2.0769999999999999E-3</v>
      </c>
      <c r="R365" s="107">
        <f t="shared" si="40"/>
        <v>2.077</v>
      </c>
      <c r="S365" s="105">
        <f t="shared" si="41"/>
        <v>418.28087167070214</v>
      </c>
      <c r="T365" s="114">
        <f>IFERROR(INDEX('MASTER por modelo'!$AQ$8:$AQ$474,MATCH(K365,'MASTER por modelo'!$D$8:$D$474,0)),"")</f>
        <v>0.82082324455205813</v>
      </c>
      <c r="U365" s="115">
        <f>IFERROR(INDEX('MASTER por modelo'!$AC$8:$AC$474,MATCH(K365,'MASTER por modelo'!$D$8:$D$474,0))+INDEX('MASTER por modelo'!$AD$8:$AD$474,MATCH(K365,'MASTER por modelo'!$D$8:$D$474,0)),"")</f>
        <v>678</v>
      </c>
      <c r="V365" s="93"/>
    </row>
    <row r="366" spans="1:22" x14ac:dyDescent="0.25">
      <c r="A366" s="109" t="s">
        <v>55</v>
      </c>
      <c r="B366" s="109" t="s">
        <v>255</v>
      </c>
      <c r="C366" s="109" t="s">
        <v>132</v>
      </c>
      <c r="D366" s="103">
        <f t="shared" si="35"/>
        <v>195.92531622416391</v>
      </c>
      <c r="E366" s="110">
        <v>1.706</v>
      </c>
      <c r="F366" s="110">
        <f t="shared" si="36"/>
        <v>1.1077922077922078</v>
      </c>
      <c r="G366" s="110">
        <f t="shared" si="37"/>
        <v>2</v>
      </c>
      <c r="H366" s="110"/>
      <c r="I366" s="111">
        <v>636</v>
      </c>
      <c r="J366" s="109" t="str">
        <f t="shared" si="38"/>
        <v>26</v>
      </c>
      <c r="K366" s="109" t="s">
        <v>299</v>
      </c>
      <c r="L366" s="109" t="s">
        <v>780</v>
      </c>
      <c r="M366" s="111">
        <v>22</v>
      </c>
      <c r="N366" s="110">
        <v>360.6</v>
      </c>
      <c r="O366" s="105">
        <f t="shared" si="39"/>
        <v>334.20000000000005</v>
      </c>
      <c r="P366" s="112">
        <v>7.7499999999999999E-2</v>
      </c>
      <c r="Q366" s="113">
        <v>2.6819999999999999E-3</v>
      </c>
      <c r="R366" s="107">
        <f t="shared" si="40"/>
        <v>2.6819999999999999</v>
      </c>
      <c r="S366" s="105">
        <f t="shared" si="41"/>
        <v>525.47169811320759</v>
      </c>
      <c r="T366" s="114">
        <f>IFERROR(INDEX('MASTER por modelo'!$AQ$8:$AQ$474,MATCH(K366,'MASTER por modelo'!$D$8:$D$474,0)),"")</f>
        <v>0.67872523686477171</v>
      </c>
      <c r="U366" s="115">
        <f>IFERROR(INDEX('MASTER por modelo'!$AC$8:$AC$474,MATCH(K366,'MASTER por modelo'!$D$8:$D$474,0))+INDEX('MASTER por modelo'!$AD$8:$AD$474,MATCH(K366,'MASTER por modelo'!$D$8:$D$474,0)),"")</f>
        <v>788</v>
      </c>
      <c r="V366" s="93"/>
    </row>
    <row r="367" spans="1:22" x14ac:dyDescent="0.25">
      <c r="A367" s="109" t="s">
        <v>63</v>
      </c>
      <c r="B367" s="109" t="s">
        <v>102</v>
      </c>
      <c r="C367" s="109" t="s">
        <v>103</v>
      </c>
      <c r="D367" s="103">
        <f t="shared" si="35"/>
        <v>262.9117922114587</v>
      </c>
      <c r="E367" s="110">
        <v>1.7</v>
      </c>
      <c r="F367" s="110">
        <f t="shared" si="36"/>
        <v>1.1038961038961039</v>
      </c>
      <c r="G367" s="110">
        <f t="shared" si="37"/>
        <v>2</v>
      </c>
      <c r="H367" s="110"/>
      <c r="I367" s="111">
        <v>810</v>
      </c>
      <c r="J367" s="109" t="str">
        <f t="shared" si="38"/>
        <v>26</v>
      </c>
      <c r="K367" s="109" t="s">
        <v>422</v>
      </c>
      <c r="L367" s="109" t="s">
        <v>744</v>
      </c>
      <c r="M367" s="111">
        <v>20</v>
      </c>
      <c r="N367" s="110">
        <v>471</v>
      </c>
      <c r="O367" s="105">
        <f t="shared" si="39"/>
        <v>447</v>
      </c>
      <c r="P367" s="112">
        <v>8.5000000000000006E-2</v>
      </c>
      <c r="Q367" s="113">
        <v>2.0990000000000002E-3</v>
      </c>
      <c r="R367" s="107">
        <f t="shared" si="40"/>
        <v>2.0990000000000002</v>
      </c>
      <c r="S367" s="105">
        <f t="shared" si="41"/>
        <v>551.85185185185185</v>
      </c>
      <c r="T367" s="114">
        <f>IFERROR(INDEX('MASTER por modelo'!$AQ$8:$AQ$474,MATCH(K367,'MASTER por modelo'!$D$8:$D$474,0)),"")</f>
        <v>0.71358024691358024</v>
      </c>
      <c r="U367" s="115">
        <f>IFERROR(INDEX('MASTER por modelo'!$AC$8:$AC$474,MATCH(K367,'MASTER por modelo'!$D$8:$D$474,0))+INDEX('MASTER por modelo'!$AD$8:$AD$474,MATCH(K367,'MASTER por modelo'!$D$8:$D$474,0)),"")</f>
        <v>578</v>
      </c>
      <c r="V367" s="93"/>
    </row>
    <row r="368" spans="1:22" x14ac:dyDescent="0.25">
      <c r="A368" s="109" t="s">
        <v>55</v>
      </c>
      <c r="B368" s="109" t="s">
        <v>255</v>
      </c>
      <c r="C368" s="109" t="s">
        <v>132</v>
      </c>
      <c r="D368" s="103">
        <f t="shared" si="35"/>
        <v>251.31799894998085</v>
      </c>
      <c r="E368" s="110">
        <v>1.6896</v>
      </c>
      <c r="F368" s="110">
        <f t="shared" si="36"/>
        <v>1.0971428571428572</v>
      </c>
      <c r="G368" s="110">
        <f t="shared" si="37"/>
        <v>2</v>
      </c>
      <c r="H368" s="110"/>
      <c r="I368" s="111">
        <v>769</v>
      </c>
      <c r="J368" s="109" t="str">
        <f t="shared" si="38"/>
        <v>26</v>
      </c>
      <c r="K368" s="109" t="s">
        <v>423</v>
      </c>
      <c r="L368" s="109" t="s">
        <v>791</v>
      </c>
      <c r="M368" s="111">
        <v>22</v>
      </c>
      <c r="N368" s="110">
        <v>451</v>
      </c>
      <c r="O368" s="105">
        <f t="shared" si="39"/>
        <v>424.6</v>
      </c>
      <c r="P368" s="112">
        <v>7.6799999999999993E-2</v>
      </c>
      <c r="Q368" s="113">
        <v>2.1970000000000002E-3</v>
      </c>
      <c r="R368" s="107">
        <f t="shared" si="40"/>
        <v>2.1970000000000001</v>
      </c>
      <c r="S368" s="105">
        <f t="shared" si="41"/>
        <v>552.1456436931079</v>
      </c>
      <c r="T368" s="114">
        <f>IFERROR(INDEX('MASTER por modelo'!$AQ$8:$AQ$474,MATCH(K368,'MASTER por modelo'!$D$8:$D$474,0)),"")</f>
        <v>0.67490247074122234</v>
      </c>
      <c r="U368" s="115">
        <f>IFERROR(INDEX('MASTER por modelo'!$AC$8:$AC$474,MATCH(K368,'MASTER por modelo'!$D$8:$D$474,0))+INDEX('MASTER por modelo'!$AD$8:$AD$474,MATCH(K368,'MASTER por modelo'!$D$8:$D$474,0)),"")</f>
        <v>519</v>
      </c>
      <c r="V368" s="93"/>
    </row>
    <row r="369" spans="1:22" x14ac:dyDescent="0.25">
      <c r="A369" s="109" t="s">
        <v>55</v>
      </c>
      <c r="B369" s="109" t="s">
        <v>255</v>
      </c>
      <c r="C369" s="109" t="s">
        <v>132</v>
      </c>
      <c r="D369" s="103">
        <f t="shared" si="35"/>
        <v>261.2268962479933</v>
      </c>
      <c r="E369" s="110">
        <v>1.6896</v>
      </c>
      <c r="F369" s="110">
        <f t="shared" si="36"/>
        <v>1.0971428571428572</v>
      </c>
      <c r="G369" s="110">
        <f t="shared" si="37"/>
        <v>2</v>
      </c>
      <c r="H369" s="110"/>
      <c r="I369" s="111">
        <v>711</v>
      </c>
      <c r="J369" s="109" t="str">
        <f t="shared" si="38"/>
        <v>26</v>
      </c>
      <c r="K369" s="109" t="s">
        <v>424</v>
      </c>
      <c r="L369" s="109" t="s">
        <v>791</v>
      </c>
      <c r="M369" s="111">
        <v>22</v>
      </c>
      <c r="N369" s="110">
        <v>467.7</v>
      </c>
      <c r="O369" s="105">
        <f t="shared" si="39"/>
        <v>441.3</v>
      </c>
      <c r="P369" s="112">
        <v>7.6799999999999993E-2</v>
      </c>
      <c r="Q369" s="113">
        <v>2.3760000000000001E-3</v>
      </c>
      <c r="R369" s="107">
        <f t="shared" si="40"/>
        <v>2.3759999999999999</v>
      </c>
      <c r="S369" s="105">
        <f t="shared" si="41"/>
        <v>620.67510548523205</v>
      </c>
      <c r="T369" s="114">
        <f>IFERROR(INDEX('MASTER por modelo'!$AQ$8:$AQ$474,MATCH(K369,'MASTER por modelo'!$D$8:$D$474,0)),"")</f>
        <v>0.90436005625879046</v>
      </c>
      <c r="U369" s="115">
        <f>IFERROR(INDEX('MASTER por modelo'!$AC$8:$AC$474,MATCH(K369,'MASTER por modelo'!$D$8:$D$474,0))+INDEX('MASTER por modelo'!$AD$8:$AD$474,MATCH(K369,'MASTER por modelo'!$D$8:$D$474,0)),"")</f>
        <v>643</v>
      </c>
      <c r="V369" s="93"/>
    </row>
    <row r="370" spans="1:22" x14ac:dyDescent="0.25">
      <c r="A370" s="109" t="s">
        <v>55</v>
      </c>
      <c r="B370" s="109" t="s">
        <v>255</v>
      </c>
      <c r="C370" s="109" t="s">
        <v>132</v>
      </c>
      <c r="D370" s="103">
        <f t="shared" si="35"/>
        <v>236.79120799667413</v>
      </c>
      <c r="E370" s="110">
        <v>1.66</v>
      </c>
      <c r="F370" s="110">
        <f t="shared" si="36"/>
        <v>1.0779220779220779</v>
      </c>
      <c r="G370" s="110">
        <f t="shared" si="37"/>
        <v>2</v>
      </c>
      <c r="H370" s="110"/>
      <c r="I370" s="111">
        <v>683</v>
      </c>
      <c r="J370" s="109" t="str">
        <f t="shared" si="38"/>
        <v>26</v>
      </c>
      <c r="K370" s="109" t="s">
        <v>425</v>
      </c>
      <c r="L370" s="109" t="s">
        <v>787</v>
      </c>
      <c r="M370" s="111">
        <v>23</v>
      </c>
      <c r="N370" s="110">
        <v>420.6</v>
      </c>
      <c r="O370" s="105">
        <f t="shared" si="39"/>
        <v>393</v>
      </c>
      <c r="P370" s="112">
        <v>7.22E-2</v>
      </c>
      <c r="Q370" s="113">
        <v>2.4299999999999999E-3</v>
      </c>
      <c r="R370" s="107">
        <f t="shared" si="40"/>
        <v>2.4299999999999997</v>
      </c>
      <c r="S370" s="105">
        <f t="shared" si="41"/>
        <v>575.40263543191804</v>
      </c>
      <c r="T370" s="114">
        <f>IFERROR(INDEX('MASTER por modelo'!$AQ$8:$AQ$474,MATCH(K370,'MASTER por modelo'!$D$8:$D$474,0)),"")</f>
        <v>0.9092240117130308</v>
      </c>
      <c r="U370" s="115">
        <f>IFERROR(INDEX('MASTER por modelo'!$AC$8:$AC$474,MATCH(K370,'MASTER por modelo'!$D$8:$D$474,0))+INDEX('MASTER por modelo'!$AD$8:$AD$474,MATCH(K370,'MASTER por modelo'!$D$8:$D$474,0)),"")</f>
        <v>621</v>
      </c>
      <c r="V370" s="93"/>
    </row>
    <row r="371" spans="1:22" x14ac:dyDescent="0.25">
      <c r="A371" s="109" t="s">
        <v>138</v>
      </c>
      <c r="B371" s="109" t="s">
        <v>426</v>
      </c>
      <c r="C371" s="109" t="s">
        <v>427</v>
      </c>
      <c r="D371" s="103">
        <f t="shared" si="35"/>
        <v>124.81927710843375</v>
      </c>
      <c r="E371" s="110">
        <v>1.66</v>
      </c>
      <c r="F371" s="110">
        <f t="shared" si="36"/>
        <v>1.0779220779220779</v>
      </c>
      <c r="G371" s="110">
        <f t="shared" si="37"/>
        <v>2</v>
      </c>
      <c r="H371" s="110"/>
      <c r="I371" s="111">
        <v>500</v>
      </c>
      <c r="J371" s="109" t="str">
        <f t="shared" si="38"/>
        <v>26</v>
      </c>
      <c r="K371" s="109" t="s">
        <v>428</v>
      </c>
      <c r="L371" s="109" t="s">
        <v>781</v>
      </c>
      <c r="M371" s="111">
        <v>23</v>
      </c>
      <c r="N371" s="110">
        <v>234.8</v>
      </c>
      <c r="O371" s="105">
        <f t="shared" si="39"/>
        <v>207.20000000000002</v>
      </c>
      <c r="P371" s="112">
        <v>7.22E-2</v>
      </c>
      <c r="Q371" s="113">
        <v>3.32E-3</v>
      </c>
      <c r="R371" s="107">
        <f t="shared" si="40"/>
        <v>3.32</v>
      </c>
      <c r="S371" s="105">
        <f t="shared" si="41"/>
        <v>414.40000000000003</v>
      </c>
      <c r="T371" s="114">
        <f>IFERROR(INDEX('MASTER por modelo'!$AQ$8:$AQ$474,MATCH(K371,'MASTER por modelo'!$D$8:$D$474,0)),"")</f>
        <v>0.61599999999999999</v>
      </c>
      <c r="U371" s="115">
        <f>IFERROR(INDEX('MASTER por modelo'!$AC$8:$AC$474,MATCH(K371,'MASTER por modelo'!$D$8:$D$474,0))+INDEX('MASTER por modelo'!$AD$8:$AD$474,MATCH(K371,'MASTER por modelo'!$D$8:$D$474,0)),"")</f>
        <v>308</v>
      </c>
      <c r="V371" s="93"/>
    </row>
    <row r="372" spans="1:22" x14ac:dyDescent="0.25">
      <c r="A372" s="109" t="s">
        <v>55</v>
      </c>
      <c r="B372" s="109" t="s">
        <v>255</v>
      </c>
      <c r="C372" s="109" t="s">
        <v>347</v>
      </c>
      <c r="D372" s="103">
        <f t="shared" si="35"/>
        <v>233.43609936824953</v>
      </c>
      <c r="E372" s="110">
        <v>1.65</v>
      </c>
      <c r="F372" s="110">
        <f t="shared" si="36"/>
        <v>1.0714285714285714</v>
      </c>
      <c r="G372" s="110">
        <f t="shared" si="37"/>
        <v>2</v>
      </c>
      <c r="H372" s="110"/>
      <c r="I372" s="111">
        <v>853</v>
      </c>
      <c r="J372" s="109" t="str">
        <f t="shared" si="38"/>
        <v>26</v>
      </c>
      <c r="K372" s="109" t="s">
        <v>429</v>
      </c>
      <c r="L372" s="109" t="s">
        <v>806</v>
      </c>
      <c r="M372" s="111">
        <v>23</v>
      </c>
      <c r="N372" s="110">
        <v>412.7</v>
      </c>
      <c r="O372" s="105">
        <f t="shared" si="39"/>
        <v>385.09999999999997</v>
      </c>
      <c r="P372" s="112">
        <v>7.17E-2</v>
      </c>
      <c r="Q372" s="113">
        <v>1.934E-3</v>
      </c>
      <c r="R372" s="107">
        <f t="shared" si="40"/>
        <v>1.9339999999999999</v>
      </c>
      <c r="S372" s="105">
        <f t="shared" si="41"/>
        <v>451.46541617819457</v>
      </c>
      <c r="T372" s="114">
        <f>IFERROR(INDEX('MASTER por modelo'!$AQ$8:$AQ$474,MATCH(K372,'MASTER por modelo'!$D$8:$D$474,0)),"")</f>
        <v>0.59554513481828841</v>
      </c>
      <c r="U372" s="115">
        <f>IFERROR(INDEX('MASTER por modelo'!$AC$8:$AC$474,MATCH(K372,'MASTER por modelo'!$D$8:$D$474,0))+INDEX('MASTER por modelo'!$AD$8:$AD$474,MATCH(K372,'MASTER por modelo'!$D$8:$D$474,0)),"")</f>
        <v>508</v>
      </c>
      <c r="V372" s="93"/>
    </row>
    <row r="373" spans="1:22" x14ac:dyDescent="0.25">
      <c r="A373" s="109" t="s">
        <v>63</v>
      </c>
      <c r="B373" s="109" t="s">
        <v>171</v>
      </c>
      <c r="C373" s="109" t="s">
        <v>363</v>
      </c>
      <c r="D373" s="103">
        <f t="shared" si="35"/>
        <v>151.01826058911143</v>
      </c>
      <c r="E373" s="110">
        <v>1.64</v>
      </c>
      <c r="F373" s="110">
        <f t="shared" si="36"/>
        <v>1.0649350649350648</v>
      </c>
      <c r="G373" s="110">
        <f t="shared" si="37"/>
        <v>2</v>
      </c>
      <c r="H373" s="110"/>
      <c r="I373" s="111">
        <v>759</v>
      </c>
      <c r="J373" s="109" t="str">
        <f t="shared" si="38"/>
        <v>26</v>
      </c>
      <c r="K373" s="109" t="s">
        <v>430</v>
      </c>
      <c r="L373" s="109" t="s">
        <v>807</v>
      </c>
      <c r="M373" s="111">
        <v>16</v>
      </c>
      <c r="N373" s="110">
        <v>266.89999999999998</v>
      </c>
      <c r="O373" s="105">
        <f t="shared" si="39"/>
        <v>247.7</v>
      </c>
      <c r="P373" s="112">
        <v>0.10249999999999999</v>
      </c>
      <c r="Q373" s="113">
        <v>2.1610000000000002E-3</v>
      </c>
      <c r="R373" s="107">
        <f t="shared" si="40"/>
        <v>2.161</v>
      </c>
      <c r="S373" s="105">
        <f t="shared" si="41"/>
        <v>326.35046113306981</v>
      </c>
      <c r="T373" s="114">
        <f>IFERROR(INDEX('MASTER por modelo'!$AQ$8:$AQ$474,MATCH(K373,'MASTER por modelo'!$D$8:$D$474,0)),"")</f>
        <v>0.98682476943346509</v>
      </c>
      <c r="U373" s="115">
        <f>IFERROR(INDEX('MASTER por modelo'!$AC$8:$AC$474,MATCH(K373,'MASTER por modelo'!$D$8:$D$474,0))+INDEX('MASTER por modelo'!$AD$8:$AD$474,MATCH(K373,'MASTER por modelo'!$D$8:$D$474,0)),"")</f>
        <v>749</v>
      </c>
      <c r="V373" s="93"/>
    </row>
    <row r="374" spans="1:22" x14ac:dyDescent="0.25">
      <c r="A374" s="109" t="s">
        <v>55</v>
      </c>
      <c r="B374" s="109" t="s">
        <v>329</v>
      </c>
      <c r="C374" s="109" t="s">
        <v>330</v>
      </c>
      <c r="D374" s="103">
        <f t="shared" si="35"/>
        <v>138.83978709598753</v>
      </c>
      <c r="E374" s="110">
        <v>1.6319999999999999</v>
      </c>
      <c r="F374" s="110">
        <f t="shared" si="36"/>
        <v>1.0597402597402596</v>
      </c>
      <c r="G374" s="110">
        <f t="shared" si="37"/>
        <v>2</v>
      </c>
      <c r="H374" s="110"/>
      <c r="I374" s="111">
        <v>877</v>
      </c>
      <c r="J374" s="109" t="str">
        <f t="shared" si="38"/>
        <v>26</v>
      </c>
      <c r="K374" s="109" t="s">
        <v>431</v>
      </c>
      <c r="L374" s="109" t="s">
        <v>811</v>
      </c>
      <c r="M374" s="111">
        <v>17</v>
      </c>
      <c r="N374" s="110">
        <v>247</v>
      </c>
      <c r="O374" s="105">
        <f t="shared" si="39"/>
        <v>226.6</v>
      </c>
      <c r="P374" s="112">
        <v>9.6000000000000002E-2</v>
      </c>
      <c r="Q374" s="113">
        <v>1.861E-3</v>
      </c>
      <c r="R374" s="107">
        <f t="shared" si="40"/>
        <v>1.861</v>
      </c>
      <c r="S374" s="105">
        <f t="shared" si="41"/>
        <v>258.38084378563281</v>
      </c>
      <c r="T374" s="114">
        <f>IFERROR(INDEX('MASTER por modelo'!$AQ$8:$AQ$474,MATCH(K374,'MASTER por modelo'!$D$8:$D$474,0)),"")</f>
        <v>0.80045610034207526</v>
      </c>
      <c r="U374" s="115">
        <f>IFERROR(INDEX('MASTER por modelo'!$AC$8:$AC$474,MATCH(K374,'MASTER por modelo'!$D$8:$D$474,0))+INDEX('MASTER por modelo'!$AD$8:$AD$474,MATCH(K374,'MASTER por modelo'!$D$8:$D$474,0)),"")</f>
        <v>702</v>
      </c>
      <c r="V374" s="93"/>
    </row>
    <row r="375" spans="1:22" x14ac:dyDescent="0.25">
      <c r="A375" s="109" t="s">
        <v>55</v>
      </c>
      <c r="B375" s="109" t="s">
        <v>255</v>
      </c>
      <c r="C375" s="109" t="s">
        <v>132</v>
      </c>
      <c r="D375" s="103">
        <f t="shared" si="35"/>
        <v>273.01646431424837</v>
      </c>
      <c r="E375" s="110">
        <v>1.6319999999999999</v>
      </c>
      <c r="F375" s="110">
        <f t="shared" si="36"/>
        <v>1.0597402597402596</v>
      </c>
      <c r="G375" s="110">
        <f t="shared" si="37"/>
        <v>2</v>
      </c>
      <c r="H375" s="110"/>
      <c r="I375" s="111">
        <v>748</v>
      </c>
      <c r="J375" s="109" t="str">
        <f t="shared" si="38"/>
        <v>26</v>
      </c>
      <c r="K375" s="109" t="s">
        <v>432</v>
      </c>
      <c r="L375" s="109" t="s">
        <v>777</v>
      </c>
      <c r="M375" s="111">
        <v>17</v>
      </c>
      <c r="N375" s="110">
        <v>466</v>
      </c>
      <c r="O375" s="105">
        <f t="shared" si="39"/>
        <v>445.6</v>
      </c>
      <c r="P375" s="112">
        <v>9.6000000000000002E-2</v>
      </c>
      <c r="Q375" s="113">
        <v>2.1819999999999999E-3</v>
      </c>
      <c r="R375" s="107">
        <f t="shared" si="40"/>
        <v>2.1819999999999999</v>
      </c>
      <c r="S375" s="105">
        <f t="shared" si="41"/>
        <v>595.72192513368987</v>
      </c>
      <c r="T375" s="114">
        <f>IFERROR(INDEX('MASTER por modelo'!$AQ$8:$AQ$474,MATCH(K375,'MASTER por modelo'!$D$8:$D$474,0)),"")</f>
        <v>0.82352941176470584</v>
      </c>
      <c r="U375" s="115">
        <f>IFERROR(INDEX('MASTER por modelo'!$AC$8:$AC$474,MATCH(K375,'MASTER por modelo'!$D$8:$D$474,0))+INDEX('MASTER por modelo'!$AD$8:$AD$474,MATCH(K375,'MASTER por modelo'!$D$8:$D$474,0)),"")</f>
        <v>616</v>
      </c>
      <c r="V375" s="93"/>
    </row>
    <row r="376" spans="1:22" x14ac:dyDescent="0.25">
      <c r="A376" s="109" t="s">
        <v>55</v>
      </c>
      <c r="B376" s="109" t="s">
        <v>255</v>
      </c>
      <c r="C376" s="109" t="s">
        <v>132</v>
      </c>
      <c r="D376" s="103">
        <f t="shared" si="35"/>
        <v>273.68499751501861</v>
      </c>
      <c r="E376" s="110">
        <v>1.6319999999999999</v>
      </c>
      <c r="F376" s="110">
        <f t="shared" si="36"/>
        <v>1.0597402597402596</v>
      </c>
      <c r="G376" s="110">
        <f t="shared" si="37"/>
        <v>2</v>
      </c>
      <c r="H376" s="110"/>
      <c r="I376" s="111">
        <v>773</v>
      </c>
      <c r="J376" s="109" t="str">
        <f t="shared" si="38"/>
        <v>26</v>
      </c>
      <c r="K376" s="109" t="s">
        <v>433</v>
      </c>
      <c r="L376" s="109" t="s">
        <v>777</v>
      </c>
      <c r="M376" s="111">
        <v>17</v>
      </c>
      <c r="N376" s="110">
        <v>467</v>
      </c>
      <c r="O376" s="105">
        <f t="shared" si="39"/>
        <v>446.6</v>
      </c>
      <c r="P376" s="112">
        <v>9.6000000000000002E-2</v>
      </c>
      <c r="Q376" s="113">
        <v>2.111E-3</v>
      </c>
      <c r="R376" s="107">
        <f t="shared" si="40"/>
        <v>2.1110000000000002</v>
      </c>
      <c r="S376" s="105">
        <f t="shared" si="41"/>
        <v>577.74902975420434</v>
      </c>
      <c r="T376" s="114">
        <f>IFERROR(INDEX('MASTER por modelo'!$AQ$8:$AQ$474,MATCH(K376,'MASTER por modelo'!$D$8:$D$474,0)),"")</f>
        <v>0.8318240620957309</v>
      </c>
      <c r="U376" s="115">
        <f>IFERROR(INDEX('MASTER por modelo'!$AC$8:$AC$474,MATCH(K376,'MASTER por modelo'!$D$8:$D$474,0))+INDEX('MASTER por modelo'!$AD$8:$AD$474,MATCH(K376,'MASTER por modelo'!$D$8:$D$474,0)),"")</f>
        <v>643</v>
      </c>
      <c r="V376" s="93"/>
    </row>
    <row r="377" spans="1:22" x14ac:dyDescent="0.25">
      <c r="A377" s="109" t="s">
        <v>63</v>
      </c>
      <c r="B377" s="109" t="s">
        <v>84</v>
      </c>
      <c r="C377" s="109" t="s">
        <v>87</v>
      </c>
      <c r="D377" s="103">
        <f t="shared" si="35"/>
        <v>187.14680177513708</v>
      </c>
      <c r="E377" s="110">
        <v>1.6319999999999999</v>
      </c>
      <c r="F377" s="110">
        <f t="shared" si="36"/>
        <v>1.0597402597402596</v>
      </c>
      <c r="G377" s="110">
        <f t="shared" si="37"/>
        <v>2</v>
      </c>
      <c r="H377" s="110"/>
      <c r="I377" s="111">
        <v>633</v>
      </c>
      <c r="J377" s="109" t="str">
        <f t="shared" si="38"/>
        <v>26</v>
      </c>
      <c r="K377" s="109" t="s">
        <v>434</v>
      </c>
      <c r="L377" s="109" t="s">
        <v>789</v>
      </c>
      <c r="M377" s="111">
        <v>17</v>
      </c>
      <c r="N377" s="110">
        <v>325.8</v>
      </c>
      <c r="O377" s="105">
        <f t="shared" si="39"/>
        <v>305.40000000000003</v>
      </c>
      <c r="P377" s="112">
        <v>9.6000000000000002E-2</v>
      </c>
      <c r="Q377" s="113">
        <v>2.578E-3</v>
      </c>
      <c r="R377" s="107">
        <f t="shared" si="40"/>
        <v>2.5779999999999998</v>
      </c>
      <c r="S377" s="105">
        <f t="shared" si="41"/>
        <v>482.46445497630339</v>
      </c>
      <c r="T377" s="114">
        <f>IFERROR(INDEX('MASTER por modelo'!$AQ$8:$AQ$474,MATCH(K377,'MASTER por modelo'!$D$8:$D$474,0)),"")</f>
        <v>0.674565560821485</v>
      </c>
      <c r="U377" s="115">
        <f>IFERROR(INDEX('MASTER por modelo'!$AC$8:$AC$474,MATCH(K377,'MASTER por modelo'!$D$8:$D$474,0))+INDEX('MASTER por modelo'!$AD$8:$AD$474,MATCH(K377,'MASTER por modelo'!$D$8:$D$474,0)),"")</f>
        <v>427</v>
      </c>
      <c r="V377" s="93"/>
    </row>
    <row r="378" spans="1:22" x14ac:dyDescent="0.25">
      <c r="A378" s="109" t="s">
        <v>63</v>
      </c>
      <c r="B378" s="109" t="s">
        <v>171</v>
      </c>
      <c r="C378" s="109" t="s">
        <v>363</v>
      </c>
      <c r="D378" s="103">
        <f t="shared" si="35"/>
        <v>153.83879020242659</v>
      </c>
      <c r="E378" s="110">
        <v>1.63</v>
      </c>
      <c r="F378" s="110">
        <f t="shared" si="36"/>
        <v>1.0584415584415583</v>
      </c>
      <c r="G378" s="110">
        <f t="shared" si="37"/>
        <v>2</v>
      </c>
      <c r="H378" s="110"/>
      <c r="I378" s="111">
        <v>847</v>
      </c>
      <c r="J378" s="109" t="str">
        <f t="shared" si="38"/>
        <v>26</v>
      </c>
      <c r="K378" s="109" t="s">
        <v>435</v>
      </c>
      <c r="L378" s="109" t="s">
        <v>761</v>
      </c>
      <c r="M378" s="111">
        <v>17</v>
      </c>
      <c r="N378" s="110">
        <v>271.10000000000002</v>
      </c>
      <c r="O378" s="105">
        <f t="shared" si="39"/>
        <v>250.70000000000002</v>
      </c>
      <c r="P378" s="112">
        <v>9.5899999999999999E-2</v>
      </c>
      <c r="Q378" s="113">
        <v>1.9239999999999999E-3</v>
      </c>
      <c r="R378" s="107">
        <f t="shared" si="40"/>
        <v>1.9239999999999999</v>
      </c>
      <c r="S378" s="105">
        <f t="shared" si="41"/>
        <v>295.98583234946875</v>
      </c>
      <c r="T378" s="114">
        <f>IFERROR(INDEX('MASTER por modelo'!$AQ$8:$AQ$474,MATCH(K378,'MASTER por modelo'!$D$8:$D$474,0)),"")</f>
        <v>0.68949232585596221</v>
      </c>
      <c r="U378" s="115">
        <f>IFERROR(INDEX('MASTER por modelo'!$AC$8:$AC$474,MATCH(K378,'MASTER por modelo'!$D$8:$D$474,0))+INDEX('MASTER por modelo'!$AD$8:$AD$474,MATCH(K378,'MASTER por modelo'!$D$8:$D$474,0)),"")</f>
        <v>584</v>
      </c>
      <c r="V378" s="93"/>
    </row>
    <row r="379" spans="1:22" x14ac:dyDescent="0.25">
      <c r="A379" s="109" t="s">
        <v>63</v>
      </c>
      <c r="B379" s="109" t="s">
        <v>288</v>
      </c>
      <c r="C379" s="109" t="s">
        <v>289</v>
      </c>
      <c r="D379" s="103">
        <f t="shared" si="35"/>
        <v>105.98281160860523</v>
      </c>
      <c r="E379" s="110">
        <v>1.63</v>
      </c>
      <c r="F379" s="110">
        <f t="shared" si="36"/>
        <v>1.0584415584415583</v>
      </c>
      <c r="G379" s="110">
        <f t="shared" si="37"/>
        <v>2</v>
      </c>
      <c r="H379" s="110"/>
      <c r="I379" s="111">
        <v>590</v>
      </c>
      <c r="J379" s="109" t="str">
        <f t="shared" si="38"/>
        <v>26</v>
      </c>
      <c r="K379" s="109" t="s">
        <v>436</v>
      </c>
      <c r="L379" s="109" t="s">
        <v>788</v>
      </c>
      <c r="M379" s="111">
        <v>17</v>
      </c>
      <c r="N379" s="110">
        <v>193.17</v>
      </c>
      <c r="O379" s="105">
        <f t="shared" si="39"/>
        <v>172.76999999999998</v>
      </c>
      <c r="P379" s="112">
        <v>9.5899999999999999E-2</v>
      </c>
      <c r="Q379" s="113">
        <v>2.7629999999999998E-3</v>
      </c>
      <c r="R379" s="107">
        <f t="shared" si="40"/>
        <v>2.7629999999999999</v>
      </c>
      <c r="S379" s="105">
        <f t="shared" si="41"/>
        <v>292.83050847457628</v>
      </c>
      <c r="T379" s="114">
        <f>IFERROR(INDEX('MASTER por modelo'!$AQ$8:$AQ$474,MATCH(K379,'MASTER por modelo'!$D$8:$D$474,0)),"")</f>
        <v>0</v>
      </c>
      <c r="U379" s="115">
        <f>IFERROR(INDEX('MASTER por modelo'!$AC$8:$AC$474,MATCH(K379,'MASTER por modelo'!$D$8:$D$474,0))+INDEX('MASTER por modelo'!$AD$8:$AD$474,MATCH(K379,'MASTER por modelo'!$D$8:$D$474,0)),"")</f>
        <v>0</v>
      </c>
      <c r="V379" s="93"/>
    </row>
    <row r="380" spans="1:22" x14ac:dyDescent="0.25">
      <c r="A380" s="109" t="s">
        <v>55</v>
      </c>
      <c r="B380" s="109" t="s">
        <v>255</v>
      </c>
      <c r="C380" s="109" t="s">
        <v>103</v>
      </c>
      <c r="D380" s="103">
        <f t="shared" si="35"/>
        <v>203.54765005036487</v>
      </c>
      <c r="E380" s="110">
        <v>1.6279999999999999</v>
      </c>
      <c r="F380" s="110">
        <f t="shared" si="36"/>
        <v>1.0571428571428569</v>
      </c>
      <c r="G380" s="110">
        <f t="shared" si="37"/>
        <v>2</v>
      </c>
      <c r="H380" s="110"/>
      <c r="I380" s="111">
        <v>520</v>
      </c>
      <c r="J380" s="109" t="str">
        <f t="shared" si="38"/>
        <v>26</v>
      </c>
      <c r="K380" s="109" t="s">
        <v>437</v>
      </c>
      <c r="L380" s="109" t="s">
        <v>780</v>
      </c>
      <c r="M380" s="111">
        <v>21</v>
      </c>
      <c r="N380" s="110">
        <v>356.6</v>
      </c>
      <c r="O380" s="105">
        <f t="shared" si="39"/>
        <v>331.40000000000003</v>
      </c>
      <c r="P380" s="112">
        <v>7.7499999999999999E-2</v>
      </c>
      <c r="Q380" s="113">
        <v>3.1310000000000001E-3</v>
      </c>
      <c r="R380" s="107">
        <f t="shared" si="40"/>
        <v>3.1310000000000002</v>
      </c>
      <c r="S380" s="105">
        <f t="shared" si="41"/>
        <v>637.30769230769238</v>
      </c>
      <c r="T380" s="114">
        <f>IFERROR(INDEX('MASTER por modelo'!$AQ$8:$AQ$474,MATCH(K380,'MASTER por modelo'!$D$8:$D$474,0)),"")</f>
        <v>0.5461538461538461</v>
      </c>
      <c r="U380" s="115">
        <f>IFERROR(INDEX('MASTER por modelo'!$AC$8:$AC$474,MATCH(K380,'MASTER por modelo'!$D$8:$D$474,0))+INDEX('MASTER por modelo'!$AD$8:$AD$474,MATCH(K380,'MASTER por modelo'!$D$8:$D$474,0)),"")</f>
        <v>284</v>
      </c>
      <c r="V380" s="93"/>
    </row>
    <row r="381" spans="1:22" x14ac:dyDescent="0.25">
      <c r="A381" s="109" t="s">
        <v>55</v>
      </c>
      <c r="B381" s="109" t="s">
        <v>314</v>
      </c>
      <c r="C381" s="109" t="s">
        <v>315</v>
      </c>
      <c r="D381" s="103">
        <f t="shared" si="35"/>
        <v>190.09751017703312</v>
      </c>
      <c r="E381" s="110">
        <v>1.5840000000000001</v>
      </c>
      <c r="F381" s="110">
        <f t="shared" si="36"/>
        <v>1.0285714285714287</v>
      </c>
      <c r="G381" s="110">
        <f t="shared" si="37"/>
        <v>2</v>
      </c>
      <c r="H381" s="110"/>
      <c r="I381" s="111">
        <v>1050</v>
      </c>
      <c r="J381" s="109" t="str">
        <f t="shared" si="38"/>
        <v>26</v>
      </c>
      <c r="K381" s="109" t="s">
        <v>438</v>
      </c>
      <c r="L381" s="109" t="s">
        <v>808</v>
      </c>
      <c r="M381" s="111">
        <v>22</v>
      </c>
      <c r="N381" s="110">
        <v>327.60000000000002</v>
      </c>
      <c r="O381" s="105">
        <f t="shared" si="39"/>
        <v>301.20000000000005</v>
      </c>
      <c r="P381" s="112">
        <v>7.1999999999999995E-2</v>
      </c>
      <c r="Q381" s="113">
        <v>1.5089999999999999E-3</v>
      </c>
      <c r="R381" s="107">
        <f t="shared" si="40"/>
        <v>1.5089999999999999</v>
      </c>
      <c r="S381" s="105">
        <f t="shared" si="41"/>
        <v>286.85714285714295</v>
      </c>
      <c r="T381" s="114">
        <f>IFERROR(INDEX('MASTER por modelo'!$AQ$8:$AQ$474,MATCH(K381,'MASTER por modelo'!$D$8:$D$474,0)),"")</f>
        <v>0.55904761904761902</v>
      </c>
      <c r="U381" s="115">
        <f>IFERROR(INDEX('MASTER por modelo'!$AC$8:$AC$474,MATCH(K381,'MASTER por modelo'!$D$8:$D$474,0))+INDEX('MASTER por modelo'!$AD$8:$AD$474,MATCH(K381,'MASTER por modelo'!$D$8:$D$474,0)),"")</f>
        <v>587</v>
      </c>
      <c r="V381" s="93"/>
    </row>
    <row r="382" spans="1:22" x14ac:dyDescent="0.25">
      <c r="A382" s="109" t="s">
        <v>55</v>
      </c>
      <c r="B382" s="109" t="s">
        <v>255</v>
      </c>
      <c r="C382" s="109" t="s">
        <v>132</v>
      </c>
      <c r="D382" s="103">
        <f t="shared" si="35"/>
        <v>285.93398456412154</v>
      </c>
      <c r="E382" s="110">
        <v>1.58</v>
      </c>
      <c r="F382" s="110">
        <f t="shared" si="36"/>
        <v>1.025974025974026</v>
      </c>
      <c r="G382" s="110">
        <f t="shared" si="37"/>
        <v>2</v>
      </c>
      <c r="H382" s="110"/>
      <c r="I382" s="111">
        <v>657</v>
      </c>
      <c r="J382" s="109" t="str">
        <f t="shared" si="38"/>
        <v>26</v>
      </c>
      <c r="K382" s="109" t="s">
        <v>439</v>
      </c>
      <c r="L382" s="109" t="s">
        <v>787</v>
      </c>
      <c r="M382" s="111">
        <v>22</v>
      </c>
      <c r="N382" s="110">
        <v>478.2</v>
      </c>
      <c r="O382" s="105">
        <f t="shared" si="39"/>
        <v>451.8</v>
      </c>
      <c r="P382" s="112">
        <v>7.1800000000000003E-2</v>
      </c>
      <c r="Q382" s="113">
        <v>2.405E-3</v>
      </c>
      <c r="R382" s="107">
        <f t="shared" si="40"/>
        <v>2.4049999999999998</v>
      </c>
      <c r="S382" s="105">
        <f t="shared" si="41"/>
        <v>687.67123287671234</v>
      </c>
      <c r="T382" s="114">
        <f>IFERROR(INDEX('MASTER por modelo'!$AQ$8:$AQ$474,MATCH(K382,'MASTER por modelo'!$D$8:$D$474,0)),"")</f>
        <v>0.75799086757990863</v>
      </c>
      <c r="U382" s="115">
        <f>IFERROR(INDEX('MASTER por modelo'!$AC$8:$AC$474,MATCH(K382,'MASTER por modelo'!$D$8:$D$474,0))+INDEX('MASTER por modelo'!$AD$8:$AD$474,MATCH(K382,'MASTER por modelo'!$D$8:$D$474,0)),"")</f>
        <v>498</v>
      </c>
      <c r="V382" s="93"/>
    </row>
    <row r="383" spans="1:22" x14ac:dyDescent="0.25">
      <c r="A383" s="109" t="s">
        <v>55</v>
      </c>
      <c r="B383" s="109" t="s">
        <v>255</v>
      </c>
      <c r="C383" s="109" t="s">
        <v>132</v>
      </c>
      <c r="D383" s="103">
        <f t="shared" si="35"/>
        <v>202.95719202148715</v>
      </c>
      <c r="E383" s="110">
        <v>1.5509999999999999</v>
      </c>
      <c r="F383" s="110">
        <f t="shared" si="36"/>
        <v>1.0071428571428571</v>
      </c>
      <c r="G383" s="110">
        <f t="shared" si="37"/>
        <v>2</v>
      </c>
      <c r="H383" s="110"/>
      <c r="I383" s="111">
        <v>662</v>
      </c>
      <c r="J383" s="109" t="str">
        <f t="shared" si="38"/>
        <v>26</v>
      </c>
      <c r="K383" s="109" t="s">
        <v>312</v>
      </c>
      <c r="L383" s="109" t="s">
        <v>780</v>
      </c>
      <c r="M383" s="111">
        <v>20</v>
      </c>
      <c r="N383" s="110">
        <v>338.8</v>
      </c>
      <c r="O383" s="105">
        <f t="shared" si="39"/>
        <v>314.8</v>
      </c>
      <c r="P383" s="112">
        <v>7.7499999999999999E-2</v>
      </c>
      <c r="Q383" s="113">
        <v>2.343E-3</v>
      </c>
      <c r="R383" s="107">
        <f t="shared" si="40"/>
        <v>2.343</v>
      </c>
      <c r="S383" s="105">
        <f t="shared" si="41"/>
        <v>475.5287009063444</v>
      </c>
      <c r="T383" s="114">
        <f>IFERROR(INDEX('MASTER por modelo'!$AQ$8:$AQ$474,MATCH(K383,'MASTER por modelo'!$D$8:$D$474,0)),"")</f>
        <v>0.67868589743589747</v>
      </c>
      <c r="U383" s="115">
        <f>IFERROR(INDEX('MASTER por modelo'!$AC$8:$AC$474,MATCH(K383,'MASTER por modelo'!$D$8:$D$474,0))+INDEX('MASTER por modelo'!$AD$8:$AD$474,MATCH(K383,'MASTER por modelo'!$D$8:$D$474,0)),"")</f>
        <v>847</v>
      </c>
      <c r="V383" s="93"/>
    </row>
    <row r="384" spans="1:22" x14ac:dyDescent="0.25">
      <c r="A384" s="109" t="s">
        <v>55</v>
      </c>
      <c r="B384" s="109" t="s">
        <v>302</v>
      </c>
      <c r="C384" s="109" t="s">
        <v>303</v>
      </c>
      <c r="D384" s="103">
        <f t="shared" si="35"/>
        <v>186.1275850692686</v>
      </c>
      <c r="E384" s="110">
        <v>1.54</v>
      </c>
      <c r="F384" s="110">
        <f t="shared" si="36"/>
        <v>1</v>
      </c>
      <c r="G384" s="110">
        <f t="shared" si="37"/>
        <v>1</v>
      </c>
      <c r="H384" s="110"/>
      <c r="I384" s="111">
        <v>483</v>
      </c>
      <c r="J384" s="109" t="str">
        <f t="shared" si="38"/>
        <v>26</v>
      </c>
      <c r="K384" s="109" t="s">
        <v>440</v>
      </c>
      <c r="L384" s="109" t="s">
        <v>812</v>
      </c>
      <c r="M384" s="111">
        <v>16</v>
      </c>
      <c r="N384" s="110">
        <v>305.8</v>
      </c>
      <c r="O384" s="105">
        <f t="shared" si="39"/>
        <v>286.60000000000002</v>
      </c>
      <c r="P384" s="112">
        <v>9.6299999999999997E-2</v>
      </c>
      <c r="Q384" s="113">
        <v>3.1879999999999999E-3</v>
      </c>
      <c r="R384" s="107">
        <f t="shared" si="40"/>
        <v>3.1879999999999997</v>
      </c>
      <c r="S384" s="105">
        <f t="shared" si="41"/>
        <v>593.37474120082823</v>
      </c>
      <c r="T384" s="114">
        <f>IFERROR(INDEX('MASTER por modelo'!$AQ$8:$AQ$474,MATCH(K384,'MASTER por modelo'!$D$8:$D$474,0)),"")</f>
        <v>0.96066252587991718</v>
      </c>
      <c r="U384" s="115">
        <f>IFERROR(INDEX('MASTER por modelo'!$AC$8:$AC$474,MATCH(K384,'MASTER por modelo'!$D$8:$D$474,0))+INDEX('MASTER por modelo'!$AD$8:$AD$474,MATCH(K384,'MASTER por modelo'!$D$8:$D$474,0)),"")</f>
        <v>464</v>
      </c>
      <c r="V384" s="93"/>
    </row>
    <row r="385" spans="1:22" x14ac:dyDescent="0.25">
      <c r="A385" s="109" t="s">
        <v>63</v>
      </c>
      <c r="B385" s="109" t="s">
        <v>171</v>
      </c>
      <c r="C385" s="109" t="s">
        <v>363</v>
      </c>
      <c r="D385" s="103">
        <f t="shared" si="35"/>
        <v>221.80809963183489</v>
      </c>
      <c r="E385" s="110">
        <v>1.54</v>
      </c>
      <c r="F385" s="110">
        <f t="shared" si="36"/>
        <v>1</v>
      </c>
      <c r="G385" s="110">
        <f t="shared" si="37"/>
        <v>1</v>
      </c>
      <c r="H385" s="110"/>
      <c r="I385" s="111">
        <v>686</v>
      </c>
      <c r="J385" s="109" t="str">
        <f t="shared" si="38"/>
        <v>26</v>
      </c>
      <c r="K385" s="109" t="s">
        <v>441</v>
      </c>
      <c r="L385" s="109" t="s">
        <v>813</v>
      </c>
      <c r="M385" s="111">
        <v>16</v>
      </c>
      <c r="N385" s="110">
        <v>360.8</v>
      </c>
      <c r="O385" s="105">
        <f t="shared" si="39"/>
        <v>341.6</v>
      </c>
      <c r="P385" s="112">
        <v>9.6299999999999997E-2</v>
      </c>
      <c r="Q385" s="113">
        <v>2.245E-3</v>
      </c>
      <c r="R385" s="107">
        <f t="shared" si="40"/>
        <v>2.2450000000000001</v>
      </c>
      <c r="S385" s="105">
        <f t="shared" si="41"/>
        <v>497.9591836734694</v>
      </c>
      <c r="T385" s="114">
        <f>IFERROR(INDEX('MASTER por modelo'!$AQ$8:$AQ$474,MATCH(K385,'MASTER por modelo'!$D$8:$D$474,0)),"")</f>
        <v>0.93877551020408168</v>
      </c>
      <c r="U385" s="115">
        <f>IFERROR(INDEX('MASTER por modelo'!$AC$8:$AC$474,MATCH(K385,'MASTER por modelo'!$D$8:$D$474,0))+INDEX('MASTER por modelo'!$AD$8:$AD$474,MATCH(K385,'MASTER por modelo'!$D$8:$D$474,0)),"")</f>
        <v>644</v>
      </c>
      <c r="V385" s="93"/>
    </row>
    <row r="386" spans="1:22" x14ac:dyDescent="0.25">
      <c r="A386" s="109" t="s">
        <v>55</v>
      </c>
      <c r="B386" s="109" t="s">
        <v>329</v>
      </c>
      <c r="C386" s="109" t="s">
        <v>445</v>
      </c>
      <c r="D386" s="103">
        <f t="shared" si="35"/>
        <v>191.81602324443099</v>
      </c>
      <c r="E386" s="110">
        <v>1.536</v>
      </c>
      <c r="F386" s="110">
        <f t="shared" si="36"/>
        <v>0.9974025974025974</v>
      </c>
      <c r="G386" s="110">
        <f t="shared" si="37"/>
        <v>1</v>
      </c>
      <c r="H386" s="110"/>
      <c r="I386" s="111">
        <v>1048</v>
      </c>
      <c r="J386" s="109" t="str">
        <f t="shared" si="38"/>
        <v>26</v>
      </c>
      <c r="K386" s="109" t="s">
        <v>446</v>
      </c>
      <c r="L386" s="109" t="s">
        <v>814</v>
      </c>
      <c r="M386" s="111">
        <v>16</v>
      </c>
      <c r="N386" s="110">
        <v>313.89999999999998</v>
      </c>
      <c r="O386" s="105">
        <f t="shared" si="39"/>
        <v>294.7</v>
      </c>
      <c r="P386" s="112">
        <v>9.6000000000000002E-2</v>
      </c>
      <c r="Q386" s="113">
        <v>1.4660000000000001E-3</v>
      </c>
      <c r="R386" s="107">
        <f t="shared" si="40"/>
        <v>1.466</v>
      </c>
      <c r="S386" s="105">
        <f t="shared" si="41"/>
        <v>281.20229007633583</v>
      </c>
      <c r="T386" s="114">
        <f>IFERROR(INDEX('MASTER por modelo'!$AQ$8:$AQ$474,MATCH(K386,'MASTER por modelo'!$D$8:$D$474,0)),"")</f>
        <v>0.74809160305343514</v>
      </c>
      <c r="U386" s="115">
        <f>IFERROR(INDEX('MASTER por modelo'!$AC$8:$AC$474,MATCH(K386,'MASTER por modelo'!$D$8:$D$474,0))+INDEX('MASTER por modelo'!$AD$8:$AD$474,MATCH(K386,'MASTER por modelo'!$D$8:$D$474,0)),"")</f>
        <v>784</v>
      </c>
      <c r="V386" s="93"/>
    </row>
    <row r="387" spans="1:22" x14ac:dyDescent="0.25">
      <c r="A387" s="109" t="s">
        <v>55</v>
      </c>
      <c r="B387" s="109" t="s">
        <v>255</v>
      </c>
      <c r="C387" s="109" t="s">
        <v>132</v>
      </c>
      <c r="D387" s="103">
        <f t="shared" si="35"/>
        <v>226.45882981078512</v>
      </c>
      <c r="E387" s="110">
        <v>1.536</v>
      </c>
      <c r="F387" s="110">
        <f t="shared" si="36"/>
        <v>0.9974025974025974</v>
      </c>
      <c r="G387" s="110">
        <f t="shared" si="37"/>
        <v>1</v>
      </c>
      <c r="H387" s="110"/>
      <c r="I387" s="111">
        <v>715</v>
      </c>
      <c r="J387" s="109" t="str">
        <f t="shared" si="38"/>
        <v>26</v>
      </c>
      <c r="K387" s="109" t="s">
        <v>447</v>
      </c>
      <c r="L387" s="109" t="s">
        <v>777</v>
      </c>
      <c r="M387" s="111">
        <v>16</v>
      </c>
      <c r="N387" s="110">
        <v>367</v>
      </c>
      <c r="O387" s="105">
        <f t="shared" si="39"/>
        <v>347.8</v>
      </c>
      <c r="P387" s="112">
        <v>9.6000000000000002E-2</v>
      </c>
      <c r="Q387" s="113">
        <v>2.1480000000000002E-3</v>
      </c>
      <c r="R387" s="107">
        <f t="shared" si="40"/>
        <v>2.1480000000000001</v>
      </c>
      <c r="S387" s="105">
        <f t="shared" si="41"/>
        <v>486.43356643356645</v>
      </c>
      <c r="T387" s="114">
        <f>IFERROR(INDEX('MASTER por modelo'!$AQ$8:$AQ$474,MATCH(K387,'MASTER por modelo'!$D$8:$D$474,0)),"")</f>
        <v>0.83916083916083917</v>
      </c>
      <c r="U387" s="115">
        <f>IFERROR(INDEX('MASTER por modelo'!$AC$8:$AC$474,MATCH(K387,'MASTER por modelo'!$D$8:$D$474,0))+INDEX('MASTER por modelo'!$AD$8:$AD$474,MATCH(K387,'MASTER por modelo'!$D$8:$D$474,0)),"")</f>
        <v>600</v>
      </c>
      <c r="V387" s="93"/>
    </row>
    <row r="388" spans="1:22" x14ac:dyDescent="0.25">
      <c r="A388" s="109" t="s">
        <v>55</v>
      </c>
      <c r="B388" s="109" t="s">
        <v>302</v>
      </c>
      <c r="C388" s="109" t="s">
        <v>303</v>
      </c>
      <c r="D388" s="103">
        <f t="shared" si="35"/>
        <v>115.87410083650684</v>
      </c>
      <c r="E388" s="110">
        <v>1.536</v>
      </c>
      <c r="F388" s="110">
        <f t="shared" si="36"/>
        <v>0.9974025974025974</v>
      </c>
      <c r="G388" s="110">
        <f t="shared" si="37"/>
        <v>1</v>
      </c>
      <c r="H388" s="110"/>
      <c r="I388" s="111">
        <v>525</v>
      </c>
      <c r="J388" s="109" t="str">
        <f t="shared" si="38"/>
        <v>26</v>
      </c>
      <c r="K388" s="109" t="s">
        <v>304</v>
      </c>
      <c r="L388" s="109" t="s">
        <v>815</v>
      </c>
      <c r="M388" s="111">
        <v>16</v>
      </c>
      <c r="N388" s="110">
        <v>197.2</v>
      </c>
      <c r="O388" s="105">
        <f t="shared" si="39"/>
        <v>178</v>
      </c>
      <c r="P388" s="112">
        <v>9.6000000000000002E-2</v>
      </c>
      <c r="Q388" s="113">
        <v>2.9260000000000002E-3</v>
      </c>
      <c r="R388" s="107">
        <f t="shared" si="40"/>
        <v>2.9260000000000002</v>
      </c>
      <c r="S388" s="105">
        <f t="shared" si="41"/>
        <v>339.04761904761904</v>
      </c>
      <c r="T388" s="114">
        <f>IFERROR(INDEX('MASTER por modelo'!$AQ$8:$AQ$474,MATCH(K388,'MASTER por modelo'!$D$8:$D$474,0)),"")</f>
        <v>0.28000000000000003</v>
      </c>
      <c r="U388" s="115">
        <f>IFERROR(INDEX('MASTER por modelo'!$AC$8:$AC$474,MATCH(K388,'MASTER por modelo'!$D$8:$D$474,0))+INDEX('MASTER por modelo'!$AD$8:$AD$474,MATCH(K388,'MASTER por modelo'!$D$8:$D$474,0)),"")</f>
        <v>294</v>
      </c>
      <c r="V388" s="93"/>
    </row>
    <row r="389" spans="1:22" x14ac:dyDescent="0.25">
      <c r="A389" s="109" t="s">
        <v>55</v>
      </c>
      <c r="B389" s="109" t="s">
        <v>255</v>
      </c>
      <c r="C389" s="109" t="s">
        <v>347</v>
      </c>
      <c r="D389" s="103">
        <f t="shared" si="35"/>
        <v>222.9584713800505</v>
      </c>
      <c r="E389" s="110">
        <v>1.536</v>
      </c>
      <c r="F389" s="110">
        <f t="shared" si="36"/>
        <v>0.9974025974025974</v>
      </c>
      <c r="G389" s="110">
        <f t="shared" si="37"/>
        <v>1</v>
      </c>
      <c r="H389" s="110"/>
      <c r="I389" s="111">
        <v>816</v>
      </c>
      <c r="J389" s="109" t="str">
        <f t="shared" si="38"/>
        <v>26</v>
      </c>
      <c r="K389" s="109" t="s">
        <v>448</v>
      </c>
      <c r="L389" s="109" t="s">
        <v>803</v>
      </c>
      <c r="M389" s="111">
        <v>16</v>
      </c>
      <c r="N389" s="110">
        <v>361.6</v>
      </c>
      <c r="O389" s="105">
        <f t="shared" si="39"/>
        <v>342.40000000000003</v>
      </c>
      <c r="P389" s="112">
        <v>9.6000000000000002E-2</v>
      </c>
      <c r="Q389" s="113">
        <v>1.882E-3</v>
      </c>
      <c r="R389" s="107">
        <f t="shared" si="40"/>
        <v>1.8819999999999999</v>
      </c>
      <c r="S389" s="105">
        <f t="shared" si="41"/>
        <v>419.60784313725497</v>
      </c>
      <c r="T389" s="114">
        <f>IFERROR(INDEX('MASTER por modelo'!$AQ$8:$AQ$474,MATCH(K389,'MASTER por modelo'!$D$8:$D$474,0)),"")</f>
        <v>0.40073529411764708</v>
      </c>
      <c r="U389" s="115">
        <f>IFERROR(INDEX('MASTER por modelo'!$AC$8:$AC$474,MATCH(K389,'MASTER por modelo'!$D$8:$D$474,0))+INDEX('MASTER por modelo'!$AD$8:$AD$474,MATCH(K389,'MASTER por modelo'!$D$8:$D$474,0)),"")</f>
        <v>327</v>
      </c>
      <c r="V389" s="93"/>
    </row>
    <row r="390" spans="1:22" x14ac:dyDescent="0.25">
      <c r="A390" s="109" t="s">
        <v>55</v>
      </c>
      <c r="B390" s="109" t="s">
        <v>255</v>
      </c>
      <c r="C390" s="109" t="s">
        <v>347</v>
      </c>
      <c r="D390" s="103">
        <f t="shared" si="35"/>
        <v>222.88938593453409</v>
      </c>
      <c r="E390" s="110">
        <v>1.536</v>
      </c>
      <c r="F390" s="110">
        <f t="shared" si="36"/>
        <v>0.9974025974025974</v>
      </c>
      <c r="G390" s="110">
        <f t="shared" si="37"/>
        <v>1</v>
      </c>
      <c r="H390" s="110"/>
      <c r="I390" s="111">
        <v>779</v>
      </c>
      <c r="J390" s="109" t="str">
        <f t="shared" si="38"/>
        <v>26</v>
      </c>
      <c r="K390" s="109" t="s">
        <v>449</v>
      </c>
      <c r="L390" s="109" t="s">
        <v>803</v>
      </c>
      <c r="M390" s="111">
        <v>16</v>
      </c>
      <c r="N390" s="110">
        <v>361.6</v>
      </c>
      <c r="O390" s="105">
        <f t="shared" si="39"/>
        <v>342.40000000000003</v>
      </c>
      <c r="P390" s="112">
        <v>9.6000000000000002E-2</v>
      </c>
      <c r="Q390" s="113">
        <v>1.9719999999999998E-3</v>
      </c>
      <c r="R390" s="107">
        <f t="shared" si="40"/>
        <v>1.9719999999999998</v>
      </c>
      <c r="S390" s="105">
        <f t="shared" si="41"/>
        <v>439.53786906290122</v>
      </c>
      <c r="T390" s="114">
        <f>IFERROR(INDEX('MASTER por modelo'!$AQ$8:$AQ$474,MATCH(K390,'MASTER por modelo'!$D$8:$D$474,0)),"")</f>
        <v>0.64569961489088579</v>
      </c>
      <c r="U390" s="115">
        <f>IFERROR(INDEX('MASTER por modelo'!$AC$8:$AC$474,MATCH(K390,'MASTER por modelo'!$D$8:$D$474,0))+INDEX('MASTER por modelo'!$AD$8:$AD$474,MATCH(K390,'MASTER por modelo'!$D$8:$D$474,0)),"")</f>
        <v>503</v>
      </c>
      <c r="V390" s="93"/>
    </row>
    <row r="391" spans="1:22" x14ac:dyDescent="0.25">
      <c r="A391" s="109" t="s">
        <v>63</v>
      </c>
      <c r="B391" s="109" t="s">
        <v>263</v>
      </c>
      <c r="C391" s="109" t="s">
        <v>264</v>
      </c>
      <c r="D391" s="103">
        <f t="shared" si="35"/>
        <v>224.01999388208037</v>
      </c>
      <c r="E391" s="110">
        <v>1.536</v>
      </c>
      <c r="F391" s="110">
        <f t="shared" si="36"/>
        <v>0.9974025974025974</v>
      </c>
      <c r="G391" s="110">
        <f t="shared" si="37"/>
        <v>1</v>
      </c>
      <c r="H391" s="110"/>
      <c r="I391" s="111">
        <v>1115</v>
      </c>
      <c r="J391" s="109" t="str">
        <f t="shared" si="38"/>
        <v>26</v>
      </c>
      <c r="K391" s="109" t="s">
        <v>265</v>
      </c>
      <c r="L391" s="109" t="s">
        <v>796</v>
      </c>
      <c r="M391" s="111">
        <v>16</v>
      </c>
      <c r="N391" s="110">
        <v>363.4</v>
      </c>
      <c r="O391" s="105">
        <f t="shared" si="39"/>
        <v>344.2</v>
      </c>
      <c r="P391" s="112">
        <v>9.6000000000000002E-2</v>
      </c>
      <c r="Q391" s="113">
        <v>1.3780000000000001E-3</v>
      </c>
      <c r="R391" s="107">
        <f t="shared" si="40"/>
        <v>1.3780000000000001</v>
      </c>
      <c r="S391" s="105">
        <f t="shared" si="41"/>
        <v>308.69955156950675</v>
      </c>
      <c r="T391" s="114">
        <f>IFERROR(INDEX('MASTER por modelo'!$AQ$8:$AQ$474,MATCH(K391,'MASTER por modelo'!$D$8:$D$474,0)),"")</f>
        <v>0.75387387387387383</v>
      </c>
      <c r="U391" s="115">
        <f>IFERROR(INDEX('MASTER por modelo'!$AC$8:$AC$474,MATCH(K391,'MASTER por modelo'!$D$8:$D$474,0))+INDEX('MASTER por modelo'!$AD$8:$AD$474,MATCH(K391,'MASTER por modelo'!$D$8:$D$474,0)),"")</f>
        <v>2092</v>
      </c>
      <c r="V391" s="93"/>
    </row>
    <row r="392" spans="1:22" x14ac:dyDescent="0.25">
      <c r="A392" s="109" t="s">
        <v>63</v>
      </c>
      <c r="B392" s="109" t="s">
        <v>110</v>
      </c>
      <c r="C392" s="109" t="s">
        <v>100</v>
      </c>
      <c r="D392" s="103">
        <f t="shared" ref="D392:D455" si="42">IFERROR((1/R392)*S392,0)</f>
        <v>135.55887760895496</v>
      </c>
      <c r="E392" s="110">
        <v>1.536</v>
      </c>
      <c r="F392" s="110">
        <f t="shared" ref="F392:F455" si="43">E392/1.54</f>
        <v>0.9974025974025974</v>
      </c>
      <c r="G392" s="110">
        <f t="shared" ref="G392:G455" si="44">ROUNDUP(F392,0)</f>
        <v>1</v>
      </c>
      <c r="H392" s="110"/>
      <c r="I392" s="111">
        <v>341</v>
      </c>
      <c r="J392" s="109" t="str">
        <f t="shared" ref="J392:J455" si="45">LEFT(K392,2)</f>
        <v>26</v>
      </c>
      <c r="K392" s="109" t="s">
        <v>169</v>
      </c>
      <c r="L392" s="109" t="s">
        <v>745</v>
      </c>
      <c r="M392" s="111">
        <v>16</v>
      </c>
      <c r="N392" s="110">
        <v>227.4</v>
      </c>
      <c r="O392" s="105">
        <f t="shared" ref="O392:O455" si="46">N392-(M392*1.2)</f>
        <v>208.20000000000002</v>
      </c>
      <c r="P392" s="112">
        <v>9.6000000000000002E-2</v>
      </c>
      <c r="Q392" s="113">
        <v>4.5040000000000002E-3</v>
      </c>
      <c r="R392" s="107">
        <f t="shared" ref="R392:R455" si="47">Q392*1000</f>
        <v>4.5040000000000004</v>
      </c>
      <c r="S392" s="105">
        <f t="shared" ref="S392:S455" si="48">IFERROR((O392/I392)*1000,0)</f>
        <v>610.5571847507332</v>
      </c>
      <c r="T392" s="114">
        <f>IFERROR(INDEX('MASTER por modelo'!$AQ$8:$AQ$474,MATCH(K392,'MASTER por modelo'!$D$8:$D$474,0)),"")</f>
        <v>0.24600827912477824</v>
      </c>
      <c r="U392" s="115">
        <f>IFERROR(INDEX('MASTER por modelo'!$AC$8:$AC$474,MATCH(K392,'MASTER por modelo'!$D$8:$D$474,0))+INDEX('MASTER por modelo'!$AD$8:$AD$474,MATCH(K392,'MASTER por modelo'!$D$8:$D$474,0)),"")</f>
        <v>416</v>
      </c>
      <c r="V392" s="93"/>
    </row>
    <row r="393" spans="1:22" x14ac:dyDescent="0.25">
      <c r="A393" s="109" t="s">
        <v>55</v>
      </c>
      <c r="B393" s="109" t="s">
        <v>302</v>
      </c>
      <c r="C393" s="109" t="s">
        <v>303</v>
      </c>
      <c r="D393" s="103">
        <f t="shared" si="42"/>
        <v>115.87410083650684</v>
      </c>
      <c r="E393" s="110">
        <v>1.536</v>
      </c>
      <c r="F393" s="110">
        <f t="shared" si="43"/>
        <v>0.9974025974025974</v>
      </c>
      <c r="G393" s="110">
        <f t="shared" si="44"/>
        <v>1</v>
      </c>
      <c r="H393" s="110"/>
      <c r="I393" s="111">
        <v>525</v>
      </c>
      <c r="J393" s="109" t="str">
        <f t="shared" si="45"/>
        <v>26</v>
      </c>
      <c r="K393" s="109" t="s">
        <v>304</v>
      </c>
      <c r="L393" s="109" t="s">
        <v>816</v>
      </c>
      <c r="M393" s="111">
        <v>16</v>
      </c>
      <c r="N393" s="110">
        <v>197.2</v>
      </c>
      <c r="O393" s="105">
        <f t="shared" si="46"/>
        <v>178</v>
      </c>
      <c r="P393" s="112">
        <v>9.6000000000000002E-2</v>
      </c>
      <c r="Q393" s="113">
        <v>2.9260000000000002E-3</v>
      </c>
      <c r="R393" s="107">
        <f t="shared" si="47"/>
        <v>2.9260000000000002</v>
      </c>
      <c r="S393" s="105">
        <f t="shared" si="48"/>
        <v>339.04761904761904</v>
      </c>
      <c r="T393" s="114">
        <f>IFERROR(INDEX('MASTER por modelo'!$AQ$8:$AQ$474,MATCH(K393,'MASTER por modelo'!$D$8:$D$474,0)),"")</f>
        <v>0.28000000000000003</v>
      </c>
      <c r="U393" s="115">
        <f>IFERROR(INDEX('MASTER por modelo'!$AC$8:$AC$474,MATCH(K393,'MASTER por modelo'!$D$8:$D$474,0))+INDEX('MASTER por modelo'!$AD$8:$AD$474,MATCH(K393,'MASTER por modelo'!$D$8:$D$474,0)),"")</f>
        <v>294</v>
      </c>
      <c r="V393" s="93"/>
    </row>
    <row r="394" spans="1:22" x14ac:dyDescent="0.25">
      <c r="A394" s="109" t="s">
        <v>55</v>
      </c>
      <c r="B394" s="109" t="s">
        <v>314</v>
      </c>
      <c r="C394" s="109" t="s">
        <v>315</v>
      </c>
      <c r="D394" s="103">
        <f t="shared" si="42"/>
        <v>147.43069357743377</v>
      </c>
      <c r="E394" s="110">
        <v>1.5</v>
      </c>
      <c r="F394" s="110">
        <f t="shared" si="43"/>
        <v>0.97402597402597402</v>
      </c>
      <c r="G394" s="110">
        <f t="shared" si="44"/>
        <v>1</v>
      </c>
      <c r="H394" s="110"/>
      <c r="I394" s="111">
        <v>771</v>
      </c>
      <c r="J394" s="109" t="str">
        <f t="shared" si="45"/>
        <v>26</v>
      </c>
      <c r="K394" s="109" t="s">
        <v>316</v>
      </c>
      <c r="L394" s="109" t="s">
        <v>817</v>
      </c>
      <c r="M394" s="111">
        <v>15</v>
      </c>
      <c r="N394" s="110">
        <v>239.2</v>
      </c>
      <c r="O394" s="105">
        <f t="shared" si="46"/>
        <v>221.2</v>
      </c>
      <c r="P394" s="112">
        <v>0.1</v>
      </c>
      <c r="Q394" s="113">
        <v>1.946E-3</v>
      </c>
      <c r="R394" s="107">
        <f t="shared" si="47"/>
        <v>1.946</v>
      </c>
      <c r="S394" s="105">
        <f t="shared" si="48"/>
        <v>286.90012970168613</v>
      </c>
      <c r="T394" s="114">
        <f>IFERROR(INDEX('MASTER por modelo'!$AQ$8:$AQ$474,MATCH(K394,'MASTER por modelo'!$D$8:$D$474,0)),"")</f>
        <v>0.77711244178310046</v>
      </c>
      <c r="U394" s="115">
        <f>IFERROR(INDEX('MASTER por modelo'!$AC$8:$AC$474,MATCH(K394,'MASTER por modelo'!$D$8:$D$474,0))+INDEX('MASTER por modelo'!$AD$8:$AD$474,MATCH(K394,'MASTER por modelo'!$D$8:$D$474,0)),"")</f>
        <v>1168</v>
      </c>
      <c r="V394" s="93"/>
    </row>
    <row r="395" spans="1:22" x14ac:dyDescent="0.25">
      <c r="A395" s="109" t="s">
        <v>55</v>
      </c>
      <c r="B395" s="109" t="s">
        <v>255</v>
      </c>
      <c r="C395" s="109" t="s">
        <v>132</v>
      </c>
      <c r="D395" s="103">
        <f t="shared" si="42"/>
        <v>252.36740087622616</v>
      </c>
      <c r="E395" s="110">
        <v>1.4592000000000001</v>
      </c>
      <c r="F395" s="110">
        <f t="shared" si="43"/>
        <v>0.94753246753246756</v>
      </c>
      <c r="G395" s="110">
        <f t="shared" si="44"/>
        <v>1</v>
      </c>
      <c r="H395" s="110"/>
      <c r="I395" s="111">
        <v>636</v>
      </c>
      <c r="J395" s="109" t="str">
        <f t="shared" si="45"/>
        <v>26</v>
      </c>
      <c r="K395" s="109" t="s">
        <v>450</v>
      </c>
      <c r="L395" s="109" t="s">
        <v>791</v>
      </c>
      <c r="M395" s="111">
        <v>19</v>
      </c>
      <c r="N395" s="110">
        <v>391</v>
      </c>
      <c r="O395" s="105">
        <f t="shared" si="46"/>
        <v>368.2</v>
      </c>
      <c r="P395" s="112">
        <v>7.6799999999999993E-2</v>
      </c>
      <c r="Q395" s="113">
        <v>2.294E-3</v>
      </c>
      <c r="R395" s="107">
        <f t="shared" si="47"/>
        <v>2.294</v>
      </c>
      <c r="S395" s="105">
        <f t="shared" si="48"/>
        <v>578.93081761006283</v>
      </c>
      <c r="T395" s="114">
        <f>IFERROR(INDEX('MASTER por modelo'!$AQ$8:$AQ$474,MATCH(K395,'MASTER por modelo'!$D$8:$D$474,0)),"")</f>
        <v>0.85220125786163525</v>
      </c>
      <c r="U395" s="115">
        <f>IFERROR(INDEX('MASTER por modelo'!$AC$8:$AC$474,MATCH(K395,'MASTER por modelo'!$D$8:$D$474,0))+INDEX('MASTER por modelo'!$AD$8:$AD$474,MATCH(K395,'MASTER por modelo'!$D$8:$D$474,0)),"")</f>
        <v>542</v>
      </c>
      <c r="V395" s="93"/>
    </row>
    <row r="396" spans="1:22" x14ac:dyDescent="0.25">
      <c r="A396" s="109" t="s">
        <v>55</v>
      </c>
      <c r="B396" s="109" t="s">
        <v>255</v>
      </c>
      <c r="C396" s="109" t="s">
        <v>132</v>
      </c>
      <c r="D396" s="103">
        <f t="shared" si="42"/>
        <v>254.57327104033695</v>
      </c>
      <c r="E396" s="110">
        <v>1.4592000000000001</v>
      </c>
      <c r="F396" s="110">
        <f t="shared" si="43"/>
        <v>0.94753246753246756</v>
      </c>
      <c r="G396" s="110">
        <f t="shared" si="44"/>
        <v>1</v>
      </c>
      <c r="H396" s="110"/>
      <c r="I396" s="111">
        <v>624</v>
      </c>
      <c r="J396" s="109" t="str">
        <f t="shared" si="45"/>
        <v>26</v>
      </c>
      <c r="K396" s="109" t="s">
        <v>451</v>
      </c>
      <c r="L396" s="109" t="s">
        <v>791</v>
      </c>
      <c r="M396" s="111">
        <v>19</v>
      </c>
      <c r="N396" s="110">
        <v>394.2</v>
      </c>
      <c r="O396" s="105">
        <f t="shared" si="46"/>
        <v>371.4</v>
      </c>
      <c r="P396" s="112">
        <v>7.6799999999999993E-2</v>
      </c>
      <c r="Q396" s="113">
        <v>2.3379999999999998E-3</v>
      </c>
      <c r="R396" s="107">
        <f t="shared" si="47"/>
        <v>2.3379999999999996</v>
      </c>
      <c r="S396" s="105">
        <f t="shared" si="48"/>
        <v>595.19230769230774</v>
      </c>
      <c r="T396" s="114">
        <f>IFERROR(INDEX('MASTER por modelo'!$AQ$8:$AQ$474,MATCH(K396,'MASTER por modelo'!$D$8:$D$474,0)),"")</f>
        <v>0.92307692307692313</v>
      </c>
      <c r="U396" s="115">
        <f>IFERROR(INDEX('MASTER por modelo'!$AC$8:$AC$474,MATCH(K396,'MASTER por modelo'!$D$8:$D$474,0))+INDEX('MASTER por modelo'!$AD$8:$AD$474,MATCH(K396,'MASTER por modelo'!$D$8:$D$474,0)),"")</f>
        <v>576</v>
      </c>
      <c r="V396" s="93"/>
    </row>
    <row r="397" spans="1:22" x14ac:dyDescent="0.25">
      <c r="A397" s="109" t="s">
        <v>63</v>
      </c>
      <c r="B397" s="109" t="s">
        <v>84</v>
      </c>
      <c r="C397" s="109" t="s">
        <v>87</v>
      </c>
      <c r="D397" s="103">
        <f t="shared" si="42"/>
        <v>180.10684585982676</v>
      </c>
      <c r="E397" s="110">
        <v>1.4448000000000001</v>
      </c>
      <c r="F397" s="110">
        <f t="shared" si="43"/>
        <v>0.93818181818181823</v>
      </c>
      <c r="G397" s="110">
        <f t="shared" si="44"/>
        <v>1</v>
      </c>
      <c r="H397" s="110"/>
      <c r="I397" s="111">
        <v>498</v>
      </c>
      <c r="J397" s="109" t="str">
        <f t="shared" si="45"/>
        <v>27</v>
      </c>
      <c r="K397" s="109" t="s">
        <v>452</v>
      </c>
      <c r="L397" s="109" t="s">
        <v>782</v>
      </c>
      <c r="M397" s="111">
        <v>14</v>
      </c>
      <c r="N397" s="110">
        <v>277</v>
      </c>
      <c r="O397" s="105">
        <f t="shared" si="46"/>
        <v>260.2</v>
      </c>
      <c r="P397" s="112">
        <v>0.1032</v>
      </c>
      <c r="Q397" s="113">
        <v>2.9009999999999999E-3</v>
      </c>
      <c r="R397" s="107">
        <f t="shared" si="47"/>
        <v>2.9009999999999998</v>
      </c>
      <c r="S397" s="105">
        <f t="shared" si="48"/>
        <v>522.48995983935743</v>
      </c>
      <c r="T397" s="114">
        <f>IFERROR(INDEX('MASTER por modelo'!$AQ$8:$AQ$474,MATCH(K397,'MASTER por modelo'!$D$8:$D$474,0)),"")</f>
        <v>0</v>
      </c>
      <c r="U397" s="115">
        <f>IFERROR(INDEX('MASTER por modelo'!$AC$8:$AC$474,MATCH(K397,'MASTER por modelo'!$D$8:$D$474,0))+INDEX('MASTER por modelo'!$AD$8:$AD$474,MATCH(K397,'MASTER por modelo'!$D$8:$D$474,0)),"")</f>
        <v>0</v>
      </c>
      <c r="V397" s="93"/>
    </row>
    <row r="398" spans="1:22" x14ac:dyDescent="0.25">
      <c r="A398" s="109" t="s">
        <v>55</v>
      </c>
      <c r="B398" s="109" t="s">
        <v>255</v>
      </c>
      <c r="C398" s="109" t="s">
        <v>132</v>
      </c>
      <c r="D398" s="103">
        <f t="shared" si="42"/>
        <v>254.72505250058333</v>
      </c>
      <c r="E398" s="110">
        <v>1.44</v>
      </c>
      <c r="F398" s="110">
        <f t="shared" si="43"/>
        <v>0.93506493506493504</v>
      </c>
      <c r="G398" s="110">
        <f t="shared" si="44"/>
        <v>1</v>
      </c>
      <c r="H398" s="110"/>
      <c r="I398" s="111">
        <v>688</v>
      </c>
      <c r="J398" s="109" t="str">
        <f t="shared" si="45"/>
        <v>26</v>
      </c>
      <c r="K398" s="109" t="s">
        <v>453</v>
      </c>
      <c r="L398" s="109" t="s">
        <v>787</v>
      </c>
      <c r="M398" s="111">
        <v>20</v>
      </c>
      <c r="N398" s="110">
        <v>390.8</v>
      </c>
      <c r="O398" s="105">
        <f t="shared" si="46"/>
        <v>366.8</v>
      </c>
      <c r="P398" s="112">
        <v>7.1999999999999995E-2</v>
      </c>
      <c r="Q398" s="113">
        <v>2.0929999999999998E-3</v>
      </c>
      <c r="R398" s="107">
        <f t="shared" si="47"/>
        <v>2.093</v>
      </c>
      <c r="S398" s="105">
        <f t="shared" si="48"/>
        <v>533.1395348837209</v>
      </c>
      <c r="T398" s="114">
        <f>IFERROR(INDEX('MASTER por modelo'!$AQ$8:$AQ$474,MATCH(K398,'MASTER por modelo'!$D$8:$D$474,0)),"")</f>
        <v>0.98546511627906974</v>
      </c>
      <c r="U398" s="115">
        <f>IFERROR(INDEX('MASTER por modelo'!$AC$8:$AC$474,MATCH(K398,'MASTER por modelo'!$D$8:$D$474,0))+INDEX('MASTER por modelo'!$AD$8:$AD$474,MATCH(K398,'MASTER por modelo'!$D$8:$D$474,0)),"")</f>
        <v>678</v>
      </c>
      <c r="V398" s="93"/>
    </row>
    <row r="399" spans="1:22" x14ac:dyDescent="0.25">
      <c r="A399" s="109" t="s">
        <v>55</v>
      </c>
      <c r="B399" s="109" t="s">
        <v>255</v>
      </c>
      <c r="C399" s="109" t="s">
        <v>132</v>
      </c>
      <c r="D399" s="103">
        <f t="shared" si="42"/>
        <v>253.55927494964934</v>
      </c>
      <c r="E399" s="110">
        <v>1.44</v>
      </c>
      <c r="F399" s="110">
        <f t="shared" si="43"/>
        <v>0.93506493506493504</v>
      </c>
      <c r="G399" s="110">
        <f t="shared" si="44"/>
        <v>1</v>
      </c>
      <c r="H399" s="110"/>
      <c r="I399" s="111">
        <v>550</v>
      </c>
      <c r="J399" s="109" t="str">
        <f t="shared" si="45"/>
        <v>26</v>
      </c>
      <c r="K399" s="109" t="s">
        <v>454</v>
      </c>
      <c r="L399" s="109" t="s">
        <v>787</v>
      </c>
      <c r="M399" s="111">
        <v>20</v>
      </c>
      <c r="N399" s="110">
        <v>389.1</v>
      </c>
      <c r="O399" s="105">
        <f t="shared" si="46"/>
        <v>365.1</v>
      </c>
      <c r="P399" s="112">
        <v>7.1999999999999995E-2</v>
      </c>
      <c r="Q399" s="113">
        <v>2.6180000000000001E-3</v>
      </c>
      <c r="R399" s="107">
        <f t="shared" si="47"/>
        <v>2.6179999999999999</v>
      </c>
      <c r="S399" s="105">
        <f t="shared" si="48"/>
        <v>663.81818181818187</v>
      </c>
      <c r="T399" s="114">
        <f>IFERROR(INDEX('MASTER por modelo'!$AQ$8:$AQ$474,MATCH(K399,'MASTER por modelo'!$D$8:$D$474,0)),"")</f>
        <v>0.99636363636363634</v>
      </c>
      <c r="U399" s="115">
        <f>IFERROR(INDEX('MASTER por modelo'!$AC$8:$AC$474,MATCH(K399,'MASTER por modelo'!$D$8:$D$474,0))+INDEX('MASTER por modelo'!$AD$8:$AD$474,MATCH(K399,'MASTER por modelo'!$D$8:$D$474,0)),"")</f>
        <v>548</v>
      </c>
      <c r="V399" s="93"/>
    </row>
    <row r="400" spans="1:22" x14ac:dyDescent="0.25">
      <c r="A400" s="109" t="s">
        <v>63</v>
      </c>
      <c r="B400" s="109" t="s">
        <v>263</v>
      </c>
      <c r="C400" s="109" t="s">
        <v>264</v>
      </c>
      <c r="D400" s="103">
        <f t="shared" si="42"/>
        <v>178.67062940947724</v>
      </c>
      <c r="E400" s="110">
        <v>1.44</v>
      </c>
      <c r="F400" s="110">
        <f t="shared" si="43"/>
        <v>0.93506493506493504</v>
      </c>
      <c r="G400" s="110">
        <f t="shared" si="44"/>
        <v>1</v>
      </c>
      <c r="H400" s="110"/>
      <c r="I400" s="111">
        <v>766</v>
      </c>
      <c r="J400" s="109" t="str">
        <f t="shared" si="45"/>
        <v>26</v>
      </c>
      <c r="K400" s="109" t="s">
        <v>332</v>
      </c>
      <c r="L400" s="109" t="s">
        <v>809</v>
      </c>
      <c r="M400" s="111">
        <v>15</v>
      </c>
      <c r="N400" s="110">
        <v>275.3</v>
      </c>
      <c r="O400" s="105">
        <f t="shared" si="46"/>
        <v>257.3</v>
      </c>
      <c r="P400" s="112">
        <v>9.6000000000000002E-2</v>
      </c>
      <c r="Q400" s="113">
        <v>1.8799999999999999E-3</v>
      </c>
      <c r="R400" s="107">
        <f t="shared" si="47"/>
        <v>1.88</v>
      </c>
      <c r="S400" s="105">
        <f t="shared" si="48"/>
        <v>335.90078328981724</v>
      </c>
      <c r="T400" s="114">
        <f>IFERROR(INDEX('MASTER por modelo'!$AQ$8:$AQ$474,MATCH(K400,'MASTER por modelo'!$D$8:$D$474,0)),"")</f>
        <v>0.92476060191518472</v>
      </c>
      <c r="U400" s="115">
        <f>IFERROR(INDEX('MASTER por modelo'!$AC$8:$AC$474,MATCH(K400,'MASTER por modelo'!$D$8:$D$474,0))+INDEX('MASTER por modelo'!$AD$8:$AD$474,MATCH(K400,'MASTER por modelo'!$D$8:$D$474,0)),"")</f>
        <v>1352</v>
      </c>
      <c r="V400" s="93"/>
    </row>
    <row r="401" spans="1:22" x14ac:dyDescent="0.25">
      <c r="A401" s="109" t="s">
        <v>63</v>
      </c>
      <c r="B401" s="109" t="s">
        <v>263</v>
      </c>
      <c r="C401" s="109" t="s">
        <v>264</v>
      </c>
      <c r="D401" s="103">
        <f t="shared" si="42"/>
        <v>134.28690459658381</v>
      </c>
      <c r="E401" s="110">
        <v>1.44</v>
      </c>
      <c r="F401" s="110">
        <f t="shared" si="43"/>
        <v>0.93506493506493504</v>
      </c>
      <c r="G401" s="110">
        <f t="shared" si="44"/>
        <v>1</v>
      </c>
      <c r="H401" s="110"/>
      <c r="I401" s="111">
        <v>758</v>
      </c>
      <c r="J401" s="109" t="str">
        <f t="shared" si="45"/>
        <v>26</v>
      </c>
      <c r="K401" s="109" t="s">
        <v>455</v>
      </c>
      <c r="L401" s="109" t="s">
        <v>810</v>
      </c>
      <c r="M401" s="111">
        <v>15</v>
      </c>
      <c r="N401" s="110">
        <v>211.4</v>
      </c>
      <c r="O401" s="105">
        <f t="shared" si="46"/>
        <v>193.4</v>
      </c>
      <c r="P401" s="112">
        <v>9.6000000000000002E-2</v>
      </c>
      <c r="Q401" s="113">
        <v>1.9E-3</v>
      </c>
      <c r="R401" s="107">
        <f t="shared" si="47"/>
        <v>1.9</v>
      </c>
      <c r="S401" s="105">
        <f t="shared" si="48"/>
        <v>255.14511873350926</v>
      </c>
      <c r="T401" s="114">
        <f>IFERROR(INDEX('MASTER por modelo'!$AQ$8:$AQ$474,MATCH(K401,'MASTER por modelo'!$D$8:$D$474,0)),"")</f>
        <v>0.76385224274406327</v>
      </c>
      <c r="U401" s="115">
        <f>IFERROR(INDEX('MASTER por modelo'!$AC$8:$AC$474,MATCH(K401,'MASTER por modelo'!$D$8:$D$474,0))+INDEX('MASTER por modelo'!$AD$8:$AD$474,MATCH(K401,'MASTER por modelo'!$D$8:$D$474,0)),"")</f>
        <v>579</v>
      </c>
      <c r="V401" s="93"/>
    </row>
    <row r="402" spans="1:22" x14ac:dyDescent="0.25">
      <c r="A402" s="109" t="s">
        <v>63</v>
      </c>
      <c r="B402" s="109" t="s">
        <v>171</v>
      </c>
      <c r="C402" s="109" t="s">
        <v>363</v>
      </c>
      <c r="D402" s="103">
        <f t="shared" si="42"/>
        <v>170.2802610315845</v>
      </c>
      <c r="E402" s="110">
        <v>1.44</v>
      </c>
      <c r="F402" s="110">
        <f t="shared" si="43"/>
        <v>0.93506493506493504</v>
      </c>
      <c r="G402" s="110">
        <f t="shared" si="44"/>
        <v>1</v>
      </c>
      <c r="H402" s="110"/>
      <c r="I402" s="111">
        <v>709</v>
      </c>
      <c r="J402" s="109" t="str">
        <f t="shared" si="45"/>
        <v>26</v>
      </c>
      <c r="K402" s="109" t="s">
        <v>456</v>
      </c>
      <c r="L402" s="109" t="s">
        <v>761</v>
      </c>
      <c r="M402" s="111">
        <v>15</v>
      </c>
      <c r="N402" s="110">
        <v>263.2</v>
      </c>
      <c r="O402" s="105">
        <f t="shared" si="46"/>
        <v>245.2</v>
      </c>
      <c r="P402" s="112">
        <v>9.6000000000000002E-2</v>
      </c>
      <c r="Q402" s="113">
        <v>2.0309999999999998E-3</v>
      </c>
      <c r="R402" s="107">
        <f t="shared" si="47"/>
        <v>2.0309999999999997</v>
      </c>
      <c r="S402" s="105">
        <f t="shared" si="48"/>
        <v>345.83921015514807</v>
      </c>
      <c r="T402" s="114">
        <f>IFERROR(INDEX('MASTER por modelo'!$AQ$8:$AQ$474,MATCH(K402,'MASTER por modelo'!$D$8:$D$474,0)),"")</f>
        <v>0.68688293370944997</v>
      </c>
      <c r="U402" s="115">
        <f>IFERROR(INDEX('MASTER por modelo'!$AC$8:$AC$474,MATCH(K402,'MASTER por modelo'!$D$8:$D$474,0))+INDEX('MASTER por modelo'!$AD$8:$AD$474,MATCH(K402,'MASTER por modelo'!$D$8:$D$474,0)),"")</f>
        <v>487</v>
      </c>
      <c r="V402" s="93"/>
    </row>
    <row r="403" spans="1:22" x14ac:dyDescent="0.25">
      <c r="A403" s="109" t="s">
        <v>63</v>
      </c>
      <c r="B403" s="109" t="s">
        <v>110</v>
      </c>
      <c r="C403" s="109" t="s">
        <v>111</v>
      </c>
      <c r="D403" s="103">
        <f t="shared" si="42"/>
        <v>149.91931160718502</v>
      </c>
      <c r="E403" s="110">
        <v>1.44</v>
      </c>
      <c r="F403" s="110">
        <f t="shared" si="43"/>
        <v>0.93506493506493504</v>
      </c>
      <c r="G403" s="110">
        <f t="shared" si="44"/>
        <v>1</v>
      </c>
      <c r="H403" s="110"/>
      <c r="I403" s="111">
        <v>327</v>
      </c>
      <c r="J403" s="109" t="str">
        <f t="shared" si="45"/>
        <v>26</v>
      </c>
      <c r="K403" s="109" t="s">
        <v>153</v>
      </c>
      <c r="L403" s="109" t="s">
        <v>745</v>
      </c>
      <c r="M403" s="111">
        <v>16</v>
      </c>
      <c r="N403" s="110">
        <v>235.1</v>
      </c>
      <c r="O403" s="105">
        <f t="shared" si="46"/>
        <v>215.9</v>
      </c>
      <c r="P403" s="112">
        <v>0.09</v>
      </c>
      <c r="Q403" s="113">
        <v>4.4039999999999999E-3</v>
      </c>
      <c r="R403" s="107">
        <f t="shared" si="47"/>
        <v>4.4039999999999999</v>
      </c>
      <c r="S403" s="105">
        <f t="shared" si="48"/>
        <v>660.24464831804289</v>
      </c>
      <c r="T403" s="114">
        <f>IFERROR(INDEX('MASTER por modelo'!$AQ$8:$AQ$474,MATCH(K403,'MASTER por modelo'!$D$8:$D$474,0)),"")</f>
        <v>2.4481106971793506E-2</v>
      </c>
      <c r="U403" s="115">
        <f>IFERROR(INDEX('MASTER por modelo'!$AC$8:$AC$474,MATCH(K403,'MASTER por modelo'!$D$8:$D$474,0))+INDEX('MASTER por modelo'!$AD$8:$AD$474,MATCH(K403,'MASTER por modelo'!$D$8:$D$474,0)),"")</f>
        <v>46</v>
      </c>
      <c r="V403" s="93"/>
    </row>
    <row r="404" spans="1:22" x14ac:dyDescent="0.25">
      <c r="A404" s="109" t="s">
        <v>55</v>
      </c>
      <c r="B404" s="109" t="s">
        <v>314</v>
      </c>
      <c r="C404" s="109" t="s">
        <v>315</v>
      </c>
      <c r="D404" s="103">
        <f t="shared" si="42"/>
        <v>148.25225163463105</v>
      </c>
      <c r="E404" s="110">
        <v>1.4</v>
      </c>
      <c r="F404" s="110">
        <f t="shared" si="43"/>
        <v>0.90909090909090906</v>
      </c>
      <c r="G404" s="110">
        <f t="shared" si="44"/>
        <v>1</v>
      </c>
      <c r="H404" s="110"/>
      <c r="I404" s="111">
        <v>732</v>
      </c>
      <c r="J404" s="109" t="str">
        <f t="shared" si="45"/>
        <v>26</v>
      </c>
      <c r="K404" s="109" t="s">
        <v>316</v>
      </c>
      <c r="L404" s="109" t="s">
        <v>817</v>
      </c>
      <c r="M404" s="111">
        <v>14</v>
      </c>
      <c r="N404" s="110">
        <v>224.4</v>
      </c>
      <c r="O404" s="105">
        <f t="shared" si="46"/>
        <v>207.6</v>
      </c>
      <c r="P404" s="112">
        <v>0.1</v>
      </c>
      <c r="Q404" s="113">
        <v>1.913E-3</v>
      </c>
      <c r="R404" s="107">
        <f t="shared" si="47"/>
        <v>1.913</v>
      </c>
      <c r="S404" s="105">
        <f t="shared" si="48"/>
        <v>283.60655737704917</v>
      </c>
      <c r="T404" s="114">
        <f>IFERROR(INDEX('MASTER por modelo'!$AQ$8:$AQ$474,MATCH(K404,'MASTER por modelo'!$D$8:$D$474,0)),"")</f>
        <v>0.77711244178310046</v>
      </c>
      <c r="U404" s="115">
        <f>IFERROR(INDEX('MASTER por modelo'!$AC$8:$AC$474,MATCH(K404,'MASTER por modelo'!$D$8:$D$474,0))+INDEX('MASTER por modelo'!$AD$8:$AD$474,MATCH(K404,'MASTER por modelo'!$D$8:$D$474,0)),"")</f>
        <v>1168</v>
      </c>
      <c r="V404" s="93"/>
    </row>
    <row r="405" spans="1:22" x14ac:dyDescent="0.25">
      <c r="A405" s="109" t="s">
        <v>55</v>
      </c>
      <c r="B405" s="109" t="s">
        <v>255</v>
      </c>
      <c r="C405" s="109" t="s">
        <v>132</v>
      </c>
      <c r="D405" s="103">
        <f t="shared" si="42"/>
        <v>204.10473316655347</v>
      </c>
      <c r="E405" s="110">
        <v>1.3959999999999999</v>
      </c>
      <c r="F405" s="110">
        <f t="shared" si="43"/>
        <v>0.90649350649350646</v>
      </c>
      <c r="G405" s="110">
        <f t="shared" si="44"/>
        <v>1</v>
      </c>
      <c r="H405" s="110"/>
      <c r="I405" s="111">
        <v>586</v>
      </c>
      <c r="J405" s="109" t="str">
        <f t="shared" si="45"/>
        <v>26</v>
      </c>
      <c r="K405" s="109" t="s">
        <v>312</v>
      </c>
      <c r="L405" s="109" t="s">
        <v>780</v>
      </c>
      <c r="M405" s="111">
        <v>18</v>
      </c>
      <c r="N405" s="110">
        <v>306.5</v>
      </c>
      <c r="O405" s="105">
        <f t="shared" si="46"/>
        <v>284.89999999999998</v>
      </c>
      <c r="P405" s="112">
        <v>7.7600000000000002E-2</v>
      </c>
      <c r="Q405" s="113">
        <v>2.382E-3</v>
      </c>
      <c r="R405" s="107">
        <f t="shared" si="47"/>
        <v>2.3820000000000001</v>
      </c>
      <c r="S405" s="105">
        <f t="shared" si="48"/>
        <v>486.17747440273035</v>
      </c>
      <c r="T405" s="114">
        <f>IFERROR(INDEX('MASTER por modelo'!$AQ$8:$AQ$474,MATCH(K405,'MASTER por modelo'!$D$8:$D$474,0)),"")</f>
        <v>0.67868589743589747</v>
      </c>
      <c r="U405" s="115">
        <f>IFERROR(INDEX('MASTER por modelo'!$AC$8:$AC$474,MATCH(K405,'MASTER por modelo'!$D$8:$D$474,0))+INDEX('MASTER por modelo'!$AD$8:$AD$474,MATCH(K405,'MASTER por modelo'!$D$8:$D$474,0)),"")</f>
        <v>847</v>
      </c>
      <c r="V405" s="93"/>
    </row>
    <row r="406" spans="1:22" x14ac:dyDescent="0.25">
      <c r="A406" s="109" t="s">
        <v>55</v>
      </c>
      <c r="B406" s="109" t="s">
        <v>255</v>
      </c>
      <c r="C406" s="109" t="s">
        <v>132</v>
      </c>
      <c r="D406" s="103">
        <f t="shared" si="42"/>
        <v>197.06656637833771</v>
      </c>
      <c r="E406" s="110">
        <v>1.3959999999999999</v>
      </c>
      <c r="F406" s="110">
        <f t="shared" si="43"/>
        <v>0.90649350649350646</v>
      </c>
      <c r="G406" s="110">
        <f t="shared" si="44"/>
        <v>1</v>
      </c>
      <c r="H406" s="110"/>
      <c r="I406" s="111">
        <v>525</v>
      </c>
      <c r="J406" s="109" t="str">
        <f t="shared" si="45"/>
        <v>26</v>
      </c>
      <c r="K406" s="109" t="s">
        <v>299</v>
      </c>
      <c r="L406" s="109" t="s">
        <v>780</v>
      </c>
      <c r="M406" s="111">
        <v>18</v>
      </c>
      <c r="N406" s="110">
        <v>296.7</v>
      </c>
      <c r="O406" s="105">
        <f t="shared" si="46"/>
        <v>275.09999999999997</v>
      </c>
      <c r="P406" s="112">
        <v>7.7600000000000002E-2</v>
      </c>
      <c r="Q406" s="113">
        <v>2.6589999999999999E-3</v>
      </c>
      <c r="R406" s="107">
        <f t="shared" si="47"/>
        <v>2.6589999999999998</v>
      </c>
      <c r="S406" s="105">
        <f t="shared" si="48"/>
        <v>523.99999999999989</v>
      </c>
      <c r="T406" s="114">
        <f>IFERROR(INDEX('MASTER por modelo'!$AQ$8:$AQ$474,MATCH(K406,'MASTER por modelo'!$D$8:$D$474,0)),"")</f>
        <v>0.67872523686477171</v>
      </c>
      <c r="U406" s="115">
        <f>IFERROR(INDEX('MASTER por modelo'!$AC$8:$AC$474,MATCH(K406,'MASTER por modelo'!$D$8:$D$474,0))+INDEX('MASTER por modelo'!$AD$8:$AD$474,MATCH(K406,'MASTER por modelo'!$D$8:$D$474,0)),"")</f>
        <v>788</v>
      </c>
      <c r="V406" s="93"/>
    </row>
    <row r="407" spans="1:22" x14ac:dyDescent="0.25">
      <c r="A407" s="109" t="s">
        <v>55</v>
      </c>
      <c r="B407" s="109" t="s">
        <v>302</v>
      </c>
      <c r="C407" s="109" t="s">
        <v>303</v>
      </c>
      <c r="D407" s="103">
        <f t="shared" si="42"/>
        <v>162.12614746816701</v>
      </c>
      <c r="E407" s="110">
        <v>1.351</v>
      </c>
      <c r="F407" s="110">
        <f t="shared" si="43"/>
        <v>0.8772727272727272</v>
      </c>
      <c r="G407" s="110">
        <f t="shared" si="44"/>
        <v>1</v>
      </c>
      <c r="H407" s="110"/>
      <c r="I407" s="111">
        <v>614</v>
      </c>
      <c r="J407" s="109" t="str">
        <f t="shared" si="45"/>
        <v>26</v>
      </c>
      <c r="K407" s="109" t="s">
        <v>323</v>
      </c>
      <c r="L407" s="109" t="s">
        <v>815</v>
      </c>
      <c r="M407" s="111">
        <v>14</v>
      </c>
      <c r="N407" s="110">
        <v>235.8</v>
      </c>
      <c r="O407" s="105">
        <f t="shared" si="46"/>
        <v>219</v>
      </c>
      <c r="P407" s="112">
        <v>9.6500000000000002E-2</v>
      </c>
      <c r="Q407" s="113">
        <v>2.2000000000000001E-3</v>
      </c>
      <c r="R407" s="107">
        <f t="shared" si="47"/>
        <v>2.2000000000000002</v>
      </c>
      <c r="S407" s="105">
        <f t="shared" si="48"/>
        <v>356.67752442996743</v>
      </c>
      <c r="T407" s="114">
        <f>IFERROR(INDEX('MASTER por modelo'!$AQ$8:$AQ$474,MATCH(K407,'MASTER por modelo'!$D$8:$D$474,0)),"")</f>
        <v>0.28990228013029318</v>
      </c>
      <c r="U407" s="115">
        <f>IFERROR(INDEX('MASTER por modelo'!$AC$8:$AC$474,MATCH(K407,'MASTER por modelo'!$D$8:$D$474,0))+INDEX('MASTER por modelo'!$AD$8:$AD$474,MATCH(K407,'MASTER por modelo'!$D$8:$D$474,0)),"")</f>
        <v>356</v>
      </c>
      <c r="V407" s="93"/>
    </row>
    <row r="408" spans="1:22" x14ac:dyDescent="0.25">
      <c r="A408" s="109" t="s">
        <v>55</v>
      </c>
      <c r="B408" s="109" t="s">
        <v>302</v>
      </c>
      <c r="C408" s="109" t="s">
        <v>303</v>
      </c>
      <c r="D408" s="103">
        <f t="shared" si="42"/>
        <v>162.12614746816701</v>
      </c>
      <c r="E408" s="110">
        <v>1.351</v>
      </c>
      <c r="F408" s="110">
        <f t="shared" si="43"/>
        <v>0.8772727272727272</v>
      </c>
      <c r="G408" s="110">
        <f t="shared" si="44"/>
        <v>1</v>
      </c>
      <c r="H408" s="110"/>
      <c r="I408" s="111">
        <v>614</v>
      </c>
      <c r="J408" s="109" t="str">
        <f t="shared" si="45"/>
        <v>26</v>
      </c>
      <c r="K408" s="109" t="s">
        <v>323</v>
      </c>
      <c r="L408" s="109" t="s">
        <v>818</v>
      </c>
      <c r="M408" s="111">
        <v>14</v>
      </c>
      <c r="N408" s="110">
        <v>235.8</v>
      </c>
      <c r="O408" s="105">
        <f t="shared" si="46"/>
        <v>219</v>
      </c>
      <c r="P408" s="112">
        <v>9.6500000000000002E-2</v>
      </c>
      <c r="Q408" s="113">
        <v>2.2000000000000001E-3</v>
      </c>
      <c r="R408" s="107">
        <f t="shared" si="47"/>
        <v>2.2000000000000002</v>
      </c>
      <c r="S408" s="105">
        <f t="shared" si="48"/>
        <v>356.67752442996743</v>
      </c>
      <c r="T408" s="114">
        <f>IFERROR(INDEX('MASTER por modelo'!$AQ$8:$AQ$474,MATCH(K408,'MASTER por modelo'!$D$8:$D$474,0)),"")</f>
        <v>0.28990228013029318</v>
      </c>
      <c r="U408" s="115">
        <f>IFERROR(INDEX('MASTER por modelo'!$AC$8:$AC$474,MATCH(K408,'MASTER por modelo'!$D$8:$D$474,0))+INDEX('MASTER por modelo'!$AD$8:$AD$474,MATCH(K408,'MASTER por modelo'!$D$8:$D$474,0)),"")</f>
        <v>356</v>
      </c>
      <c r="V408" s="93"/>
    </row>
    <row r="409" spans="1:22" x14ac:dyDescent="0.25">
      <c r="A409" s="109" t="s">
        <v>55</v>
      </c>
      <c r="B409" s="109" t="s">
        <v>329</v>
      </c>
      <c r="C409" s="109" t="s">
        <v>330</v>
      </c>
      <c r="D409" s="103">
        <f t="shared" si="42"/>
        <v>159.47598409258683</v>
      </c>
      <c r="E409" s="110">
        <v>1.3440000000000001</v>
      </c>
      <c r="F409" s="110">
        <f t="shared" si="43"/>
        <v>0.8727272727272728</v>
      </c>
      <c r="G409" s="110">
        <f t="shared" si="44"/>
        <v>1</v>
      </c>
      <c r="H409" s="110"/>
      <c r="I409" s="111">
        <v>857</v>
      </c>
      <c r="J409" s="109" t="str">
        <f t="shared" si="45"/>
        <v>26</v>
      </c>
      <c r="K409" s="109" t="s">
        <v>331</v>
      </c>
      <c r="L409" s="109" t="s">
        <v>814</v>
      </c>
      <c r="M409" s="111">
        <v>14</v>
      </c>
      <c r="N409" s="110">
        <v>231.1</v>
      </c>
      <c r="O409" s="105">
        <f t="shared" si="46"/>
        <v>214.29999999999998</v>
      </c>
      <c r="P409" s="112">
        <v>9.6000000000000002E-2</v>
      </c>
      <c r="Q409" s="113">
        <v>1.5679999999999999E-3</v>
      </c>
      <c r="R409" s="107">
        <f t="shared" si="47"/>
        <v>1.5680000000000001</v>
      </c>
      <c r="S409" s="105">
        <f t="shared" si="48"/>
        <v>250.05834305717616</v>
      </c>
      <c r="T409" s="114">
        <f>IFERROR(INDEX('MASTER por modelo'!$AQ$8:$AQ$474,MATCH(K409,'MASTER por modelo'!$D$8:$D$474,0)),"")</f>
        <v>0.71319648093841648</v>
      </c>
      <c r="U409" s="115">
        <f>IFERROR(INDEX('MASTER por modelo'!$AC$8:$AC$474,MATCH(K409,'MASTER por modelo'!$D$8:$D$474,0))+INDEX('MASTER por modelo'!$AD$8:$AD$474,MATCH(K409,'MASTER por modelo'!$D$8:$D$474,0)),"")</f>
        <v>1216</v>
      </c>
      <c r="V409" s="93"/>
    </row>
    <row r="410" spans="1:22" x14ac:dyDescent="0.25">
      <c r="A410" s="109" t="s">
        <v>55</v>
      </c>
      <c r="B410" s="109" t="s">
        <v>329</v>
      </c>
      <c r="C410" s="109" t="s">
        <v>330</v>
      </c>
      <c r="D410" s="103">
        <f t="shared" si="42"/>
        <v>159.43991429081601</v>
      </c>
      <c r="E410" s="110">
        <v>1.3440000000000001</v>
      </c>
      <c r="F410" s="110">
        <f t="shared" si="43"/>
        <v>0.8727272727272728</v>
      </c>
      <c r="G410" s="110">
        <f t="shared" si="44"/>
        <v>1</v>
      </c>
      <c r="H410" s="110"/>
      <c r="I410" s="111">
        <v>848</v>
      </c>
      <c r="J410" s="109" t="str">
        <f t="shared" si="45"/>
        <v>26</v>
      </c>
      <c r="K410" s="109" t="s">
        <v>331</v>
      </c>
      <c r="L410" s="109" t="s">
        <v>814</v>
      </c>
      <c r="M410" s="111">
        <v>14</v>
      </c>
      <c r="N410" s="110">
        <v>231.1</v>
      </c>
      <c r="O410" s="105">
        <f t="shared" si="46"/>
        <v>214.29999999999998</v>
      </c>
      <c r="P410" s="112">
        <v>9.6000000000000002E-2</v>
      </c>
      <c r="Q410" s="113">
        <v>1.585E-3</v>
      </c>
      <c r="R410" s="107">
        <f t="shared" si="47"/>
        <v>1.585</v>
      </c>
      <c r="S410" s="105">
        <f t="shared" si="48"/>
        <v>252.71226415094338</v>
      </c>
      <c r="T410" s="114">
        <f>IFERROR(INDEX('MASTER por modelo'!$AQ$8:$AQ$474,MATCH(K410,'MASTER por modelo'!$D$8:$D$474,0)),"")</f>
        <v>0.71319648093841648</v>
      </c>
      <c r="U410" s="115">
        <f>IFERROR(INDEX('MASTER por modelo'!$AC$8:$AC$474,MATCH(K410,'MASTER por modelo'!$D$8:$D$474,0))+INDEX('MASTER por modelo'!$AD$8:$AD$474,MATCH(K410,'MASTER por modelo'!$D$8:$D$474,0)),"")</f>
        <v>1216</v>
      </c>
      <c r="V410" s="93"/>
    </row>
    <row r="411" spans="1:22" x14ac:dyDescent="0.25">
      <c r="A411" s="109" t="s">
        <v>63</v>
      </c>
      <c r="B411" s="109" t="s">
        <v>263</v>
      </c>
      <c r="C411" s="109" t="s">
        <v>264</v>
      </c>
      <c r="D411" s="103">
        <f t="shared" si="42"/>
        <v>159.3062847482648</v>
      </c>
      <c r="E411" s="110">
        <v>1.3440000000000001</v>
      </c>
      <c r="F411" s="110">
        <f t="shared" si="43"/>
        <v>0.8727272727272728</v>
      </c>
      <c r="G411" s="110">
        <f t="shared" si="44"/>
        <v>1</v>
      </c>
      <c r="H411" s="110"/>
      <c r="I411" s="111">
        <v>732</v>
      </c>
      <c r="J411" s="109" t="str">
        <f t="shared" si="45"/>
        <v>26</v>
      </c>
      <c r="K411" s="109" t="s">
        <v>457</v>
      </c>
      <c r="L411" s="109" t="s">
        <v>819</v>
      </c>
      <c r="M411" s="111">
        <v>14</v>
      </c>
      <c r="N411" s="110">
        <v>230.9</v>
      </c>
      <c r="O411" s="105">
        <f t="shared" si="46"/>
        <v>214.1</v>
      </c>
      <c r="P411" s="112">
        <v>9.6000000000000002E-2</v>
      </c>
      <c r="Q411" s="113">
        <v>1.836E-3</v>
      </c>
      <c r="R411" s="107">
        <f t="shared" si="47"/>
        <v>1.8359999999999999</v>
      </c>
      <c r="S411" s="105">
        <f t="shared" si="48"/>
        <v>292.4863387978142</v>
      </c>
      <c r="T411" s="114">
        <f>IFERROR(INDEX('MASTER por modelo'!$AQ$8:$AQ$474,MATCH(K411,'MASTER por modelo'!$D$8:$D$474,0)),"")</f>
        <v>0.98360655737704916</v>
      </c>
      <c r="U411" s="115">
        <f>IFERROR(INDEX('MASTER por modelo'!$AC$8:$AC$474,MATCH(K411,'MASTER por modelo'!$D$8:$D$474,0))+INDEX('MASTER por modelo'!$AD$8:$AD$474,MATCH(K411,'MASTER por modelo'!$D$8:$D$474,0)),"")</f>
        <v>720</v>
      </c>
      <c r="V411" s="93"/>
    </row>
    <row r="412" spans="1:22" x14ac:dyDescent="0.25">
      <c r="A412" s="109" t="s">
        <v>63</v>
      </c>
      <c r="B412" s="109" t="s">
        <v>288</v>
      </c>
      <c r="C412" s="109" t="s">
        <v>289</v>
      </c>
      <c r="D412" s="103">
        <f t="shared" si="42"/>
        <v>187.47991286647857</v>
      </c>
      <c r="E412" s="110">
        <v>1.3440000000000001</v>
      </c>
      <c r="F412" s="110">
        <f t="shared" si="43"/>
        <v>0.8727272727272728</v>
      </c>
      <c r="G412" s="110">
        <f t="shared" si="44"/>
        <v>1</v>
      </c>
      <c r="H412" s="110"/>
      <c r="I412" s="111">
        <v>683</v>
      </c>
      <c r="J412" s="109" t="str">
        <f t="shared" si="45"/>
        <v>26</v>
      </c>
      <c r="K412" s="109" t="s">
        <v>458</v>
      </c>
      <c r="L412" s="109" t="s">
        <v>753</v>
      </c>
      <c r="M412" s="111">
        <v>14</v>
      </c>
      <c r="N412" s="110">
        <v>268.8</v>
      </c>
      <c r="O412" s="105">
        <f t="shared" si="46"/>
        <v>252</v>
      </c>
      <c r="P412" s="112">
        <v>9.6000000000000002E-2</v>
      </c>
      <c r="Q412" s="113">
        <v>1.9680000000000001E-3</v>
      </c>
      <c r="R412" s="107">
        <f t="shared" si="47"/>
        <v>1.9680000000000002</v>
      </c>
      <c r="S412" s="105">
        <f t="shared" si="48"/>
        <v>368.96046852122987</v>
      </c>
      <c r="T412" s="114">
        <f>IFERROR(INDEX('MASTER por modelo'!$AQ$8:$AQ$474,MATCH(K412,'MASTER por modelo'!$D$8:$D$474,0)),"")</f>
        <v>0.97803806734992682</v>
      </c>
      <c r="U412" s="115">
        <f>IFERROR(INDEX('MASTER por modelo'!$AC$8:$AC$474,MATCH(K412,'MASTER por modelo'!$D$8:$D$474,0))+INDEX('MASTER por modelo'!$AD$8:$AD$474,MATCH(K412,'MASTER por modelo'!$D$8:$D$474,0)),"")</f>
        <v>668</v>
      </c>
      <c r="V412" s="93"/>
    </row>
    <row r="413" spans="1:22" x14ac:dyDescent="0.25">
      <c r="A413" s="109" t="s">
        <v>55</v>
      </c>
      <c r="B413" s="109" t="s">
        <v>255</v>
      </c>
      <c r="C413" s="109" t="s">
        <v>132</v>
      </c>
      <c r="D413" s="103">
        <f t="shared" si="42"/>
        <v>230.08212116070925</v>
      </c>
      <c r="E413" s="110">
        <v>1.3440000000000001</v>
      </c>
      <c r="F413" s="110">
        <f t="shared" si="43"/>
        <v>0.8727272727272728</v>
      </c>
      <c r="G413" s="110">
        <f t="shared" si="44"/>
        <v>1</v>
      </c>
      <c r="H413" s="110"/>
      <c r="I413" s="111">
        <v>636</v>
      </c>
      <c r="J413" s="109" t="str">
        <f t="shared" si="45"/>
        <v>26</v>
      </c>
      <c r="K413" s="109" t="s">
        <v>459</v>
      </c>
      <c r="L413" s="109" t="s">
        <v>777</v>
      </c>
      <c r="M413" s="111">
        <v>14</v>
      </c>
      <c r="N413" s="110">
        <v>326</v>
      </c>
      <c r="O413" s="105">
        <f t="shared" si="46"/>
        <v>309.2</v>
      </c>
      <c r="P413" s="112">
        <v>9.6000000000000002E-2</v>
      </c>
      <c r="Q413" s="113">
        <v>2.1129999999999999E-3</v>
      </c>
      <c r="R413" s="107">
        <f t="shared" si="47"/>
        <v>2.113</v>
      </c>
      <c r="S413" s="105">
        <f t="shared" si="48"/>
        <v>486.1635220125786</v>
      </c>
      <c r="T413" s="114">
        <f>IFERROR(INDEX('MASTER por modelo'!$AQ$8:$AQ$474,MATCH(K413,'MASTER por modelo'!$D$8:$D$474,0)),"")</f>
        <v>0.82704402515723274</v>
      </c>
      <c r="U413" s="115">
        <f>IFERROR(INDEX('MASTER por modelo'!$AC$8:$AC$474,MATCH(K413,'MASTER por modelo'!$D$8:$D$474,0))+INDEX('MASTER por modelo'!$AD$8:$AD$474,MATCH(K413,'MASTER por modelo'!$D$8:$D$474,0)),"")</f>
        <v>526</v>
      </c>
      <c r="V413" s="93"/>
    </row>
    <row r="414" spans="1:22" x14ac:dyDescent="0.25">
      <c r="A414" s="109" t="s">
        <v>55</v>
      </c>
      <c r="B414" s="109" t="s">
        <v>255</v>
      </c>
      <c r="C414" s="109" t="s">
        <v>132</v>
      </c>
      <c r="D414" s="103">
        <f t="shared" si="42"/>
        <v>283.6410824196102</v>
      </c>
      <c r="E414" s="110">
        <v>1.3440000000000001</v>
      </c>
      <c r="F414" s="110">
        <f t="shared" si="43"/>
        <v>0.8727272727272728</v>
      </c>
      <c r="G414" s="110">
        <f t="shared" si="44"/>
        <v>1</v>
      </c>
      <c r="H414" s="110"/>
      <c r="I414" s="111">
        <v>612</v>
      </c>
      <c r="J414" s="109" t="str">
        <f t="shared" si="45"/>
        <v>26</v>
      </c>
      <c r="K414" s="109" t="s">
        <v>460</v>
      </c>
      <c r="L414" s="109" t="s">
        <v>777</v>
      </c>
      <c r="M414" s="111">
        <v>14</v>
      </c>
      <c r="N414" s="110">
        <v>398</v>
      </c>
      <c r="O414" s="105">
        <f t="shared" si="46"/>
        <v>381.2</v>
      </c>
      <c r="P414" s="112">
        <v>9.6000000000000002E-2</v>
      </c>
      <c r="Q414" s="113">
        <v>2.196E-3</v>
      </c>
      <c r="R414" s="107">
        <f t="shared" si="47"/>
        <v>2.1960000000000002</v>
      </c>
      <c r="S414" s="105">
        <f t="shared" si="48"/>
        <v>622.87581699346401</v>
      </c>
      <c r="T414" s="114">
        <f>IFERROR(INDEX('MASTER por modelo'!$AQ$8:$AQ$474,MATCH(K414,'MASTER por modelo'!$D$8:$D$474,0)),"")</f>
        <v>0.98202614379084963</v>
      </c>
      <c r="U414" s="115">
        <f>IFERROR(INDEX('MASTER por modelo'!$AC$8:$AC$474,MATCH(K414,'MASTER por modelo'!$D$8:$D$474,0))+INDEX('MASTER por modelo'!$AD$8:$AD$474,MATCH(K414,'MASTER por modelo'!$D$8:$D$474,0)),"")</f>
        <v>601</v>
      </c>
      <c r="V414" s="93"/>
    </row>
    <row r="415" spans="1:22" x14ac:dyDescent="0.25">
      <c r="A415" s="109" t="s">
        <v>63</v>
      </c>
      <c r="B415" s="109" t="s">
        <v>263</v>
      </c>
      <c r="C415" s="109" t="s">
        <v>264</v>
      </c>
      <c r="D415" s="103">
        <f t="shared" si="42"/>
        <v>211.61541780098486</v>
      </c>
      <c r="E415" s="110">
        <v>1.3440000000000001</v>
      </c>
      <c r="F415" s="110">
        <f t="shared" si="43"/>
        <v>0.8727272727272728</v>
      </c>
      <c r="G415" s="110">
        <f t="shared" si="44"/>
        <v>1</v>
      </c>
      <c r="H415" s="110"/>
      <c r="I415" s="111">
        <v>924</v>
      </c>
      <c r="J415" s="109" t="str">
        <f t="shared" si="45"/>
        <v>26</v>
      </c>
      <c r="K415" s="109" t="s">
        <v>265</v>
      </c>
      <c r="L415" s="109" t="s">
        <v>796</v>
      </c>
      <c r="M415" s="111">
        <v>14</v>
      </c>
      <c r="N415" s="110">
        <v>301.3</v>
      </c>
      <c r="O415" s="105">
        <f t="shared" si="46"/>
        <v>284.5</v>
      </c>
      <c r="P415" s="112">
        <v>9.6000000000000002E-2</v>
      </c>
      <c r="Q415" s="113">
        <v>1.4549999999999999E-3</v>
      </c>
      <c r="R415" s="107">
        <f t="shared" si="47"/>
        <v>1.4549999999999998</v>
      </c>
      <c r="S415" s="105">
        <f t="shared" si="48"/>
        <v>307.90043290043292</v>
      </c>
      <c r="T415" s="114">
        <f>IFERROR(INDEX('MASTER por modelo'!$AQ$8:$AQ$474,MATCH(K415,'MASTER por modelo'!$D$8:$D$474,0)),"")</f>
        <v>0.75387387387387383</v>
      </c>
      <c r="U415" s="115">
        <f>IFERROR(INDEX('MASTER por modelo'!$AC$8:$AC$474,MATCH(K415,'MASTER por modelo'!$D$8:$D$474,0))+INDEX('MASTER por modelo'!$AD$8:$AD$474,MATCH(K415,'MASTER por modelo'!$D$8:$D$474,0)),"")</f>
        <v>2092</v>
      </c>
      <c r="V415" s="93"/>
    </row>
    <row r="416" spans="1:22" x14ac:dyDescent="0.25">
      <c r="A416" s="109" t="s">
        <v>55</v>
      </c>
      <c r="B416" s="109" t="s">
        <v>302</v>
      </c>
      <c r="C416" s="109" t="s">
        <v>303</v>
      </c>
      <c r="D416" s="103">
        <f t="shared" si="42"/>
        <v>197.3786326623206</v>
      </c>
      <c r="E416" s="110">
        <v>1.34</v>
      </c>
      <c r="F416" s="110">
        <f t="shared" si="43"/>
        <v>0.8701298701298702</v>
      </c>
      <c r="G416" s="110">
        <f t="shared" si="44"/>
        <v>1</v>
      </c>
      <c r="H416" s="110"/>
      <c r="I416" s="111">
        <v>594</v>
      </c>
      <c r="J416" s="109" t="str">
        <f t="shared" si="45"/>
        <v>26</v>
      </c>
      <c r="K416" s="109" t="s">
        <v>461</v>
      </c>
      <c r="L416" s="109" t="s">
        <v>812</v>
      </c>
      <c r="M416" s="111">
        <v>14</v>
      </c>
      <c r="N416" s="110">
        <v>281.3</v>
      </c>
      <c r="O416" s="105">
        <f t="shared" si="46"/>
        <v>264.5</v>
      </c>
      <c r="P416" s="112">
        <v>9.5699999999999993E-2</v>
      </c>
      <c r="Q416" s="113">
        <v>2.2560000000000002E-3</v>
      </c>
      <c r="R416" s="107">
        <f t="shared" si="47"/>
        <v>2.2560000000000002</v>
      </c>
      <c r="S416" s="105">
        <f t="shared" si="48"/>
        <v>445.28619528619527</v>
      </c>
      <c r="T416" s="114">
        <f>IFERROR(INDEX('MASTER por modelo'!$AQ$8:$AQ$474,MATCH(K416,'MASTER por modelo'!$D$8:$D$474,0)),"")</f>
        <v>0.97811447811447816</v>
      </c>
      <c r="U416" s="115">
        <f>IFERROR(INDEX('MASTER por modelo'!$AC$8:$AC$474,MATCH(K416,'MASTER por modelo'!$D$8:$D$474,0))+INDEX('MASTER por modelo'!$AD$8:$AD$474,MATCH(K416,'MASTER por modelo'!$D$8:$D$474,0)),"")</f>
        <v>581</v>
      </c>
      <c r="V416" s="93"/>
    </row>
    <row r="417" spans="1:22" x14ac:dyDescent="0.25">
      <c r="A417" s="109" t="s">
        <v>55</v>
      </c>
      <c r="B417" s="109" t="s">
        <v>314</v>
      </c>
      <c r="C417" s="109" t="s">
        <v>315</v>
      </c>
      <c r="D417" s="103">
        <f t="shared" si="42"/>
        <v>153.22310807536547</v>
      </c>
      <c r="E417" s="110">
        <v>1.3</v>
      </c>
      <c r="F417" s="110">
        <f t="shared" si="43"/>
        <v>0.84415584415584421</v>
      </c>
      <c r="G417" s="110">
        <f t="shared" si="44"/>
        <v>1</v>
      </c>
      <c r="H417" s="110"/>
      <c r="I417" s="111">
        <v>885</v>
      </c>
      <c r="J417" s="109" t="str">
        <f t="shared" si="45"/>
        <v>26</v>
      </c>
      <c r="K417" s="109" t="s">
        <v>462</v>
      </c>
      <c r="L417" s="109" t="s">
        <v>817</v>
      </c>
      <c r="M417" s="111">
        <v>13</v>
      </c>
      <c r="N417" s="110">
        <v>214.8</v>
      </c>
      <c r="O417" s="105">
        <f t="shared" si="46"/>
        <v>199.20000000000002</v>
      </c>
      <c r="P417" s="112">
        <v>0.1</v>
      </c>
      <c r="Q417" s="113">
        <v>1.469E-3</v>
      </c>
      <c r="R417" s="107">
        <f t="shared" si="47"/>
        <v>1.4690000000000001</v>
      </c>
      <c r="S417" s="105">
        <f t="shared" si="48"/>
        <v>225.08474576271189</v>
      </c>
      <c r="T417" s="114">
        <f>IFERROR(INDEX('MASTER por modelo'!$AQ$8:$AQ$474,MATCH(K417,'MASTER por modelo'!$D$8:$D$474,0)),"")</f>
        <v>0.74915254237288131</v>
      </c>
      <c r="U417" s="115">
        <f>IFERROR(INDEX('MASTER por modelo'!$AC$8:$AC$474,MATCH(K417,'MASTER por modelo'!$D$8:$D$474,0))+INDEX('MASTER por modelo'!$AD$8:$AD$474,MATCH(K417,'MASTER por modelo'!$D$8:$D$474,0)),"")</f>
        <v>663</v>
      </c>
      <c r="V417" s="93"/>
    </row>
    <row r="418" spans="1:22" x14ac:dyDescent="0.25">
      <c r="A418" s="109" t="s">
        <v>55</v>
      </c>
      <c r="B418" s="109" t="s">
        <v>255</v>
      </c>
      <c r="C418" s="109" t="s">
        <v>132</v>
      </c>
      <c r="D418" s="103">
        <f t="shared" si="42"/>
        <v>228.79617068271239</v>
      </c>
      <c r="E418" s="110">
        <v>1.3</v>
      </c>
      <c r="F418" s="110">
        <f t="shared" si="43"/>
        <v>0.84415584415584421</v>
      </c>
      <c r="G418" s="110">
        <f t="shared" si="44"/>
        <v>1</v>
      </c>
      <c r="H418" s="110"/>
      <c r="I418" s="111">
        <v>684</v>
      </c>
      <c r="J418" s="109" t="str">
        <f t="shared" si="45"/>
        <v>26</v>
      </c>
      <c r="K418" s="109" t="s">
        <v>463</v>
      </c>
      <c r="L418" s="109" t="s">
        <v>787</v>
      </c>
      <c r="M418" s="111">
        <v>18</v>
      </c>
      <c r="N418" s="110">
        <v>319.10000000000002</v>
      </c>
      <c r="O418" s="105">
        <f t="shared" si="46"/>
        <v>297.5</v>
      </c>
      <c r="P418" s="112">
        <v>7.22E-2</v>
      </c>
      <c r="Q418" s="113">
        <v>1.9009999999999999E-3</v>
      </c>
      <c r="R418" s="107">
        <f t="shared" si="47"/>
        <v>1.9009999999999998</v>
      </c>
      <c r="S418" s="105">
        <f t="shared" si="48"/>
        <v>434.94152046783626</v>
      </c>
      <c r="T418" s="114">
        <f>IFERROR(INDEX('MASTER por modelo'!$AQ$8:$AQ$474,MATCH(K418,'MASTER por modelo'!$D$8:$D$474,0)),"")</f>
        <v>0.82748538011695905</v>
      </c>
      <c r="U418" s="115">
        <f>IFERROR(INDEX('MASTER por modelo'!$AC$8:$AC$474,MATCH(K418,'MASTER por modelo'!$D$8:$D$474,0))+INDEX('MASTER por modelo'!$AD$8:$AD$474,MATCH(K418,'MASTER por modelo'!$D$8:$D$474,0)),"")</f>
        <v>566</v>
      </c>
      <c r="V418" s="93"/>
    </row>
    <row r="419" spans="1:22" x14ac:dyDescent="0.25">
      <c r="A419" s="109" t="s">
        <v>63</v>
      </c>
      <c r="B419" s="109" t="s">
        <v>64</v>
      </c>
      <c r="C419" s="109" t="s">
        <v>57</v>
      </c>
      <c r="D419" s="103">
        <f t="shared" si="42"/>
        <v>88.318021676314459</v>
      </c>
      <c r="E419" s="110">
        <v>1.25</v>
      </c>
      <c r="F419" s="110">
        <f t="shared" si="43"/>
        <v>0.81168831168831168</v>
      </c>
      <c r="G419" s="110">
        <f t="shared" si="44"/>
        <v>1</v>
      </c>
      <c r="H419" s="110"/>
      <c r="I419" s="111">
        <v>234</v>
      </c>
      <c r="J419" s="109" t="str">
        <f t="shared" si="45"/>
        <v>26</v>
      </c>
      <c r="K419" s="109" t="s">
        <v>276</v>
      </c>
      <c r="L419" s="109" t="s">
        <v>820</v>
      </c>
      <c r="M419" s="111">
        <v>13</v>
      </c>
      <c r="N419" s="110">
        <v>126</v>
      </c>
      <c r="O419" s="105">
        <f t="shared" si="46"/>
        <v>110.4</v>
      </c>
      <c r="P419" s="112">
        <v>9.6199999999999994E-2</v>
      </c>
      <c r="Q419" s="113">
        <v>5.3420000000000004E-3</v>
      </c>
      <c r="R419" s="107">
        <f t="shared" si="47"/>
        <v>5.3420000000000005</v>
      </c>
      <c r="S419" s="105">
        <f t="shared" si="48"/>
        <v>471.79487179487182</v>
      </c>
      <c r="T419" s="114">
        <f>IFERROR(INDEX('MASTER por modelo'!$AQ$8:$AQ$474,MATCH(K419,'MASTER por modelo'!$D$8:$D$474,0)),"")</f>
        <v>5.1613876319758676</v>
      </c>
      <c r="U419" s="115">
        <f>IFERROR(INDEX('MASTER por modelo'!$AC$8:$AC$474,MATCH(K419,'MASTER por modelo'!$D$8:$D$474,0))+INDEX('MASTER por modelo'!$AD$8:$AD$474,MATCH(K419,'MASTER por modelo'!$D$8:$D$474,0)),"")</f>
        <v>3422</v>
      </c>
      <c r="V419" s="93"/>
    </row>
    <row r="420" spans="1:22" x14ac:dyDescent="0.25">
      <c r="A420" s="109" t="s">
        <v>55</v>
      </c>
      <c r="B420" s="109" t="s">
        <v>329</v>
      </c>
      <c r="C420" s="109" t="s">
        <v>445</v>
      </c>
      <c r="D420" s="103">
        <f t="shared" si="42"/>
        <v>253.37675716141246</v>
      </c>
      <c r="E420" s="110">
        <v>1.25</v>
      </c>
      <c r="F420" s="110">
        <f t="shared" si="43"/>
        <v>0.81168831168831168</v>
      </c>
      <c r="G420" s="110">
        <f t="shared" si="44"/>
        <v>1</v>
      </c>
      <c r="H420" s="110"/>
      <c r="I420" s="111">
        <v>664</v>
      </c>
      <c r="J420" s="109" t="str">
        <f t="shared" si="45"/>
        <v>26</v>
      </c>
      <c r="K420" s="109" t="s">
        <v>464</v>
      </c>
      <c r="L420" s="109" t="s">
        <v>750</v>
      </c>
      <c r="M420" s="111">
        <v>13</v>
      </c>
      <c r="N420" s="110">
        <v>332.4</v>
      </c>
      <c r="O420" s="105">
        <f t="shared" si="46"/>
        <v>316.79999999999995</v>
      </c>
      <c r="P420" s="112">
        <v>9.6199999999999994E-2</v>
      </c>
      <c r="Q420" s="113">
        <v>1.8829999999999999E-3</v>
      </c>
      <c r="R420" s="107">
        <f t="shared" si="47"/>
        <v>1.883</v>
      </c>
      <c r="S420" s="105">
        <f t="shared" si="48"/>
        <v>477.10843373493964</v>
      </c>
      <c r="T420" s="114">
        <f>IFERROR(INDEX('MASTER por modelo'!$AQ$8:$AQ$474,MATCH(K420,'MASTER por modelo'!$D$8:$D$474,0)),"")</f>
        <v>0.51054216867469882</v>
      </c>
      <c r="U420" s="115">
        <f>IFERROR(INDEX('MASTER por modelo'!$AC$8:$AC$474,MATCH(K420,'MASTER por modelo'!$D$8:$D$474,0))+INDEX('MASTER por modelo'!$AD$8:$AD$474,MATCH(K420,'MASTER por modelo'!$D$8:$D$474,0)),"")</f>
        <v>339</v>
      </c>
      <c r="V420" s="93"/>
    </row>
    <row r="421" spans="1:22" x14ac:dyDescent="0.25">
      <c r="A421" s="109" t="s">
        <v>55</v>
      </c>
      <c r="B421" s="109" t="s">
        <v>329</v>
      </c>
      <c r="C421" s="109" t="s">
        <v>445</v>
      </c>
      <c r="D421" s="103">
        <f t="shared" si="42"/>
        <v>155.22549769125112</v>
      </c>
      <c r="E421" s="110">
        <v>1.248</v>
      </c>
      <c r="F421" s="110">
        <f t="shared" si="43"/>
        <v>0.81038961038961033</v>
      </c>
      <c r="G421" s="110">
        <f t="shared" si="44"/>
        <v>1</v>
      </c>
      <c r="H421" s="110"/>
      <c r="I421" s="111">
        <v>777</v>
      </c>
      <c r="J421" s="109" t="str">
        <f t="shared" si="45"/>
        <v>26</v>
      </c>
      <c r="K421" s="109" t="s">
        <v>465</v>
      </c>
      <c r="L421" s="109" t="s">
        <v>814</v>
      </c>
      <c r="M421" s="111">
        <v>13</v>
      </c>
      <c r="N421" s="110">
        <v>209.3</v>
      </c>
      <c r="O421" s="105">
        <f t="shared" si="46"/>
        <v>193.70000000000002</v>
      </c>
      <c r="P421" s="112">
        <v>9.6000000000000002E-2</v>
      </c>
      <c r="Q421" s="113">
        <v>1.606E-3</v>
      </c>
      <c r="R421" s="107">
        <f t="shared" si="47"/>
        <v>1.6060000000000001</v>
      </c>
      <c r="S421" s="105">
        <f t="shared" si="48"/>
        <v>249.29214929214933</v>
      </c>
      <c r="T421" s="114">
        <f>IFERROR(INDEX('MASTER por modelo'!$AQ$8:$AQ$474,MATCH(K421,'MASTER por modelo'!$D$8:$D$474,0)),"")</f>
        <v>0.6718146718146718</v>
      </c>
      <c r="U421" s="115">
        <f>IFERROR(INDEX('MASTER por modelo'!$AC$8:$AC$474,MATCH(K421,'MASTER por modelo'!$D$8:$D$474,0))+INDEX('MASTER por modelo'!$AD$8:$AD$474,MATCH(K421,'MASTER por modelo'!$D$8:$D$474,0)),"")</f>
        <v>522</v>
      </c>
      <c r="V421" s="93"/>
    </row>
    <row r="422" spans="1:22" x14ac:dyDescent="0.25">
      <c r="A422" s="109" t="s">
        <v>63</v>
      </c>
      <c r="B422" s="109" t="s">
        <v>263</v>
      </c>
      <c r="C422" s="109" t="s">
        <v>264</v>
      </c>
      <c r="D422" s="103">
        <f t="shared" si="42"/>
        <v>226.35546862793331</v>
      </c>
      <c r="E422" s="110">
        <v>1.248</v>
      </c>
      <c r="F422" s="110">
        <f t="shared" si="43"/>
        <v>0.81038961038961033</v>
      </c>
      <c r="G422" s="110">
        <f t="shared" si="44"/>
        <v>1</v>
      </c>
      <c r="H422" s="110"/>
      <c r="I422" s="111">
        <v>917</v>
      </c>
      <c r="J422" s="109" t="str">
        <f t="shared" si="45"/>
        <v>26</v>
      </c>
      <c r="K422" s="109" t="s">
        <v>466</v>
      </c>
      <c r="L422" s="109" t="s">
        <v>796</v>
      </c>
      <c r="M422" s="111">
        <v>13</v>
      </c>
      <c r="N422" s="110">
        <v>298.10000000000002</v>
      </c>
      <c r="O422" s="105">
        <f t="shared" si="46"/>
        <v>282.5</v>
      </c>
      <c r="P422" s="112">
        <v>9.6000000000000002E-2</v>
      </c>
      <c r="Q422" s="113">
        <v>1.361E-3</v>
      </c>
      <c r="R422" s="107">
        <f t="shared" si="47"/>
        <v>1.361</v>
      </c>
      <c r="S422" s="105">
        <f t="shared" si="48"/>
        <v>308.0697928026172</v>
      </c>
      <c r="T422" s="114">
        <f>IFERROR(INDEX('MASTER por modelo'!$AQ$8:$AQ$474,MATCH(K422,'MASTER por modelo'!$D$8:$D$474,0)),"")</f>
        <v>0.8429661941112323</v>
      </c>
      <c r="U422" s="115">
        <f>IFERROR(INDEX('MASTER por modelo'!$AC$8:$AC$474,MATCH(K422,'MASTER por modelo'!$D$8:$D$474,0))+INDEX('MASTER por modelo'!$AD$8:$AD$474,MATCH(K422,'MASTER por modelo'!$D$8:$D$474,0)),"")</f>
        <v>773</v>
      </c>
      <c r="V422" s="93"/>
    </row>
    <row r="423" spans="1:22" x14ac:dyDescent="0.25">
      <c r="A423" s="109" t="s">
        <v>63</v>
      </c>
      <c r="B423" s="109" t="s">
        <v>263</v>
      </c>
      <c r="C423" s="109" t="s">
        <v>264</v>
      </c>
      <c r="D423" s="103">
        <f t="shared" si="42"/>
        <v>209.83172601216364</v>
      </c>
      <c r="E423" s="110">
        <v>1.248</v>
      </c>
      <c r="F423" s="110">
        <f t="shared" si="43"/>
        <v>0.81038961038961033</v>
      </c>
      <c r="G423" s="110">
        <f t="shared" si="44"/>
        <v>1</v>
      </c>
      <c r="H423" s="110"/>
      <c r="I423" s="111">
        <v>871</v>
      </c>
      <c r="J423" s="109" t="str">
        <f t="shared" si="45"/>
        <v>26</v>
      </c>
      <c r="K423" s="109" t="s">
        <v>467</v>
      </c>
      <c r="L423" s="109" t="s">
        <v>796</v>
      </c>
      <c r="M423" s="111">
        <v>13</v>
      </c>
      <c r="N423" s="110">
        <v>277.5</v>
      </c>
      <c r="O423" s="105">
        <f t="shared" si="46"/>
        <v>261.89999999999998</v>
      </c>
      <c r="P423" s="112">
        <v>9.6000000000000002E-2</v>
      </c>
      <c r="Q423" s="113">
        <v>1.433E-3</v>
      </c>
      <c r="R423" s="107">
        <f t="shared" si="47"/>
        <v>1.4330000000000001</v>
      </c>
      <c r="S423" s="105">
        <f t="shared" si="48"/>
        <v>300.68886337543051</v>
      </c>
      <c r="T423" s="114">
        <f>IFERROR(INDEX('MASTER por modelo'!$AQ$8:$AQ$474,MATCH(K423,'MASTER por modelo'!$D$8:$D$474,0)),"")</f>
        <v>0.92192881745120547</v>
      </c>
      <c r="U423" s="115">
        <f>IFERROR(INDEX('MASTER por modelo'!$AC$8:$AC$474,MATCH(K423,'MASTER por modelo'!$D$8:$D$474,0))+INDEX('MASTER por modelo'!$AD$8:$AD$474,MATCH(K423,'MASTER por modelo'!$D$8:$D$474,0)),"")</f>
        <v>803</v>
      </c>
      <c r="V423" s="93"/>
    </row>
    <row r="424" spans="1:22" x14ac:dyDescent="0.25">
      <c r="A424" s="109" t="s">
        <v>63</v>
      </c>
      <c r="B424" s="109" t="s">
        <v>263</v>
      </c>
      <c r="C424" s="109" t="s">
        <v>264</v>
      </c>
      <c r="D424" s="103">
        <f t="shared" si="42"/>
        <v>218.51672958634811</v>
      </c>
      <c r="E424" s="110">
        <v>1.248</v>
      </c>
      <c r="F424" s="110">
        <f t="shared" si="43"/>
        <v>0.81038961038961033</v>
      </c>
      <c r="G424" s="110">
        <f t="shared" si="44"/>
        <v>1</v>
      </c>
      <c r="H424" s="110"/>
      <c r="I424" s="111">
        <v>851</v>
      </c>
      <c r="J424" s="109" t="str">
        <f t="shared" si="45"/>
        <v>26</v>
      </c>
      <c r="K424" s="109" t="s">
        <v>361</v>
      </c>
      <c r="L424" s="109" t="s">
        <v>796</v>
      </c>
      <c r="M424" s="111">
        <v>13</v>
      </c>
      <c r="N424" s="110">
        <v>288.39999999999998</v>
      </c>
      <c r="O424" s="105">
        <f t="shared" si="46"/>
        <v>272.79999999999995</v>
      </c>
      <c r="P424" s="112">
        <v>9.6000000000000002E-2</v>
      </c>
      <c r="Q424" s="113">
        <v>1.467E-3</v>
      </c>
      <c r="R424" s="107">
        <f t="shared" si="47"/>
        <v>1.4670000000000001</v>
      </c>
      <c r="S424" s="105">
        <f t="shared" si="48"/>
        <v>320.5640423031727</v>
      </c>
      <c r="T424" s="114">
        <f>IFERROR(INDEX('MASTER por modelo'!$AQ$8:$AQ$474,MATCH(K424,'MASTER por modelo'!$D$8:$D$474,0)),"")</f>
        <v>0.80212234706616725</v>
      </c>
      <c r="U424" s="115">
        <f>IFERROR(INDEX('MASTER por modelo'!$AC$8:$AC$474,MATCH(K424,'MASTER por modelo'!$D$8:$D$474,0))+INDEX('MASTER por modelo'!$AD$8:$AD$474,MATCH(K424,'MASTER por modelo'!$D$8:$D$474,0)),"")</f>
        <v>1285</v>
      </c>
      <c r="V424" s="93"/>
    </row>
    <row r="425" spans="1:22" x14ac:dyDescent="0.25">
      <c r="A425" s="109" t="s">
        <v>63</v>
      </c>
      <c r="B425" s="109" t="s">
        <v>263</v>
      </c>
      <c r="C425" s="109" t="s">
        <v>264</v>
      </c>
      <c r="D425" s="103">
        <f t="shared" si="42"/>
        <v>177.89487855068563</v>
      </c>
      <c r="E425" s="110">
        <v>1.248</v>
      </c>
      <c r="F425" s="110">
        <f t="shared" si="43"/>
        <v>0.81038961038961033</v>
      </c>
      <c r="G425" s="110">
        <f t="shared" si="44"/>
        <v>1</v>
      </c>
      <c r="H425" s="110"/>
      <c r="I425" s="111">
        <v>696</v>
      </c>
      <c r="J425" s="109" t="str">
        <f t="shared" si="45"/>
        <v>26</v>
      </c>
      <c r="K425" s="109" t="s">
        <v>332</v>
      </c>
      <c r="L425" s="109" t="s">
        <v>809</v>
      </c>
      <c r="M425" s="111">
        <v>13</v>
      </c>
      <c r="N425" s="110">
        <v>237.6</v>
      </c>
      <c r="O425" s="105">
        <f t="shared" si="46"/>
        <v>222</v>
      </c>
      <c r="P425" s="112">
        <v>9.6000000000000002E-2</v>
      </c>
      <c r="Q425" s="113">
        <v>1.7930000000000001E-3</v>
      </c>
      <c r="R425" s="107">
        <f t="shared" si="47"/>
        <v>1.7930000000000001</v>
      </c>
      <c r="S425" s="105">
        <f t="shared" si="48"/>
        <v>318.96551724137936</v>
      </c>
      <c r="T425" s="114">
        <f>IFERROR(INDEX('MASTER por modelo'!$AQ$8:$AQ$474,MATCH(K425,'MASTER por modelo'!$D$8:$D$474,0)),"")</f>
        <v>0.92476060191518472</v>
      </c>
      <c r="U425" s="115">
        <f>IFERROR(INDEX('MASTER por modelo'!$AC$8:$AC$474,MATCH(K425,'MASTER por modelo'!$D$8:$D$474,0))+INDEX('MASTER por modelo'!$AD$8:$AD$474,MATCH(K425,'MASTER por modelo'!$D$8:$D$474,0)),"")</f>
        <v>1352</v>
      </c>
      <c r="V425" s="93"/>
    </row>
    <row r="426" spans="1:22" x14ac:dyDescent="0.25">
      <c r="A426" s="109" t="s">
        <v>55</v>
      </c>
      <c r="B426" s="109" t="s">
        <v>314</v>
      </c>
      <c r="C426" s="109" t="s">
        <v>315</v>
      </c>
      <c r="D426" s="103">
        <f t="shared" si="42"/>
        <v>170.51837750170563</v>
      </c>
      <c r="E426" s="110">
        <v>1.224</v>
      </c>
      <c r="F426" s="110">
        <f t="shared" si="43"/>
        <v>0.79480519480519474</v>
      </c>
      <c r="G426" s="110">
        <f t="shared" si="44"/>
        <v>1</v>
      </c>
      <c r="H426" s="110"/>
      <c r="I426" s="111">
        <v>935</v>
      </c>
      <c r="J426" s="109" t="str">
        <f t="shared" si="45"/>
        <v>26</v>
      </c>
      <c r="K426" s="109" t="s">
        <v>468</v>
      </c>
      <c r="L426" s="109" t="s">
        <v>808</v>
      </c>
      <c r="M426" s="111">
        <v>17</v>
      </c>
      <c r="N426" s="110">
        <v>229.1</v>
      </c>
      <c r="O426" s="105">
        <f t="shared" si="46"/>
        <v>208.7</v>
      </c>
      <c r="P426" s="112">
        <v>7.1999999999999995E-2</v>
      </c>
      <c r="Q426" s="113">
        <v>1.3090000000000001E-3</v>
      </c>
      <c r="R426" s="107">
        <f t="shared" si="47"/>
        <v>1.3089999999999999</v>
      </c>
      <c r="S426" s="105">
        <f t="shared" si="48"/>
        <v>223.20855614973263</v>
      </c>
      <c r="T426" s="114">
        <f>IFERROR(INDEX('MASTER por modelo'!$AQ$8:$AQ$474,MATCH(K426,'MASTER por modelo'!$D$8:$D$474,0)),"")</f>
        <v>0.60962566844919786</v>
      </c>
      <c r="U426" s="115">
        <f>IFERROR(INDEX('MASTER por modelo'!$AC$8:$AC$474,MATCH(K426,'MASTER por modelo'!$D$8:$D$474,0))+INDEX('MASTER por modelo'!$AD$8:$AD$474,MATCH(K426,'MASTER por modelo'!$D$8:$D$474,0)),"")</f>
        <v>570</v>
      </c>
      <c r="V426" s="93"/>
    </row>
    <row r="427" spans="1:22" x14ac:dyDescent="0.25">
      <c r="A427" s="109" t="s">
        <v>55</v>
      </c>
      <c r="B427" s="109" t="s">
        <v>255</v>
      </c>
      <c r="C427" s="109" t="s">
        <v>347</v>
      </c>
      <c r="D427" s="103">
        <f t="shared" si="42"/>
        <v>257.73702953154822</v>
      </c>
      <c r="E427" s="110">
        <v>1.22</v>
      </c>
      <c r="F427" s="110">
        <f t="shared" si="43"/>
        <v>0.79220779220779214</v>
      </c>
      <c r="G427" s="110">
        <f t="shared" si="44"/>
        <v>1</v>
      </c>
      <c r="H427" s="110"/>
      <c r="I427" s="111">
        <v>822</v>
      </c>
      <c r="J427" s="109" t="str">
        <f t="shared" si="45"/>
        <v>26</v>
      </c>
      <c r="K427" s="109" t="s">
        <v>469</v>
      </c>
      <c r="L427" s="109" t="s">
        <v>787</v>
      </c>
      <c r="M427" s="111">
        <v>17</v>
      </c>
      <c r="N427" s="110">
        <v>334.8</v>
      </c>
      <c r="O427" s="105">
        <f t="shared" si="46"/>
        <v>314.40000000000003</v>
      </c>
      <c r="P427" s="112">
        <v>7.1800000000000003E-2</v>
      </c>
      <c r="Q427" s="113">
        <v>1.4840000000000001E-3</v>
      </c>
      <c r="R427" s="107">
        <f t="shared" si="47"/>
        <v>1.484</v>
      </c>
      <c r="S427" s="105">
        <f t="shared" si="48"/>
        <v>382.48175182481759</v>
      </c>
      <c r="T427" s="114">
        <f>IFERROR(INDEX('MASTER por modelo'!$AQ$8:$AQ$474,MATCH(K427,'MASTER por modelo'!$D$8:$D$474,0)),"")</f>
        <v>0.57542579075425793</v>
      </c>
      <c r="U427" s="115">
        <f>IFERROR(INDEX('MASTER por modelo'!$AC$8:$AC$474,MATCH(K427,'MASTER por modelo'!$D$8:$D$474,0))+INDEX('MASTER por modelo'!$AD$8:$AD$474,MATCH(K427,'MASTER por modelo'!$D$8:$D$474,0)),"")</f>
        <v>473</v>
      </c>
      <c r="V427" s="93"/>
    </row>
    <row r="428" spans="1:22" x14ac:dyDescent="0.25">
      <c r="A428" s="109" t="s">
        <v>120</v>
      </c>
      <c r="B428" s="109" t="s">
        <v>470</v>
      </c>
      <c r="C428" s="109" t="s">
        <v>427</v>
      </c>
      <c r="D428" s="103">
        <f t="shared" si="42"/>
        <v>228.17761400498136</v>
      </c>
      <c r="E428" s="110">
        <v>1.163</v>
      </c>
      <c r="F428" s="110">
        <f t="shared" si="43"/>
        <v>0.7551948051948052</v>
      </c>
      <c r="G428" s="110">
        <f t="shared" si="44"/>
        <v>1</v>
      </c>
      <c r="H428" s="110"/>
      <c r="I428" s="111">
        <v>451</v>
      </c>
      <c r="J428" s="109" t="str">
        <f t="shared" si="45"/>
        <v>26</v>
      </c>
      <c r="K428" s="109" t="s">
        <v>471</v>
      </c>
      <c r="L428" s="109" t="s">
        <v>780</v>
      </c>
      <c r="M428" s="111">
        <v>15</v>
      </c>
      <c r="N428" s="110">
        <v>283.39999999999998</v>
      </c>
      <c r="O428" s="105">
        <f t="shared" si="46"/>
        <v>265.39999999999998</v>
      </c>
      <c r="P428" s="112">
        <v>7.7499999999999999E-2</v>
      </c>
      <c r="Q428" s="113">
        <v>2.5790000000000001E-3</v>
      </c>
      <c r="R428" s="107">
        <f t="shared" si="47"/>
        <v>2.5790000000000002</v>
      </c>
      <c r="S428" s="105">
        <f t="shared" si="48"/>
        <v>588.47006651884692</v>
      </c>
      <c r="T428" s="114">
        <f>IFERROR(INDEX('MASTER por modelo'!$AQ$8:$AQ$474,MATCH(K428,'MASTER por modelo'!$D$8:$D$474,0)),"")</f>
        <v>0.63858093126385806</v>
      </c>
      <c r="U428" s="115">
        <f>IFERROR(INDEX('MASTER por modelo'!$AC$8:$AC$474,MATCH(K428,'MASTER por modelo'!$D$8:$D$474,0))+INDEX('MASTER por modelo'!$AD$8:$AD$474,MATCH(K428,'MASTER por modelo'!$D$8:$D$474,0)),"")</f>
        <v>288</v>
      </c>
      <c r="V428" s="93"/>
    </row>
    <row r="429" spans="1:22" x14ac:dyDescent="0.25">
      <c r="A429" s="109" t="s">
        <v>55</v>
      </c>
      <c r="B429" s="109" t="s">
        <v>302</v>
      </c>
      <c r="C429" s="109" t="s">
        <v>303</v>
      </c>
      <c r="D429" s="103">
        <f t="shared" si="42"/>
        <v>129.25807255292941</v>
      </c>
      <c r="E429" s="110">
        <v>1.1519999999999999</v>
      </c>
      <c r="F429" s="110">
        <f t="shared" si="43"/>
        <v>0.74805194805194797</v>
      </c>
      <c r="G429" s="110">
        <f t="shared" si="44"/>
        <v>1</v>
      </c>
      <c r="H429" s="110"/>
      <c r="I429" s="111">
        <v>619</v>
      </c>
      <c r="J429" s="109" t="str">
        <f t="shared" si="45"/>
        <v>26</v>
      </c>
      <c r="K429" s="109" t="s">
        <v>472</v>
      </c>
      <c r="L429" s="109" t="s">
        <v>821</v>
      </c>
      <c r="M429" s="111">
        <v>12</v>
      </c>
      <c r="N429" s="110">
        <v>163.30000000000001</v>
      </c>
      <c r="O429" s="105">
        <f t="shared" si="46"/>
        <v>148.9</v>
      </c>
      <c r="P429" s="112">
        <v>9.6000000000000002E-2</v>
      </c>
      <c r="Q429" s="113">
        <v>1.861E-3</v>
      </c>
      <c r="R429" s="107">
        <f t="shared" si="47"/>
        <v>1.861</v>
      </c>
      <c r="S429" s="105">
        <f t="shared" si="48"/>
        <v>240.54927302100162</v>
      </c>
      <c r="T429" s="114">
        <f>IFERROR(INDEX('MASTER por modelo'!$AQ$8:$AQ$474,MATCH(K429,'MASTER por modelo'!$D$8:$D$474,0)),"")</f>
        <v>0.89983844911147015</v>
      </c>
      <c r="U429" s="115">
        <f>IFERROR(INDEX('MASTER por modelo'!$AC$8:$AC$474,MATCH(K429,'MASTER por modelo'!$D$8:$D$474,0))+INDEX('MASTER por modelo'!$AD$8:$AD$474,MATCH(K429,'MASTER por modelo'!$D$8:$D$474,0)),"")</f>
        <v>557</v>
      </c>
      <c r="V429" s="93"/>
    </row>
    <row r="430" spans="1:22" x14ac:dyDescent="0.25">
      <c r="A430" s="109" t="s">
        <v>63</v>
      </c>
      <c r="B430" s="109" t="s">
        <v>288</v>
      </c>
      <c r="C430" s="109" t="s">
        <v>289</v>
      </c>
      <c r="D430" s="103">
        <f t="shared" si="42"/>
        <v>170.85350353861219</v>
      </c>
      <c r="E430" s="110">
        <v>1.1519999999999999</v>
      </c>
      <c r="F430" s="110">
        <f t="shared" si="43"/>
        <v>0.74805194805194797</v>
      </c>
      <c r="G430" s="110">
        <f t="shared" si="44"/>
        <v>1</v>
      </c>
      <c r="H430" s="110"/>
      <c r="I430" s="111">
        <v>614</v>
      </c>
      <c r="J430" s="109" t="str">
        <f t="shared" si="45"/>
        <v>26</v>
      </c>
      <c r="K430" s="109" t="s">
        <v>473</v>
      </c>
      <c r="L430" s="109" t="s">
        <v>753</v>
      </c>
      <c r="M430" s="111">
        <v>12</v>
      </c>
      <c r="N430" s="110">
        <v>211.2</v>
      </c>
      <c r="O430" s="105">
        <f t="shared" si="46"/>
        <v>196.79999999999998</v>
      </c>
      <c r="P430" s="112">
        <v>9.6000000000000002E-2</v>
      </c>
      <c r="Q430" s="113">
        <v>1.8760000000000001E-3</v>
      </c>
      <c r="R430" s="107">
        <f t="shared" si="47"/>
        <v>1.8760000000000001</v>
      </c>
      <c r="S430" s="105">
        <f t="shared" si="48"/>
        <v>320.52117263843644</v>
      </c>
      <c r="T430" s="114">
        <f>IFERROR(INDEX('MASTER por modelo'!$AQ$8:$AQ$474,MATCH(K430,'MASTER por modelo'!$D$8:$D$474,0)),"")</f>
        <v>0.83876221498371339</v>
      </c>
      <c r="U430" s="115">
        <f>IFERROR(INDEX('MASTER por modelo'!$AC$8:$AC$474,MATCH(K430,'MASTER por modelo'!$D$8:$D$474,0))+INDEX('MASTER por modelo'!$AD$8:$AD$474,MATCH(K430,'MASTER por modelo'!$D$8:$D$474,0)),"")</f>
        <v>515</v>
      </c>
      <c r="V430" s="93"/>
    </row>
    <row r="431" spans="1:22" x14ac:dyDescent="0.25">
      <c r="A431" s="109" t="s">
        <v>55</v>
      </c>
      <c r="B431" s="109" t="s">
        <v>314</v>
      </c>
      <c r="C431" s="109" t="s">
        <v>315</v>
      </c>
      <c r="D431" s="103">
        <f t="shared" si="42"/>
        <v>125.11221897503486</v>
      </c>
      <c r="E431" s="110">
        <v>1.1519999999999999</v>
      </c>
      <c r="F431" s="110">
        <f t="shared" si="43"/>
        <v>0.74805194805194797</v>
      </c>
      <c r="G431" s="110">
        <f t="shared" si="44"/>
        <v>1</v>
      </c>
      <c r="H431" s="110"/>
      <c r="I431" s="111">
        <v>554</v>
      </c>
      <c r="J431" s="109" t="str">
        <f t="shared" si="45"/>
        <v>26</v>
      </c>
      <c r="K431" s="109" t="s">
        <v>474</v>
      </c>
      <c r="L431" s="109" t="s">
        <v>804</v>
      </c>
      <c r="M431" s="111">
        <v>16</v>
      </c>
      <c r="N431" s="110">
        <v>163.30000000000001</v>
      </c>
      <c r="O431" s="105">
        <f t="shared" si="46"/>
        <v>144.10000000000002</v>
      </c>
      <c r="P431" s="112">
        <v>7.1999999999999995E-2</v>
      </c>
      <c r="Q431" s="113">
        <v>2.0790000000000001E-3</v>
      </c>
      <c r="R431" s="107">
        <f t="shared" si="47"/>
        <v>2.0790000000000002</v>
      </c>
      <c r="S431" s="105">
        <f t="shared" si="48"/>
        <v>260.1083032490975</v>
      </c>
      <c r="T431" s="114">
        <f>IFERROR(INDEX('MASTER por modelo'!$AQ$8:$AQ$474,MATCH(K431,'MASTER por modelo'!$D$8:$D$474,0)),"")</f>
        <v>0.86101083032490977</v>
      </c>
      <c r="U431" s="115">
        <f>IFERROR(INDEX('MASTER por modelo'!$AC$8:$AC$474,MATCH(K431,'MASTER por modelo'!$D$8:$D$474,0))+INDEX('MASTER por modelo'!$AD$8:$AD$474,MATCH(K431,'MASTER por modelo'!$D$8:$D$474,0)),"")</f>
        <v>477</v>
      </c>
      <c r="V431" s="93"/>
    </row>
    <row r="432" spans="1:22" x14ac:dyDescent="0.25">
      <c r="A432" s="109" t="s">
        <v>55</v>
      </c>
      <c r="B432" s="109" t="s">
        <v>314</v>
      </c>
      <c r="C432" s="109" t="s">
        <v>315</v>
      </c>
      <c r="D432" s="103">
        <f t="shared" si="42"/>
        <v>210.57492335628308</v>
      </c>
      <c r="E432" s="110">
        <v>1.1519999999999999</v>
      </c>
      <c r="F432" s="110">
        <f t="shared" si="43"/>
        <v>0.74805194805194797</v>
      </c>
      <c r="G432" s="110">
        <f t="shared" si="44"/>
        <v>1</v>
      </c>
      <c r="H432" s="110"/>
      <c r="I432" s="111">
        <v>652</v>
      </c>
      <c r="J432" s="109" t="str">
        <f t="shared" si="45"/>
        <v>26</v>
      </c>
      <c r="K432" s="109" t="s">
        <v>475</v>
      </c>
      <c r="L432" s="109" t="s">
        <v>804</v>
      </c>
      <c r="M432" s="111">
        <v>12</v>
      </c>
      <c r="N432" s="110">
        <v>257</v>
      </c>
      <c r="O432" s="105">
        <f t="shared" si="46"/>
        <v>242.6</v>
      </c>
      <c r="P432" s="112">
        <v>9.6000000000000002E-2</v>
      </c>
      <c r="Q432" s="113">
        <v>1.7669999999999999E-3</v>
      </c>
      <c r="R432" s="107">
        <f t="shared" si="47"/>
        <v>1.7669999999999999</v>
      </c>
      <c r="S432" s="105">
        <f t="shared" si="48"/>
        <v>372.08588957055218</v>
      </c>
      <c r="T432" s="114">
        <f>IFERROR(INDEX('MASTER por modelo'!$AQ$8:$AQ$474,MATCH(K432,'MASTER por modelo'!$D$8:$D$474,0)),"")</f>
        <v>0.84815950920245398</v>
      </c>
      <c r="U432" s="115">
        <f>IFERROR(INDEX('MASTER por modelo'!$AC$8:$AC$474,MATCH(K432,'MASTER por modelo'!$D$8:$D$474,0))+INDEX('MASTER por modelo'!$AD$8:$AD$474,MATCH(K432,'MASTER por modelo'!$D$8:$D$474,0)),"")</f>
        <v>553</v>
      </c>
      <c r="V432" s="93"/>
    </row>
    <row r="433" spans="1:22" x14ac:dyDescent="0.25">
      <c r="A433" s="109" t="s">
        <v>55</v>
      </c>
      <c r="B433" s="109" t="s">
        <v>302</v>
      </c>
      <c r="C433" s="109" t="s">
        <v>303</v>
      </c>
      <c r="D433" s="103">
        <f t="shared" si="42"/>
        <v>226.21527777777783</v>
      </c>
      <c r="E433" s="110">
        <v>1.1519999999999999</v>
      </c>
      <c r="F433" s="110">
        <f t="shared" si="43"/>
        <v>0.74805194805194797</v>
      </c>
      <c r="G433" s="110">
        <f t="shared" si="44"/>
        <v>1</v>
      </c>
      <c r="H433" s="110"/>
      <c r="I433" s="111">
        <v>640</v>
      </c>
      <c r="J433" s="109" t="str">
        <f t="shared" si="45"/>
        <v>26</v>
      </c>
      <c r="K433" s="109" t="s">
        <v>476</v>
      </c>
      <c r="L433" s="109" t="s">
        <v>804</v>
      </c>
      <c r="M433" s="111">
        <v>12</v>
      </c>
      <c r="N433" s="110">
        <v>275</v>
      </c>
      <c r="O433" s="105">
        <f t="shared" si="46"/>
        <v>260.60000000000002</v>
      </c>
      <c r="P433" s="112">
        <v>9.6000000000000002E-2</v>
      </c>
      <c r="Q433" s="113">
        <v>1.8E-3</v>
      </c>
      <c r="R433" s="107">
        <f t="shared" si="47"/>
        <v>1.8</v>
      </c>
      <c r="S433" s="105">
        <f t="shared" si="48"/>
        <v>407.18750000000006</v>
      </c>
      <c r="T433" s="114">
        <f>IFERROR(INDEX('MASTER por modelo'!$AQ$8:$AQ$474,MATCH(K433,'MASTER por modelo'!$D$8:$D$474,0)),"")</f>
        <v>0.8671875</v>
      </c>
      <c r="U433" s="115">
        <f>IFERROR(INDEX('MASTER por modelo'!$AC$8:$AC$474,MATCH(K433,'MASTER por modelo'!$D$8:$D$474,0))+INDEX('MASTER por modelo'!$AD$8:$AD$474,MATCH(K433,'MASTER por modelo'!$D$8:$D$474,0)),"")</f>
        <v>555</v>
      </c>
      <c r="V433" s="93"/>
    </row>
    <row r="434" spans="1:22" x14ac:dyDescent="0.25">
      <c r="A434" s="109" t="s">
        <v>55</v>
      </c>
      <c r="B434" s="109" t="s">
        <v>302</v>
      </c>
      <c r="C434" s="109" t="s">
        <v>303</v>
      </c>
      <c r="D434" s="103">
        <f t="shared" si="42"/>
        <v>229.74359330436732</v>
      </c>
      <c r="E434" s="110">
        <v>1.1519999999999999</v>
      </c>
      <c r="F434" s="110">
        <f t="shared" si="43"/>
        <v>0.74805194805194797</v>
      </c>
      <c r="G434" s="110">
        <f t="shared" si="44"/>
        <v>1</v>
      </c>
      <c r="H434" s="110"/>
      <c r="I434" s="111">
        <v>757</v>
      </c>
      <c r="J434" s="109" t="str">
        <f t="shared" si="45"/>
        <v>26</v>
      </c>
      <c r="K434" s="109" t="s">
        <v>477</v>
      </c>
      <c r="L434" s="109" t="s">
        <v>804</v>
      </c>
      <c r="M434" s="111">
        <v>12</v>
      </c>
      <c r="N434" s="110">
        <v>279.10000000000002</v>
      </c>
      <c r="O434" s="105">
        <f t="shared" si="46"/>
        <v>264.70000000000005</v>
      </c>
      <c r="P434" s="112">
        <v>9.6000000000000002E-2</v>
      </c>
      <c r="Q434" s="113">
        <v>1.5219999999999999E-3</v>
      </c>
      <c r="R434" s="107">
        <f t="shared" si="47"/>
        <v>1.522</v>
      </c>
      <c r="S434" s="105">
        <f t="shared" si="48"/>
        <v>349.66974900924708</v>
      </c>
      <c r="T434" s="114">
        <f>IFERROR(INDEX('MASTER por modelo'!$AQ$8:$AQ$474,MATCH(K434,'MASTER por modelo'!$D$8:$D$474,0)),"")</f>
        <v>0.78467635402906211</v>
      </c>
      <c r="U434" s="115">
        <f>IFERROR(INDEX('MASTER por modelo'!$AC$8:$AC$474,MATCH(K434,'MASTER por modelo'!$D$8:$D$474,0))+INDEX('MASTER por modelo'!$AD$8:$AD$474,MATCH(K434,'MASTER por modelo'!$D$8:$D$474,0)),"")</f>
        <v>594</v>
      </c>
      <c r="V434" s="93"/>
    </row>
    <row r="435" spans="1:22" x14ac:dyDescent="0.25">
      <c r="A435" s="109" t="s">
        <v>63</v>
      </c>
      <c r="B435" s="109" t="s">
        <v>171</v>
      </c>
      <c r="C435" s="109" t="s">
        <v>363</v>
      </c>
      <c r="D435" s="103">
        <f t="shared" si="42"/>
        <v>177.43574042890739</v>
      </c>
      <c r="E435" s="110">
        <v>1.1499999999999999</v>
      </c>
      <c r="F435" s="110">
        <f t="shared" si="43"/>
        <v>0.74675324675324672</v>
      </c>
      <c r="G435" s="110">
        <f t="shared" si="44"/>
        <v>1</v>
      </c>
      <c r="H435" s="110"/>
      <c r="I435" s="111">
        <v>794</v>
      </c>
      <c r="J435" s="109" t="str">
        <f t="shared" si="45"/>
        <v>26</v>
      </c>
      <c r="K435" s="109" t="s">
        <v>478</v>
      </c>
      <c r="L435" s="109" t="s">
        <v>761</v>
      </c>
      <c r="M435" s="111">
        <v>12</v>
      </c>
      <c r="N435" s="110">
        <v>218.4</v>
      </c>
      <c r="O435" s="105">
        <f t="shared" si="46"/>
        <v>204</v>
      </c>
      <c r="P435" s="112">
        <v>9.5799999999999996E-2</v>
      </c>
      <c r="Q435" s="113">
        <v>1.4480000000000001E-3</v>
      </c>
      <c r="R435" s="107">
        <f t="shared" si="47"/>
        <v>1.4480000000000002</v>
      </c>
      <c r="S435" s="105">
        <f t="shared" si="48"/>
        <v>256.92695214105794</v>
      </c>
      <c r="T435" s="114">
        <f>IFERROR(INDEX('MASTER por modelo'!$AQ$8:$AQ$474,MATCH(K435,'MASTER por modelo'!$D$8:$D$474,0)),"")</f>
        <v>0.82367758186397988</v>
      </c>
      <c r="U435" s="115">
        <f>IFERROR(INDEX('MASTER por modelo'!$AC$8:$AC$474,MATCH(K435,'MASTER por modelo'!$D$8:$D$474,0))+INDEX('MASTER por modelo'!$AD$8:$AD$474,MATCH(K435,'MASTER por modelo'!$D$8:$D$474,0)),"")</f>
        <v>654</v>
      </c>
      <c r="V435" s="93"/>
    </row>
    <row r="436" spans="1:22" x14ac:dyDescent="0.25">
      <c r="A436" s="109" t="s">
        <v>63</v>
      </c>
      <c r="B436" s="109" t="s">
        <v>171</v>
      </c>
      <c r="C436" s="109" t="s">
        <v>363</v>
      </c>
      <c r="D436" s="103">
        <f t="shared" si="42"/>
        <v>158.01506186121574</v>
      </c>
      <c r="E436" s="110">
        <v>1.1299999999999999</v>
      </c>
      <c r="F436" s="110">
        <f t="shared" si="43"/>
        <v>0.73376623376623373</v>
      </c>
      <c r="G436" s="110">
        <f t="shared" si="44"/>
        <v>1</v>
      </c>
      <c r="H436" s="110"/>
      <c r="I436" s="111">
        <v>572</v>
      </c>
      <c r="J436" s="109" t="str">
        <f t="shared" si="45"/>
        <v>26</v>
      </c>
      <c r="K436" s="109" t="s">
        <v>479</v>
      </c>
      <c r="L436" s="109" t="s">
        <v>807</v>
      </c>
      <c r="M436" s="111">
        <v>11</v>
      </c>
      <c r="N436" s="110">
        <v>191.8</v>
      </c>
      <c r="O436" s="105">
        <f t="shared" si="46"/>
        <v>178.60000000000002</v>
      </c>
      <c r="P436" s="112">
        <v>0.1027</v>
      </c>
      <c r="Q436" s="113">
        <v>1.9759999999999999E-3</v>
      </c>
      <c r="R436" s="107">
        <f t="shared" si="47"/>
        <v>1.976</v>
      </c>
      <c r="S436" s="105">
        <f t="shared" si="48"/>
        <v>312.2377622377623</v>
      </c>
      <c r="T436" s="114">
        <f>IFERROR(INDEX('MASTER por modelo'!$AQ$8:$AQ$474,MATCH(K436,'MASTER por modelo'!$D$8:$D$474,0)),"")</f>
        <v>0.93706293706293708</v>
      </c>
      <c r="U436" s="115">
        <f>IFERROR(INDEX('MASTER por modelo'!$AC$8:$AC$474,MATCH(K436,'MASTER por modelo'!$D$8:$D$474,0))+INDEX('MASTER por modelo'!$AD$8:$AD$474,MATCH(K436,'MASTER por modelo'!$D$8:$D$474,0)),"")</f>
        <v>536</v>
      </c>
      <c r="V436" s="93"/>
    </row>
    <row r="437" spans="1:22" x14ac:dyDescent="0.25">
      <c r="A437" s="109" t="s">
        <v>55</v>
      </c>
      <c r="B437" s="109" t="s">
        <v>314</v>
      </c>
      <c r="C437" s="109" t="s">
        <v>480</v>
      </c>
      <c r="D437" s="103">
        <f t="shared" si="42"/>
        <v>164.75498151961924</v>
      </c>
      <c r="E437" s="110">
        <v>1.1000000000000001</v>
      </c>
      <c r="F437" s="110">
        <f t="shared" si="43"/>
        <v>0.7142857142857143</v>
      </c>
      <c r="G437" s="110">
        <f t="shared" si="44"/>
        <v>1</v>
      </c>
      <c r="H437" s="110"/>
      <c r="I437" s="111">
        <v>681</v>
      </c>
      <c r="J437" s="109" t="str">
        <f t="shared" si="45"/>
        <v>26</v>
      </c>
      <c r="K437" s="109" t="s">
        <v>481</v>
      </c>
      <c r="L437" s="109" t="s">
        <v>817</v>
      </c>
      <c r="M437" s="111">
        <v>11</v>
      </c>
      <c r="N437" s="110">
        <v>194.4</v>
      </c>
      <c r="O437" s="105">
        <f t="shared" si="46"/>
        <v>181.20000000000002</v>
      </c>
      <c r="P437" s="112">
        <v>0.1</v>
      </c>
      <c r="Q437" s="113">
        <v>1.6149999999999999E-3</v>
      </c>
      <c r="R437" s="107">
        <f t="shared" si="47"/>
        <v>1.615</v>
      </c>
      <c r="S437" s="105">
        <f t="shared" si="48"/>
        <v>266.07929515418505</v>
      </c>
      <c r="T437" s="114">
        <f>IFERROR(INDEX('MASTER por modelo'!$AQ$8:$AQ$474,MATCH(K437,'MASTER por modelo'!$D$8:$D$474,0)),"")</f>
        <v>0.69016152716593249</v>
      </c>
      <c r="U437" s="115">
        <f>IFERROR(INDEX('MASTER por modelo'!$AC$8:$AC$474,MATCH(K437,'MASTER por modelo'!$D$8:$D$474,0))+INDEX('MASTER por modelo'!$AD$8:$AD$474,MATCH(K437,'MASTER por modelo'!$D$8:$D$474,0)),"")</f>
        <v>470</v>
      </c>
      <c r="V437" s="93"/>
    </row>
    <row r="438" spans="1:22" x14ac:dyDescent="0.25">
      <c r="A438" s="109" t="s">
        <v>55</v>
      </c>
      <c r="B438" s="109" t="s">
        <v>314</v>
      </c>
      <c r="C438" s="109" t="s">
        <v>315</v>
      </c>
      <c r="D438" s="103">
        <f t="shared" si="42"/>
        <v>215.6514006224989</v>
      </c>
      <c r="E438" s="110">
        <v>1.08</v>
      </c>
      <c r="F438" s="110">
        <f t="shared" si="43"/>
        <v>0.70129870129870131</v>
      </c>
      <c r="G438" s="110">
        <f t="shared" si="44"/>
        <v>1</v>
      </c>
      <c r="H438" s="110"/>
      <c r="I438" s="111">
        <v>1040</v>
      </c>
      <c r="J438" s="109" t="str">
        <f t="shared" si="45"/>
        <v>26</v>
      </c>
      <c r="K438" s="109" t="s">
        <v>482</v>
      </c>
      <c r="L438" s="109" t="s">
        <v>804</v>
      </c>
      <c r="M438" s="111">
        <v>15</v>
      </c>
      <c r="N438" s="110">
        <v>250.8</v>
      </c>
      <c r="O438" s="105">
        <f t="shared" si="46"/>
        <v>232.8</v>
      </c>
      <c r="P438" s="112">
        <v>7.1999999999999995E-2</v>
      </c>
      <c r="Q438" s="113">
        <v>1.0380000000000001E-3</v>
      </c>
      <c r="R438" s="107">
        <f t="shared" si="47"/>
        <v>1.038</v>
      </c>
      <c r="S438" s="105">
        <f t="shared" si="48"/>
        <v>223.84615384615387</v>
      </c>
      <c r="T438" s="114">
        <f>IFERROR(INDEX('MASTER por modelo'!$AQ$8:$AQ$474,MATCH(K438,'MASTER por modelo'!$D$8:$D$474,0)),"")</f>
        <v>0.72692307692307689</v>
      </c>
      <c r="U438" s="115">
        <f>IFERROR(INDEX('MASTER por modelo'!$AC$8:$AC$474,MATCH(K438,'MASTER por modelo'!$D$8:$D$474,0))+INDEX('MASTER por modelo'!$AD$8:$AD$474,MATCH(K438,'MASTER por modelo'!$D$8:$D$474,0)),"")</f>
        <v>756</v>
      </c>
      <c r="V438" s="93"/>
    </row>
    <row r="439" spans="1:22" x14ac:dyDescent="0.25">
      <c r="A439" s="109" t="s">
        <v>55</v>
      </c>
      <c r="B439" s="109" t="s">
        <v>314</v>
      </c>
      <c r="C439" s="109" t="s">
        <v>315</v>
      </c>
      <c r="D439" s="103">
        <f t="shared" si="42"/>
        <v>167.07509303044952</v>
      </c>
      <c r="E439" s="110">
        <v>1.08</v>
      </c>
      <c r="F439" s="110">
        <f t="shared" si="43"/>
        <v>0.70129870129870131</v>
      </c>
      <c r="G439" s="110">
        <f t="shared" si="44"/>
        <v>1</v>
      </c>
      <c r="H439" s="110"/>
      <c r="I439" s="111">
        <v>762</v>
      </c>
      <c r="J439" s="109" t="str">
        <f t="shared" si="45"/>
        <v>26</v>
      </c>
      <c r="K439" s="109" t="s">
        <v>483</v>
      </c>
      <c r="L439" s="109" t="s">
        <v>804</v>
      </c>
      <c r="M439" s="111">
        <v>15</v>
      </c>
      <c r="N439" s="110">
        <v>198.4</v>
      </c>
      <c r="O439" s="105">
        <f t="shared" si="46"/>
        <v>180.4</v>
      </c>
      <c r="P439" s="112">
        <v>7.1999999999999995E-2</v>
      </c>
      <c r="Q439" s="113">
        <v>1.4170000000000001E-3</v>
      </c>
      <c r="R439" s="107">
        <f t="shared" si="47"/>
        <v>1.417</v>
      </c>
      <c r="S439" s="105">
        <f t="shared" si="48"/>
        <v>236.74540682414698</v>
      </c>
      <c r="T439" s="114">
        <f>IFERROR(INDEX('MASTER por modelo'!$AQ$8:$AQ$474,MATCH(K439,'MASTER por modelo'!$D$8:$D$474,0)),"")</f>
        <v>0.59711286089238846</v>
      </c>
      <c r="U439" s="115">
        <f>IFERROR(INDEX('MASTER por modelo'!$AC$8:$AC$474,MATCH(K439,'MASTER por modelo'!$D$8:$D$474,0))+INDEX('MASTER por modelo'!$AD$8:$AD$474,MATCH(K439,'MASTER por modelo'!$D$8:$D$474,0)),"")</f>
        <v>455</v>
      </c>
      <c r="V439" s="93"/>
    </row>
    <row r="440" spans="1:22" x14ac:dyDescent="0.25">
      <c r="A440" s="109" t="s">
        <v>55</v>
      </c>
      <c r="B440" s="109" t="s">
        <v>314</v>
      </c>
      <c r="C440" s="109" t="s">
        <v>480</v>
      </c>
      <c r="D440" s="103">
        <f t="shared" si="42"/>
        <v>175.93179031893658</v>
      </c>
      <c r="E440" s="110">
        <v>1.08</v>
      </c>
      <c r="F440" s="110">
        <f t="shared" si="43"/>
        <v>0.70129870129870131</v>
      </c>
      <c r="G440" s="110">
        <f t="shared" si="44"/>
        <v>1</v>
      </c>
      <c r="H440" s="110"/>
      <c r="I440" s="111">
        <v>687</v>
      </c>
      <c r="J440" s="109" t="str">
        <f t="shared" si="45"/>
        <v>26</v>
      </c>
      <c r="K440" s="109" t="s">
        <v>484</v>
      </c>
      <c r="L440" s="109" t="s">
        <v>808</v>
      </c>
      <c r="M440" s="111">
        <v>15</v>
      </c>
      <c r="N440" s="110">
        <v>208</v>
      </c>
      <c r="O440" s="105">
        <f t="shared" si="46"/>
        <v>190</v>
      </c>
      <c r="P440" s="112">
        <v>7.1999999999999995E-2</v>
      </c>
      <c r="Q440" s="113">
        <v>1.572E-3</v>
      </c>
      <c r="R440" s="107">
        <f t="shared" si="47"/>
        <v>1.5720000000000001</v>
      </c>
      <c r="S440" s="105">
        <f t="shared" si="48"/>
        <v>276.5647743813683</v>
      </c>
      <c r="T440" s="114">
        <f>IFERROR(INDEX('MASTER por modelo'!$AQ$8:$AQ$474,MATCH(K440,'MASTER por modelo'!$D$8:$D$474,0)),"")</f>
        <v>0.83697234352256189</v>
      </c>
      <c r="U440" s="115">
        <f>IFERROR(INDEX('MASTER por modelo'!$AC$8:$AC$474,MATCH(K440,'MASTER por modelo'!$D$8:$D$474,0))+INDEX('MASTER por modelo'!$AD$8:$AD$474,MATCH(K440,'MASTER por modelo'!$D$8:$D$474,0)),"")</f>
        <v>575</v>
      </c>
      <c r="V440" s="93"/>
    </row>
    <row r="441" spans="1:22" x14ac:dyDescent="0.25">
      <c r="A441" s="109" t="s">
        <v>55</v>
      </c>
      <c r="B441" s="109" t="s">
        <v>302</v>
      </c>
      <c r="C441" s="109" t="s">
        <v>303</v>
      </c>
      <c r="D441" s="103">
        <f t="shared" si="42"/>
        <v>172.10477005173328</v>
      </c>
      <c r="E441" s="110">
        <v>1.08</v>
      </c>
      <c r="F441" s="110">
        <f t="shared" si="43"/>
        <v>0.70129870129870131</v>
      </c>
      <c r="G441" s="110">
        <f t="shared" si="44"/>
        <v>1</v>
      </c>
      <c r="H441" s="110"/>
      <c r="I441" s="111">
        <v>539</v>
      </c>
      <c r="J441" s="109" t="str">
        <f t="shared" si="45"/>
        <v>26</v>
      </c>
      <c r="K441" s="109" t="s">
        <v>485</v>
      </c>
      <c r="L441" s="109" t="s">
        <v>822</v>
      </c>
      <c r="M441" s="111">
        <v>15</v>
      </c>
      <c r="N441" s="110">
        <v>203.9</v>
      </c>
      <c r="O441" s="105">
        <f t="shared" si="46"/>
        <v>185.9</v>
      </c>
      <c r="P441" s="112">
        <v>7.1999999999999995E-2</v>
      </c>
      <c r="Q441" s="113">
        <v>2.0040000000000001E-3</v>
      </c>
      <c r="R441" s="107">
        <f t="shared" si="47"/>
        <v>2.004</v>
      </c>
      <c r="S441" s="105">
        <f t="shared" si="48"/>
        <v>344.89795918367349</v>
      </c>
      <c r="T441" s="114">
        <f>IFERROR(INDEX('MASTER por modelo'!$AQ$8:$AQ$474,MATCH(K441,'MASTER por modelo'!$D$8:$D$474,0)),"")</f>
        <v>0.93506493506493504</v>
      </c>
      <c r="U441" s="115">
        <f>IFERROR(INDEX('MASTER por modelo'!$AC$8:$AC$474,MATCH(K441,'MASTER por modelo'!$D$8:$D$474,0))+INDEX('MASTER por modelo'!$AD$8:$AD$474,MATCH(K441,'MASTER por modelo'!$D$8:$D$474,0)),"")</f>
        <v>504</v>
      </c>
      <c r="V441" s="93"/>
    </row>
    <row r="442" spans="1:22" x14ac:dyDescent="0.25">
      <c r="A442" s="109" t="s">
        <v>63</v>
      </c>
      <c r="B442" s="109" t="s">
        <v>64</v>
      </c>
      <c r="C442" s="109" t="s">
        <v>57</v>
      </c>
      <c r="D442" s="103">
        <f t="shared" si="42"/>
        <v>86.596257683295406</v>
      </c>
      <c r="E442" s="110">
        <v>1.06</v>
      </c>
      <c r="F442" s="110">
        <f t="shared" si="43"/>
        <v>0.68831168831168832</v>
      </c>
      <c r="G442" s="110">
        <f t="shared" si="44"/>
        <v>1</v>
      </c>
      <c r="H442" s="110"/>
      <c r="I442" s="111">
        <v>198</v>
      </c>
      <c r="J442" s="109" t="str">
        <f t="shared" si="45"/>
        <v>26</v>
      </c>
      <c r="K442" s="109" t="s">
        <v>276</v>
      </c>
      <c r="L442" s="109" t="s">
        <v>820</v>
      </c>
      <c r="M442" s="111">
        <v>11</v>
      </c>
      <c r="N442" s="110">
        <v>105</v>
      </c>
      <c r="O442" s="105">
        <f t="shared" si="46"/>
        <v>91.8</v>
      </c>
      <c r="P442" s="112">
        <v>9.64E-2</v>
      </c>
      <c r="Q442" s="113">
        <v>5.3540000000000003E-3</v>
      </c>
      <c r="R442" s="107">
        <f t="shared" si="47"/>
        <v>5.3540000000000001</v>
      </c>
      <c r="S442" s="105">
        <f t="shared" si="48"/>
        <v>463.63636363636363</v>
      </c>
      <c r="T442" s="114">
        <f>IFERROR(INDEX('MASTER por modelo'!$AQ$8:$AQ$474,MATCH(K442,'MASTER por modelo'!$D$8:$D$474,0)),"")</f>
        <v>5.1613876319758676</v>
      </c>
      <c r="U442" s="115">
        <f>IFERROR(INDEX('MASTER por modelo'!$AC$8:$AC$474,MATCH(K442,'MASTER por modelo'!$D$8:$D$474,0))+INDEX('MASTER por modelo'!$AD$8:$AD$474,MATCH(K442,'MASTER por modelo'!$D$8:$D$474,0)),"")</f>
        <v>3422</v>
      </c>
      <c r="V442" s="93"/>
    </row>
    <row r="443" spans="1:22" x14ac:dyDescent="0.25">
      <c r="A443" s="109" t="s">
        <v>55</v>
      </c>
      <c r="B443" s="109" t="s">
        <v>302</v>
      </c>
      <c r="C443" s="109" t="s">
        <v>303</v>
      </c>
      <c r="D443" s="103">
        <f t="shared" si="42"/>
        <v>229.29958023306918</v>
      </c>
      <c r="E443" s="110">
        <v>1.056</v>
      </c>
      <c r="F443" s="110">
        <f t="shared" si="43"/>
        <v>0.68571428571428572</v>
      </c>
      <c r="G443" s="110">
        <f t="shared" si="44"/>
        <v>1</v>
      </c>
      <c r="H443" s="110"/>
      <c r="I443" s="111">
        <v>616</v>
      </c>
      <c r="J443" s="109" t="str">
        <f t="shared" si="45"/>
        <v>26</v>
      </c>
      <c r="K443" s="109" t="s">
        <v>486</v>
      </c>
      <c r="L443" s="109" t="s">
        <v>804</v>
      </c>
      <c r="M443" s="111">
        <v>11</v>
      </c>
      <c r="N443" s="110">
        <v>255.3</v>
      </c>
      <c r="O443" s="105">
        <f t="shared" si="46"/>
        <v>242.10000000000002</v>
      </c>
      <c r="P443" s="112">
        <v>9.6000000000000002E-2</v>
      </c>
      <c r="Q443" s="113">
        <v>1.714E-3</v>
      </c>
      <c r="R443" s="107">
        <f t="shared" si="47"/>
        <v>1.714</v>
      </c>
      <c r="S443" s="105">
        <f t="shared" si="48"/>
        <v>393.01948051948057</v>
      </c>
      <c r="T443" s="114">
        <f>IFERROR(INDEX('MASTER por modelo'!$AQ$8:$AQ$474,MATCH(K443,'MASTER por modelo'!$D$8:$D$474,0)),"")</f>
        <v>0.84902597402597402</v>
      </c>
      <c r="U443" s="115">
        <f>IFERROR(INDEX('MASTER por modelo'!$AC$8:$AC$474,MATCH(K443,'MASTER por modelo'!$D$8:$D$474,0))+INDEX('MASTER por modelo'!$AD$8:$AD$474,MATCH(K443,'MASTER por modelo'!$D$8:$D$474,0)),"")</f>
        <v>523</v>
      </c>
      <c r="V443" s="93"/>
    </row>
    <row r="444" spans="1:22" x14ac:dyDescent="0.25">
      <c r="A444" s="109" t="s">
        <v>138</v>
      </c>
      <c r="B444" s="109" t="s">
        <v>393</v>
      </c>
      <c r="C444" s="109" t="s">
        <v>122</v>
      </c>
      <c r="D444" s="103">
        <f t="shared" si="42"/>
        <v>192.03563454141553</v>
      </c>
      <c r="E444" s="110">
        <v>1.056</v>
      </c>
      <c r="F444" s="110">
        <f t="shared" si="43"/>
        <v>0.68571428571428572</v>
      </c>
      <c r="G444" s="110">
        <f t="shared" si="44"/>
        <v>1</v>
      </c>
      <c r="H444" s="110"/>
      <c r="I444" s="111">
        <v>426</v>
      </c>
      <c r="J444" s="109" t="str">
        <f t="shared" si="45"/>
        <v>26</v>
      </c>
      <c r="K444" s="109" t="s">
        <v>487</v>
      </c>
      <c r="L444" s="109" t="s">
        <v>773</v>
      </c>
      <c r="M444" s="111">
        <v>11</v>
      </c>
      <c r="N444" s="110">
        <v>216</v>
      </c>
      <c r="O444" s="105">
        <f t="shared" si="46"/>
        <v>202.8</v>
      </c>
      <c r="P444" s="112">
        <v>9.6000000000000002E-2</v>
      </c>
      <c r="Q444" s="113">
        <v>2.4789999999999999E-3</v>
      </c>
      <c r="R444" s="107">
        <f t="shared" si="47"/>
        <v>2.4789999999999996</v>
      </c>
      <c r="S444" s="105">
        <f t="shared" si="48"/>
        <v>476.05633802816902</v>
      </c>
      <c r="T444" s="114">
        <f>IFERROR(INDEX('MASTER por modelo'!$AQ$8:$AQ$474,MATCH(K444,'MASTER por modelo'!$D$8:$D$474,0)),"")</f>
        <v>0.53051643192488263</v>
      </c>
      <c r="U444" s="115">
        <f>IFERROR(INDEX('MASTER por modelo'!$AC$8:$AC$474,MATCH(K444,'MASTER por modelo'!$D$8:$D$474,0))+INDEX('MASTER por modelo'!$AD$8:$AD$474,MATCH(K444,'MASTER por modelo'!$D$8:$D$474,0)),"")</f>
        <v>226</v>
      </c>
      <c r="V444" s="93"/>
    </row>
    <row r="445" spans="1:22" x14ac:dyDescent="0.25">
      <c r="A445" s="109" t="s">
        <v>63</v>
      </c>
      <c r="B445" s="109" t="s">
        <v>263</v>
      </c>
      <c r="C445" s="109" t="s">
        <v>264</v>
      </c>
      <c r="D445" s="103">
        <f t="shared" si="42"/>
        <v>220.23178306317223</v>
      </c>
      <c r="E445" s="110">
        <v>1.056</v>
      </c>
      <c r="F445" s="110">
        <f t="shared" si="43"/>
        <v>0.68571428571428572</v>
      </c>
      <c r="G445" s="110">
        <f t="shared" si="44"/>
        <v>1</v>
      </c>
      <c r="H445" s="110"/>
      <c r="I445" s="111">
        <v>736</v>
      </c>
      <c r="J445" s="109" t="str">
        <f t="shared" si="45"/>
        <v>26</v>
      </c>
      <c r="K445" s="109" t="s">
        <v>265</v>
      </c>
      <c r="L445" s="109" t="s">
        <v>796</v>
      </c>
      <c r="M445" s="111">
        <v>11</v>
      </c>
      <c r="N445" s="110">
        <v>245.8</v>
      </c>
      <c r="O445" s="105">
        <f t="shared" si="46"/>
        <v>232.60000000000002</v>
      </c>
      <c r="P445" s="112">
        <v>9.6000000000000002E-2</v>
      </c>
      <c r="Q445" s="113">
        <v>1.4350000000000001E-3</v>
      </c>
      <c r="R445" s="107">
        <f t="shared" si="47"/>
        <v>1.4350000000000001</v>
      </c>
      <c r="S445" s="105">
        <f t="shared" si="48"/>
        <v>316.03260869565219</v>
      </c>
      <c r="T445" s="114">
        <f>IFERROR(INDEX('MASTER por modelo'!$AQ$8:$AQ$474,MATCH(K445,'MASTER por modelo'!$D$8:$D$474,0)),"")</f>
        <v>0.75387387387387383</v>
      </c>
      <c r="U445" s="115">
        <f>IFERROR(INDEX('MASTER por modelo'!$AC$8:$AC$474,MATCH(K445,'MASTER por modelo'!$D$8:$D$474,0))+INDEX('MASTER por modelo'!$AD$8:$AD$474,MATCH(K445,'MASTER por modelo'!$D$8:$D$474,0)),"")</f>
        <v>2092</v>
      </c>
      <c r="V445" s="93"/>
    </row>
    <row r="446" spans="1:22" x14ac:dyDescent="0.25">
      <c r="A446" s="109" t="s">
        <v>63</v>
      </c>
      <c r="B446" s="109" t="s">
        <v>263</v>
      </c>
      <c r="C446" s="109" t="s">
        <v>264</v>
      </c>
      <c r="D446" s="103">
        <f t="shared" si="42"/>
        <v>210.05657700590774</v>
      </c>
      <c r="E446" s="110">
        <v>1.056</v>
      </c>
      <c r="F446" s="110">
        <f t="shared" si="43"/>
        <v>0.68571428571428572</v>
      </c>
      <c r="G446" s="110">
        <f t="shared" si="44"/>
        <v>1</v>
      </c>
      <c r="H446" s="110"/>
      <c r="I446" s="111">
        <v>751</v>
      </c>
      <c r="J446" s="109" t="str">
        <f t="shared" si="45"/>
        <v>26</v>
      </c>
      <c r="K446" s="109" t="s">
        <v>361</v>
      </c>
      <c r="L446" s="109" t="s">
        <v>796</v>
      </c>
      <c r="M446" s="111">
        <v>11</v>
      </c>
      <c r="N446" s="110">
        <v>235</v>
      </c>
      <c r="O446" s="105">
        <f t="shared" si="46"/>
        <v>221.8</v>
      </c>
      <c r="P446" s="112">
        <v>9.6000000000000002E-2</v>
      </c>
      <c r="Q446" s="113">
        <v>1.4059999999999999E-3</v>
      </c>
      <c r="R446" s="107">
        <f t="shared" si="47"/>
        <v>1.4059999999999999</v>
      </c>
      <c r="S446" s="105">
        <f t="shared" si="48"/>
        <v>295.33954727030624</v>
      </c>
      <c r="T446" s="114">
        <f>IFERROR(INDEX('MASTER por modelo'!$AQ$8:$AQ$474,MATCH(K446,'MASTER por modelo'!$D$8:$D$474,0)),"")</f>
        <v>0.80212234706616725</v>
      </c>
      <c r="U446" s="115">
        <f>IFERROR(INDEX('MASTER por modelo'!$AC$8:$AC$474,MATCH(K446,'MASTER por modelo'!$D$8:$D$474,0))+INDEX('MASTER por modelo'!$AD$8:$AD$474,MATCH(K446,'MASTER por modelo'!$D$8:$D$474,0)),"")</f>
        <v>1285</v>
      </c>
      <c r="V446" s="93"/>
    </row>
    <row r="447" spans="1:22" x14ac:dyDescent="0.25">
      <c r="A447" s="109" t="s">
        <v>63</v>
      </c>
      <c r="B447" s="109" t="s">
        <v>263</v>
      </c>
      <c r="C447" s="109" t="s">
        <v>264</v>
      </c>
      <c r="D447" s="103">
        <f t="shared" si="42"/>
        <v>206.59865298814978</v>
      </c>
      <c r="E447" s="110">
        <v>1.056</v>
      </c>
      <c r="F447" s="110">
        <f t="shared" si="43"/>
        <v>0.68571428571428572</v>
      </c>
      <c r="G447" s="110">
        <f t="shared" si="44"/>
        <v>1</v>
      </c>
      <c r="H447" s="110"/>
      <c r="I447" s="111">
        <v>770</v>
      </c>
      <c r="J447" s="109" t="str">
        <f t="shared" si="45"/>
        <v>26</v>
      </c>
      <c r="K447" s="109" t="s">
        <v>488</v>
      </c>
      <c r="L447" s="109" t="s">
        <v>796</v>
      </c>
      <c r="M447" s="111">
        <v>11</v>
      </c>
      <c r="N447" s="110">
        <v>231.3</v>
      </c>
      <c r="O447" s="105">
        <f t="shared" si="46"/>
        <v>218.10000000000002</v>
      </c>
      <c r="P447" s="112">
        <v>9.6000000000000002E-2</v>
      </c>
      <c r="Q447" s="113">
        <v>1.371E-3</v>
      </c>
      <c r="R447" s="107">
        <f t="shared" si="47"/>
        <v>1.371</v>
      </c>
      <c r="S447" s="105">
        <f t="shared" si="48"/>
        <v>283.24675324675331</v>
      </c>
      <c r="T447" s="114">
        <f>IFERROR(INDEX('MASTER por modelo'!$AQ$8:$AQ$474,MATCH(K447,'MASTER por modelo'!$D$8:$D$474,0)),"")</f>
        <v>0.91168831168831166</v>
      </c>
      <c r="U447" s="115">
        <f>IFERROR(INDEX('MASTER por modelo'!$AC$8:$AC$474,MATCH(K447,'MASTER por modelo'!$D$8:$D$474,0))+INDEX('MASTER por modelo'!$AD$8:$AD$474,MATCH(K447,'MASTER por modelo'!$D$8:$D$474,0)),"")</f>
        <v>702</v>
      </c>
      <c r="V447" s="93"/>
    </row>
    <row r="448" spans="1:22" x14ac:dyDescent="0.25">
      <c r="A448" s="109" t="s">
        <v>63</v>
      </c>
      <c r="B448" s="109" t="s">
        <v>171</v>
      </c>
      <c r="C448" s="109" t="s">
        <v>363</v>
      </c>
      <c r="D448" s="103">
        <f t="shared" si="42"/>
        <v>202.19641179501167</v>
      </c>
      <c r="E448" s="110">
        <v>1.056</v>
      </c>
      <c r="F448" s="110">
        <f t="shared" si="43"/>
        <v>0.68571428571428572</v>
      </c>
      <c r="G448" s="110">
        <f t="shared" si="44"/>
        <v>1</v>
      </c>
      <c r="H448" s="110"/>
      <c r="I448" s="111">
        <v>647</v>
      </c>
      <c r="J448" s="109" t="str">
        <f t="shared" si="45"/>
        <v>26</v>
      </c>
      <c r="K448" s="109" t="s">
        <v>489</v>
      </c>
      <c r="L448" s="109" t="s">
        <v>823</v>
      </c>
      <c r="M448" s="111">
        <v>11</v>
      </c>
      <c r="N448" s="110">
        <v>226.7</v>
      </c>
      <c r="O448" s="105">
        <f t="shared" si="46"/>
        <v>213.5</v>
      </c>
      <c r="P448" s="112">
        <v>9.6000000000000002E-2</v>
      </c>
      <c r="Q448" s="113">
        <v>1.632E-3</v>
      </c>
      <c r="R448" s="107">
        <f t="shared" si="47"/>
        <v>1.6319999999999999</v>
      </c>
      <c r="S448" s="105">
        <f t="shared" si="48"/>
        <v>329.98454404945903</v>
      </c>
      <c r="T448" s="114">
        <f>IFERROR(INDEX('MASTER por modelo'!$AQ$8:$AQ$474,MATCH(K448,'MASTER por modelo'!$D$8:$D$474,0)),"")</f>
        <v>0.7604327666151468</v>
      </c>
      <c r="U448" s="115">
        <f>IFERROR(INDEX('MASTER por modelo'!$AC$8:$AC$474,MATCH(K448,'MASTER por modelo'!$D$8:$D$474,0))+INDEX('MASTER por modelo'!$AD$8:$AD$474,MATCH(K448,'MASTER por modelo'!$D$8:$D$474,0)),"")</f>
        <v>492</v>
      </c>
      <c r="V448" s="93"/>
    </row>
    <row r="449" spans="1:22" x14ac:dyDescent="0.25">
      <c r="A449" s="109" t="s">
        <v>55</v>
      </c>
      <c r="B449" s="109" t="s">
        <v>302</v>
      </c>
      <c r="C449" s="109" t="s">
        <v>303</v>
      </c>
      <c r="D449" s="103">
        <f t="shared" si="42"/>
        <v>148.91955219994793</v>
      </c>
      <c r="E449" s="110">
        <v>1.056</v>
      </c>
      <c r="F449" s="110">
        <f t="shared" si="43"/>
        <v>0.68571428571428572</v>
      </c>
      <c r="G449" s="110">
        <f t="shared" si="44"/>
        <v>1</v>
      </c>
      <c r="H449" s="110"/>
      <c r="I449" s="111">
        <v>575</v>
      </c>
      <c r="J449" s="109" t="str">
        <f t="shared" si="45"/>
        <v>26</v>
      </c>
      <c r="K449" s="109" t="s">
        <v>490</v>
      </c>
      <c r="L449" s="109" t="s">
        <v>823</v>
      </c>
      <c r="M449" s="111">
        <v>11</v>
      </c>
      <c r="N449" s="110">
        <v>170.5</v>
      </c>
      <c r="O449" s="105">
        <f t="shared" si="46"/>
        <v>157.30000000000001</v>
      </c>
      <c r="P449" s="112">
        <v>9.6000000000000002E-2</v>
      </c>
      <c r="Q449" s="113">
        <v>1.8370000000000001E-3</v>
      </c>
      <c r="R449" s="107">
        <f t="shared" si="47"/>
        <v>1.8370000000000002</v>
      </c>
      <c r="S449" s="105">
        <f t="shared" si="48"/>
        <v>273.56521739130437</v>
      </c>
      <c r="T449" s="114">
        <f>IFERROR(INDEX('MASTER por modelo'!$AQ$8:$AQ$474,MATCH(K449,'MASTER por modelo'!$D$8:$D$474,0)),"")</f>
        <v>0.64521739130434785</v>
      </c>
      <c r="U449" s="115">
        <f>IFERROR(INDEX('MASTER por modelo'!$AC$8:$AC$474,MATCH(K449,'MASTER por modelo'!$D$8:$D$474,0))+INDEX('MASTER por modelo'!$AD$8:$AD$474,MATCH(K449,'MASTER por modelo'!$D$8:$D$474,0)),"")</f>
        <v>371</v>
      </c>
      <c r="V449" s="93"/>
    </row>
    <row r="450" spans="1:22" x14ac:dyDescent="0.25">
      <c r="A450" s="109" t="s">
        <v>138</v>
      </c>
      <c r="B450" s="109" t="s">
        <v>393</v>
      </c>
      <c r="C450" s="109" t="s">
        <v>122</v>
      </c>
      <c r="D450" s="103">
        <f t="shared" si="42"/>
        <v>182.58336521597491</v>
      </c>
      <c r="E450" s="110">
        <v>1.056</v>
      </c>
      <c r="F450" s="110">
        <f t="shared" si="43"/>
        <v>0.68571428571428572</v>
      </c>
      <c r="G450" s="110">
        <f t="shared" si="44"/>
        <v>1</v>
      </c>
      <c r="H450" s="110"/>
      <c r="I450" s="111">
        <v>412</v>
      </c>
      <c r="J450" s="109" t="str">
        <f t="shared" si="45"/>
        <v>26</v>
      </c>
      <c r="K450" s="109" t="s">
        <v>491</v>
      </c>
      <c r="L450" s="109" t="s">
        <v>790</v>
      </c>
      <c r="M450" s="111">
        <v>11</v>
      </c>
      <c r="N450" s="110">
        <v>206</v>
      </c>
      <c r="O450" s="105">
        <f t="shared" si="46"/>
        <v>192.8</v>
      </c>
      <c r="P450" s="112">
        <v>9.6000000000000002E-2</v>
      </c>
      <c r="Q450" s="113">
        <v>2.5630000000000002E-3</v>
      </c>
      <c r="R450" s="107">
        <f t="shared" si="47"/>
        <v>2.5630000000000002</v>
      </c>
      <c r="S450" s="105">
        <f t="shared" si="48"/>
        <v>467.96116504854376</v>
      </c>
      <c r="T450" s="114">
        <f>IFERROR(INDEX('MASTER por modelo'!$AQ$8:$AQ$474,MATCH(K450,'MASTER por modelo'!$D$8:$D$474,0)),"")</f>
        <v>0.59466019417475724</v>
      </c>
      <c r="U450" s="115">
        <f>IFERROR(INDEX('MASTER por modelo'!$AC$8:$AC$474,MATCH(K450,'MASTER por modelo'!$D$8:$D$474,0))+INDEX('MASTER por modelo'!$AD$8:$AD$474,MATCH(K450,'MASTER por modelo'!$D$8:$D$474,0)),"")</f>
        <v>245</v>
      </c>
      <c r="V450" s="93"/>
    </row>
    <row r="451" spans="1:22" x14ac:dyDescent="0.25">
      <c r="A451" s="109" t="s">
        <v>120</v>
      </c>
      <c r="B451" s="109" t="s">
        <v>492</v>
      </c>
      <c r="C451" s="109" t="s">
        <v>427</v>
      </c>
      <c r="D451" s="103">
        <f t="shared" si="42"/>
        <v>124.7927616410911</v>
      </c>
      <c r="E451" s="110">
        <v>1.056</v>
      </c>
      <c r="F451" s="110">
        <f t="shared" si="43"/>
        <v>0.68571428571428572</v>
      </c>
      <c r="G451" s="110">
        <f t="shared" si="44"/>
        <v>1</v>
      </c>
      <c r="H451" s="110"/>
      <c r="I451" s="111">
        <v>461</v>
      </c>
      <c r="J451" s="109" t="str">
        <f t="shared" si="45"/>
        <v>26</v>
      </c>
      <c r="K451" s="109" t="s">
        <v>493</v>
      </c>
      <c r="L451" s="109" t="s">
        <v>768</v>
      </c>
      <c r="M451" s="111">
        <v>11</v>
      </c>
      <c r="N451" s="110">
        <v>145</v>
      </c>
      <c r="O451" s="105">
        <f t="shared" si="46"/>
        <v>131.80000000000001</v>
      </c>
      <c r="P451" s="112">
        <v>9.6000000000000002E-2</v>
      </c>
      <c r="Q451" s="113">
        <v>2.2910000000000001E-3</v>
      </c>
      <c r="R451" s="107">
        <f t="shared" si="47"/>
        <v>2.2909999999999999</v>
      </c>
      <c r="S451" s="105">
        <f t="shared" si="48"/>
        <v>285.90021691973971</v>
      </c>
      <c r="T451" s="114">
        <f>IFERROR(INDEX('MASTER por modelo'!$AQ$8:$AQ$474,MATCH(K451,'MASTER por modelo'!$D$8:$D$474,0)),"")</f>
        <v>0.55314533622559658</v>
      </c>
      <c r="U451" s="115">
        <f>IFERROR(INDEX('MASTER por modelo'!$AC$8:$AC$474,MATCH(K451,'MASTER por modelo'!$D$8:$D$474,0))+INDEX('MASTER por modelo'!$AD$8:$AD$474,MATCH(K451,'MASTER por modelo'!$D$8:$D$474,0)),"")</f>
        <v>255</v>
      </c>
      <c r="V451" s="93"/>
    </row>
    <row r="452" spans="1:22" x14ac:dyDescent="0.25">
      <c r="A452" s="109" t="s">
        <v>63</v>
      </c>
      <c r="B452" s="109" t="s">
        <v>64</v>
      </c>
      <c r="C452" s="109" t="s">
        <v>66</v>
      </c>
      <c r="D452" s="103">
        <f t="shared" si="42"/>
        <v>104.17613722459615</v>
      </c>
      <c r="E452" s="110">
        <v>1.056</v>
      </c>
      <c r="F452" s="110">
        <f t="shared" si="43"/>
        <v>0.68571428571428572</v>
      </c>
      <c r="G452" s="110">
        <f t="shared" si="44"/>
        <v>1</v>
      </c>
      <c r="H452" s="110"/>
      <c r="I452" s="111">
        <v>204</v>
      </c>
      <c r="J452" s="109" t="str">
        <f t="shared" si="45"/>
        <v>26</v>
      </c>
      <c r="K452" s="109" t="s">
        <v>127</v>
      </c>
      <c r="L452" s="109" t="s">
        <v>797</v>
      </c>
      <c r="M452" s="111">
        <v>11</v>
      </c>
      <c r="N452" s="110">
        <v>123.2</v>
      </c>
      <c r="O452" s="105">
        <f t="shared" si="46"/>
        <v>110</v>
      </c>
      <c r="P452" s="112">
        <v>9.6000000000000002E-2</v>
      </c>
      <c r="Q452" s="113">
        <v>5.176E-3</v>
      </c>
      <c r="R452" s="107">
        <f t="shared" si="47"/>
        <v>5.1760000000000002</v>
      </c>
      <c r="S452" s="105">
        <f t="shared" si="48"/>
        <v>539.21568627450972</v>
      </c>
      <c r="T452" s="114">
        <f>IFERROR(INDEX('MASTER por modelo'!$AQ$8:$AQ$474,MATCH(K452,'MASTER por modelo'!$D$8:$D$474,0)),"")</f>
        <v>0.45279934613812833</v>
      </c>
      <c r="U452" s="115">
        <f>IFERROR(INDEX('MASTER por modelo'!$AC$8:$AC$474,MATCH(K452,'MASTER por modelo'!$D$8:$D$474,0))+INDEX('MASTER por modelo'!$AD$8:$AD$474,MATCH(K452,'MASTER por modelo'!$D$8:$D$474,0)),"")</f>
        <v>1108</v>
      </c>
      <c r="V452" s="93"/>
    </row>
    <row r="453" spans="1:22" x14ac:dyDescent="0.25">
      <c r="A453" s="109" t="s">
        <v>63</v>
      </c>
      <c r="B453" s="109" t="s">
        <v>288</v>
      </c>
      <c r="C453" s="109" t="s">
        <v>289</v>
      </c>
      <c r="D453" s="103">
        <f t="shared" si="42"/>
        <v>203.56456403983921</v>
      </c>
      <c r="E453" s="110">
        <v>1.03</v>
      </c>
      <c r="F453" s="110">
        <f t="shared" si="43"/>
        <v>0.66883116883116889</v>
      </c>
      <c r="G453" s="110">
        <f t="shared" si="44"/>
        <v>1</v>
      </c>
      <c r="H453" s="110"/>
      <c r="I453" s="111">
        <v>590</v>
      </c>
      <c r="J453" s="109" t="str">
        <f t="shared" si="45"/>
        <v>26</v>
      </c>
      <c r="K453" s="109" t="s">
        <v>494</v>
      </c>
      <c r="L453" s="109" t="s">
        <v>783</v>
      </c>
      <c r="M453" s="111">
        <v>10</v>
      </c>
      <c r="N453" s="110">
        <v>221.7</v>
      </c>
      <c r="O453" s="105">
        <f t="shared" si="46"/>
        <v>209.7</v>
      </c>
      <c r="P453" s="112">
        <v>0.10299999999999999</v>
      </c>
      <c r="Q453" s="113">
        <v>1.7459999999999999E-3</v>
      </c>
      <c r="R453" s="107">
        <f t="shared" si="47"/>
        <v>1.746</v>
      </c>
      <c r="S453" s="105">
        <f t="shared" si="48"/>
        <v>355.42372881355931</v>
      </c>
      <c r="T453" s="114">
        <f>IFERROR(INDEX('MASTER por modelo'!$AQ$8:$AQ$474,MATCH(K453,'MASTER por modelo'!$D$8:$D$474,0)),"")</f>
        <v>0.96779661016949148</v>
      </c>
      <c r="U453" s="115">
        <f>IFERROR(INDEX('MASTER por modelo'!$AC$8:$AC$474,MATCH(K453,'MASTER por modelo'!$D$8:$D$474,0))+INDEX('MASTER por modelo'!$AD$8:$AD$474,MATCH(K453,'MASTER por modelo'!$D$8:$D$474,0)),"")</f>
        <v>571</v>
      </c>
      <c r="V453" s="93"/>
    </row>
    <row r="454" spans="1:22" x14ac:dyDescent="0.25">
      <c r="A454" s="109" t="s">
        <v>63</v>
      </c>
      <c r="B454" s="109" t="s">
        <v>263</v>
      </c>
      <c r="C454" s="109" t="s">
        <v>264</v>
      </c>
      <c r="D454" s="103">
        <f t="shared" si="42"/>
        <v>189.0683917054493</v>
      </c>
      <c r="E454" s="110">
        <v>1.03</v>
      </c>
      <c r="F454" s="110">
        <f t="shared" si="43"/>
        <v>0.66883116883116889</v>
      </c>
      <c r="G454" s="110">
        <f t="shared" si="44"/>
        <v>1</v>
      </c>
      <c r="H454" s="110"/>
      <c r="I454" s="111">
        <v>715</v>
      </c>
      <c r="J454" s="109" t="str">
        <f t="shared" si="45"/>
        <v>26</v>
      </c>
      <c r="K454" s="109" t="s">
        <v>495</v>
      </c>
      <c r="L454" s="109" t="s">
        <v>779</v>
      </c>
      <c r="M454" s="111">
        <v>10</v>
      </c>
      <c r="N454" s="110">
        <v>206.8</v>
      </c>
      <c r="O454" s="105">
        <f t="shared" si="46"/>
        <v>194.8</v>
      </c>
      <c r="P454" s="112">
        <v>0.10299999999999999</v>
      </c>
      <c r="Q454" s="113">
        <v>1.441E-3</v>
      </c>
      <c r="R454" s="107">
        <f t="shared" si="47"/>
        <v>1.4410000000000001</v>
      </c>
      <c r="S454" s="105">
        <f t="shared" si="48"/>
        <v>272.44755244755248</v>
      </c>
      <c r="T454" s="114">
        <f>IFERROR(INDEX('MASTER por modelo'!$AQ$8:$AQ$474,MATCH(K454,'MASTER por modelo'!$D$8:$D$474,0)),"")</f>
        <v>0.88111888111888115</v>
      </c>
      <c r="U454" s="115">
        <f>IFERROR(INDEX('MASTER por modelo'!$AC$8:$AC$474,MATCH(K454,'MASTER por modelo'!$D$8:$D$474,0))+INDEX('MASTER por modelo'!$AD$8:$AD$474,MATCH(K454,'MASTER por modelo'!$D$8:$D$474,0)),"")</f>
        <v>630</v>
      </c>
      <c r="V454" s="93"/>
    </row>
    <row r="455" spans="1:22" x14ac:dyDescent="0.25">
      <c r="A455" s="109" t="s">
        <v>55</v>
      </c>
      <c r="B455" s="109" t="s">
        <v>314</v>
      </c>
      <c r="C455" s="109" t="s">
        <v>315</v>
      </c>
      <c r="D455" s="103">
        <f t="shared" si="42"/>
        <v>148.61170084008268</v>
      </c>
      <c r="E455" s="110">
        <v>1.008</v>
      </c>
      <c r="F455" s="110">
        <f t="shared" si="43"/>
        <v>0.65454545454545454</v>
      </c>
      <c r="G455" s="110">
        <f t="shared" si="44"/>
        <v>1</v>
      </c>
      <c r="H455" s="110"/>
      <c r="I455" s="111">
        <v>739</v>
      </c>
      <c r="J455" s="109" t="str">
        <f t="shared" si="45"/>
        <v>26</v>
      </c>
      <c r="K455" s="109" t="s">
        <v>496</v>
      </c>
      <c r="L455" s="109" t="s">
        <v>808</v>
      </c>
      <c r="M455" s="111">
        <v>14</v>
      </c>
      <c r="N455" s="110">
        <v>166.6</v>
      </c>
      <c r="O455" s="105">
        <f t="shared" si="46"/>
        <v>149.79999999999998</v>
      </c>
      <c r="P455" s="112">
        <v>7.1999999999999995E-2</v>
      </c>
      <c r="Q455" s="113">
        <v>1.364E-3</v>
      </c>
      <c r="R455" s="107">
        <f t="shared" si="47"/>
        <v>1.3639999999999999</v>
      </c>
      <c r="S455" s="105">
        <f t="shared" si="48"/>
        <v>202.70635994587278</v>
      </c>
      <c r="T455" s="114">
        <f>IFERROR(INDEX('MASTER por modelo'!$AQ$8:$AQ$474,MATCH(K455,'MASTER por modelo'!$D$8:$D$474,0)),"")</f>
        <v>0.87144790257104199</v>
      </c>
      <c r="U455" s="115">
        <f>IFERROR(INDEX('MASTER por modelo'!$AC$8:$AC$474,MATCH(K455,'MASTER por modelo'!$D$8:$D$474,0))+INDEX('MASTER por modelo'!$AD$8:$AD$474,MATCH(K455,'MASTER por modelo'!$D$8:$D$474,0)),"")</f>
        <v>644</v>
      </c>
      <c r="V455" s="93"/>
    </row>
    <row r="456" spans="1:22" x14ac:dyDescent="0.25">
      <c r="A456" s="109" t="s">
        <v>138</v>
      </c>
      <c r="B456" s="109" t="s">
        <v>393</v>
      </c>
      <c r="C456" s="109" t="s">
        <v>122</v>
      </c>
      <c r="D456" s="103">
        <f t="shared" ref="D456:D519" si="49">IFERROR((1/R456)*S456,0)</f>
        <v>221.16276646938297</v>
      </c>
      <c r="E456" s="110">
        <v>1.008</v>
      </c>
      <c r="F456" s="110">
        <f t="shared" ref="F456:F519" si="50">E456/1.54</f>
        <v>0.65454545454545454</v>
      </c>
      <c r="G456" s="110">
        <f t="shared" ref="G456:G519" si="51">ROUNDUP(F456,0)</f>
        <v>1</v>
      </c>
      <c r="H456" s="110"/>
      <c r="I456" s="111">
        <v>515</v>
      </c>
      <c r="J456" s="109" t="str">
        <f t="shared" ref="J456:J519" si="52">LEFT(K456,2)</f>
        <v>26</v>
      </c>
      <c r="K456" s="109" t="s">
        <v>394</v>
      </c>
      <c r="L456" s="109" t="s">
        <v>780</v>
      </c>
      <c r="M456" s="111">
        <v>13</v>
      </c>
      <c r="N456" s="110">
        <v>238.5</v>
      </c>
      <c r="O456" s="105">
        <f t="shared" ref="O456:O519" si="53">N456-(M456*1.2)</f>
        <v>222.9</v>
      </c>
      <c r="P456" s="112">
        <v>7.7499999999999999E-2</v>
      </c>
      <c r="Q456" s="113">
        <v>1.957E-3</v>
      </c>
      <c r="R456" s="107">
        <f t="shared" ref="R456:R519" si="54">Q456*1000</f>
        <v>1.9570000000000001</v>
      </c>
      <c r="S456" s="105">
        <f t="shared" ref="S456:S519" si="55">IFERROR((O456/I456)*1000,0)</f>
        <v>432.81553398058253</v>
      </c>
      <c r="T456" s="114">
        <f>IFERROR(INDEX('MASTER por modelo'!$AQ$8:$AQ$474,MATCH(K456,'MASTER por modelo'!$D$8:$D$474,0)),"")</f>
        <v>0.46216768916155421</v>
      </c>
      <c r="U456" s="115">
        <f>IFERROR(INDEX('MASTER por modelo'!$AC$8:$AC$474,MATCH(K456,'MASTER por modelo'!$D$8:$D$474,0))+INDEX('MASTER por modelo'!$AD$8:$AD$474,MATCH(K456,'MASTER por modelo'!$D$8:$D$474,0)),"")</f>
        <v>452</v>
      </c>
      <c r="V456" s="93"/>
    </row>
    <row r="457" spans="1:22" x14ac:dyDescent="0.25">
      <c r="A457" s="109" t="s">
        <v>55</v>
      </c>
      <c r="B457" s="109" t="s">
        <v>314</v>
      </c>
      <c r="C457" s="109" t="s">
        <v>315</v>
      </c>
      <c r="D457" s="103">
        <f t="shared" si="49"/>
        <v>168.34343660530064</v>
      </c>
      <c r="E457" s="110">
        <v>1</v>
      </c>
      <c r="F457" s="110">
        <f t="shared" si="50"/>
        <v>0.64935064935064934</v>
      </c>
      <c r="G457" s="110">
        <f t="shared" si="51"/>
        <v>1</v>
      </c>
      <c r="H457" s="110"/>
      <c r="I457" s="111">
        <v>824</v>
      </c>
      <c r="J457" s="109" t="str">
        <f t="shared" si="52"/>
        <v>26</v>
      </c>
      <c r="K457" s="109" t="s">
        <v>497</v>
      </c>
      <c r="L457" s="109" t="s">
        <v>817</v>
      </c>
      <c r="M457" s="111">
        <v>10</v>
      </c>
      <c r="N457" s="110">
        <v>180.4</v>
      </c>
      <c r="O457" s="105">
        <f t="shared" si="53"/>
        <v>168.4</v>
      </c>
      <c r="P457" s="112">
        <v>0.1</v>
      </c>
      <c r="Q457" s="113">
        <v>1.214E-3</v>
      </c>
      <c r="R457" s="107">
        <f t="shared" si="54"/>
        <v>1.214</v>
      </c>
      <c r="S457" s="105">
        <f t="shared" si="55"/>
        <v>204.36893203883497</v>
      </c>
      <c r="T457" s="114">
        <f>IFERROR(INDEX('MASTER por modelo'!$AQ$8:$AQ$474,MATCH(K457,'MASTER por modelo'!$D$8:$D$474,0)),"")</f>
        <v>0.78398058252427183</v>
      </c>
      <c r="U457" s="115">
        <f>IFERROR(INDEX('MASTER por modelo'!$AC$8:$AC$474,MATCH(K457,'MASTER por modelo'!$D$8:$D$474,0))+INDEX('MASTER por modelo'!$AD$8:$AD$474,MATCH(K457,'MASTER por modelo'!$D$8:$D$474,0)),"")</f>
        <v>646</v>
      </c>
      <c r="V457" s="93"/>
    </row>
    <row r="458" spans="1:22" x14ac:dyDescent="0.25">
      <c r="A458" s="109" t="s">
        <v>55</v>
      </c>
      <c r="B458" s="109" t="s">
        <v>302</v>
      </c>
      <c r="C458" s="109" t="s">
        <v>303</v>
      </c>
      <c r="D458" s="103">
        <f t="shared" si="49"/>
        <v>247.86585365853665</v>
      </c>
      <c r="E458" s="110">
        <v>0.98399999999999999</v>
      </c>
      <c r="F458" s="110">
        <f t="shared" si="50"/>
        <v>0.63896103896103895</v>
      </c>
      <c r="G458" s="110">
        <f t="shared" si="51"/>
        <v>1</v>
      </c>
      <c r="H458" s="110"/>
      <c r="I458" s="111">
        <v>615</v>
      </c>
      <c r="J458" s="109" t="str">
        <f t="shared" si="52"/>
        <v>26</v>
      </c>
      <c r="K458" s="109" t="s">
        <v>498</v>
      </c>
      <c r="L458" s="109" t="s">
        <v>804</v>
      </c>
      <c r="M458" s="111">
        <v>11</v>
      </c>
      <c r="N458" s="110">
        <v>257.10000000000002</v>
      </c>
      <c r="O458" s="105">
        <f t="shared" si="53"/>
        <v>243.90000000000003</v>
      </c>
      <c r="P458" s="112">
        <v>8.9499999999999996E-2</v>
      </c>
      <c r="Q458" s="113">
        <v>1.6000000000000001E-3</v>
      </c>
      <c r="R458" s="107">
        <f t="shared" si="54"/>
        <v>1.6</v>
      </c>
      <c r="S458" s="105">
        <f t="shared" si="55"/>
        <v>396.58536585365863</v>
      </c>
      <c r="T458" s="114">
        <f>IFERROR(INDEX('MASTER por modelo'!$AQ$8:$AQ$474,MATCH(K458,'MASTER por modelo'!$D$8:$D$474,0)),"")</f>
        <v>0.85203252032520327</v>
      </c>
      <c r="U458" s="115">
        <f>IFERROR(INDEX('MASTER por modelo'!$AC$8:$AC$474,MATCH(K458,'MASTER por modelo'!$D$8:$D$474,0))+INDEX('MASTER por modelo'!$AD$8:$AD$474,MATCH(K458,'MASTER por modelo'!$D$8:$D$474,0)),"")</f>
        <v>524</v>
      </c>
      <c r="V458" s="93"/>
    </row>
    <row r="459" spans="1:22" x14ac:dyDescent="0.25">
      <c r="A459" s="109" t="s">
        <v>63</v>
      </c>
      <c r="B459" s="109" t="s">
        <v>263</v>
      </c>
      <c r="C459" s="109" t="s">
        <v>264</v>
      </c>
      <c r="D459" s="103">
        <f t="shared" si="49"/>
        <v>221.28365355564492</v>
      </c>
      <c r="E459" s="110">
        <v>0.96</v>
      </c>
      <c r="F459" s="110">
        <f t="shared" si="50"/>
        <v>0.62337662337662336</v>
      </c>
      <c r="G459" s="110">
        <f t="shared" si="51"/>
        <v>1</v>
      </c>
      <c r="H459" s="110"/>
      <c r="I459" s="111">
        <v>763</v>
      </c>
      <c r="J459" s="109" t="str">
        <f t="shared" si="52"/>
        <v>26</v>
      </c>
      <c r="K459" s="109" t="s">
        <v>499</v>
      </c>
      <c r="L459" s="109" t="s">
        <v>796</v>
      </c>
      <c r="M459" s="111">
        <v>10</v>
      </c>
      <c r="N459" s="110">
        <v>224.4</v>
      </c>
      <c r="O459" s="105">
        <f t="shared" si="53"/>
        <v>212.4</v>
      </c>
      <c r="P459" s="112">
        <v>9.6000000000000002E-2</v>
      </c>
      <c r="Q459" s="113">
        <v>1.258E-3</v>
      </c>
      <c r="R459" s="107">
        <f t="shared" si="54"/>
        <v>1.258</v>
      </c>
      <c r="S459" s="105">
        <f t="shared" si="55"/>
        <v>278.37483617300131</v>
      </c>
      <c r="T459" s="114">
        <f>IFERROR(INDEX('MASTER por modelo'!$AQ$8:$AQ$474,MATCH(K459,'MASTER por modelo'!$D$8:$D$474,0)),"")</f>
        <v>0.79423328964613371</v>
      </c>
      <c r="U459" s="115">
        <f>IFERROR(INDEX('MASTER por modelo'!$AC$8:$AC$474,MATCH(K459,'MASTER por modelo'!$D$8:$D$474,0))+INDEX('MASTER por modelo'!$AD$8:$AD$474,MATCH(K459,'MASTER por modelo'!$D$8:$D$474,0)),"")</f>
        <v>606</v>
      </c>
      <c r="V459" s="93"/>
    </row>
    <row r="460" spans="1:22" x14ac:dyDescent="0.25">
      <c r="A460" s="109" t="s">
        <v>63</v>
      </c>
      <c r="B460" s="109" t="s">
        <v>288</v>
      </c>
      <c r="C460" s="109" t="s">
        <v>289</v>
      </c>
      <c r="D460" s="103">
        <f t="shared" si="49"/>
        <v>209.72594975745554</v>
      </c>
      <c r="E460" s="110">
        <v>0.96</v>
      </c>
      <c r="F460" s="110">
        <f t="shared" si="50"/>
        <v>0.62337662337662336</v>
      </c>
      <c r="G460" s="110">
        <f t="shared" si="51"/>
        <v>1</v>
      </c>
      <c r="H460" s="110"/>
      <c r="I460" s="111">
        <v>478</v>
      </c>
      <c r="J460" s="109" t="str">
        <f t="shared" si="52"/>
        <v>26</v>
      </c>
      <c r="K460" s="109" t="s">
        <v>500</v>
      </c>
      <c r="L460" s="109" t="s">
        <v>796</v>
      </c>
      <c r="M460" s="111">
        <v>10</v>
      </c>
      <c r="N460" s="110">
        <v>213.3</v>
      </c>
      <c r="O460" s="105">
        <f t="shared" si="53"/>
        <v>201.3</v>
      </c>
      <c r="P460" s="112">
        <v>9.6000000000000002E-2</v>
      </c>
      <c r="Q460" s="113">
        <v>2.0079999999999998E-3</v>
      </c>
      <c r="R460" s="107">
        <f t="shared" si="54"/>
        <v>2.008</v>
      </c>
      <c r="S460" s="105">
        <f t="shared" si="55"/>
        <v>421.12970711297072</v>
      </c>
      <c r="T460" s="114">
        <f>IFERROR(INDEX('MASTER por modelo'!$AQ$8:$AQ$474,MATCH(K460,'MASTER por modelo'!$D$8:$D$474,0)),"")</f>
        <v>0.91213389121338917</v>
      </c>
      <c r="U460" s="115">
        <f>IFERROR(INDEX('MASTER por modelo'!$AC$8:$AC$474,MATCH(K460,'MASTER por modelo'!$D$8:$D$474,0))+INDEX('MASTER por modelo'!$AD$8:$AD$474,MATCH(K460,'MASTER por modelo'!$D$8:$D$474,0)),"")</f>
        <v>436</v>
      </c>
      <c r="V460" s="93"/>
    </row>
    <row r="461" spans="1:22" x14ac:dyDescent="0.25">
      <c r="A461" s="109" t="s">
        <v>63</v>
      </c>
      <c r="B461" s="109" t="s">
        <v>263</v>
      </c>
      <c r="C461" s="109" t="s">
        <v>264</v>
      </c>
      <c r="D461" s="103">
        <f t="shared" si="49"/>
        <v>227.96004398826983</v>
      </c>
      <c r="E461" s="110">
        <v>0.96</v>
      </c>
      <c r="F461" s="110">
        <f t="shared" si="50"/>
        <v>0.62337662337662336</v>
      </c>
      <c r="G461" s="110">
        <f t="shared" si="51"/>
        <v>1</v>
      </c>
      <c r="H461" s="110"/>
      <c r="I461" s="111">
        <v>704</v>
      </c>
      <c r="J461" s="109" t="str">
        <f t="shared" si="52"/>
        <v>26</v>
      </c>
      <c r="K461" s="109" t="s">
        <v>501</v>
      </c>
      <c r="L461" s="109" t="s">
        <v>789</v>
      </c>
      <c r="M461" s="111">
        <v>10</v>
      </c>
      <c r="N461" s="110">
        <v>230.9</v>
      </c>
      <c r="O461" s="105">
        <f t="shared" si="53"/>
        <v>218.9</v>
      </c>
      <c r="P461" s="112">
        <v>9.6000000000000002E-2</v>
      </c>
      <c r="Q461" s="113">
        <v>1.364E-3</v>
      </c>
      <c r="R461" s="107">
        <f t="shared" si="54"/>
        <v>1.3639999999999999</v>
      </c>
      <c r="S461" s="105">
        <f t="shared" si="55"/>
        <v>310.93750000000006</v>
      </c>
      <c r="T461" s="114">
        <f>IFERROR(INDEX('MASTER por modelo'!$AQ$8:$AQ$474,MATCH(K461,'MASTER por modelo'!$D$8:$D$474,0)),"")</f>
        <v>0.92329545454545459</v>
      </c>
      <c r="U461" s="115">
        <f>IFERROR(INDEX('MASTER por modelo'!$AC$8:$AC$474,MATCH(K461,'MASTER por modelo'!$D$8:$D$474,0))+INDEX('MASTER por modelo'!$AD$8:$AD$474,MATCH(K461,'MASTER por modelo'!$D$8:$D$474,0)),"")</f>
        <v>650</v>
      </c>
      <c r="V461" s="93"/>
    </row>
    <row r="462" spans="1:22" x14ac:dyDescent="0.25">
      <c r="A462" s="109" t="s">
        <v>138</v>
      </c>
      <c r="B462" s="109" t="s">
        <v>502</v>
      </c>
      <c r="C462" s="109" t="s">
        <v>503</v>
      </c>
      <c r="D462" s="103">
        <f t="shared" si="49"/>
        <v>144.36718011107729</v>
      </c>
      <c r="E462" s="110">
        <v>0.96</v>
      </c>
      <c r="F462" s="110">
        <f t="shared" si="50"/>
        <v>0.62337662337662336</v>
      </c>
      <c r="G462" s="110">
        <f t="shared" si="51"/>
        <v>1</v>
      </c>
      <c r="H462" s="110"/>
      <c r="I462" s="111">
        <v>389</v>
      </c>
      <c r="J462" s="109" t="str">
        <f t="shared" si="52"/>
        <v>26</v>
      </c>
      <c r="K462" s="109" t="s">
        <v>504</v>
      </c>
      <c r="L462" s="109" t="s">
        <v>824</v>
      </c>
      <c r="M462" s="111">
        <v>10</v>
      </c>
      <c r="N462" s="110">
        <v>150.6</v>
      </c>
      <c r="O462" s="105">
        <f t="shared" si="53"/>
        <v>138.6</v>
      </c>
      <c r="P462" s="112">
        <v>9.6000000000000002E-2</v>
      </c>
      <c r="Q462" s="113">
        <v>2.4680000000000001E-3</v>
      </c>
      <c r="R462" s="107">
        <f t="shared" si="54"/>
        <v>2.468</v>
      </c>
      <c r="S462" s="105">
        <f t="shared" si="55"/>
        <v>356.29820051413878</v>
      </c>
      <c r="T462" s="114">
        <f>IFERROR(INDEX('MASTER por modelo'!$AQ$8:$AQ$474,MATCH(K462,'MASTER por modelo'!$D$8:$D$474,0)),"")</f>
        <v>0.60925449871465298</v>
      </c>
      <c r="U462" s="115">
        <f>IFERROR(INDEX('MASTER por modelo'!$AC$8:$AC$474,MATCH(K462,'MASTER por modelo'!$D$8:$D$474,0))+INDEX('MASTER por modelo'!$AD$8:$AD$474,MATCH(K462,'MASTER por modelo'!$D$8:$D$474,0)),"")</f>
        <v>237</v>
      </c>
      <c r="V462" s="93"/>
    </row>
    <row r="463" spans="1:22" x14ac:dyDescent="0.25">
      <c r="A463" s="109" t="s">
        <v>138</v>
      </c>
      <c r="B463" s="109" t="s">
        <v>502</v>
      </c>
      <c r="C463" s="109" t="s">
        <v>503</v>
      </c>
      <c r="D463" s="103">
        <f t="shared" si="49"/>
        <v>140.0827165007025</v>
      </c>
      <c r="E463" s="110">
        <v>0.96</v>
      </c>
      <c r="F463" s="110">
        <f t="shared" si="50"/>
        <v>0.62337662337662336</v>
      </c>
      <c r="G463" s="110">
        <f t="shared" si="51"/>
        <v>1</v>
      </c>
      <c r="H463" s="110"/>
      <c r="I463" s="111">
        <v>387</v>
      </c>
      <c r="J463" s="109" t="str">
        <f t="shared" si="52"/>
        <v>26</v>
      </c>
      <c r="K463" s="109" t="s">
        <v>505</v>
      </c>
      <c r="L463" s="109" t="s">
        <v>824</v>
      </c>
      <c r="M463" s="111">
        <v>10</v>
      </c>
      <c r="N463" s="110">
        <v>146.5</v>
      </c>
      <c r="O463" s="105">
        <f t="shared" si="53"/>
        <v>134.5</v>
      </c>
      <c r="P463" s="112">
        <v>9.6000000000000002E-2</v>
      </c>
      <c r="Q463" s="113">
        <v>2.4810000000000001E-3</v>
      </c>
      <c r="R463" s="107">
        <f t="shared" si="54"/>
        <v>2.4810000000000003</v>
      </c>
      <c r="S463" s="105">
        <f t="shared" si="55"/>
        <v>347.54521963824294</v>
      </c>
      <c r="T463" s="114">
        <f>IFERROR(INDEX('MASTER por modelo'!$AQ$8:$AQ$474,MATCH(K463,'MASTER por modelo'!$D$8:$D$474,0)),"")</f>
        <v>0.51937984496124034</v>
      </c>
      <c r="U463" s="115">
        <f>IFERROR(INDEX('MASTER por modelo'!$AC$8:$AC$474,MATCH(K463,'MASTER por modelo'!$D$8:$D$474,0))+INDEX('MASTER por modelo'!$AD$8:$AD$474,MATCH(K463,'MASTER por modelo'!$D$8:$D$474,0)),"")</f>
        <v>201</v>
      </c>
      <c r="V463" s="93"/>
    </row>
    <row r="464" spans="1:22" x14ac:dyDescent="0.25">
      <c r="A464" s="109" t="s">
        <v>63</v>
      </c>
      <c r="B464" s="109" t="s">
        <v>288</v>
      </c>
      <c r="C464" s="109" t="s">
        <v>289</v>
      </c>
      <c r="D464" s="103">
        <f t="shared" si="49"/>
        <v>209.78379977417512</v>
      </c>
      <c r="E464" s="110">
        <v>0.96</v>
      </c>
      <c r="F464" s="110">
        <f t="shared" si="50"/>
        <v>0.62337662337662336</v>
      </c>
      <c r="G464" s="110">
        <f t="shared" si="51"/>
        <v>1</v>
      </c>
      <c r="H464" s="110"/>
      <c r="I464" s="111">
        <v>462</v>
      </c>
      <c r="J464" s="109" t="str">
        <f t="shared" si="52"/>
        <v>26</v>
      </c>
      <c r="K464" s="109" t="s">
        <v>506</v>
      </c>
      <c r="L464" s="109" t="s">
        <v>825</v>
      </c>
      <c r="M464" s="111">
        <v>10</v>
      </c>
      <c r="N464" s="110">
        <v>213.4</v>
      </c>
      <c r="O464" s="105">
        <f t="shared" si="53"/>
        <v>201.4</v>
      </c>
      <c r="P464" s="112">
        <v>9.6000000000000002E-2</v>
      </c>
      <c r="Q464" s="113">
        <v>2.078E-3</v>
      </c>
      <c r="R464" s="107">
        <f t="shared" si="54"/>
        <v>2.0779999999999998</v>
      </c>
      <c r="S464" s="105">
        <f t="shared" si="55"/>
        <v>435.93073593073592</v>
      </c>
      <c r="T464" s="114">
        <f>IFERROR(INDEX('MASTER por modelo'!$AQ$8:$AQ$474,MATCH(K464,'MASTER por modelo'!$D$8:$D$474,0)),"")</f>
        <v>0.42424242424242425</v>
      </c>
      <c r="U464" s="115">
        <f>IFERROR(INDEX('MASTER por modelo'!$AC$8:$AC$474,MATCH(K464,'MASTER por modelo'!$D$8:$D$474,0))+INDEX('MASTER por modelo'!$AD$8:$AD$474,MATCH(K464,'MASTER por modelo'!$D$8:$D$474,0)),"")</f>
        <v>196</v>
      </c>
      <c r="V464" s="93"/>
    </row>
    <row r="465" spans="1:22" x14ac:dyDescent="0.25">
      <c r="A465" s="109" t="s">
        <v>120</v>
      </c>
      <c r="B465" s="109" t="s">
        <v>507</v>
      </c>
      <c r="C465" s="109" t="s">
        <v>427</v>
      </c>
      <c r="D465" s="103">
        <f t="shared" si="49"/>
        <v>131.48936170212767</v>
      </c>
      <c r="E465" s="110">
        <v>0.94</v>
      </c>
      <c r="F465" s="110">
        <f t="shared" si="50"/>
        <v>0.61038961038961037</v>
      </c>
      <c r="G465" s="110">
        <f t="shared" si="51"/>
        <v>1</v>
      </c>
      <c r="H465" s="110"/>
      <c r="I465" s="111">
        <v>400</v>
      </c>
      <c r="J465" s="109" t="str">
        <f t="shared" si="52"/>
        <v>26</v>
      </c>
      <c r="K465" s="109" t="s">
        <v>508</v>
      </c>
      <c r="L465" s="109" t="s">
        <v>781</v>
      </c>
      <c r="M465" s="111">
        <v>13</v>
      </c>
      <c r="N465" s="110">
        <v>139.19999999999999</v>
      </c>
      <c r="O465" s="105">
        <f t="shared" si="53"/>
        <v>123.6</v>
      </c>
      <c r="P465" s="112">
        <v>7.2300000000000003E-2</v>
      </c>
      <c r="Q465" s="113">
        <v>2.3500000000000001E-3</v>
      </c>
      <c r="R465" s="107">
        <f t="shared" si="54"/>
        <v>2.35</v>
      </c>
      <c r="S465" s="105">
        <f t="shared" si="55"/>
        <v>309</v>
      </c>
      <c r="T465" s="114">
        <f>IFERROR(INDEX('MASTER por modelo'!$AQ$8:$AQ$474,MATCH(K465,'MASTER por modelo'!$D$8:$D$474,0)),"")</f>
        <v>0.6875</v>
      </c>
      <c r="U465" s="115">
        <f>IFERROR(INDEX('MASTER por modelo'!$AC$8:$AC$474,MATCH(K465,'MASTER por modelo'!$D$8:$D$474,0))+INDEX('MASTER por modelo'!$AD$8:$AD$474,MATCH(K465,'MASTER por modelo'!$D$8:$D$474,0)),"")</f>
        <v>275</v>
      </c>
      <c r="V465" s="93"/>
    </row>
    <row r="466" spans="1:22" x14ac:dyDescent="0.25">
      <c r="A466" s="109" t="s">
        <v>55</v>
      </c>
      <c r="B466" s="109" t="s">
        <v>509</v>
      </c>
      <c r="C466" s="109" t="s">
        <v>303</v>
      </c>
      <c r="D466" s="103">
        <f t="shared" si="49"/>
        <v>177.04011065006915</v>
      </c>
      <c r="E466" s="110">
        <v>0.94</v>
      </c>
      <c r="F466" s="110">
        <f t="shared" si="50"/>
        <v>0.61038961038961037</v>
      </c>
      <c r="G466" s="110">
        <f t="shared" si="51"/>
        <v>1</v>
      </c>
      <c r="H466" s="110"/>
      <c r="I466" s="111">
        <v>650</v>
      </c>
      <c r="J466" s="109" t="str">
        <f t="shared" si="52"/>
        <v>26</v>
      </c>
      <c r="K466" s="109" t="s">
        <v>510</v>
      </c>
      <c r="L466" s="109" t="s">
        <v>812</v>
      </c>
      <c r="M466" s="111">
        <v>13</v>
      </c>
      <c r="N466" s="110">
        <v>182</v>
      </c>
      <c r="O466" s="105">
        <f t="shared" si="53"/>
        <v>166.4</v>
      </c>
      <c r="P466" s="112">
        <v>7.2300000000000003E-2</v>
      </c>
      <c r="Q466" s="113">
        <v>1.446E-3</v>
      </c>
      <c r="R466" s="107">
        <f t="shared" si="54"/>
        <v>1.446</v>
      </c>
      <c r="S466" s="105">
        <f t="shared" si="55"/>
        <v>256</v>
      </c>
      <c r="T466" s="114">
        <f>IFERROR(INDEX('MASTER por modelo'!$AQ$8:$AQ$474,MATCH(K466,'MASTER por modelo'!$D$8:$D$474,0)),"")</f>
        <v>0.89692307692307693</v>
      </c>
      <c r="U466" s="115">
        <f>IFERROR(INDEX('MASTER por modelo'!$AC$8:$AC$474,MATCH(K466,'MASTER por modelo'!$D$8:$D$474,0))+INDEX('MASTER por modelo'!$AD$8:$AD$474,MATCH(K466,'MASTER por modelo'!$D$8:$D$474,0)),"")</f>
        <v>583</v>
      </c>
      <c r="V466" s="93"/>
    </row>
    <row r="467" spans="1:22" x14ac:dyDescent="0.25">
      <c r="A467" s="109" t="s">
        <v>55</v>
      </c>
      <c r="B467" s="109" t="s">
        <v>314</v>
      </c>
      <c r="C467" s="109" t="s">
        <v>315</v>
      </c>
      <c r="D467" s="103">
        <f t="shared" si="49"/>
        <v>175.68156754122748</v>
      </c>
      <c r="E467" s="110">
        <v>0.93600000000000005</v>
      </c>
      <c r="F467" s="110">
        <f t="shared" si="50"/>
        <v>0.60779220779220777</v>
      </c>
      <c r="G467" s="110">
        <f t="shared" si="51"/>
        <v>1</v>
      </c>
      <c r="H467" s="110"/>
      <c r="I467" s="111">
        <v>738</v>
      </c>
      <c r="J467" s="109" t="str">
        <f t="shared" si="52"/>
        <v>26</v>
      </c>
      <c r="K467" s="109" t="s">
        <v>511</v>
      </c>
      <c r="L467" s="109" t="s">
        <v>804</v>
      </c>
      <c r="M467" s="111">
        <v>13</v>
      </c>
      <c r="N467" s="110">
        <v>180</v>
      </c>
      <c r="O467" s="105">
        <f t="shared" si="53"/>
        <v>164.4</v>
      </c>
      <c r="P467" s="112">
        <v>7.1999999999999995E-2</v>
      </c>
      <c r="Q467" s="113">
        <v>1.268E-3</v>
      </c>
      <c r="R467" s="107">
        <f t="shared" si="54"/>
        <v>1.268</v>
      </c>
      <c r="S467" s="105">
        <f t="shared" si="55"/>
        <v>222.76422764227644</v>
      </c>
      <c r="T467" s="114">
        <f>IFERROR(INDEX('MASTER por modelo'!$AQ$8:$AQ$474,MATCH(K467,'MASTER por modelo'!$D$8:$D$474,0)),"")</f>
        <v>0.64363143631436315</v>
      </c>
      <c r="U467" s="115">
        <f>IFERROR(INDEX('MASTER por modelo'!$AC$8:$AC$474,MATCH(K467,'MASTER por modelo'!$D$8:$D$474,0))+INDEX('MASTER por modelo'!$AD$8:$AD$474,MATCH(K467,'MASTER por modelo'!$D$8:$D$474,0)),"")</f>
        <v>475</v>
      </c>
      <c r="V467" s="93"/>
    </row>
    <row r="468" spans="1:22" x14ac:dyDescent="0.25">
      <c r="A468" s="109" t="s">
        <v>55</v>
      </c>
      <c r="B468" s="109" t="s">
        <v>314</v>
      </c>
      <c r="C468" s="109" t="s">
        <v>315</v>
      </c>
      <c r="D468" s="103">
        <f t="shared" si="49"/>
        <v>174.13264848280252</v>
      </c>
      <c r="E468" s="110">
        <v>0.93600000000000005</v>
      </c>
      <c r="F468" s="110">
        <f t="shared" si="50"/>
        <v>0.60779220779220777</v>
      </c>
      <c r="G468" s="110">
        <f t="shared" si="51"/>
        <v>1</v>
      </c>
      <c r="H468" s="110"/>
      <c r="I468" s="111">
        <v>707</v>
      </c>
      <c r="J468" s="109" t="str">
        <f t="shared" si="52"/>
        <v>26</v>
      </c>
      <c r="K468" s="109" t="s">
        <v>512</v>
      </c>
      <c r="L468" s="109" t="s">
        <v>804</v>
      </c>
      <c r="M468" s="111">
        <v>13</v>
      </c>
      <c r="N468" s="110">
        <v>178.6</v>
      </c>
      <c r="O468" s="105">
        <f t="shared" si="53"/>
        <v>163</v>
      </c>
      <c r="P468" s="112">
        <v>7.1999999999999995E-2</v>
      </c>
      <c r="Q468" s="113">
        <v>1.3240000000000001E-3</v>
      </c>
      <c r="R468" s="107">
        <f t="shared" si="54"/>
        <v>1.3240000000000001</v>
      </c>
      <c r="S468" s="105">
        <f t="shared" si="55"/>
        <v>230.55162659123056</v>
      </c>
      <c r="T468" s="114">
        <f>IFERROR(INDEX('MASTER por modelo'!$AQ$8:$AQ$474,MATCH(K468,'MASTER por modelo'!$D$8:$D$474,0)),"")</f>
        <v>0.92362093352192365</v>
      </c>
      <c r="U468" s="115">
        <f>IFERROR(INDEX('MASTER por modelo'!$AC$8:$AC$474,MATCH(K468,'MASTER por modelo'!$D$8:$D$474,0))+INDEX('MASTER por modelo'!$AD$8:$AD$474,MATCH(K468,'MASTER por modelo'!$D$8:$D$474,0)),"")</f>
        <v>653</v>
      </c>
      <c r="V468" s="93"/>
    </row>
    <row r="469" spans="1:22" x14ac:dyDescent="0.25">
      <c r="A469" s="109" t="s">
        <v>138</v>
      </c>
      <c r="B469" s="109" t="s">
        <v>393</v>
      </c>
      <c r="C469" s="109" t="s">
        <v>122</v>
      </c>
      <c r="D469" s="103">
        <f t="shared" si="49"/>
        <v>188.69283709088333</v>
      </c>
      <c r="E469" s="110">
        <v>0.93</v>
      </c>
      <c r="F469" s="110">
        <f t="shared" si="50"/>
        <v>0.60389610389610393</v>
      </c>
      <c r="G469" s="110">
        <f t="shared" si="51"/>
        <v>1</v>
      </c>
      <c r="H469" s="110"/>
      <c r="I469" s="111">
        <v>517</v>
      </c>
      <c r="J469" s="109" t="str">
        <f t="shared" si="52"/>
        <v>26</v>
      </c>
      <c r="K469" s="109" t="s">
        <v>405</v>
      </c>
      <c r="L469" s="109" t="s">
        <v>780</v>
      </c>
      <c r="M469" s="111">
        <v>12</v>
      </c>
      <c r="N469" s="110">
        <v>189.9</v>
      </c>
      <c r="O469" s="105">
        <f t="shared" si="53"/>
        <v>175.5</v>
      </c>
      <c r="P469" s="112">
        <v>7.7499999999999999E-2</v>
      </c>
      <c r="Q469" s="113">
        <v>1.799E-3</v>
      </c>
      <c r="R469" s="107">
        <f t="shared" si="54"/>
        <v>1.7989999999999999</v>
      </c>
      <c r="S469" s="105">
        <f t="shared" si="55"/>
        <v>339.45841392649908</v>
      </c>
      <c r="T469" s="114">
        <f>IFERROR(INDEX('MASTER por modelo'!$AQ$8:$AQ$474,MATCH(K469,'MASTER por modelo'!$D$8:$D$474,0)),"")</f>
        <v>0.5063788027477919</v>
      </c>
      <c r="U469" s="115">
        <f>IFERROR(INDEX('MASTER por modelo'!$AC$8:$AC$474,MATCH(K469,'MASTER por modelo'!$D$8:$D$474,0))+INDEX('MASTER por modelo'!$AD$8:$AD$474,MATCH(K469,'MASTER por modelo'!$D$8:$D$474,0)),"")</f>
        <v>516</v>
      </c>
      <c r="V469" s="93"/>
    </row>
    <row r="470" spans="1:22" x14ac:dyDescent="0.25">
      <c r="A470" s="109" t="s">
        <v>138</v>
      </c>
      <c r="B470" s="109" t="s">
        <v>393</v>
      </c>
      <c r="C470" s="109" t="s">
        <v>122</v>
      </c>
      <c r="D470" s="103">
        <f t="shared" si="49"/>
        <v>216.41275168867526</v>
      </c>
      <c r="E470" s="110">
        <v>0.93</v>
      </c>
      <c r="F470" s="110">
        <f t="shared" si="50"/>
        <v>0.60389610389610393</v>
      </c>
      <c r="G470" s="110">
        <f t="shared" si="51"/>
        <v>1</v>
      </c>
      <c r="H470" s="110"/>
      <c r="I470" s="111">
        <v>463</v>
      </c>
      <c r="J470" s="109" t="str">
        <f t="shared" si="52"/>
        <v>26</v>
      </c>
      <c r="K470" s="109" t="s">
        <v>394</v>
      </c>
      <c r="L470" s="109" t="s">
        <v>780</v>
      </c>
      <c r="M470" s="111">
        <v>12</v>
      </c>
      <c r="N470" s="110">
        <v>215.7</v>
      </c>
      <c r="O470" s="105">
        <f t="shared" si="53"/>
        <v>201.29999999999998</v>
      </c>
      <c r="P470" s="112">
        <v>7.7499999999999999E-2</v>
      </c>
      <c r="Q470" s="113">
        <v>2.0089999999999999E-3</v>
      </c>
      <c r="R470" s="107">
        <f t="shared" si="54"/>
        <v>2.0089999999999999</v>
      </c>
      <c r="S470" s="105">
        <f t="shared" si="55"/>
        <v>434.77321814254856</v>
      </c>
      <c r="T470" s="114">
        <f>IFERROR(INDEX('MASTER por modelo'!$AQ$8:$AQ$474,MATCH(K470,'MASTER por modelo'!$D$8:$D$474,0)),"")</f>
        <v>0.46216768916155421</v>
      </c>
      <c r="U470" s="115">
        <f>IFERROR(INDEX('MASTER por modelo'!$AC$8:$AC$474,MATCH(K470,'MASTER por modelo'!$D$8:$D$474,0))+INDEX('MASTER por modelo'!$AD$8:$AD$474,MATCH(K470,'MASTER por modelo'!$D$8:$D$474,0)),"")</f>
        <v>452</v>
      </c>
      <c r="V470" s="93"/>
    </row>
    <row r="471" spans="1:22" x14ac:dyDescent="0.25">
      <c r="A471" s="109" t="s">
        <v>63</v>
      </c>
      <c r="B471" s="109" t="s">
        <v>263</v>
      </c>
      <c r="C471" s="109" t="s">
        <v>264</v>
      </c>
      <c r="D471" s="103">
        <f t="shared" si="49"/>
        <v>206.52263705494371</v>
      </c>
      <c r="E471" s="110">
        <v>0.92</v>
      </c>
      <c r="F471" s="110">
        <f t="shared" si="50"/>
        <v>0.59740259740259738</v>
      </c>
      <c r="G471" s="110">
        <f t="shared" si="51"/>
        <v>1</v>
      </c>
      <c r="H471" s="110"/>
      <c r="I471" s="111">
        <v>721</v>
      </c>
      <c r="J471" s="109" t="str">
        <f t="shared" si="52"/>
        <v>26</v>
      </c>
      <c r="K471" s="109" t="s">
        <v>513</v>
      </c>
      <c r="L471" s="109" t="s">
        <v>779</v>
      </c>
      <c r="M471" s="111">
        <v>9</v>
      </c>
      <c r="N471" s="110">
        <v>200.8</v>
      </c>
      <c r="O471" s="105">
        <f t="shared" si="53"/>
        <v>190</v>
      </c>
      <c r="P471" s="112">
        <v>0.1022</v>
      </c>
      <c r="Q471" s="113">
        <v>1.276E-3</v>
      </c>
      <c r="R471" s="107">
        <f t="shared" si="54"/>
        <v>1.276</v>
      </c>
      <c r="S471" s="105">
        <f t="shared" si="55"/>
        <v>263.5228848821082</v>
      </c>
      <c r="T471" s="114">
        <f>IFERROR(INDEX('MASTER por modelo'!$AQ$8:$AQ$474,MATCH(K471,'MASTER por modelo'!$D$8:$D$474,0)),"")</f>
        <v>0.80443828016643548</v>
      </c>
      <c r="U471" s="115">
        <f>IFERROR(INDEX('MASTER por modelo'!$AC$8:$AC$474,MATCH(K471,'MASTER por modelo'!$D$8:$D$474,0))+INDEX('MASTER por modelo'!$AD$8:$AD$474,MATCH(K471,'MASTER por modelo'!$D$8:$D$474,0)),"")</f>
        <v>580</v>
      </c>
      <c r="V471" s="93"/>
    </row>
    <row r="472" spans="1:22" x14ac:dyDescent="0.25">
      <c r="A472" s="109" t="s">
        <v>55</v>
      </c>
      <c r="B472" s="109" t="s">
        <v>314</v>
      </c>
      <c r="C472" s="109" t="s">
        <v>315</v>
      </c>
      <c r="D472" s="103">
        <f t="shared" si="49"/>
        <v>204.88221587640393</v>
      </c>
      <c r="E472" s="110">
        <v>0.86399999999999999</v>
      </c>
      <c r="F472" s="110">
        <f t="shared" si="50"/>
        <v>0.561038961038961</v>
      </c>
      <c r="G472" s="110">
        <f t="shared" si="51"/>
        <v>1</v>
      </c>
      <c r="H472" s="110"/>
      <c r="I472" s="111">
        <v>779</v>
      </c>
      <c r="J472" s="109" t="str">
        <f t="shared" si="52"/>
        <v>26</v>
      </c>
      <c r="K472" s="109" t="s">
        <v>514</v>
      </c>
      <c r="L472" s="109" t="s">
        <v>804</v>
      </c>
      <c r="M472" s="111">
        <v>12</v>
      </c>
      <c r="N472" s="110">
        <v>191.4</v>
      </c>
      <c r="O472" s="105">
        <f t="shared" si="53"/>
        <v>177</v>
      </c>
      <c r="P472" s="112">
        <v>7.1999999999999995E-2</v>
      </c>
      <c r="Q472" s="113">
        <v>1.109E-3</v>
      </c>
      <c r="R472" s="107">
        <f t="shared" si="54"/>
        <v>1.109</v>
      </c>
      <c r="S472" s="105">
        <f t="shared" si="55"/>
        <v>227.21437740693196</v>
      </c>
      <c r="T472" s="114">
        <f>IFERROR(INDEX('MASTER por modelo'!$AQ$8:$AQ$474,MATCH(K472,'MASTER por modelo'!$D$8:$D$474,0)),"")</f>
        <v>0.84980744544287545</v>
      </c>
      <c r="U472" s="115">
        <f>IFERROR(INDEX('MASTER por modelo'!$AC$8:$AC$474,MATCH(K472,'MASTER por modelo'!$D$8:$D$474,0))+INDEX('MASTER por modelo'!$AD$8:$AD$474,MATCH(K472,'MASTER por modelo'!$D$8:$D$474,0)),"")</f>
        <v>662</v>
      </c>
      <c r="V472" s="93"/>
    </row>
    <row r="473" spans="1:22" x14ac:dyDescent="0.25">
      <c r="A473" s="109" t="s">
        <v>55</v>
      </c>
      <c r="B473" s="109" t="s">
        <v>314</v>
      </c>
      <c r="C473" s="109" t="s">
        <v>315</v>
      </c>
      <c r="D473" s="103">
        <f t="shared" si="49"/>
        <v>215.45236893410697</v>
      </c>
      <c r="E473" s="110">
        <v>0.86399999999999999</v>
      </c>
      <c r="F473" s="110">
        <f t="shared" si="50"/>
        <v>0.561038961038961</v>
      </c>
      <c r="G473" s="110">
        <f t="shared" si="51"/>
        <v>1</v>
      </c>
      <c r="H473" s="110"/>
      <c r="I473" s="111">
        <v>737</v>
      </c>
      <c r="J473" s="109" t="str">
        <f t="shared" si="52"/>
        <v>26</v>
      </c>
      <c r="K473" s="109" t="s">
        <v>515</v>
      </c>
      <c r="L473" s="109" t="s">
        <v>804</v>
      </c>
      <c r="M473" s="111">
        <v>9</v>
      </c>
      <c r="N473" s="110">
        <v>196.9</v>
      </c>
      <c r="O473" s="105">
        <f t="shared" si="53"/>
        <v>186.1</v>
      </c>
      <c r="P473" s="112">
        <v>9.6000000000000002E-2</v>
      </c>
      <c r="Q473" s="113">
        <v>1.1720000000000001E-3</v>
      </c>
      <c r="R473" s="107">
        <f t="shared" si="54"/>
        <v>1.1720000000000002</v>
      </c>
      <c r="S473" s="105">
        <f t="shared" si="55"/>
        <v>252.51017639077338</v>
      </c>
      <c r="T473" s="114">
        <f>IFERROR(INDEX('MASTER por modelo'!$AQ$8:$AQ$474,MATCH(K473,'MASTER por modelo'!$D$8:$D$474,0)),"")</f>
        <v>0.87652645861601086</v>
      </c>
      <c r="U473" s="115">
        <f>IFERROR(INDEX('MASTER por modelo'!$AC$8:$AC$474,MATCH(K473,'MASTER por modelo'!$D$8:$D$474,0))+INDEX('MASTER por modelo'!$AD$8:$AD$474,MATCH(K473,'MASTER por modelo'!$D$8:$D$474,0)),"")</f>
        <v>646</v>
      </c>
      <c r="V473" s="93"/>
    </row>
    <row r="474" spans="1:22" x14ac:dyDescent="0.25">
      <c r="A474" s="109" t="s">
        <v>55</v>
      </c>
      <c r="B474" s="109" t="s">
        <v>314</v>
      </c>
      <c r="C474" s="109" t="s">
        <v>315</v>
      </c>
      <c r="D474" s="103">
        <f t="shared" si="49"/>
        <v>171.76760907358923</v>
      </c>
      <c r="E474" s="110">
        <v>0.86399999999999999</v>
      </c>
      <c r="F474" s="110">
        <f t="shared" si="50"/>
        <v>0.561038961038961</v>
      </c>
      <c r="G474" s="110">
        <f t="shared" si="51"/>
        <v>1</v>
      </c>
      <c r="H474" s="110"/>
      <c r="I474" s="111">
        <v>622</v>
      </c>
      <c r="J474" s="109" t="str">
        <f t="shared" si="52"/>
        <v>26</v>
      </c>
      <c r="K474" s="109" t="s">
        <v>516</v>
      </c>
      <c r="L474" s="109" t="s">
        <v>804</v>
      </c>
      <c r="M474" s="111">
        <v>12</v>
      </c>
      <c r="N474" s="110">
        <v>162.80000000000001</v>
      </c>
      <c r="O474" s="105">
        <f t="shared" si="53"/>
        <v>148.4</v>
      </c>
      <c r="P474" s="112">
        <v>7.1999999999999995E-2</v>
      </c>
      <c r="Q474" s="113">
        <v>1.389E-3</v>
      </c>
      <c r="R474" s="107">
        <f t="shared" si="54"/>
        <v>1.389</v>
      </c>
      <c r="S474" s="105">
        <f t="shared" si="55"/>
        <v>238.58520900321545</v>
      </c>
      <c r="T474" s="114">
        <f>IFERROR(INDEX('MASTER por modelo'!$AQ$8:$AQ$474,MATCH(K474,'MASTER por modelo'!$D$8:$D$474,0)),"")</f>
        <v>0.90353697749196138</v>
      </c>
      <c r="U474" s="115">
        <f>IFERROR(INDEX('MASTER por modelo'!$AC$8:$AC$474,MATCH(K474,'MASTER por modelo'!$D$8:$D$474,0))+INDEX('MASTER por modelo'!$AD$8:$AD$474,MATCH(K474,'MASTER por modelo'!$D$8:$D$474,0)),"")</f>
        <v>562</v>
      </c>
      <c r="V474" s="93"/>
    </row>
    <row r="475" spans="1:22" x14ac:dyDescent="0.25">
      <c r="A475" s="109" t="s">
        <v>138</v>
      </c>
      <c r="B475" s="109" t="s">
        <v>426</v>
      </c>
      <c r="C475" s="109" t="s">
        <v>427</v>
      </c>
      <c r="D475" s="103">
        <f t="shared" si="49"/>
        <v>163.43273562324353</v>
      </c>
      <c r="E475" s="110">
        <v>0.86399999999999999</v>
      </c>
      <c r="F475" s="110">
        <f t="shared" si="50"/>
        <v>0.561038961038961</v>
      </c>
      <c r="G475" s="110">
        <f t="shared" si="51"/>
        <v>1</v>
      </c>
      <c r="H475" s="110"/>
      <c r="I475" s="111">
        <v>412</v>
      </c>
      <c r="J475" s="109" t="str">
        <f t="shared" si="52"/>
        <v>26</v>
      </c>
      <c r="K475" s="109" t="s">
        <v>517</v>
      </c>
      <c r="L475" s="109" t="s">
        <v>826</v>
      </c>
      <c r="M475" s="111">
        <v>9</v>
      </c>
      <c r="N475" s="110">
        <v>152</v>
      </c>
      <c r="O475" s="105">
        <f t="shared" si="53"/>
        <v>141.19999999999999</v>
      </c>
      <c r="P475" s="112">
        <v>9.6000000000000002E-2</v>
      </c>
      <c r="Q475" s="113">
        <v>2.0969999999999999E-3</v>
      </c>
      <c r="R475" s="107">
        <f t="shared" si="54"/>
        <v>2.097</v>
      </c>
      <c r="S475" s="105">
        <f t="shared" si="55"/>
        <v>342.71844660194171</v>
      </c>
      <c r="T475" s="114">
        <f>IFERROR(INDEX('MASTER por modelo'!$AQ$8:$AQ$474,MATCH(K475,'MASTER por modelo'!$D$8:$D$474,0)),"")</f>
        <v>0.65533980582524276</v>
      </c>
      <c r="U475" s="115">
        <f>IFERROR(INDEX('MASTER por modelo'!$AC$8:$AC$474,MATCH(K475,'MASTER por modelo'!$D$8:$D$474,0))+INDEX('MASTER por modelo'!$AD$8:$AD$474,MATCH(K475,'MASTER por modelo'!$D$8:$D$474,0)),"")</f>
        <v>270</v>
      </c>
      <c r="V475" s="93"/>
    </row>
    <row r="476" spans="1:22" x14ac:dyDescent="0.25">
      <c r="A476" s="109" t="s">
        <v>55</v>
      </c>
      <c r="B476" s="109" t="s">
        <v>314</v>
      </c>
      <c r="C476" s="109" t="s">
        <v>315</v>
      </c>
      <c r="D476" s="103">
        <f t="shared" si="49"/>
        <v>185.81941037626697</v>
      </c>
      <c r="E476" s="110">
        <v>0.86399999999999999</v>
      </c>
      <c r="F476" s="110">
        <f t="shared" si="50"/>
        <v>0.561038961038961</v>
      </c>
      <c r="G476" s="110">
        <f t="shared" si="51"/>
        <v>1</v>
      </c>
      <c r="H476" s="110"/>
      <c r="I476" s="111">
        <v>680</v>
      </c>
      <c r="J476" s="109" t="str">
        <f t="shared" si="52"/>
        <v>26</v>
      </c>
      <c r="K476" s="109" t="s">
        <v>518</v>
      </c>
      <c r="L476" s="109" t="s">
        <v>808</v>
      </c>
      <c r="M476" s="111">
        <v>12</v>
      </c>
      <c r="N476" s="110">
        <v>175</v>
      </c>
      <c r="O476" s="105">
        <f t="shared" si="53"/>
        <v>160.6</v>
      </c>
      <c r="P476" s="112">
        <v>7.1999999999999995E-2</v>
      </c>
      <c r="Q476" s="113">
        <v>1.271E-3</v>
      </c>
      <c r="R476" s="107">
        <f t="shared" si="54"/>
        <v>1.2709999999999999</v>
      </c>
      <c r="S476" s="105">
        <f t="shared" si="55"/>
        <v>236.1764705882353</v>
      </c>
      <c r="T476" s="114">
        <f>IFERROR(INDEX('MASTER por modelo'!$AQ$8:$AQ$474,MATCH(K476,'MASTER por modelo'!$D$8:$D$474,0)),"")</f>
        <v>0.95147058823529407</v>
      </c>
      <c r="U476" s="115">
        <f>IFERROR(INDEX('MASTER por modelo'!$AC$8:$AC$474,MATCH(K476,'MASTER por modelo'!$D$8:$D$474,0))+INDEX('MASTER por modelo'!$AD$8:$AD$474,MATCH(K476,'MASTER por modelo'!$D$8:$D$474,0)),"")</f>
        <v>647</v>
      </c>
      <c r="V476" s="93"/>
    </row>
    <row r="477" spans="1:22" x14ac:dyDescent="0.25">
      <c r="A477" s="109" t="s">
        <v>55</v>
      </c>
      <c r="B477" s="109" t="s">
        <v>56</v>
      </c>
      <c r="C477" s="109" t="s">
        <v>57</v>
      </c>
      <c r="D477" s="103">
        <f t="shared" si="49"/>
        <v>98.958333333333329</v>
      </c>
      <c r="E477" s="110">
        <v>0.86399999999999999</v>
      </c>
      <c r="F477" s="110">
        <f t="shared" si="50"/>
        <v>0.561038961038961</v>
      </c>
      <c r="G477" s="110">
        <f t="shared" si="51"/>
        <v>1</v>
      </c>
      <c r="H477" s="110"/>
      <c r="I477" s="111">
        <v>72</v>
      </c>
      <c r="J477" s="109" t="str">
        <f t="shared" si="52"/>
        <v>26</v>
      </c>
      <c r="K477" s="109" t="s">
        <v>58</v>
      </c>
      <c r="L477" s="109" t="s">
        <v>740</v>
      </c>
      <c r="M477" s="111">
        <v>9</v>
      </c>
      <c r="N477" s="110">
        <v>96.3</v>
      </c>
      <c r="O477" s="105">
        <f t="shared" si="53"/>
        <v>85.5</v>
      </c>
      <c r="P477" s="112">
        <v>9.6000000000000002E-2</v>
      </c>
      <c r="Q477" s="113">
        <v>1.2E-2</v>
      </c>
      <c r="R477" s="107">
        <f t="shared" si="54"/>
        <v>12</v>
      </c>
      <c r="S477" s="105">
        <f t="shared" si="55"/>
        <v>1187.5</v>
      </c>
      <c r="T477" s="114">
        <f>IFERROR(INDEX('MASTER por modelo'!$AQ$8:$AQ$474,MATCH(K477,'MASTER por modelo'!$D$8:$D$474,0)),"")</f>
        <v>0.20331767469172049</v>
      </c>
      <c r="U477" s="115">
        <f>IFERROR(INDEX('MASTER por modelo'!$AC$8:$AC$474,MATCH(K477,'MASTER por modelo'!$D$8:$D$474,0))+INDEX('MASTER por modelo'!$AD$8:$AD$474,MATCH(K477,'MASTER por modelo'!$D$8:$D$474,0)),"")</f>
        <v>1385</v>
      </c>
      <c r="V477" s="93"/>
    </row>
    <row r="478" spans="1:22" x14ac:dyDescent="0.25">
      <c r="A478" s="109" t="s">
        <v>120</v>
      </c>
      <c r="B478" s="109" t="s">
        <v>519</v>
      </c>
      <c r="C478" s="109" t="s">
        <v>503</v>
      </c>
      <c r="D478" s="103">
        <f t="shared" si="49"/>
        <v>97.20478386400589</v>
      </c>
      <c r="E478" s="110">
        <v>0.86399999999999999</v>
      </c>
      <c r="F478" s="110">
        <f t="shared" si="50"/>
        <v>0.561038961038961</v>
      </c>
      <c r="G478" s="110">
        <f t="shared" si="51"/>
        <v>1</v>
      </c>
      <c r="H478" s="110"/>
      <c r="I478" s="111">
        <v>401</v>
      </c>
      <c r="J478" s="109" t="str">
        <f t="shared" si="52"/>
        <v>26</v>
      </c>
      <c r="K478" s="109" t="s">
        <v>520</v>
      </c>
      <c r="L478" s="109" t="s">
        <v>768</v>
      </c>
      <c r="M478" s="111">
        <v>9</v>
      </c>
      <c r="N478" s="110">
        <v>94.8</v>
      </c>
      <c r="O478" s="105">
        <f t="shared" si="53"/>
        <v>84</v>
      </c>
      <c r="P478" s="112">
        <v>9.6000000000000002E-2</v>
      </c>
      <c r="Q478" s="113">
        <v>2.1549999999999998E-3</v>
      </c>
      <c r="R478" s="107">
        <f t="shared" si="54"/>
        <v>2.1549999999999998</v>
      </c>
      <c r="S478" s="105">
        <f t="shared" si="55"/>
        <v>209.47630922693267</v>
      </c>
      <c r="T478" s="114">
        <f>IFERROR(INDEX('MASTER por modelo'!$AQ$8:$AQ$474,MATCH(K478,'MASTER por modelo'!$D$8:$D$474,0)),"")</f>
        <v>0.61845386533665836</v>
      </c>
      <c r="U478" s="115">
        <f>IFERROR(INDEX('MASTER por modelo'!$AC$8:$AC$474,MATCH(K478,'MASTER por modelo'!$D$8:$D$474,0))+INDEX('MASTER por modelo'!$AD$8:$AD$474,MATCH(K478,'MASTER por modelo'!$D$8:$D$474,0)),"")</f>
        <v>248</v>
      </c>
      <c r="V478" s="93"/>
    </row>
    <row r="479" spans="1:22" x14ac:dyDescent="0.25">
      <c r="A479" s="109" t="s">
        <v>120</v>
      </c>
      <c r="B479" s="109" t="s">
        <v>519</v>
      </c>
      <c r="C479" s="109" t="s">
        <v>503</v>
      </c>
      <c r="D479" s="103">
        <f t="shared" si="49"/>
        <v>96.047584056101044</v>
      </c>
      <c r="E479" s="110">
        <v>0.86399999999999999</v>
      </c>
      <c r="F479" s="110">
        <f t="shared" si="50"/>
        <v>0.561038961038961</v>
      </c>
      <c r="G479" s="110">
        <f t="shared" si="51"/>
        <v>1</v>
      </c>
      <c r="H479" s="110"/>
      <c r="I479" s="111">
        <v>401</v>
      </c>
      <c r="J479" s="109" t="str">
        <f t="shared" si="52"/>
        <v>26</v>
      </c>
      <c r="K479" s="109" t="s">
        <v>521</v>
      </c>
      <c r="L479" s="109" t="s">
        <v>768</v>
      </c>
      <c r="M479" s="111">
        <v>9</v>
      </c>
      <c r="N479" s="110">
        <v>93.8</v>
      </c>
      <c r="O479" s="105">
        <f t="shared" si="53"/>
        <v>83</v>
      </c>
      <c r="P479" s="112">
        <v>9.6000000000000002E-2</v>
      </c>
      <c r="Q479" s="113">
        <v>2.1549999999999998E-3</v>
      </c>
      <c r="R479" s="107">
        <f t="shared" si="54"/>
        <v>2.1549999999999998</v>
      </c>
      <c r="S479" s="105">
        <f t="shared" si="55"/>
        <v>206.98254364089775</v>
      </c>
      <c r="T479" s="114">
        <f>IFERROR(INDEX('MASTER por modelo'!$AQ$8:$AQ$474,MATCH(K479,'MASTER por modelo'!$D$8:$D$474,0)),"")</f>
        <v>0.66334164588528677</v>
      </c>
      <c r="U479" s="115">
        <f>IFERROR(INDEX('MASTER por modelo'!$AC$8:$AC$474,MATCH(K479,'MASTER por modelo'!$D$8:$D$474,0))+INDEX('MASTER por modelo'!$AD$8:$AD$474,MATCH(K479,'MASTER por modelo'!$D$8:$D$474,0)),"")</f>
        <v>266</v>
      </c>
      <c r="V479" s="93"/>
    </row>
    <row r="480" spans="1:22" x14ac:dyDescent="0.25">
      <c r="A480" s="109" t="s">
        <v>63</v>
      </c>
      <c r="B480" s="109" t="s">
        <v>171</v>
      </c>
      <c r="C480" s="109" t="s">
        <v>363</v>
      </c>
      <c r="D480" s="103">
        <f t="shared" si="49"/>
        <v>155.38678049291104</v>
      </c>
      <c r="E480" s="110">
        <v>0.86</v>
      </c>
      <c r="F480" s="110">
        <f t="shared" si="50"/>
        <v>0.55844155844155841</v>
      </c>
      <c r="G480" s="110">
        <f t="shared" si="51"/>
        <v>1</v>
      </c>
      <c r="H480" s="110"/>
      <c r="I480" s="111">
        <v>677</v>
      </c>
      <c r="J480" s="109" t="str">
        <f t="shared" si="52"/>
        <v>26</v>
      </c>
      <c r="K480" s="109" t="s">
        <v>522</v>
      </c>
      <c r="L480" s="109" t="s">
        <v>761</v>
      </c>
      <c r="M480" s="111">
        <v>9</v>
      </c>
      <c r="N480" s="110">
        <v>144.4</v>
      </c>
      <c r="O480" s="105">
        <f t="shared" si="53"/>
        <v>133.6</v>
      </c>
      <c r="P480" s="112">
        <v>9.5600000000000004E-2</v>
      </c>
      <c r="Q480" s="113">
        <v>1.2700000000000001E-3</v>
      </c>
      <c r="R480" s="107">
        <f t="shared" si="54"/>
        <v>1.27</v>
      </c>
      <c r="S480" s="105">
        <f t="shared" si="55"/>
        <v>197.34121122599706</v>
      </c>
      <c r="T480" s="114">
        <f>IFERROR(INDEX('MASTER por modelo'!$AQ$8:$AQ$474,MATCH(K480,'MASTER por modelo'!$D$8:$D$474,0)),"")</f>
        <v>0.85081240768094535</v>
      </c>
      <c r="U480" s="115">
        <f>IFERROR(INDEX('MASTER por modelo'!$AC$8:$AC$474,MATCH(K480,'MASTER por modelo'!$D$8:$D$474,0))+INDEX('MASTER por modelo'!$AD$8:$AD$474,MATCH(K480,'MASTER por modelo'!$D$8:$D$474,0)),"")</f>
        <v>576</v>
      </c>
      <c r="V480" s="93"/>
    </row>
    <row r="481" spans="1:22" x14ac:dyDescent="0.25">
      <c r="A481" s="109" t="s">
        <v>63</v>
      </c>
      <c r="B481" s="109" t="s">
        <v>171</v>
      </c>
      <c r="C481" s="109" t="s">
        <v>363</v>
      </c>
      <c r="D481" s="103">
        <f t="shared" si="49"/>
        <v>195.53592187863285</v>
      </c>
      <c r="E481" s="110">
        <v>0.86</v>
      </c>
      <c r="F481" s="110">
        <f t="shared" si="50"/>
        <v>0.55844155844155841</v>
      </c>
      <c r="G481" s="110">
        <f t="shared" si="51"/>
        <v>1</v>
      </c>
      <c r="H481" s="110"/>
      <c r="I481" s="111">
        <v>680</v>
      </c>
      <c r="J481" s="109" t="str">
        <f t="shared" si="52"/>
        <v>26</v>
      </c>
      <c r="K481" s="109" t="s">
        <v>523</v>
      </c>
      <c r="L481" s="109" t="s">
        <v>761</v>
      </c>
      <c r="M481" s="111">
        <v>9</v>
      </c>
      <c r="N481" s="110">
        <v>179</v>
      </c>
      <c r="O481" s="105">
        <f t="shared" si="53"/>
        <v>168.2</v>
      </c>
      <c r="P481" s="112">
        <v>9.5600000000000004E-2</v>
      </c>
      <c r="Q481" s="113">
        <v>1.2650000000000001E-3</v>
      </c>
      <c r="R481" s="107">
        <f t="shared" si="54"/>
        <v>1.2650000000000001</v>
      </c>
      <c r="S481" s="105">
        <f t="shared" si="55"/>
        <v>247.35294117647058</v>
      </c>
      <c r="T481" s="114">
        <f>IFERROR(INDEX('MASTER por modelo'!$AQ$8:$AQ$474,MATCH(K481,'MASTER por modelo'!$D$8:$D$474,0)),"")</f>
        <v>0.85147058823529409</v>
      </c>
      <c r="U481" s="115">
        <f>IFERROR(INDEX('MASTER por modelo'!$AC$8:$AC$474,MATCH(K481,'MASTER por modelo'!$D$8:$D$474,0))+INDEX('MASTER por modelo'!$AD$8:$AD$474,MATCH(K481,'MASTER por modelo'!$D$8:$D$474,0)),"")</f>
        <v>579</v>
      </c>
      <c r="V481" s="93"/>
    </row>
    <row r="482" spans="1:22" x14ac:dyDescent="0.25">
      <c r="A482" s="109" t="s">
        <v>55</v>
      </c>
      <c r="B482" s="109" t="s">
        <v>329</v>
      </c>
      <c r="C482" s="109" t="s">
        <v>445</v>
      </c>
      <c r="D482" s="103">
        <f t="shared" si="49"/>
        <v>258.99565045472519</v>
      </c>
      <c r="E482" s="110">
        <v>0.86</v>
      </c>
      <c r="F482" s="110">
        <f t="shared" si="50"/>
        <v>0.55844155844155841</v>
      </c>
      <c r="G482" s="110">
        <f t="shared" si="51"/>
        <v>1</v>
      </c>
      <c r="H482" s="110"/>
      <c r="I482" s="111">
        <v>612</v>
      </c>
      <c r="J482" s="109" t="str">
        <f t="shared" si="52"/>
        <v>26</v>
      </c>
      <c r="K482" s="109" t="s">
        <v>524</v>
      </c>
      <c r="L482" s="109" t="s">
        <v>750</v>
      </c>
      <c r="M482" s="111">
        <v>9</v>
      </c>
      <c r="N482" s="110">
        <v>233.5</v>
      </c>
      <c r="O482" s="105">
        <f t="shared" si="53"/>
        <v>222.7</v>
      </c>
      <c r="P482" s="112">
        <v>9.5600000000000004E-2</v>
      </c>
      <c r="Q482" s="113">
        <v>1.405E-3</v>
      </c>
      <c r="R482" s="107">
        <f t="shared" si="54"/>
        <v>1.405</v>
      </c>
      <c r="S482" s="105">
        <f t="shared" si="55"/>
        <v>363.88888888888886</v>
      </c>
      <c r="T482" s="114">
        <f>IFERROR(INDEX('MASTER por modelo'!$AQ$8:$AQ$474,MATCH(K482,'MASTER por modelo'!$D$8:$D$474,0)),"")</f>
        <v>0.7009803921568627</v>
      </c>
      <c r="U482" s="115">
        <f>IFERROR(INDEX('MASTER por modelo'!$AC$8:$AC$474,MATCH(K482,'MASTER por modelo'!$D$8:$D$474,0))+INDEX('MASTER por modelo'!$AD$8:$AD$474,MATCH(K482,'MASTER por modelo'!$D$8:$D$474,0)),"")</f>
        <v>429</v>
      </c>
      <c r="V482" s="93"/>
    </row>
    <row r="483" spans="1:22" x14ac:dyDescent="0.25">
      <c r="A483" s="109" t="s">
        <v>138</v>
      </c>
      <c r="B483" s="109" t="s">
        <v>393</v>
      </c>
      <c r="C483" s="109" t="s">
        <v>122</v>
      </c>
      <c r="D483" s="103">
        <f t="shared" si="49"/>
        <v>197.91346679204312</v>
      </c>
      <c r="E483" s="110">
        <v>0.85299999999999998</v>
      </c>
      <c r="F483" s="110">
        <f t="shared" si="50"/>
        <v>0.55389610389610389</v>
      </c>
      <c r="G483" s="110">
        <f t="shared" si="51"/>
        <v>1</v>
      </c>
      <c r="H483" s="110"/>
      <c r="I483" s="111">
        <v>502</v>
      </c>
      <c r="J483" s="109" t="str">
        <f t="shared" si="52"/>
        <v>26</v>
      </c>
      <c r="K483" s="109" t="s">
        <v>405</v>
      </c>
      <c r="L483" s="109" t="s">
        <v>780</v>
      </c>
      <c r="M483" s="111">
        <v>11</v>
      </c>
      <c r="N483" s="110">
        <v>182</v>
      </c>
      <c r="O483" s="105">
        <f t="shared" si="53"/>
        <v>168.8</v>
      </c>
      <c r="P483" s="112">
        <v>7.7499999999999999E-2</v>
      </c>
      <c r="Q483" s="113">
        <v>1.699E-3</v>
      </c>
      <c r="R483" s="107">
        <f t="shared" si="54"/>
        <v>1.6990000000000001</v>
      </c>
      <c r="S483" s="105">
        <f t="shared" si="55"/>
        <v>336.25498007968127</v>
      </c>
      <c r="T483" s="114">
        <f>IFERROR(INDEX('MASTER por modelo'!$AQ$8:$AQ$474,MATCH(K483,'MASTER por modelo'!$D$8:$D$474,0)),"")</f>
        <v>0.5063788027477919</v>
      </c>
      <c r="U483" s="115">
        <f>IFERROR(INDEX('MASTER por modelo'!$AC$8:$AC$474,MATCH(K483,'MASTER por modelo'!$D$8:$D$474,0))+INDEX('MASTER por modelo'!$AD$8:$AD$474,MATCH(K483,'MASTER por modelo'!$D$8:$D$474,0)),"")</f>
        <v>516</v>
      </c>
      <c r="V483" s="93"/>
    </row>
    <row r="484" spans="1:22" x14ac:dyDescent="0.25">
      <c r="A484" s="109" t="s">
        <v>55</v>
      </c>
      <c r="B484" s="109" t="s">
        <v>255</v>
      </c>
      <c r="C484" s="109" t="s">
        <v>525</v>
      </c>
      <c r="D484" s="103">
        <f t="shared" si="49"/>
        <v>301.79218126102705</v>
      </c>
      <c r="E484" s="110">
        <v>0.84</v>
      </c>
      <c r="F484" s="110">
        <f t="shared" si="50"/>
        <v>0.54545454545454541</v>
      </c>
      <c r="G484" s="110">
        <f t="shared" si="51"/>
        <v>1</v>
      </c>
      <c r="H484" s="110"/>
      <c r="I484" s="111">
        <v>534</v>
      </c>
      <c r="J484" s="109" t="str">
        <f t="shared" si="52"/>
        <v>26</v>
      </c>
      <c r="K484" s="109" t="s">
        <v>526</v>
      </c>
      <c r="L484" s="109" t="s">
        <v>827</v>
      </c>
      <c r="M484" s="111">
        <v>14</v>
      </c>
      <c r="N484" s="110">
        <v>270.3</v>
      </c>
      <c r="O484" s="105">
        <f t="shared" si="53"/>
        <v>253.5</v>
      </c>
      <c r="P484" s="112">
        <v>0.06</v>
      </c>
      <c r="Q484" s="113">
        <v>1.573E-3</v>
      </c>
      <c r="R484" s="107">
        <f t="shared" si="54"/>
        <v>1.573</v>
      </c>
      <c r="S484" s="105">
        <f t="shared" si="55"/>
        <v>474.71910112359552</v>
      </c>
      <c r="T484" s="114">
        <f>IFERROR(INDEX('MASTER por modelo'!$AQ$8:$AQ$474,MATCH(K484,'MASTER por modelo'!$D$8:$D$474,0)),"")</f>
        <v>0.7528089887640449</v>
      </c>
      <c r="U484" s="115">
        <f>IFERROR(INDEX('MASTER por modelo'!$AC$8:$AC$474,MATCH(K484,'MASTER por modelo'!$D$8:$D$474,0))+INDEX('MASTER por modelo'!$AD$8:$AD$474,MATCH(K484,'MASTER por modelo'!$D$8:$D$474,0)),"")</f>
        <v>402</v>
      </c>
      <c r="V484" s="93"/>
    </row>
    <row r="485" spans="1:22" x14ac:dyDescent="0.25">
      <c r="A485" s="109" t="s">
        <v>55</v>
      </c>
      <c r="B485" s="109" t="s">
        <v>442</v>
      </c>
      <c r="C485" s="109" t="s">
        <v>443</v>
      </c>
      <c r="D485" s="103">
        <f t="shared" si="49"/>
        <v>62.431410803560546</v>
      </c>
      <c r="E485" s="110">
        <v>0.82</v>
      </c>
      <c r="F485" s="110">
        <f t="shared" si="50"/>
        <v>0.53246753246753242</v>
      </c>
      <c r="G485" s="110">
        <f t="shared" si="51"/>
        <v>1</v>
      </c>
      <c r="H485" s="110"/>
      <c r="I485" s="111">
        <v>556</v>
      </c>
      <c r="J485" s="109" t="str">
        <f t="shared" si="52"/>
        <v>26</v>
      </c>
      <c r="K485" s="109" t="s">
        <v>444</v>
      </c>
      <c r="L485" s="109" t="s">
        <v>828</v>
      </c>
      <c r="M485" s="111">
        <v>9</v>
      </c>
      <c r="N485" s="110">
        <v>62</v>
      </c>
      <c r="O485" s="105">
        <f t="shared" si="53"/>
        <v>51.2</v>
      </c>
      <c r="P485" s="112">
        <v>9.11E-2</v>
      </c>
      <c r="Q485" s="113">
        <v>1.475E-3</v>
      </c>
      <c r="R485" s="107">
        <f t="shared" si="54"/>
        <v>1.4749999999999999</v>
      </c>
      <c r="S485" s="105">
        <f t="shared" si="55"/>
        <v>92.086330935251794</v>
      </c>
      <c r="T485" s="114">
        <f>IFERROR(INDEX('MASTER por modelo'!$AQ$8:$AQ$474,MATCH(K485,'MASTER por modelo'!$D$8:$D$474,0)),"")</f>
        <v>0</v>
      </c>
      <c r="U485" s="115">
        <f>IFERROR(INDEX('MASTER por modelo'!$AC$8:$AC$474,MATCH(K485,'MASTER por modelo'!$D$8:$D$474,0))+INDEX('MASTER por modelo'!$AD$8:$AD$474,MATCH(K485,'MASTER por modelo'!$D$8:$D$474,0)),"")</f>
        <v>0</v>
      </c>
      <c r="V485" s="93"/>
    </row>
    <row r="486" spans="1:22" x14ac:dyDescent="0.25">
      <c r="A486" s="109" t="s">
        <v>527</v>
      </c>
      <c r="B486" s="109" t="s">
        <v>528</v>
      </c>
      <c r="C486" s="109" t="s">
        <v>529</v>
      </c>
      <c r="D486" s="103">
        <f t="shared" si="49"/>
        <v>101.70111578562282</v>
      </c>
      <c r="E486" s="110">
        <v>0.82</v>
      </c>
      <c r="F486" s="110">
        <f t="shared" si="50"/>
        <v>0.53246753246753242</v>
      </c>
      <c r="G486" s="110">
        <f t="shared" si="51"/>
        <v>1</v>
      </c>
      <c r="H486" s="110"/>
      <c r="I486" s="111">
        <v>1050</v>
      </c>
      <c r="J486" s="109" t="str">
        <f t="shared" si="52"/>
        <v>26</v>
      </c>
      <c r="K486" s="109" t="s">
        <v>530</v>
      </c>
      <c r="L486" s="109" t="s">
        <v>829</v>
      </c>
      <c r="M486" s="111">
        <v>9</v>
      </c>
      <c r="N486" s="110">
        <v>94.2</v>
      </c>
      <c r="O486" s="105">
        <f t="shared" si="53"/>
        <v>83.4</v>
      </c>
      <c r="P486" s="112">
        <v>9.11E-2</v>
      </c>
      <c r="Q486" s="113">
        <v>7.8100000000000001E-4</v>
      </c>
      <c r="R486" s="107">
        <f t="shared" si="54"/>
        <v>0.78100000000000003</v>
      </c>
      <c r="S486" s="105">
        <f t="shared" si="55"/>
        <v>79.428571428571431</v>
      </c>
      <c r="T486" s="114">
        <f>IFERROR(INDEX('MASTER por modelo'!$AQ$8:$AQ$474,MATCH(K486,'MASTER por modelo'!$D$8:$D$474,0)),"")</f>
        <v>0.17904761904761904</v>
      </c>
      <c r="U486" s="115">
        <f>IFERROR(INDEX('MASTER por modelo'!$AC$8:$AC$474,MATCH(K486,'MASTER por modelo'!$D$8:$D$474,0))+INDEX('MASTER por modelo'!$AD$8:$AD$474,MATCH(K486,'MASTER por modelo'!$D$8:$D$474,0)),"")</f>
        <v>188</v>
      </c>
      <c r="V486" s="93"/>
    </row>
    <row r="487" spans="1:22" x14ac:dyDescent="0.25">
      <c r="A487" s="109" t="s">
        <v>55</v>
      </c>
      <c r="B487" s="109" t="s">
        <v>314</v>
      </c>
      <c r="C487" s="109" t="s">
        <v>315</v>
      </c>
      <c r="D487" s="103">
        <f t="shared" si="49"/>
        <v>165.19218273604244</v>
      </c>
      <c r="E487" s="110">
        <v>0.8</v>
      </c>
      <c r="F487" s="110">
        <f t="shared" si="50"/>
        <v>0.51948051948051954</v>
      </c>
      <c r="G487" s="110">
        <f t="shared" si="51"/>
        <v>1</v>
      </c>
      <c r="H487" s="110"/>
      <c r="I487" s="111">
        <v>684</v>
      </c>
      <c r="J487" s="109" t="str">
        <f t="shared" si="52"/>
        <v>26</v>
      </c>
      <c r="K487" s="109" t="s">
        <v>531</v>
      </c>
      <c r="L487" s="109" t="s">
        <v>817</v>
      </c>
      <c r="M487" s="111">
        <v>8</v>
      </c>
      <c r="N487" s="110">
        <v>141.80000000000001</v>
      </c>
      <c r="O487" s="105">
        <f t="shared" si="53"/>
        <v>132.20000000000002</v>
      </c>
      <c r="P487" s="112">
        <v>0.1</v>
      </c>
      <c r="Q487" s="113">
        <v>1.17E-3</v>
      </c>
      <c r="R487" s="107">
        <f t="shared" si="54"/>
        <v>1.17</v>
      </c>
      <c r="S487" s="105">
        <f t="shared" si="55"/>
        <v>193.27485380116963</v>
      </c>
      <c r="T487" s="114">
        <f>IFERROR(INDEX('MASTER por modelo'!$AQ$8:$AQ$474,MATCH(K487,'MASTER por modelo'!$D$8:$D$474,0)),"")</f>
        <v>0.79678362573099415</v>
      </c>
      <c r="U487" s="115">
        <f>IFERROR(INDEX('MASTER por modelo'!$AC$8:$AC$474,MATCH(K487,'MASTER por modelo'!$D$8:$D$474,0))+INDEX('MASTER por modelo'!$AD$8:$AD$474,MATCH(K487,'MASTER por modelo'!$D$8:$D$474,0)),"")</f>
        <v>545</v>
      </c>
      <c r="V487" s="93"/>
    </row>
    <row r="488" spans="1:22" x14ac:dyDescent="0.25">
      <c r="A488" s="109" t="s">
        <v>55</v>
      </c>
      <c r="B488" s="109" t="s">
        <v>314</v>
      </c>
      <c r="C488" s="109" t="s">
        <v>315</v>
      </c>
      <c r="D488" s="103">
        <f t="shared" si="49"/>
        <v>173.06922769107646</v>
      </c>
      <c r="E488" s="110">
        <v>0.8</v>
      </c>
      <c r="F488" s="110">
        <f t="shared" si="50"/>
        <v>0.51948051948051954</v>
      </c>
      <c r="G488" s="110">
        <f t="shared" si="51"/>
        <v>1</v>
      </c>
      <c r="H488" s="110"/>
      <c r="I488" s="111">
        <v>680</v>
      </c>
      <c r="J488" s="109" t="str">
        <f t="shared" si="52"/>
        <v>26</v>
      </c>
      <c r="K488" s="109" t="s">
        <v>532</v>
      </c>
      <c r="L488" s="109" t="s">
        <v>817</v>
      </c>
      <c r="M488" s="111">
        <v>8</v>
      </c>
      <c r="N488" s="110">
        <v>148</v>
      </c>
      <c r="O488" s="105">
        <f t="shared" si="53"/>
        <v>138.4</v>
      </c>
      <c r="P488" s="112">
        <v>0.1</v>
      </c>
      <c r="Q488" s="113">
        <v>1.176E-3</v>
      </c>
      <c r="R488" s="107">
        <f t="shared" si="54"/>
        <v>1.1759999999999999</v>
      </c>
      <c r="S488" s="105">
        <f t="shared" si="55"/>
        <v>203.52941176470591</v>
      </c>
      <c r="T488" s="114">
        <f>IFERROR(INDEX('MASTER por modelo'!$AQ$8:$AQ$474,MATCH(K488,'MASTER por modelo'!$D$8:$D$474,0)),"")</f>
        <v>0.73088235294117643</v>
      </c>
      <c r="U488" s="115">
        <f>IFERROR(INDEX('MASTER por modelo'!$AC$8:$AC$474,MATCH(K488,'MASTER por modelo'!$D$8:$D$474,0))+INDEX('MASTER por modelo'!$AD$8:$AD$474,MATCH(K488,'MASTER por modelo'!$D$8:$D$474,0)),"")</f>
        <v>497</v>
      </c>
      <c r="V488" s="93"/>
    </row>
    <row r="489" spans="1:22" x14ac:dyDescent="0.25">
      <c r="A489" s="109" t="s">
        <v>55</v>
      </c>
      <c r="B489" s="109" t="s">
        <v>314</v>
      </c>
      <c r="C489" s="109" t="s">
        <v>315</v>
      </c>
      <c r="D489" s="103">
        <f t="shared" si="49"/>
        <v>169.02641037662136</v>
      </c>
      <c r="E489" s="110">
        <v>0.8</v>
      </c>
      <c r="F489" s="110">
        <f t="shared" si="50"/>
        <v>0.51948051948051954</v>
      </c>
      <c r="G489" s="110">
        <f t="shared" si="51"/>
        <v>1</v>
      </c>
      <c r="H489" s="110"/>
      <c r="I489" s="111">
        <v>675</v>
      </c>
      <c r="J489" s="109" t="str">
        <f t="shared" si="52"/>
        <v>26</v>
      </c>
      <c r="K489" s="109" t="s">
        <v>533</v>
      </c>
      <c r="L489" s="109" t="s">
        <v>817</v>
      </c>
      <c r="M489" s="111">
        <v>8</v>
      </c>
      <c r="N489" s="110">
        <v>144.80000000000001</v>
      </c>
      <c r="O489" s="105">
        <f t="shared" si="53"/>
        <v>135.20000000000002</v>
      </c>
      <c r="P489" s="112">
        <v>0.1</v>
      </c>
      <c r="Q489" s="113">
        <v>1.1850000000000001E-3</v>
      </c>
      <c r="R489" s="107">
        <f t="shared" si="54"/>
        <v>1.1850000000000001</v>
      </c>
      <c r="S489" s="105">
        <f t="shared" si="55"/>
        <v>200.29629629629633</v>
      </c>
      <c r="T489" s="114">
        <f>IFERROR(INDEX('MASTER por modelo'!$AQ$8:$AQ$474,MATCH(K489,'MASTER por modelo'!$D$8:$D$474,0)),"")</f>
        <v>0.74814814814814812</v>
      </c>
      <c r="U489" s="115">
        <f>IFERROR(INDEX('MASTER por modelo'!$AC$8:$AC$474,MATCH(K489,'MASTER por modelo'!$D$8:$D$474,0))+INDEX('MASTER por modelo'!$AD$8:$AD$474,MATCH(K489,'MASTER por modelo'!$D$8:$D$474,0)),"")</f>
        <v>505</v>
      </c>
      <c r="V489" s="93"/>
    </row>
    <row r="490" spans="1:22" x14ac:dyDescent="0.25">
      <c r="A490" s="109" t="s">
        <v>55</v>
      </c>
      <c r="B490" s="109" t="s">
        <v>314</v>
      </c>
      <c r="C490" s="109" t="s">
        <v>315</v>
      </c>
      <c r="D490" s="103">
        <f t="shared" si="49"/>
        <v>198.9389920424403</v>
      </c>
      <c r="E490" s="110">
        <v>0.79200000000000004</v>
      </c>
      <c r="F490" s="110">
        <f t="shared" si="50"/>
        <v>0.51428571428571435</v>
      </c>
      <c r="G490" s="110">
        <f t="shared" si="51"/>
        <v>1</v>
      </c>
      <c r="H490" s="110"/>
      <c r="I490" s="111">
        <v>754</v>
      </c>
      <c r="J490" s="109" t="str">
        <f t="shared" si="52"/>
        <v>26</v>
      </c>
      <c r="K490" s="109" t="s">
        <v>534</v>
      </c>
      <c r="L490" s="109" t="s">
        <v>804</v>
      </c>
      <c r="M490" s="111">
        <v>11</v>
      </c>
      <c r="N490" s="110">
        <v>170.7</v>
      </c>
      <c r="O490" s="105">
        <f t="shared" si="53"/>
        <v>157.5</v>
      </c>
      <c r="P490" s="112">
        <v>7.1999999999999995E-2</v>
      </c>
      <c r="Q490" s="113">
        <v>1.0499999999999999E-3</v>
      </c>
      <c r="R490" s="107">
        <f t="shared" si="54"/>
        <v>1.05</v>
      </c>
      <c r="S490" s="105">
        <f t="shared" si="55"/>
        <v>208.88594164456234</v>
      </c>
      <c r="T490" s="114">
        <f>IFERROR(INDEX('MASTER por modelo'!$AQ$8:$AQ$474,MATCH(K490,'MASTER por modelo'!$D$8:$D$474,0)),"")</f>
        <v>0.96684350132625996</v>
      </c>
      <c r="U490" s="115">
        <f>IFERROR(INDEX('MASTER por modelo'!$AC$8:$AC$474,MATCH(K490,'MASTER por modelo'!$D$8:$D$474,0))+INDEX('MASTER por modelo'!$AD$8:$AD$474,MATCH(K490,'MASTER por modelo'!$D$8:$D$474,0)),"")</f>
        <v>729</v>
      </c>
      <c r="V490" s="93"/>
    </row>
    <row r="491" spans="1:22" x14ac:dyDescent="0.25">
      <c r="A491" s="109" t="s">
        <v>55</v>
      </c>
      <c r="B491" s="109" t="s">
        <v>302</v>
      </c>
      <c r="C491" s="109" t="s">
        <v>303</v>
      </c>
      <c r="D491" s="103">
        <f t="shared" si="49"/>
        <v>236.26032927122483</v>
      </c>
      <c r="E491" s="110">
        <v>0.79</v>
      </c>
      <c r="F491" s="110">
        <f t="shared" si="50"/>
        <v>0.51298701298701299</v>
      </c>
      <c r="G491" s="110">
        <f t="shared" si="51"/>
        <v>1</v>
      </c>
      <c r="H491" s="110"/>
      <c r="I491" s="111">
        <v>497</v>
      </c>
      <c r="J491" s="109" t="str">
        <f t="shared" si="52"/>
        <v>26</v>
      </c>
      <c r="K491" s="109" t="s">
        <v>535</v>
      </c>
      <c r="L491" s="109" t="s">
        <v>812</v>
      </c>
      <c r="M491" s="111">
        <v>11</v>
      </c>
      <c r="N491" s="110">
        <v>199.9</v>
      </c>
      <c r="O491" s="105">
        <f t="shared" si="53"/>
        <v>186.70000000000002</v>
      </c>
      <c r="P491" s="112">
        <v>7.1800000000000003E-2</v>
      </c>
      <c r="Q491" s="113">
        <v>1.5900000000000001E-3</v>
      </c>
      <c r="R491" s="107">
        <f t="shared" si="54"/>
        <v>1.59</v>
      </c>
      <c r="S491" s="105">
        <f t="shared" si="55"/>
        <v>375.65392354124748</v>
      </c>
      <c r="T491" s="114">
        <f>IFERROR(INDEX('MASTER por modelo'!$AQ$8:$AQ$474,MATCH(K491,'MASTER por modelo'!$D$8:$D$474,0)),"")</f>
        <v>0.971830985915493</v>
      </c>
      <c r="U491" s="115">
        <f>IFERROR(INDEX('MASTER por modelo'!$AC$8:$AC$474,MATCH(K491,'MASTER por modelo'!$D$8:$D$474,0))+INDEX('MASTER por modelo'!$AD$8:$AD$474,MATCH(K491,'MASTER por modelo'!$D$8:$D$474,0)),"")</f>
        <v>483</v>
      </c>
      <c r="V491" s="93"/>
    </row>
    <row r="492" spans="1:22" x14ac:dyDescent="0.25">
      <c r="A492" s="109" t="s">
        <v>63</v>
      </c>
      <c r="B492" s="109" t="s">
        <v>64</v>
      </c>
      <c r="C492" s="109" t="s">
        <v>57</v>
      </c>
      <c r="D492" s="103">
        <f t="shared" si="49"/>
        <v>86.237350123641505</v>
      </c>
      <c r="E492" s="110">
        <v>0.77</v>
      </c>
      <c r="F492" s="110">
        <f t="shared" si="50"/>
        <v>0.5</v>
      </c>
      <c r="G492" s="110">
        <f t="shared" si="51"/>
        <v>1</v>
      </c>
      <c r="H492" s="110"/>
      <c r="I492" s="111">
        <v>144</v>
      </c>
      <c r="J492" s="109" t="str">
        <f t="shared" si="52"/>
        <v>26</v>
      </c>
      <c r="K492" s="109" t="s">
        <v>276</v>
      </c>
      <c r="L492" s="109" t="s">
        <v>820</v>
      </c>
      <c r="M492" s="111">
        <v>8</v>
      </c>
      <c r="N492" s="110">
        <v>76</v>
      </c>
      <c r="O492" s="105">
        <f t="shared" si="53"/>
        <v>66.400000000000006</v>
      </c>
      <c r="P492" s="112">
        <v>9.6299999999999997E-2</v>
      </c>
      <c r="Q492" s="113">
        <v>5.3470000000000002E-3</v>
      </c>
      <c r="R492" s="107">
        <f t="shared" si="54"/>
        <v>5.3470000000000004</v>
      </c>
      <c r="S492" s="105">
        <f t="shared" si="55"/>
        <v>461.11111111111114</v>
      </c>
      <c r="T492" s="114">
        <f>IFERROR(INDEX('MASTER por modelo'!$AQ$8:$AQ$474,MATCH(K492,'MASTER por modelo'!$D$8:$D$474,0)),"")</f>
        <v>5.1613876319758676</v>
      </c>
      <c r="U492" s="115">
        <f>IFERROR(INDEX('MASTER por modelo'!$AC$8:$AC$474,MATCH(K492,'MASTER por modelo'!$D$8:$D$474,0))+INDEX('MASTER por modelo'!$AD$8:$AD$474,MATCH(K492,'MASTER por modelo'!$D$8:$D$474,0)),"")</f>
        <v>3422</v>
      </c>
      <c r="V492" s="93"/>
    </row>
    <row r="493" spans="1:22" x14ac:dyDescent="0.25">
      <c r="A493" s="109" t="s">
        <v>55</v>
      </c>
      <c r="B493" s="109" t="s">
        <v>314</v>
      </c>
      <c r="C493" s="109" t="s">
        <v>315</v>
      </c>
      <c r="D493" s="103">
        <f t="shared" si="49"/>
        <v>218.04189268173306</v>
      </c>
      <c r="E493" s="110">
        <v>0.76800000000000002</v>
      </c>
      <c r="F493" s="110">
        <f t="shared" si="50"/>
        <v>0.4987012987012987</v>
      </c>
      <c r="G493" s="110">
        <f t="shared" si="51"/>
        <v>1</v>
      </c>
      <c r="H493" s="110"/>
      <c r="I493" s="111">
        <v>699</v>
      </c>
      <c r="J493" s="109" t="str">
        <f t="shared" si="52"/>
        <v>26</v>
      </c>
      <c r="K493" s="109" t="s">
        <v>536</v>
      </c>
      <c r="L493" s="109" t="s">
        <v>804</v>
      </c>
      <c r="M493" s="111">
        <v>8</v>
      </c>
      <c r="N493" s="110">
        <v>177.1</v>
      </c>
      <c r="O493" s="105">
        <f t="shared" si="53"/>
        <v>167.5</v>
      </c>
      <c r="P493" s="112">
        <v>9.6000000000000002E-2</v>
      </c>
      <c r="Q493" s="113">
        <v>1.0989999999999999E-3</v>
      </c>
      <c r="R493" s="107">
        <f t="shared" si="54"/>
        <v>1.099</v>
      </c>
      <c r="S493" s="105">
        <f t="shared" si="55"/>
        <v>239.62804005722461</v>
      </c>
      <c r="T493" s="114">
        <f>IFERROR(INDEX('MASTER por modelo'!$AQ$8:$AQ$474,MATCH(K493,'MASTER por modelo'!$D$8:$D$474,0)),"")</f>
        <v>0.80257510729613735</v>
      </c>
      <c r="U493" s="115">
        <f>IFERROR(INDEX('MASTER por modelo'!$AC$8:$AC$474,MATCH(K493,'MASTER por modelo'!$D$8:$D$474,0))+INDEX('MASTER por modelo'!$AD$8:$AD$474,MATCH(K493,'MASTER por modelo'!$D$8:$D$474,0)),"")</f>
        <v>561</v>
      </c>
      <c r="V493" s="93"/>
    </row>
    <row r="494" spans="1:22" x14ac:dyDescent="0.25">
      <c r="A494" s="109" t="s">
        <v>55</v>
      </c>
      <c r="B494" s="109" t="s">
        <v>329</v>
      </c>
      <c r="C494" s="109" t="s">
        <v>445</v>
      </c>
      <c r="D494" s="103">
        <f t="shared" si="49"/>
        <v>180.18581010706998</v>
      </c>
      <c r="E494" s="110">
        <v>0.76800000000000002</v>
      </c>
      <c r="F494" s="110">
        <f t="shared" si="50"/>
        <v>0.4987012987012987</v>
      </c>
      <c r="G494" s="110">
        <f t="shared" si="51"/>
        <v>1</v>
      </c>
      <c r="H494" s="110"/>
      <c r="I494" s="111">
        <v>504</v>
      </c>
      <c r="J494" s="109" t="str">
        <f t="shared" si="52"/>
        <v>26</v>
      </c>
      <c r="K494" s="109" t="s">
        <v>537</v>
      </c>
      <c r="L494" s="109" t="s">
        <v>830</v>
      </c>
      <c r="M494" s="111">
        <v>8</v>
      </c>
      <c r="N494" s="110">
        <v>148</v>
      </c>
      <c r="O494" s="105">
        <f t="shared" si="53"/>
        <v>138.4</v>
      </c>
      <c r="P494" s="112">
        <v>9.6000000000000002E-2</v>
      </c>
      <c r="Q494" s="113">
        <v>1.524E-3</v>
      </c>
      <c r="R494" s="107">
        <f t="shared" si="54"/>
        <v>1.524</v>
      </c>
      <c r="S494" s="105">
        <f t="shared" si="55"/>
        <v>274.60317460317464</v>
      </c>
      <c r="T494" s="114">
        <f>IFERROR(INDEX('MASTER por modelo'!$AQ$8:$AQ$474,MATCH(K494,'MASTER por modelo'!$D$8:$D$474,0)),"")</f>
        <v>0.99603174603174605</v>
      </c>
      <c r="U494" s="115">
        <f>IFERROR(INDEX('MASTER por modelo'!$AC$8:$AC$474,MATCH(K494,'MASTER por modelo'!$D$8:$D$474,0))+INDEX('MASTER por modelo'!$AD$8:$AD$474,MATCH(K494,'MASTER por modelo'!$D$8:$D$474,0)),"")</f>
        <v>502</v>
      </c>
      <c r="V494" s="93"/>
    </row>
    <row r="495" spans="1:22" x14ac:dyDescent="0.25">
      <c r="A495" s="109" t="s">
        <v>138</v>
      </c>
      <c r="B495" s="109" t="s">
        <v>426</v>
      </c>
      <c r="C495" s="109" t="s">
        <v>427</v>
      </c>
      <c r="D495" s="103">
        <f t="shared" si="49"/>
        <v>203.38541666666666</v>
      </c>
      <c r="E495" s="110">
        <v>0.76800000000000002</v>
      </c>
      <c r="F495" s="110">
        <f t="shared" si="50"/>
        <v>0.4987012987012987</v>
      </c>
      <c r="G495" s="110">
        <f t="shared" si="51"/>
        <v>1</v>
      </c>
      <c r="H495" s="110"/>
      <c r="I495" s="111">
        <v>400</v>
      </c>
      <c r="J495" s="109" t="str">
        <f t="shared" si="52"/>
        <v>26</v>
      </c>
      <c r="K495" s="109" t="s">
        <v>538</v>
      </c>
      <c r="L495" s="109" t="s">
        <v>826</v>
      </c>
      <c r="M495" s="111">
        <v>8</v>
      </c>
      <c r="N495" s="110">
        <v>165.8</v>
      </c>
      <c r="O495" s="105">
        <f t="shared" si="53"/>
        <v>156.20000000000002</v>
      </c>
      <c r="P495" s="112">
        <v>9.6000000000000002E-2</v>
      </c>
      <c r="Q495" s="113">
        <v>1.92E-3</v>
      </c>
      <c r="R495" s="107">
        <f t="shared" si="54"/>
        <v>1.9200000000000002</v>
      </c>
      <c r="S495" s="105">
        <f t="shared" si="55"/>
        <v>390.50000000000006</v>
      </c>
      <c r="T495" s="114">
        <f>IFERROR(INDEX('MASTER por modelo'!$AQ$8:$AQ$474,MATCH(K495,'MASTER por modelo'!$D$8:$D$474,0)),"")</f>
        <v>0.60250000000000004</v>
      </c>
      <c r="U495" s="115">
        <f>IFERROR(INDEX('MASTER por modelo'!$AC$8:$AC$474,MATCH(K495,'MASTER por modelo'!$D$8:$D$474,0))+INDEX('MASTER por modelo'!$AD$8:$AD$474,MATCH(K495,'MASTER por modelo'!$D$8:$D$474,0)),"")</f>
        <v>241</v>
      </c>
      <c r="V495" s="93"/>
    </row>
    <row r="496" spans="1:22" x14ac:dyDescent="0.25">
      <c r="A496" s="109" t="s">
        <v>55</v>
      </c>
      <c r="B496" s="109" t="s">
        <v>56</v>
      </c>
      <c r="C496" s="109" t="s">
        <v>57</v>
      </c>
      <c r="D496" s="103">
        <f t="shared" si="49"/>
        <v>102.47609325194276</v>
      </c>
      <c r="E496" s="110">
        <v>0.76800000000000002</v>
      </c>
      <c r="F496" s="110">
        <f t="shared" si="50"/>
        <v>0.4987012987012987</v>
      </c>
      <c r="G496" s="110">
        <f t="shared" si="51"/>
        <v>1</v>
      </c>
      <c r="H496" s="110"/>
      <c r="I496" s="111">
        <v>56</v>
      </c>
      <c r="J496" s="109" t="str">
        <f t="shared" si="52"/>
        <v>26</v>
      </c>
      <c r="K496" s="109" t="s">
        <v>60</v>
      </c>
      <c r="L496" s="109" t="s">
        <v>743</v>
      </c>
      <c r="M496" s="111">
        <v>8</v>
      </c>
      <c r="N496" s="110">
        <v>88.3</v>
      </c>
      <c r="O496" s="105">
        <f t="shared" si="53"/>
        <v>78.7</v>
      </c>
      <c r="P496" s="112">
        <v>9.6000000000000002E-2</v>
      </c>
      <c r="Q496" s="113">
        <v>1.3714E-2</v>
      </c>
      <c r="R496" s="107">
        <f t="shared" si="54"/>
        <v>13.714</v>
      </c>
      <c r="S496" s="105">
        <f t="shared" si="55"/>
        <v>1405.3571428571429</v>
      </c>
      <c r="T496" s="114">
        <f>IFERROR(INDEX('MASTER por modelo'!$AQ$8:$AQ$474,MATCH(K496,'MASTER por modelo'!$D$8:$D$474,0)),"")</f>
        <v>0.2258655431397692</v>
      </c>
      <c r="U496" s="115">
        <f>IFERROR(INDEX('MASTER por modelo'!$AC$8:$AC$474,MATCH(K496,'MASTER por modelo'!$D$8:$D$474,0))+INDEX('MASTER por modelo'!$AD$8:$AD$474,MATCH(K496,'MASTER por modelo'!$D$8:$D$474,0)),"")</f>
        <v>1233</v>
      </c>
      <c r="V496" s="93"/>
    </row>
    <row r="497" spans="1:22" x14ac:dyDescent="0.25">
      <c r="A497" s="109" t="s">
        <v>120</v>
      </c>
      <c r="B497" s="109" t="s">
        <v>519</v>
      </c>
      <c r="C497" s="109" t="s">
        <v>503</v>
      </c>
      <c r="D497" s="103">
        <f t="shared" si="49"/>
        <v>142.69644196316975</v>
      </c>
      <c r="E497" s="110">
        <v>0.76800000000000002</v>
      </c>
      <c r="F497" s="110">
        <f t="shared" si="50"/>
        <v>0.4987012987012987</v>
      </c>
      <c r="G497" s="110">
        <f t="shared" si="51"/>
        <v>1</v>
      </c>
      <c r="H497" s="110"/>
      <c r="I497" s="111">
        <v>352</v>
      </c>
      <c r="J497" s="109" t="str">
        <f t="shared" si="52"/>
        <v>26</v>
      </c>
      <c r="K497" s="109" t="s">
        <v>539</v>
      </c>
      <c r="L497" s="109" t="s">
        <v>768</v>
      </c>
      <c r="M497" s="111">
        <v>8</v>
      </c>
      <c r="N497" s="110">
        <v>119.2</v>
      </c>
      <c r="O497" s="105">
        <f t="shared" si="53"/>
        <v>109.60000000000001</v>
      </c>
      <c r="P497" s="112">
        <v>9.6000000000000002E-2</v>
      </c>
      <c r="Q497" s="113">
        <v>2.1819999999999999E-3</v>
      </c>
      <c r="R497" s="107">
        <f t="shared" si="54"/>
        <v>2.1819999999999999</v>
      </c>
      <c r="S497" s="105">
        <f t="shared" si="55"/>
        <v>311.36363636363637</v>
      </c>
      <c r="T497" s="114">
        <f>IFERROR(INDEX('MASTER por modelo'!$AQ$8:$AQ$474,MATCH(K497,'MASTER por modelo'!$D$8:$D$474,0)),"")</f>
        <v>0.71590909090909094</v>
      </c>
      <c r="U497" s="115">
        <f>IFERROR(INDEX('MASTER por modelo'!$AC$8:$AC$474,MATCH(K497,'MASTER por modelo'!$D$8:$D$474,0))+INDEX('MASTER por modelo'!$AD$8:$AD$474,MATCH(K497,'MASTER por modelo'!$D$8:$D$474,0)),"")</f>
        <v>252</v>
      </c>
      <c r="V497" s="93"/>
    </row>
    <row r="498" spans="1:22" x14ac:dyDescent="0.25">
      <c r="A498" s="109" t="s">
        <v>63</v>
      </c>
      <c r="B498" s="109" t="s">
        <v>102</v>
      </c>
      <c r="C498" s="109" t="s">
        <v>132</v>
      </c>
      <c r="D498" s="103">
        <f t="shared" si="49"/>
        <v>190.7743354476946</v>
      </c>
      <c r="E498" s="110">
        <v>0.76800000000000002</v>
      </c>
      <c r="F498" s="110">
        <f t="shared" si="50"/>
        <v>0.4987012987012987</v>
      </c>
      <c r="G498" s="110">
        <f t="shared" si="51"/>
        <v>1</v>
      </c>
      <c r="H498" s="110"/>
      <c r="I498" s="111">
        <v>247</v>
      </c>
      <c r="J498" s="109" t="str">
        <f t="shared" si="52"/>
        <v>26</v>
      </c>
      <c r="K498" s="109" t="s">
        <v>333</v>
      </c>
      <c r="L498" s="109" t="s">
        <v>775</v>
      </c>
      <c r="M498" s="111">
        <v>8</v>
      </c>
      <c r="N498" s="110">
        <v>156.1</v>
      </c>
      <c r="O498" s="105">
        <f t="shared" si="53"/>
        <v>146.5</v>
      </c>
      <c r="P498" s="112">
        <v>9.6000000000000002E-2</v>
      </c>
      <c r="Q498" s="113">
        <v>3.1089999999999998E-3</v>
      </c>
      <c r="R498" s="107">
        <f t="shared" si="54"/>
        <v>3.109</v>
      </c>
      <c r="S498" s="105">
        <f t="shared" si="55"/>
        <v>593.11740890688259</v>
      </c>
      <c r="T498" s="114">
        <f>IFERROR(INDEX('MASTER por modelo'!$AQ$8:$AQ$474,MATCH(K498,'MASTER por modelo'!$D$8:$D$474,0)),"")</f>
        <v>0.6347305389221557</v>
      </c>
      <c r="U498" s="115">
        <f>IFERROR(INDEX('MASTER por modelo'!$AC$8:$AC$474,MATCH(K498,'MASTER por modelo'!$D$8:$D$474,0))+INDEX('MASTER por modelo'!$AD$8:$AD$474,MATCH(K498,'MASTER por modelo'!$D$8:$D$474,0)),"")</f>
        <v>636</v>
      </c>
      <c r="V498" s="93"/>
    </row>
    <row r="499" spans="1:22" x14ac:dyDescent="0.25">
      <c r="A499" s="109" t="s">
        <v>63</v>
      </c>
      <c r="B499" s="109" t="s">
        <v>540</v>
      </c>
      <c r="C499" s="109" t="s">
        <v>541</v>
      </c>
      <c r="D499" s="103">
        <f t="shared" si="49"/>
        <v>163.39869281045753</v>
      </c>
      <c r="E499" s="110">
        <v>0.76500000000000001</v>
      </c>
      <c r="F499" s="110">
        <f t="shared" si="50"/>
        <v>0.49675324675324672</v>
      </c>
      <c r="G499" s="110">
        <f t="shared" si="51"/>
        <v>1</v>
      </c>
      <c r="H499" s="110"/>
      <c r="I499" s="111">
        <v>1000</v>
      </c>
      <c r="J499" s="109" t="str">
        <f t="shared" si="52"/>
        <v>26</v>
      </c>
      <c r="K499" s="109" t="s">
        <v>542</v>
      </c>
      <c r="L499" s="109" t="s">
        <v>831</v>
      </c>
      <c r="M499" s="111">
        <v>13</v>
      </c>
      <c r="N499" s="110">
        <v>140.6</v>
      </c>
      <c r="O499" s="105">
        <f t="shared" si="53"/>
        <v>125</v>
      </c>
      <c r="P499" s="112">
        <v>5.8799999999999998E-2</v>
      </c>
      <c r="Q499" s="113">
        <v>7.6499999999999995E-4</v>
      </c>
      <c r="R499" s="107">
        <f t="shared" si="54"/>
        <v>0.7649999999999999</v>
      </c>
      <c r="S499" s="105">
        <f t="shared" si="55"/>
        <v>125</v>
      </c>
      <c r="T499" s="114">
        <f>IFERROR(INDEX('MASTER por modelo'!$AQ$8:$AQ$474,MATCH(K499,'MASTER por modelo'!$D$8:$D$474,0)),"")</f>
        <v>0</v>
      </c>
      <c r="U499" s="115">
        <f>IFERROR(INDEX('MASTER por modelo'!$AC$8:$AC$474,MATCH(K499,'MASTER por modelo'!$D$8:$D$474,0))+INDEX('MASTER por modelo'!$AD$8:$AD$474,MATCH(K499,'MASTER por modelo'!$D$8:$D$474,0)),"")</f>
        <v>346</v>
      </c>
      <c r="V499" s="93"/>
    </row>
    <row r="500" spans="1:22" x14ac:dyDescent="0.25">
      <c r="A500" s="109" t="s">
        <v>55</v>
      </c>
      <c r="B500" s="109" t="s">
        <v>329</v>
      </c>
      <c r="C500" s="109" t="s">
        <v>445</v>
      </c>
      <c r="D500" s="103">
        <f t="shared" si="49"/>
        <v>179.32558843264434</v>
      </c>
      <c r="E500" s="110">
        <v>0.76</v>
      </c>
      <c r="F500" s="110">
        <f t="shared" si="50"/>
        <v>0.4935064935064935</v>
      </c>
      <c r="G500" s="110">
        <f t="shared" si="51"/>
        <v>1</v>
      </c>
      <c r="H500" s="110"/>
      <c r="I500" s="111">
        <v>526</v>
      </c>
      <c r="J500" s="109" t="str">
        <f t="shared" si="52"/>
        <v>26</v>
      </c>
      <c r="K500" s="109" t="s">
        <v>543</v>
      </c>
      <c r="L500" s="109" t="s">
        <v>741</v>
      </c>
      <c r="M500" s="111">
        <v>8</v>
      </c>
      <c r="N500" s="110">
        <v>145.9</v>
      </c>
      <c r="O500" s="105">
        <f t="shared" si="53"/>
        <v>136.30000000000001</v>
      </c>
      <c r="P500" s="112">
        <v>9.5000000000000001E-2</v>
      </c>
      <c r="Q500" s="113">
        <v>1.4450000000000001E-3</v>
      </c>
      <c r="R500" s="107">
        <f t="shared" si="54"/>
        <v>1.4450000000000001</v>
      </c>
      <c r="S500" s="105">
        <f t="shared" si="55"/>
        <v>259.12547528517109</v>
      </c>
      <c r="T500" s="114">
        <f>IFERROR(INDEX('MASTER por modelo'!$AQ$8:$AQ$474,MATCH(K500,'MASTER por modelo'!$D$8:$D$474,0)),"")</f>
        <v>0.98859315589353614</v>
      </c>
      <c r="U500" s="115">
        <f>IFERROR(INDEX('MASTER por modelo'!$AC$8:$AC$474,MATCH(K500,'MASTER por modelo'!$D$8:$D$474,0))+INDEX('MASTER por modelo'!$AD$8:$AD$474,MATCH(K500,'MASTER por modelo'!$D$8:$D$474,0)),"")</f>
        <v>520</v>
      </c>
      <c r="V500" s="93"/>
    </row>
    <row r="501" spans="1:22" x14ac:dyDescent="0.25">
      <c r="A501" s="109" t="s">
        <v>55</v>
      </c>
      <c r="B501" s="109" t="s">
        <v>442</v>
      </c>
      <c r="C501" s="109" t="s">
        <v>443</v>
      </c>
      <c r="D501" s="103">
        <f t="shared" si="49"/>
        <v>63.045048047547624</v>
      </c>
      <c r="E501" s="110">
        <v>0.72</v>
      </c>
      <c r="F501" s="110">
        <f t="shared" si="50"/>
        <v>0.46753246753246752</v>
      </c>
      <c r="G501" s="110">
        <f t="shared" si="51"/>
        <v>1</v>
      </c>
      <c r="H501" s="110"/>
      <c r="I501" s="111">
        <v>510</v>
      </c>
      <c r="J501" s="109" t="str">
        <f t="shared" si="52"/>
        <v>26</v>
      </c>
      <c r="K501" s="109" t="s">
        <v>444</v>
      </c>
      <c r="L501" s="109" t="s">
        <v>828</v>
      </c>
      <c r="M501" s="111">
        <v>8</v>
      </c>
      <c r="N501" s="110">
        <v>55</v>
      </c>
      <c r="O501" s="105">
        <f t="shared" si="53"/>
        <v>45.4</v>
      </c>
      <c r="P501" s="112">
        <v>0.09</v>
      </c>
      <c r="Q501" s="113">
        <v>1.4120000000000001E-3</v>
      </c>
      <c r="R501" s="107">
        <f t="shared" si="54"/>
        <v>1.4120000000000001</v>
      </c>
      <c r="S501" s="105">
        <f t="shared" si="55"/>
        <v>89.019607843137251</v>
      </c>
      <c r="T501" s="114">
        <f>IFERROR(INDEX('MASTER por modelo'!$AQ$8:$AQ$474,MATCH(K501,'MASTER por modelo'!$D$8:$D$474,0)),"")</f>
        <v>0</v>
      </c>
      <c r="U501" s="115">
        <f>IFERROR(INDEX('MASTER por modelo'!$AC$8:$AC$474,MATCH(K501,'MASTER por modelo'!$D$8:$D$474,0))+INDEX('MASTER por modelo'!$AD$8:$AD$474,MATCH(K501,'MASTER por modelo'!$D$8:$D$474,0)),"")</f>
        <v>0</v>
      </c>
      <c r="V501" s="93"/>
    </row>
    <row r="502" spans="1:22" x14ac:dyDescent="0.25">
      <c r="A502" s="109" t="s">
        <v>55</v>
      </c>
      <c r="B502" s="109" t="s">
        <v>314</v>
      </c>
      <c r="C502" s="109" t="s">
        <v>315</v>
      </c>
      <c r="D502" s="103">
        <f t="shared" si="49"/>
        <v>206.40264906549322</v>
      </c>
      <c r="E502" s="110">
        <v>0.72</v>
      </c>
      <c r="F502" s="110">
        <f t="shared" si="50"/>
        <v>0.46753246753246752</v>
      </c>
      <c r="G502" s="110">
        <f t="shared" si="51"/>
        <v>1</v>
      </c>
      <c r="H502" s="110"/>
      <c r="I502" s="111">
        <v>566</v>
      </c>
      <c r="J502" s="109" t="str">
        <f t="shared" si="52"/>
        <v>26</v>
      </c>
      <c r="K502" s="109" t="s">
        <v>544</v>
      </c>
      <c r="L502" s="109" t="s">
        <v>783</v>
      </c>
      <c r="M502" s="111">
        <v>7</v>
      </c>
      <c r="N502" s="110">
        <v>157</v>
      </c>
      <c r="O502" s="105">
        <f t="shared" si="53"/>
        <v>148.6</v>
      </c>
      <c r="P502" s="112">
        <v>0.10290000000000001</v>
      </c>
      <c r="Q502" s="113">
        <v>1.2719999999999999E-3</v>
      </c>
      <c r="R502" s="107">
        <f t="shared" si="54"/>
        <v>1.272</v>
      </c>
      <c r="S502" s="105">
        <f t="shared" si="55"/>
        <v>262.54416961130738</v>
      </c>
      <c r="T502" s="114">
        <f>IFERROR(INDEX('MASTER por modelo'!$AQ$8:$AQ$474,MATCH(K502,'MASTER por modelo'!$D$8:$D$474,0)),"")</f>
        <v>0.97879858657243812</v>
      </c>
      <c r="U502" s="115">
        <f>IFERROR(INDEX('MASTER por modelo'!$AC$8:$AC$474,MATCH(K502,'MASTER por modelo'!$D$8:$D$474,0))+INDEX('MASTER por modelo'!$AD$8:$AD$474,MATCH(K502,'MASTER por modelo'!$D$8:$D$474,0)),"")</f>
        <v>554</v>
      </c>
      <c r="V502" s="93"/>
    </row>
    <row r="503" spans="1:22" x14ac:dyDescent="0.25">
      <c r="A503" s="109" t="s">
        <v>55</v>
      </c>
      <c r="B503" s="109" t="s">
        <v>302</v>
      </c>
      <c r="C503" s="109" t="s">
        <v>303</v>
      </c>
      <c r="D503" s="103">
        <f t="shared" si="49"/>
        <v>190.4650765402873</v>
      </c>
      <c r="E503" s="110">
        <v>0.72</v>
      </c>
      <c r="F503" s="110">
        <f t="shared" si="50"/>
        <v>0.46753246753246752</v>
      </c>
      <c r="G503" s="110">
        <f t="shared" si="51"/>
        <v>1</v>
      </c>
      <c r="H503" s="110"/>
      <c r="I503" s="111">
        <v>453</v>
      </c>
      <c r="J503" s="109" t="str">
        <f t="shared" si="52"/>
        <v>26</v>
      </c>
      <c r="K503" s="109" t="s">
        <v>545</v>
      </c>
      <c r="L503" s="109" t="s">
        <v>804</v>
      </c>
      <c r="M503" s="111">
        <v>10</v>
      </c>
      <c r="N503" s="110">
        <v>149.1</v>
      </c>
      <c r="O503" s="105">
        <f t="shared" si="53"/>
        <v>137.1</v>
      </c>
      <c r="P503" s="112">
        <v>7.1999999999999995E-2</v>
      </c>
      <c r="Q503" s="113">
        <v>1.5889999999999999E-3</v>
      </c>
      <c r="R503" s="107">
        <f t="shared" si="54"/>
        <v>1.589</v>
      </c>
      <c r="S503" s="105">
        <f t="shared" si="55"/>
        <v>302.64900662251654</v>
      </c>
      <c r="T503" s="114">
        <f>IFERROR(INDEX('MASTER por modelo'!$AQ$8:$AQ$474,MATCH(K503,'MASTER por modelo'!$D$8:$D$474,0)),"")</f>
        <v>0.9381898454746137</v>
      </c>
      <c r="U503" s="115">
        <f>IFERROR(INDEX('MASTER por modelo'!$AC$8:$AC$474,MATCH(K503,'MASTER por modelo'!$D$8:$D$474,0))+INDEX('MASTER por modelo'!$AD$8:$AD$474,MATCH(K503,'MASTER por modelo'!$D$8:$D$474,0)),"")</f>
        <v>425</v>
      </c>
      <c r="V503" s="93"/>
    </row>
    <row r="504" spans="1:22" x14ac:dyDescent="0.25">
      <c r="A504" s="109" t="s">
        <v>63</v>
      </c>
      <c r="B504" s="109" t="s">
        <v>540</v>
      </c>
      <c r="C504" s="109" t="s">
        <v>541</v>
      </c>
      <c r="D504" s="103">
        <f t="shared" si="49"/>
        <v>143.56575963718822</v>
      </c>
      <c r="E504" s="110">
        <v>0.70599999999999996</v>
      </c>
      <c r="F504" s="110">
        <f t="shared" si="50"/>
        <v>0.45844155844155843</v>
      </c>
      <c r="G504" s="110">
        <f t="shared" si="51"/>
        <v>1</v>
      </c>
      <c r="H504" s="110"/>
      <c r="I504" s="111">
        <v>800</v>
      </c>
      <c r="J504" s="109" t="str">
        <f t="shared" si="52"/>
        <v>26</v>
      </c>
      <c r="K504" s="109" t="s">
        <v>546</v>
      </c>
      <c r="L504" s="109" t="s">
        <v>831</v>
      </c>
      <c r="M504" s="111">
        <v>12</v>
      </c>
      <c r="N504" s="110">
        <v>115.7</v>
      </c>
      <c r="O504" s="105">
        <f t="shared" si="53"/>
        <v>101.30000000000001</v>
      </c>
      <c r="P504" s="112">
        <v>5.8799999999999998E-2</v>
      </c>
      <c r="Q504" s="113">
        <v>8.8199999999999997E-4</v>
      </c>
      <c r="R504" s="107">
        <f t="shared" si="54"/>
        <v>0.88200000000000001</v>
      </c>
      <c r="S504" s="105">
        <f t="shared" si="55"/>
        <v>126.62500000000001</v>
      </c>
      <c r="T504" s="114">
        <f>IFERROR(INDEX('MASTER por modelo'!$AQ$8:$AQ$474,MATCH(K504,'MASTER por modelo'!$D$8:$D$474,0)),"")</f>
        <v>0.56374999999999997</v>
      </c>
      <c r="U504" s="115">
        <f>IFERROR(INDEX('MASTER por modelo'!$AC$8:$AC$474,MATCH(K504,'MASTER por modelo'!$D$8:$D$474,0))+INDEX('MASTER por modelo'!$AD$8:$AD$474,MATCH(K504,'MASTER por modelo'!$D$8:$D$474,0)),"")</f>
        <v>451</v>
      </c>
      <c r="V504" s="93"/>
    </row>
    <row r="505" spans="1:22" x14ac:dyDescent="0.25">
      <c r="A505" s="109" t="s">
        <v>63</v>
      </c>
      <c r="B505" s="109" t="s">
        <v>540</v>
      </c>
      <c r="C505" s="109" t="s">
        <v>541</v>
      </c>
      <c r="D505" s="103">
        <f t="shared" si="49"/>
        <v>152.49433106575961</v>
      </c>
      <c r="E505" s="110">
        <v>0.70599999999999996</v>
      </c>
      <c r="F505" s="110">
        <f t="shared" si="50"/>
        <v>0.45844155844155843</v>
      </c>
      <c r="G505" s="110">
        <f t="shared" si="51"/>
        <v>1</v>
      </c>
      <c r="H505" s="110"/>
      <c r="I505" s="111">
        <v>800</v>
      </c>
      <c r="J505" s="109" t="str">
        <f t="shared" si="52"/>
        <v>26</v>
      </c>
      <c r="K505" s="109" t="s">
        <v>547</v>
      </c>
      <c r="L505" s="109" t="s">
        <v>831</v>
      </c>
      <c r="M505" s="111">
        <v>12</v>
      </c>
      <c r="N505" s="110">
        <v>122</v>
      </c>
      <c r="O505" s="105">
        <f t="shared" si="53"/>
        <v>107.6</v>
      </c>
      <c r="P505" s="112">
        <v>5.8799999999999998E-2</v>
      </c>
      <c r="Q505" s="113">
        <v>8.8199999999999997E-4</v>
      </c>
      <c r="R505" s="107">
        <f t="shared" si="54"/>
        <v>0.88200000000000001</v>
      </c>
      <c r="S505" s="105">
        <f t="shared" si="55"/>
        <v>134.49999999999997</v>
      </c>
      <c r="T505" s="114">
        <f>IFERROR(INDEX('MASTER por modelo'!$AQ$8:$AQ$474,MATCH(K505,'MASTER por modelo'!$D$8:$D$474,0)),"")</f>
        <v>0.58374999999999999</v>
      </c>
      <c r="U505" s="115">
        <f>IFERROR(INDEX('MASTER por modelo'!$AC$8:$AC$474,MATCH(K505,'MASTER por modelo'!$D$8:$D$474,0))+INDEX('MASTER por modelo'!$AD$8:$AD$474,MATCH(K505,'MASTER por modelo'!$D$8:$D$474,0)),"")</f>
        <v>467</v>
      </c>
      <c r="V505" s="93"/>
    </row>
    <row r="506" spans="1:22" x14ac:dyDescent="0.25">
      <c r="A506" s="109" t="s">
        <v>120</v>
      </c>
      <c r="B506" s="109" t="s">
        <v>470</v>
      </c>
      <c r="C506" s="109" t="s">
        <v>427</v>
      </c>
      <c r="D506" s="103">
        <f t="shared" si="49"/>
        <v>300.91491884893242</v>
      </c>
      <c r="E506" s="110">
        <v>0.69799999999999995</v>
      </c>
      <c r="F506" s="110">
        <f t="shared" si="50"/>
        <v>0.45324675324675323</v>
      </c>
      <c r="G506" s="110">
        <f t="shared" si="51"/>
        <v>1</v>
      </c>
      <c r="H506" s="110"/>
      <c r="I506" s="111">
        <v>463</v>
      </c>
      <c r="J506" s="109" t="str">
        <f t="shared" si="52"/>
        <v>26</v>
      </c>
      <c r="K506" s="109" t="s">
        <v>548</v>
      </c>
      <c r="L506" s="109" t="s">
        <v>780</v>
      </c>
      <c r="M506" s="111">
        <v>9</v>
      </c>
      <c r="N506" s="110">
        <v>220.9</v>
      </c>
      <c r="O506" s="105">
        <f t="shared" si="53"/>
        <v>210.1</v>
      </c>
      <c r="P506" s="112">
        <v>7.7600000000000002E-2</v>
      </c>
      <c r="Q506" s="113">
        <v>1.508E-3</v>
      </c>
      <c r="R506" s="107">
        <f t="shared" si="54"/>
        <v>1.508</v>
      </c>
      <c r="S506" s="105">
        <f t="shared" si="55"/>
        <v>453.77969762419008</v>
      </c>
      <c r="T506" s="114">
        <f>IFERROR(INDEX('MASTER por modelo'!$AQ$8:$AQ$474,MATCH(K506,'MASTER por modelo'!$D$8:$D$474,0)),"")</f>
        <v>0.57667386609071269</v>
      </c>
      <c r="U506" s="115">
        <f>IFERROR(INDEX('MASTER por modelo'!$AC$8:$AC$474,MATCH(K506,'MASTER por modelo'!$D$8:$D$474,0))+INDEX('MASTER por modelo'!$AD$8:$AD$474,MATCH(K506,'MASTER por modelo'!$D$8:$D$474,0)),"")</f>
        <v>267</v>
      </c>
      <c r="V506" s="93"/>
    </row>
    <row r="507" spans="1:22" x14ac:dyDescent="0.25">
      <c r="A507" s="109" t="s">
        <v>120</v>
      </c>
      <c r="B507" s="109" t="s">
        <v>470</v>
      </c>
      <c r="C507" s="109" t="s">
        <v>427</v>
      </c>
      <c r="D507" s="103">
        <f t="shared" si="49"/>
        <v>276.20589372949587</v>
      </c>
      <c r="E507" s="110">
        <v>0.69799999999999995</v>
      </c>
      <c r="F507" s="110">
        <f t="shared" si="50"/>
        <v>0.45324675324675323</v>
      </c>
      <c r="G507" s="110">
        <f t="shared" si="51"/>
        <v>1</v>
      </c>
      <c r="H507" s="110"/>
      <c r="I507" s="111">
        <v>415</v>
      </c>
      <c r="J507" s="109" t="str">
        <f t="shared" si="52"/>
        <v>26</v>
      </c>
      <c r="K507" s="109" t="s">
        <v>549</v>
      </c>
      <c r="L507" s="109" t="s">
        <v>780</v>
      </c>
      <c r="M507" s="111">
        <v>9</v>
      </c>
      <c r="N507" s="110">
        <v>203.6</v>
      </c>
      <c r="O507" s="105">
        <f t="shared" si="53"/>
        <v>192.79999999999998</v>
      </c>
      <c r="P507" s="112">
        <v>7.7600000000000002E-2</v>
      </c>
      <c r="Q507" s="113">
        <v>1.6819999999999999E-3</v>
      </c>
      <c r="R507" s="107">
        <f t="shared" si="54"/>
        <v>1.6819999999999999</v>
      </c>
      <c r="S507" s="105">
        <f t="shared" si="55"/>
        <v>464.57831325301203</v>
      </c>
      <c r="T507" s="114">
        <f>IFERROR(INDEX('MASTER por modelo'!$AQ$8:$AQ$474,MATCH(K507,'MASTER por modelo'!$D$8:$D$474,0)),"")</f>
        <v>0.62891566265060239</v>
      </c>
      <c r="U507" s="115">
        <f>IFERROR(INDEX('MASTER por modelo'!$AC$8:$AC$474,MATCH(K507,'MASTER por modelo'!$D$8:$D$474,0))+INDEX('MASTER por modelo'!$AD$8:$AD$474,MATCH(K507,'MASTER por modelo'!$D$8:$D$474,0)),"")</f>
        <v>261</v>
      </c>
      <c r="V507" s="93"/>
    </row>
    <row r="508" spans="1:22" x14ac:dyDescent="0.25">
      <c r="A508" s="109" t="s">
        <v>55</v>
      </c>
      <c r="B508" s="109" t="s">
        <v>509</v>
      </c>
      <c r="C508" s="109" t="s">
        <v>303</v>
      </c>
      <c r="D508" s="103">
        <f t="shared" si="49"/>
        <v>138.49632560768796</v>
      </c>
      <c r="E508" s="110">
        <v>0.67200000000000004</v>
      </c>
      <c r="F508" s="110">
        <f t="shared" si="50"/>
        <v>0.4363636363636364</v>
      </c>
      <c r="G508" s="110">
        <f t="shared" si="51"/>
        <v>1</v>
      </c>
      <c r="H508" s="110"/>
      <c r="I508" s="111">
        <v>610</v>
      </c>
      <c r="J508" s="109" t="str">
        <f t="shared" si="52"/>
        <v>26</v>
      </c>
      <c r="K508" s="109" t="s">
        <v>550</v>
      </c>
      <c r="L508" s="109" t="s">
        <v>830</v>
      </c>
      <c r="M508" s="111">
        <v>7</v>
      </c>
      <c r="N508" s="110">
        <v>101.5</v>
      </c>
      <c r="O508" s="105">
        <f t="shared" si="53"/>
        <v>93.1</v>
      </c>
      <c r="P508" s="112">
        <v>9.6000000000000002E-2</v>
      </c>
      <c r="Q508" s="113">
        <v>1.1019999999999999E-3</v>
      </c>
      <c r="R508" s="107">
        <f t="shared" si="54"/>
        <v>1.1019999999999999</v>
      </c>
      <c r="S508" s="105">
        <f t="shared" si="55"/>
        <v>152.62295081967213</v>
      </c>
      <c r="T508" s="114">
        <f>IFERROR(INDEX('MASTER por modelo'!$AQ$8:$AQ$474,MATCH(K508,'MASTER por modelo'!$D$8:$D$474,0)),"")</f>
        <v>0.85409836065573774</v>
      </c>
      <c r="U508" s="115">
        <f>IFERROR(INDEX('MASTER por modelo'!$AC$8:$AC$474,MATCH(K508,'MASTER por modelo'!$D$8:$D$474,0))+INDEX('MASTER por modelo'!$AD$8:$AD$474,MATCH(K508,'MASTER por modelo'!$D$8:$D$474,0)),"")</f>
        <v>521</v>
      </c>
      <c r="V508" s="93"/>
    </row>
    <row r="509" spans="1:22" x14ac:dyDescent="0.25">
      <c r="A509" s="109" t="s">
        <v>55</v>
      </c>
      <c r="B509" s="109" t="s">
        <v>99</v>
      </c>
      <c r="C509" s="109" t="s">
        <v>100</v>
      </c>
      <c r="D509" s="103">
        <f t="shared" si="49"/>
        <v>210.80337523596285</v>
      </c>
      <c r="E509" s="110">
        <v>0.67200000000000004</v>
      </c>
      <c r="F509" s="110">
        <f t="shared" si="50"/>
        <v>0.4363636363636364</v>
      </c>
      <c r="G509" s="110">
        <f t="shared" si="51"/>
        <v>1</v>
      </c>
      <c r="H509" s="110"/>
      <c r="I509" s="111">
        <v>614</v>
      </c>
      <c r="J509" s="109" t="str">
        <f t="shared" si="52"/>
        <v>26</v>
      </c>
      <c r="K509" s="109" t="s">
        <v>551</v>
      </c>
      <c r="L509" s="109" t="s">
        <v>793</v>
      </c>
      <c r="M509" s="111">
        <v>7</v>
      </c>
      <c r="N509" s="110">
        <v>150</v>
      </c>
      <c r="O509" s="105">
        <f t="shared" si="53"/>
        <v>141.6</v>
      </c>
      <c r="P509" s="112">
        <v>9.6000000000000002E-2</v>
      </c>
      <c r="Q509" s="113">
        <v>1.0939999999999999E-3</v>
      </c>
      <c r="R509" s="107">
        <f t="shared" si="54"/>
        <v>1.0939999999999999</v>
      </c>
      <c r="S509" s="105">
        <f t="shared" si="55"/>
        <v>230.61889250814332</v>
      </c>
      <c r="T509" s="114">
        <f>IFERROR(INDEX('MASTER por modelo'!$AQ$8:$AQ$474,MATCH(K509,'MASTER por modelo'!$D$8:$D$474,0)),"")</f>
        <v>0.64332247557003253</v>
      </c>
      <c r="U509" s="115">
        <f>IFERROR(INDEX('MASTER por modelo'!$AC$8:$AC$474,MATCH(K509,'MASTER por modelo'!$D$8:$D$474,0))+INDEX('MASTER por modelo'!$AD$8:$AD$474,MATCH(K509,'MASTER por modelo'!$D$8:$D$474,0)),"")</f>
        <v>395</v>
      </c>
      <c r="V509" s="93"/>
    </row>
    <row r="510" spans="1:22" x14ac:dyDescent="0.25">
      <c r="A510" s="109" t="s">
        <v>55</v>
      </c>
      <c r="B510" s="109" t="s">
        <v>509</v>
      </c>
      <c r="C510" s="109" t="s">
        <v>303</v>
      </c>
      <c r="D510" s="103">
        <f t="shared" si="49"/>
        <v>154.13125477463711</v>
      </c>
      <c r="E510" s="110">
        <v>0.67</v>
      </c>
      <c r="F510" s="110">
        <f t="shared" si="50"/>
        <v>0.4350649350649351</v>
      </c>
      <c r="G510" s="110">
        <f t="shared" si="51"/>
        <v>1</v>
      </c>
      <c r="H510" s="110"/>
      <c r="I510" s="111">
        <v>748</v>
      </c>
      <c r="J510" s="109" t="str">
        <f t="shared" si="52"/>
        <v>26</v>
      </c>
      <c r="K510" s="109" t="s">
        <v>552</v>
      </c>
      <c r="L510" s="109" t="s">
        <v>827</v>
      </c>
      <c r="M510" s="111">
        <v>7</v>
      </c>
      <c r="N510" s="110">
        <v>111.7</v>
      </c>
      <c r="O510" s="105">
        <f t="shared" si="53"/>
        <v>103.3</v>
      </c>
      <c r="P510" s="112">
        <v>9.5699999999999993E-2</v>
      </c>
      <c r="Q510" s="113">
        <v>8.9599999999999999E-4</v>
      </c>
      <c r="R510" s="107">
        <f t="shared" si="54"/>
        <v>0.89600000000000002</v>
      </c>
      <c r="S510" s="105">
        <f t="shared" si="55"/>
        <v>138.10160427807486</v>
      </c>
      <c r="T510" s="114">
        <f>IFERROR(INDEX('MASTER por modelo'!$AQ$8:$AQ$474,MATCH(K510,'MASTER por modelo'!$D$8:$D$474,0)),"")</f>
        <v>0.82219251336898391</v>
      </c>
      <c r="U510" s="115">
        <f>IFERROR(INDEX('MASTER por modelo'!$AC$8:$AC$474,MATCH(K510,'MASTER por modelo'!$D$8:$D$474,0))+INDEX('MASTER por modelo'!$AD$8:$AD$474,MATCH(K510,'MASTER por modelo'!$D$8:$D$474,0)),"")</f>
        <v>615</v>
      </c>
      <c r="V510" s="93"/>
    </row>
    <row r="511" spans="1:22" x14ac:dyDescent="0.25">
      <c r="A511" s="109" t="s">
        <v>55</v>
      </c>
      <c r="B511" s="109" t="s">
        <v>302</v>
      </c>
      <c r="C511" s="109" t="s">
        <v>303</v>
      </c>
      <c r="D511" s="103">
        <f t="shared" si="49"/>
        <v>220.61131179116688</v>
      </c>
      <c r="E511" s="110">
        <v>0.65</v>
      </c>
      <c r="F511" s="110">
        <f t="shared" si="50"/>
        <v>0.42207792207792211</v>
      </c>
      <c r="G511" s="110">
        <f t="shared" si="51"/>
        <v>1</v>
      </c>
      <c r="H511" s="110"/>
      <c r="I511" s="111">
        <v>484</v>
      </c>
      <c r="J511" s="109" t="str">
        <f t="shared" si="52"/>
        <v>26</v>
      </c>
      <c r="K511" s="109" t="s">
        <v>553</v>
      </c>
      <c r="L511" s="109" t="s">
        <v>812</v>
      </c>
      <c r="M511" s="111">
        <v>9</v>
      </c>
      <c r="N511" s="110">
        <v>154.19999999999999</v>
      </c>
      <c r="O511" s="105">
        <f t="shared" si="53"/>
        <v>143.39999999999998</v>
      </c>
      <c r="P511" s="112">
        <v>7.22E-2</v>
      </c>
      <c r="Q511" s="113">
        <v>1.343E-3</v>
      </c>
      <c r="R511" s="107">
        <f t="shared" si="54"/>
        <v>1.343</v>
      </c>
      <c r="S511" s="105">
        <f t="shared" si="55"/>
        <v>296.2809917355371</v>
      </c>
      <c r="T511" s="114">
        <f>IFERROR(INDEX('MASTER por modelo'!$AQ$8:$AQ$474,MATCH(K511,'MASTER por modelo'!$D$8:$D$474,0)),"")</f>
        <v>0.96074380165289253</v>
      </c>
      <c r="U511" s="115">
        <f>IFERROR(INDEX('MASTER por modelo'!$AC$8:$AC$474,MATCH(K511,'MASTER por modelo'!$D$8:$D$474,0))+INDEX('MASTER por modelo'!$AD$8:$AD$474,MATCH(K511,'MASTER por modelo'!$D$8:$D$474,0)),"")</f>
        <v>465</v>
      </c>
      <c r="V511" s="93"/>
    </row>
    <row r="512" spans="1:22" x14ac:dyDescent="0.25">
      <c r="A512" s="109" t="s">
        <v>55</v>
      </c>
      <c r="B512" s="109" t="s">
        <v>302</v>
      </c>
      <c r="C512" s="109" t="s">
        <v>554</v>
      </c>
      <c r="D512" s="103">
        <f t="shared" si="49"/>
        <v>174.66197815490912</v>
      </c>
      <c r="E512" s="110">
        <v>0.64800000000000002</v>
      </c>
      <c r="F512" s="110">
        <f t="shared" si="50"/>
        <v>0.42077922077922081</v>
      </c>
      <c r="G512" s="110">
        <f t="shared" si="51"/>
        <v>1</v>
      </c>
      <c r="H512" s="110"/>
      <c r="I512" s="111">
        <v>443</v>
      </c>
      <c r="J512" s="109" t="str">
        <f t="shared" si="52"/>
        <v>26</v>
      </c>
      <c r="K512" s="109" t="s">
        <v>555</v>
      </c>
      <c r="L512" s="109" t="s">
        <v>804</v>
      </c>
      <c r="M512" s="111">
        <v>9</v>
      </c>
      <c r="N512" s="110">
        <v>124</v>
      </c>
      <c r="O512" s="105">
        <f t="shared" si="53"/>
        <v>113.2</v>
      </c>
      <c r="P512" s="112">
        <v>7.1999999999999995E-2</v>
      </c>
      <c r="Q512" s="113">
        <v>1.4630000000000001E-3</v>
      </c>
      <c r="R512" s="107">
        <f t="shared" si="54"/>
        <v>1.4630000000000001</v>
      </c>
      <c r="S512" s="105">
        <f t="shared" si="55"/>
        <v>255.53047404063207</v>
      </c>
      <c r="T512" s="114">
        <f>IFERROR(INDEX('MASTER por modelo'!$AQ$8:$AQ$474,MATCH(K512,'MASTER por modelo'!$D$8:$D$474,0)),"")</f>
        <v>0.963882618510158</v>
      </c>
      <c r="U512" s="115">
        <f>IFERROR(INDEX('MASTER por modelo'!$AC$8:$AC$474,MATCH(K512,'MASTER por modelo'!$D$8:$D$474,0))+INDEX('MASTER por modelo'!$AD$8:$AD$474,MATCH(K512,'MASTER por modelo'!$D$8:$D$474,0)),"")</f>
        <v>427</v>
      </c>
      <c r="V512" s="93"/>
    </row>
    <row r="513" spans="1:22" x14ac:dyDescent="0.25">
      <c r="A513" s="109" t="s">
        <v>120</v>
      </c>
      <c r="B513" s="109" t="s">
        <v>470</v>
      </c>
      <c r="C513" s="109" t="s">
        <v>427</v>
      </c>
      <c r="D513" s="103">
        <f t="shared" si="49"/>
        <v>268.53799207772602</v>
      </c>
      <c r="E513" s="110">
        <v>0.62</v>
      </c>
      <c r="F513" s="110">
        <f t="shared" si="50"/>
        <v>0.40259740259740256</v>
      </c>
      <c r="G513" s="110">
        <f t="shared" si="51"/>
        <v>1</v>
      </c>
      <c r="H513" s="110"/>
      <c r="I513" s="111">
        <v>388</v>
      </c>
      <c r="J513" s="109" t="str">
        <f t="shared" si="52"/>
        <v>26</v>
      </c>
      <c r="K513" s="109" t="s">
        <v>556</v>
      </c>
      <c r="L513" s="109" t="s">
        <v>780</v>
      </c>
      <c r="M513" s="111">
        <v>8</v>
      </c>
      <c r="N513" s="110">
        <v>176.1</v>
      </c>
      <c r="O513" s="105">
        <f t="shared" si="53"/>
        <v>166.5</v>
      </c>
      <c r="P513" s="112">
        <v>7.7499999999999999E-2</v>
      </c>
      <c r="Q513" s="113">
        <v>1.598E-3</v>
      </c>
      <c r="R513" s="107">
        <f t="shared" si="54"/>
        <v>1.5980000000000001</v>
      </c>
      <c r="S513" s="105">
        <f t="shared" si="55"/>
        <v>429.12371134020617</v>
      </c>
      <c r="T513" s="114">
        <f>IFERROR(INDEX('MASTER por modelo'!$AQ$8:$AQ$474,MATCH(K513,'MASTER por modelo'!$D$8:$D$474,0)),"")</f>
        <v>0.76288659793814428</v>
      </c>
      <c r="U513" s="115">
        <f>IFERROR(INDEX('MASTER por modelo'!$AC$8:$AC$474,MATCH(K513,'MASTER por modelo'!$D$8:$D$474,0))+INDEX('MASTER por modelo'!$AD$8:$AD$474,MATCH(K513,'MASTER por modelo'!$D$8:$D$474,0)),"")</f>
        <v>296</v>
      </c>
      <c r="V513" s="93"/>
    </row>
    <row r="514" spans="1:22" x14ac:dyDescent="0.25">
      <c r="A514" s="109" t="s">
        <v>55</v>
      </c>
      <c r="B514" s="109" t="s">
        <v>442</v>
      </c>
      <c r="C514" s="109" t="s">
        <v>443</v>
      </c>
      <c r="D514" s="103">
        <f t="shared" si="49"/>
        <v>278.28785723522572</v>
      </c>
      <c r="E514" s="110">
        <v>0.57999999999999996</v>
      </c>
      <c r="F514" s="110">
        <f t="shared" si="50"/>
        <v>0.37662337662337658</v>
      </c>
      <c r="G514" s="110">
        <f t="shared" si="51"/>
        <v>1</v>
      </c>
      <c r="H514" s="110"/>
      <c r="I514" s="111">
        <v>555</v>
      </c>
      <c r="J514" s="109" t="str">
        <f t="shared" si="52"/>
        <v>26</v>
      </c>
      <c r="K514" s="109" t="s">
        <v>557</v>
      </c>
      <c r="L514" s="109" t="s">
        <v>828</v>
      </c>
      <c r="M514" s="111">
        <v>8</v>
      </c>
      <c r="N514" s="110">
        <v>171</v>
      </c>
      <c r="O514" s="105">
        <f t="shared" si="53"/>
        <v>161.4</v>
      </c>
      <c r="P514" s="112">
        <v>7.2499999999999995E-2</v>
      </c>
      <c r="Q514" s="113">
        <v>1.0449999999999999E-3</v>
      </c>
      <c r="R514" s="107">
        <f t="shared" si="54"/>
        <v>1.0449999999999999</v>
      </c>
      <c r="S514" s="105">
        <f t="shared" si="55"/>
        <v>290.81081081081084</v>
      </c>
      <c r="T514" s="114">
        <f>IFERROR(INDEX('MASTER por modelo'!$AQ$8:$AQ$474,MATCH(K514,'MASTER por modelo'!$D$8:$D$474,0)),"")</f>
        <v>0</v>
      </c>
      <c r="U514" s="115">
        <f>IFERROR(INDEX('MASTER por modelo'!$AC$8:$AC$474,MATCH(K514,'MASTER por modelo'!$D$8:$D$474,0))+INDEX('MASTER por modelo'!$AD$8:$AD$474,MATCH(K514,'MASTER por modelo'!$D$8:$D$474,0)),"")</f>
        <v>0</v>
      </c>
      <c r="V514" s="93"/>
    </row>
    <row r="515" spans="1:22" x14ac:dyDescent="0.25">
      <c r="A515" s="109" t="s">
        <v>55</v>
      </c>
      <c r="B515" s="109" t="s">
        <v>509</v>
      </c>
      <c r="C515" s="109" t="s">
        <v>303</v>
      </c>
      <c r="D515" s="103">
        <f t="shared" si="49"/>
        <v>158.61686097232135</v>
      </c>
      <c r="E515" s="110">
        <v>0.57999999999999996</v>
      </c>
      <c r="F515" s="110">
        <f t="shared" si="50"/>
        <v>0.37662337662337658</v>
      </c>
      <c r="G515" s="110">
        <f t="shared" si="51"/>
        <v>1</v>
      </c>
      <c r="H515" s="110"/>
      <c r="I515" s="111">
        <v>621</v>
      </c>
      <c r="J515" s="109" t="str">
        <f t="shared" si="52"/>
        <v>26</v>
      </c>
      <c r="K515" s="109" t="s">
        <v>558</v>
      </c>
      <c r="L515" s="109" t="s">
        <v>827</v>
      </c>
      <c r="M515" s="111">
        <v>6</v>
      </c>
      <c r="N515" s="110">
        <v>99.2</v>
      </c>
      <c r="O515" s="105">
        <f t="shared" si="53"/>
        <v>92</v>
      </c>
      <c r="P515" s="112">
        <v>9.6699999999999994E-2</v>
      </c>
      <c r="Q515" s="113">
        <v>9.3400000000000004E-4</v>
      </c>
      <c r="R515" s="107">
        <f t="shared" si="54"/>
        <v>0.93400000000000005</v>
      </c>
      <c r="S515" s="105">
        <f t="shared" si="55"/>
        <v>148.14814814814815</v>
      </c>
      <c r="T515" s="114">
        <f>IFERROR(INDEX('MASTER por modelo'!$AQ$8:$AQ$474,MATCH(K515,'MASTER por modelo'!$D$8:$D$474,0)),"")</f>
        <v>0.80998389694041872</v>
      </c>
      <c r="U515" s="115">
        <f>IFERROR(INDEX('MASTER por modelo'!$AC$8:$AC$474,MATCH(K515,'MASTER por modelo'!$D$8:$D$474,0))+INDEX('MASTER por modelo'!$AD$8:$AD$474,MATCH(K515,'MASTER por modelo'!$D$8:$D$474,0)),"")</f>
        <v>503</v>
      </c>
      <c r="V515" s="93"/>
    </row>
    <row r="516" spans="1:22" x14ac:dyDescent="0.25">
      <c r="A516" s="109" t="s">
        <v>55</v>
      </c>
      <c r="B516" s="109" t="s">
        <v>509</v>
      </c>
      <c r="C516" s="109" t="s">
        <v>303</v>
      </c>
      <c r="D516" s="103">
        <f t="shared" si="49"/>
        <v>164.51535650200091</v>
      </c>
      <c r="E516" s="110">
        <v>0.57599999999999996</v>
      </c>
      <c r="F516" s="110">
        <f t="shared" si="50"/>
        <v>0.37402597402597398</v>
      </c>
      <c r="G516" s="110">
        <f t="shared" si="51"/>
        <v>1</v>
      </c>
      <c r="H516" s="110"/>
      <c r="I516" s="111">
        <v>599</v>
      </c>
      <c r="J516" s="109" t="str">
        <f t="shared" si="52"/>
        <v>26</v>
      </c>
      <c r="K516" s="109" t="s">
        <v>559</v>
      </c>
      <c r="L516" s="109" t="s">
        <v>830</v>
      </c>
      <c r="M516" s="111">
        <v>6</v>
      </c>
      <c r="N516" s="110">
        <v>102</v>
      </c>
      <c r="O516" s="105">
        <f t="shared" si="53"/>
        <v>94.8</v>
      </c>
      <c r="P516" s="112">
        <v>9.6000000000000002E-2</v>
      </c>
      <c r="Q516" s="113">
        <v>9.6199999999999996E-4</v>
      </c>
      <c r="R516" s="107">
        <f t="shared" si="54"/>
        <v>0.96199999999999997</v>
      </c>
      <c r="S516" s="105">
        <f t="shared" si="55"/>
        <v>158.26377295492486</v>
      </c>
      <c r="T516" s="114">
        <f>IFERROR(INDEX('MASTER por modelo'!$AQ$8:$AQ$474,MATCH(K516,'MASTER por modelo'!$D$8:$D$474,0)),"")</f>
        <v>0.92654424040066774</v>
      </c>
      <c r="U516" s="115">
        <f>IFERROR(INDEX('MASTER por modelo'!$AC$8:$AC$474,MATCH(K516,'MASTER por modelo'!$D$8:$D$474,0))+INDEX('MASTER por modelo'!$AD$8:$AD$474,MATCH(K516,'MASTER por modelo'!$D$8:$D$474,0)),"")</f>
        <v>555</v>
      </c>
      <c r="V516" s="93"/>
    </row>
    <row r="517" spans="1:22" x14ac:dyDescent="0.25">
      <c r="A517" s="109" t="s">
        <v>120</v>
      </c>
      <c r="B517" s="109" t="s">
        <v>507</v>
      </c>
      <c r="C517" s="109" t="s">
        <v>427</v>
      </c>
      <c r="D517" s="103">
        <f t="shared" si="49"/>
        <v>192.24223563653538</v>
      </c>
      <c r="E517" s="110">
        <v>0.57599999999999996</v>
      </c>
      <c r="F517" s="110">
        <f t="shared" si="50"/>
        <v>0.37402597402597398</v>
      </c>
      <c r="G517" s="110">
        <f t="shared" si="51"/>
        <v>1</v>
      </c>
      <c r="H517" s="110"/>
      <c r="I517" s="111">
        <v>401</v>
      </c>
      <c r="J517" s="109" t="str">
        <f t="shared" si="52"/>
        <v>26</v>
      </c>
      <c r="K517" s="109" t="s">
        <v>560</v>
      </c>
      <c r="L517" s="109" t="s">
        <v>826</v>
      </c>
      <c r="M517" s="111">
        <v>6</v>
      </c>
      <c r="N517" s="110">
        <v>117.9</v>
      </c>
      <c r="O517" s="105">
        <f t="shared" si="53"/>
        <v>110.7</v>
      </c>
      <c r="P517" s="112">
        <v>9.6000000000000002E-2</v>
      </c>
      <c r="Q517" s="113">
        <v>1.436E-3</v>
      </c>
      <c r="R517" s="107">
        <f t="shared" si="54"/>
        <v>1.4359999999999999</v>
      </c>
      <c r="S517" s="105">
        <f t="shared" si="55"/>
        <v>276.05985037406481</v>
      </c>
      <c r="T517" s="114">
        <f>IFERROR(INDEX('MASTER por modelo'!$AQ$8:$AQ$474,MATCH(K517,'MASTER por modelo'!$D$8:$D$474,0)),"")</f>
        <v>0.67082294264339148</v>
      </c>
      <c r="U517" s="115">
        <f>IFERROR(INDEX('MASTER por modelo'!$AC$8:$AC$474,MATCH(K517,'MASTER por modelo'!$D$8:$D$474,0))+INDEX('MASTER por modelo'!$AD$8:$AD$474,MATCH(K517,'MASTER por modelo'!$D$8:$D$474,0)),"")</f>
        <v>269</v>
      </c>
      <c r="V517" s="93"/>
    </row>
    <row r="518" spans="1:22" x14ac:dyDescent="0.25">
      <c r="A518" s="109" t="s">
        <v>120</v>
      </c>
      <c r="B518" s="109" t="s">
        <v>492</v>
      </c>
      <c r="C518" s="109" t="s">
        <v>427</v>
      </c>
      <c r="D518" s="103">
        <f t="shared" si="49"/>
        <v>202.76721698522644</v>
      </c>
      <c r="E518" s="110">
        <v>0.57599999999999996</v>
      </c>
      <c r="F518" s="110">
        <f t="shared" si="50"/>
        <v>0.37402597402597398</v>
      </c>
      <c r="G518" s="110">
        <f t="shared" si="51"/>
        <v>1</v>
      </c>
      <c r="H518" s="110"/>
      <c r="I518" s="111">
        <v>390</v>
      </c>
      <c r="J518" s="109" t="str">
        <f t="shared" si="52"/>
        <v>26</v>
      </c>
      <c r="K518" s="109" t="s">
        <v>561</v>
      </c>
      <c r="L518" s="109" t="s">
        <v>826</v>
      </c>
      <c r="M518" s="111">
        <v>6</v>
      </c>
      <c r="N518" s="110">
        <v>124</v>
      </c>
      <c r="O518" s="105">
        <f t="shared" si="53"/>
        <v>116.8</v>
      </c>
      <c r="P518" s="112">
        <v>9.6000000000000002E-2</v>
      </c>
      <c r="Q518" s="113">
        <v>1.477E-3</v>
      </c>
      <c r="R518" s="107">
        <f t="shared" si="54"/>
        <v>1.4770000000000001</v>
      </c>
      <c r="S518" s="105">
        <f t="shared" si="55"/>
        <v>299.48717948717945</v>
      </c>
      <c r="T518" s="114">
        <f>IFERROR(INDEX('MASTER por modelo'!$AQ$8:$AQ$474,MATCH(K518,'MASTER por modelo'!$D$8:$D$474,0)),"")</f>
        <v>0.59230769230769231</v>
      </c>
      <c r="U518" s="115">
        <f>IFERROR(INDEX('MASTER por modelo'!$AC$8:$AC$474,MATCH(K518,'MASTER por modelo'!$D$8:$D$474,0))+INDEX('MASTER por modelo'!$AD$8:$AD$474,MATCH(K518,'MASTER por modelo'!$D$8:$D$474,0)),"")</f>
        <v>231</v>
      </c>
      <c r="V518" s="93"/>
    </row>
    <row r="519" spans="1:22" x14ac:dyDescent="0.25">
      <c r="A519" s="109" t="s">
        <v>55</v>
      </c>
      <c r="B519" s="109" t="s">
        <v>509</v>
      </c>
      <c r="C519" s="109" t="s">
        <v>303</v>
      </c>
      <c r="D519" s="103">
        <f t="shared" si="49"/>
        <v>247.92102103437534</v>
      </c>
      <c r="E519" s="110">
        <v>0.54</v>
      </c>
      <c r="F519" s="110">
        <f t="shared" si="50"/>
        <v>0.35064935064935066</v>
      </c>
      <c r="G519" s="110">
        <f t="shared" si="51"/>
        <v>1</v>
      </c>
      <c r="H519" s="110"/>
      <c r="I519" s="111">
        <v>678</v>
      </c>
      <c r="J519" s="109" t="str">
        <f t="shared" si="52"/>
        <v>26</v>
      </c>
      <c r="K519" s="109" t="s">
        <v>562</v>
      </c>
      <c r="L519" s="109" t="s">
        <v>827</v>
      </c>
      <c r="M519" s="111">
        <v>9</v>
      </c>
      <c r="N519" s="110">
        <v>144.6</v>
      </c>
      <c r="O519" s="105">
        <f t="shared" si="53"/>
        <v>133.79999999999998</v>
      </c>
      <c r="P519" s="112">
        <v>0.06</v>
      </c>
      <c r="Q519" s="113">
        <v>7.9600000000000005E-4</v>
      </c>
      <c r="R519" s="107">
        <f t="shared" si="54"/>
        <v>0.79600000000000004</v>
      </c>
      <c r="S519" s="105">
        <f t="shared" si="55"/>
        <v>197.3451327433628</v>
      </c>
      <c r="T519" s="114">
        <f>IFERROR(INDEX('MASTER por modelo'!$AQ$8:$AQ$474,MATCH(K519,'MASTER por modelo'!$D$8:$D$474,0)),"")</f>
        <v>0.88200589970501475</v>
      </c>
      <c r="U519" s="115">
        <f>IFERROR(INDEX('MASTER por modelo'!$AC$8:$AC$474,MATCH(K519,'MASTER por modelo'!$D$8:$D$474,0))+INDEX('MASTER por modelo'!$AD$8:$AD$474,MATCH(K519,'MASTER por modelo'!$D$8:$D$474,0)),"")</f>
        <v>598</v>
      </c>
      <c r="V519" s="93"/>
    </row>
    <row r="520" spans="1:22" x14ac:dyDescent="0.25">
      <c r="A520" s="109" t="s">
        <v>55</v>
      </c>
      <c r="B520" s="109" t="s">
        <v>509</v>
      </c>
      <c r="C520" s="109" t="s">
        <v>303</v>
      </c>
      <c r="D520" s="103">
        <f t="shared" ref="D520:D583" si="56">IFERROR((1/R520)*S520,0)</f>
        <v>164.51684111005133</v>
      </c>
      <c r="E520" s="110">
        <v>0.48</v>
      </c>
      <c r="F520" s="110">
        <f t="shared" ref="F520:F583" si="57">E520/1.54</f>
        <v>0.31168831168831168</v>
      </c>
      <c r="G520" s="110">
        <f t="shared" ref="G520:G583" si="58">ROUNDUP(F520,0)</f>
        <v>1</v>
      </c>
      <c r="H520" s="110"/>
      <c r="I520" s="111">
        <v>506</v>
      </c>
      <c r="J520" s="109" t="str">
        <f t="shared" ref="J520:J583" si="59">LEFT(K520,2)</f>
        <v>26</v>
      </c>
      <c r="K520" s="109" t="s">
        <v>563</v>
      </c>
      <c r="L520" s="109" t="s">
        <v>830</v>
      </c>
      <c r="M520" s="111">
        <v>5</v>
      </c>
      <c r="N520" s="110">
        <v>85</v>
      </c>
      <c r="O520" s="105">
        <f t="shared" ref="O520:O583" si="60">N520-(M520*1.2)</f>
        <v>79</v>
      </c>
      <c r="P520" s="112">
        <v>9.6000000000000002E-2</v>
      </c>
      <c r="Q520" s="113">
        <v>9.4899999999999997E-4</v>
      </c>
      <c r="R520" s="107">
        <f t="shared" ref="R520:R583" si="61">Q520*1000</f>
        <v>0.94899999999999995</v>
      </c>
      <c r="S520" s="105">
        <f t="shared" ref="S520:S583" si="62">IFERROR((O520/I520)*1000,0)</f>
        <v>156.12648221343872</v>
      </c>
      <c r="T520" s="114">
        <f>IFERROR(INDEX('MASTER por modelo'!$AQ$8:$AQ$474,MATCH(K520,'MASTER por modelo'!$D$8:$D$474,0)),"")</f>
        <v>0.9189723320158103</v>
      </c>
      <c r="U520" s="115">
        <f>IFERROR(INDEX('MASTER por modelo'!$AC$8:$AC$474,MATCH(K520,'MASTER por modelo'!$D$8:$D$474,0))+INDEX('MASTER por modelo'!$AD$8:$AD$474,MATCH(K520,'MASTER por modelo'!$D$8:$D$474,0)),"")</f>
        <v>465</v>
      </c>
      <c r="V520" s="93"/>
    </row>
    <row r="521" spans="1:22" x14ac:dyDescent="0.25">
      <c r="A521" s="109" t="s">
        <v>55</v>
      </c>
      <c r="B521" s="109" t="s">
        <v>509</v>
      </c>
      <c r="C521" s="109" t="s">
        <v>303</v>
      </c>
      <c r="D521" s="103">
        <f t="shared" si="56"/>
        <v>158.8788938863901</v>
      </c>
      <c r="E521" s="110">
        <v>0.48</v>
      </c>
      <c r="F521" s="110">
        <f t="shared" si="57"/>
        <v>0.31168831168831168</v>
      </c>
      <c r="G521" s="110">
        <f t="shared" si="58"/>
        <v>1</v>
      </c>
      <c r="H521" s="110"/>
      <c r="I521" s="111">
        <v>552</v>
      </c>
      <c r="J521" s="109" t="str">
        <f t="shared" si="59"/>
        <v>26</v>
      </c>
      <c r="K521" s="109" t="s">
        <v>564</v>
      </c>
      <c r="L521" s="109" t="s">
        <v>827</v>
      </c>
      <c r="M521" s="111">
        <v>5</v>
      </c>
      <c r="N521" s="110">
        <v>82.3</v>
      </c>
      <c r="O521" s="105">
        <f t="shared" si="60"/>
        <v>76.3</v>
      </c>
      <c r="P521" s="112">
        <v>9.6000000000000002E-2</v>
      </c>
      <c r="Q521" s="113">
        <v>8.7000000000000001E-4</v>
      </c>
      <c r="R521" s="107">
        <f t="shared" si="61"/>
        <v>0.87</v>
      </c>
      <c r="S521" s="105">
        <f t="shared" si="62"/>
        <v>138.22463768115941</v>
      </c>
      <c r="T521" s="114">
        <f>IFERROR(INDEX('MASTER por modelo'!$AQ$8:$AQ$474,MATCH(K521,'MASTER por modelo'!$D$8:$D$474,0)),"")</f>
        <v>0.93297101449275366</v>
      </c>
      <c r="U521" s="115">
        <f>IFERROR(INDEX('MASTER por modelo'!$AC$8:$AC$474,MATCH(K521,'MASTER por modelo'!$D$8:$D$474,0))+INDEX('MASTER por modelo'!$AD$8:$AD$474,MATCH(K521,'MASTER por modelo'!$D$8:$D$474,0)),"")</f>
        <v>515</v>
      </c>
      <c r="V521" s="93"/>
    </row>
    <row r="522" spans="1:22" x14ac:dyDescent="0.25">
      <c r="A522" s="109" t="s">
        <v>55</v>
      </c>
      <c r="B522" s="109" t="s">
        <v>509</v>
      </c>
      <c r="C522" s="109" t="s">
        <v>303</v>
      </c>
      <c r="D522" s="103">
        <f t="shared" si="56"/>
        <v>190.02969213939676</v>
      </c>
      <c r="E522" s="110">
        <v>0.48</v>
      </c>
      <c r="F522" s="110">
        <f t="shared" si="57"/>
        <v>0.31168831168831168</v>
      </c>
      <c r="G522" s="110">
        <f t="shared" si="58"/>
        <v>1</v>
      </c>
      <c r="H522" s="110"/>
      <c r="I522" s="111">
        <v>675</v>
      </c>
      <c r="J522" s="109" t="str">
        <f t="shared" si="59"/>
        <v>26</v>
      </c>
      <c r="K522" s="109" t="s">
        <v>565</v>
      </c>
      <c r="L522" s="109" t="s">
        <v>813</v>
      </c>
      <c r="M522" s="111">
        <v>5</v>
      </c>
      <c r="N522" s="110">
        <v>97.2</v>
      </c>
      <c r="O522" s="105">
        <f t="shared" si="60"/>
        <v>91.2</v>
      </c>
      <c r="P522" s="112">
        <v>9.6000000000000002E-2</v>
      </c>
      <c r="Q522" s="113">
        <v>7.1100000000000004E-4</v>
      </c>
      <c r="R522" s="107">
        <f t="shared" si="61"/>
        <v>0.71100000000000008</v>
      </c>
      <c r="S522" s="105">
        <f t="shared" si="62"/>
        <v>135.11111111111111</v>
      </c>
      <c r="T522" s="114">
        <f>IFERROR(INDEX('MASTER por modelo'!$AQ$8:$AQ$474,MATCH(K522,'MASTER por modelo'!$D$8:$D$474,0)),"")</f>
        <v>0.91555555555555557</v>
      </c>
      <c r="U522" s="115">
        <f>IFERROR(INDEX('MASTER por modelo'!$AC$8:$AC$474,MATCH(K522,'MASTER por modelo'!$D$8:$D$474,0))+INDEX('MASTER por modelo'!$AD$8:$AD$474,MATCH(K522,'MASTER por modelo'!$D$8:$D$474,0)),"")</f>
        <v>618</v>
      </c>
      <c r="V522" s="93"/>
    </row>
    <row r="523" spans="1:22" x14ac:dyDescent="0.25">
      <c r="A523" s="109" t="s">
        <v>55</v>
      </c>
      <c r="B523" s="109" t="s">
        <v>566</v>
      </c>
      <c r="C523" s="109" t="s">
        <v>567</v>
      </c>
      <c r="D523" s="103">
        <f t="shared" si="56"/>
        <v>232.46784760980344</v>
      </c>
      <c r="E523" s="110">
        <v>0.41199999999999998</v>
      </c>
      <c r="F523" s="110">
        <f t="shared" si="57"/>
        <v>0.26753246753246751</v>
      </c>
      <c r="G523" s="110">
        <f t="shared" si="58"/>
        <v>1</v>
      </c>
      <c r="H523" s="110"/>
      <c r="I523" s="111">
        <v>650</v>
      </c>
      <c r="J523" s="109" t="str">
        <f t="shared" si="59"/>
        <v>26</v>
      </c>
      <c r="K523" s="109" t="s">
        <v>568</v>
      </c>
      <c r="L523" s="109" t="s">
        <v>831</v>
      </c>
      <c r="M523" s="111">
        <v>7</v>
      </c>
      <c r="N523" s="110">
        <v>104.2</v>
      </c>
      <c r="O523" s="105">
        <f t="shared" si="60"/>
        <v>95.8</v>
      </c>
      <c r="P523" s="112">
        <v>5.8900000000000001E-2</v>
      </c>
      <c r="Q523" s="113">
        <v>6.3400000000000001E-4</v>
      </c>
      <c r="R523" s="107">
        <f t="shared" si="61"/>
        <v>0.63400000000000001</v>
      </c>
      <c r="S523" s="105">
        <f t="shared" si="62"/>
        <v>147.38461538461539</v>
      </c>
      <c r="T523" s="114">
        <f>IFERROR(INDEX('MASTER por modelo'!$AQ$8:$AQ$474,MATCH(K523,'MASTER por modelo'!$D$8:$D$474,0)),"")</f>
        <v>0.40923076923076923</v>
      </c>
      <c r="U523" s="115">
        <f>IFERROR(INDEX('MASTER por modelo'!$AC$8:$AC$474,MATCH(K523,'MASTER por modelo'!$D$8:$D$474,0))+INDEX('MASTER por modelo'!$AD$8:$AD$474,MATCH(K523,'MASTER por modelo'!$D$8:$D$474,0)),"")</f>
        <v>266</v>
      </c>
      <c r="V523" s="93"/>
    </row>
    <row r="524" spans="1:22" x14ac:dyDescent="0.25">
      <c r="A524" s="109" t="s">
        <v>138</v>
      </c>
      <c r="B524" s="109" t="s">
        <v>569</v>
      </c>
      <c r="C524" s="109" t="s">
        <v>264</v>
      </c>
      <c r="D524" s="103">
        <f t="shared" si="56"/>
        <v>188.55737978164848</v>
      </c>
      <c r="E524" s="110">
        <v>0.38400000000000001</v>
      </c>
      <c r="F524" s="110">
        <f t="shared" si="57"/>
        <v>0.24935064935064935</v>
      </c>
      <c r="G524" s="110">
        <f t="shared" si="58"/>
        <v>1</v>
      </c>
      <c r="H524" s="110"/>
      <c r="I524" s="111">
        <v>416</v>
      </c>
      <c r="J524" s="109" t="str">
        <f t="shared" si="59"/>
        <v>26</v>
      </c>
      <c r="K524" s="109" t="s">
        <v>570</v>
      </c>
      <c r="L524" s="109" t="s">
        <v>826</v>
      </c>
      <c r="M524" s="111">
        <v>4</v>
      </c>
      <c r="N524" s="110">
        <v>77.2</v>
      </c>
      <c r="O524" s="105">
        <f t="shared" si="60"/>
        <v>72.400000000000006</v>
      </c>
      <c r="P524" s="112">
        <v>9.6000000000000002E-2</v>
      </c>
      <c r="Q524" s="113">
        <v>9.2299999999999999E-4</v>
      </c>
      <c r="R524" s="107">
        <f t="shared" si="61"/>
        <v>0.92300000000000004</v>
      </c>
      <c r="S524" s="105">
        <f t="shared" si="62"/>
        <v>174.03846153846155</v>
      </c>
      <c r="T524" s="114">
        <f>IFERROR(INDEX('MASTER por modelo'!$AQ$8:$AQ$474,MATCH(K524,'MASTER por modelo'!$D$8:$D$474,0)),"")</f>
        <v>0.73317307692307687</v>
      </c>
      <c r="U524" s="115">
        <f>IFERROR(INDEX('MASTER por modelo'!$AC$8:$AC$474,MATCH(K524,'MASTER por modelo'!$D$8:$D$474,0))+INDEX('MASTER por modelo'!$AD$8:$AD$474,MATCH(K524,'MASTER por modelo'!$D$8:$D$474,0)),"")</f>
        <v>305</v>
      </c>
      <c r="V524" s="93"/>
    </row>
    <row r="525" spans="1:22" x14ac:dyDescent="0.25">
      <c r="A525" s="109" t="s">
        <v>138</v>
      </c>
      <c r="B525" s="109" t="s">
        <v>569</v>
      </c>
      <c r="C525" s="109" t="s">
        <v>264</v>
      </c>
      <c r="D525" s="103">
        <f t="shared" si="56"/>
        <v>198.49953110346985</v>
      </c>
      <c r="E525" s="110">
        <v>0.38400000000000001</v>
      </c>
      <c r="F525" s="110">
        <f t="shared" si="57"/>
        <v>0.24935064935064935</v>
      </c>
      <c r="G525" s="110">
        <f t="shared" si="58"/>
        <v>1</v>
      </c>
      <c r="H525" s="110"/>
      <c r="I525" s="111">
        <v>420</v>
      </c>
      <c r="J525" s="109" t="str">
        <f t="shared" si="59"/>
        <v>26</v>
      </c>
      <c r="K525" s="109" t="s">
        <v>571</v>
      </c>
      <c r="L525" s="109" t="s">
        <v>826</v>
      </c>
      <c r="M525" s="111">
        <v>4</v>
      </c>
      <c r="N525" s="110">
        <v>81</v>
      </c>
      <c r="O525" s="105">
        <f t="shared" si="60"/>
        <v>76.2</v>
      </c>
      <c r="P525" s="112">
        <v>9.6000000000000002E-2</v>
      </c>
      <c r="Q525" s="113">
        <v>9.1399999999999999E-4</v>
      </c>
      <c r="R525" s="107">
        <f t="shared" si="61"/>
        <v>0.91400000000000003</v>
      </c>
      <c r="S525" s="105">
        <f t="shared" si="62"/>
        <v>181.42857142857144</v>
      </c>
      <c r="T525" s="114">
        <f>IFERROR(INDEX('MASTER por modelo'!$AQ$8:$AQ$474,MATCH(K525,'MASTER por modelo'!$D$8:$D$474,0)),"")</f>
        <v>0.63095238095238093</v>
      </c>
      <c r="U525" s="115">
        <f>IFERROR(INDEX('MASTER por modelo'!$AC$8:$AC$474,MATCH(K525,'MASTER por modelo'!$D$8:$D$474,0))+INDEX('MASTER por modelo'!$AD$8:$AD$474,MATCH(K525,'MASTER por modelo'!$D$8:$D$474,0)),"")</f>
        <v>265</v>
      </c>
      <c r="V525" s="93"/>
    </row>
    <row r="526" spans="1:22" x14ac:dyDescent="0.25">
      <c r="A526" s="109" t="s">
        <v>120</v>
      </c>
      <c r="B526" s="109" t="s">
        <v>519</v>
      </c>
      <c r="C526" s="109" t="s">
        <v>503</v>
      </c>
      <c r="D526" s="103">
        <f t="shared" si="56"/>
        <v>172.31954603430773</v>
      </c>
      <c r="E526" s="110">
        <v>0.38400000000000001</v>
      </c>
      <c r="F526" s="110">
        <f t="shared" si="57"/>
        <v>0.24935064935064935</v>
      </c>
      <c r="G526" s="110">
        <f t="shared" si="58"/>
        <v>1</v>
      </c>
      <c r="H526" s="110"/>
      <c r="I526" s="111">
        <v>410</v>
      </c>
      <c r="J526" s="109" t="str">
        <f t="shared" si="59"/>
        <v>26</v>
      </c>
      <c r="K526" s="109" t="s">
        <v>572</v>
      </c>
      <c r="L526" s="109" t="s">
        <v>793</v>
      </c>
      <c r="M526" s="111">
        <v>4</v>
      </c>
      <c r="N526" s="110">
        <v>71</v>
      </c>
      <c r="O526" s="105">
        <f t="shared" si="60"/>
        <v>66.2</v>
      </c>
      <c r="P526" s="112">
        <v>9.6000000000000002E-2</v>
      </c>
      <c r="Q526" s="113">
        <v>9.3700000000000001E-4</v>
      </c>
      <c r="R526" s="107">
        <f t="shared" si="61"/>
        <v>0.93700000000000006</v>
      </c>
      <c r="S526" s="105">
        <f t="shared" si="62"/>
        <v>161.46341463414635</v>
      </c>
      <c r="T526" s="114">
        <f>IFERROR(INDEX('MASTER por modelo'!$AQ$8:$AQ$474,MATCH(K526,'MASTER por modelo'!$D$8:$D$474,0)),"")</f>
        <v>0.63658536585365855</v>
      </c>
      <c r="U526" s="115">
        <f>IFERROR(INDEX('MASTER por modelo'!$AC$8:$AC$474,MATCH(K526,'MASTER por modelo'!$D$8:$D$474,0))+INDEX('MASTER por modelo'!$AD$8:$AD$474,MATCH(K526,'MASTER por modelo'!$D$8:$D$474,0)),"")</f>
        <v>261</v>
      </c>
      <c r="V526" s="93"/>
    </row>
    <row r="527" spans="1:22" x14ac:dyDescent="0.25">
      <c r="A527" s="109" t="s">
        <v>63</v>
      </c>
      <c r="B527" s="109" t="s">
        <v>64</v>
      </c>
      <c r="C527" s="109" t="s">
        <v>57</v>
      </c>
      <c r="D527" s="103">
        <f t="shared" si="56"/>
        <v>84.740633133587579</v>
      </c>
      <c r="E527" s="110">
        <v>0.38</v>
      </c>
      <c r="F527" s="110">
        <f t="shared" si="57"/>
        <v>0.24675324675324675</v>
      </c>
      <c r="G527" s="110">
        <f t="shared" si="58"/>
        <v>1</v>
      </c>
      <c r="H527" s="110"/>
      <c r="I527" s="111">
        <v>69</v>
      </c>
      <c r="J527" s="109" t="str">
        <f t="shared" si="59"/>
        <v>26</v>
      </c>
      <c r="K527" s="109" t="s">
        <v>276</v>
      </c>
      <c r="L527" s="109" t="s">
        <v>820</v>
      </c>
      <c r="M527" s="111">
        <v>4</v>
      </c>
      <c r="N527" s="110">
        <v>37</v>
      </c>
      <c r="O527" s="105">
        <f t="shared" si="60"/>
        <v>32.200000000000003</v>
      </c>
      <c r="P527" s="112">
        <v>9.5000000000000001E-2</v>
      </c>
      <c r="Q527" s="113">
        <v>5.5069999999999997E-3</v>
      </c>
      <c r="R527" s="107">
        <f t="shared" si="61"/>
        <v>5.5069999999999997</v>
      </c>
      <c r="S527" s="105">
        <f t="shared" si="62"/>
        <v>466.66666666666674</v>
      </c>
      <c r="T527" s="114">
        <f>IFERROR(INDEX('MASTER por modelo'!$AQ$8:$AQ$474,MATCH(K527,'MASTER por modelo'!$D$8:$D$474,0)),"")</f>
        <v>5.1613876319758676</v>
      </c>
      <c r="U527" s="115">
        <f>IFERROR(INDEX('MASTER por modelo'!$AC$8:$AC$474,MATCH(K527,'MASTER por modelo'!$D$8:$D$474,0))+INDEX('MASTER por modelo'!$AD$8:$AD$474,MATCH(K527,'MASTER por modelo'!$D$8:$D$474,0)),"")</f>
        <v>3422</v>
      </c>
      <c r="V527" s="93"/>
    </row>
    <row r="528" spans="1:22" x14ac:dyDescent="0.25">
      <c r="A528" s="109" t="s">
        <v>55</v>
      </c>
      <c r="B528" s="109" t="s">
        <v>509</v>
      </c>
      <c r="C528" s="109" t="s">
        <v>303</v>
      </c>
      <c r="D528" s="103">
        <f t="shared" si="56"/>
        <v>235.32198839183482</v>
      </c>
      <c r="E528" s="110">
        <v>0.38</v>
      </c>
      <c r="F528" s="110">
        <f t="shared" si="57"/>
        <v>0.24675324675324675</v>
      </c>
      <c r="G528" s="110">
        <f t="shared" si="58"/>
        <v>1</v>
      </c>
      <c r="H528" s="110"/>
      <c r="I528" s="111">
        <v>645</v>
      </c>
      <c r="J528" s="109" t="str">
        <f t="shared" si="59"/>
        <v>26</v>
      </c>
      <c r="K528" s="109" t="s">
        <v>573</v>
      </c>
      <c r="L528" s="109" t="s">
        <v>813</v>
      </c>
      <c r="M528" s="111">
        <v>4</v>
      </c>
      <c r="N528" s="110">
        <v>94.2</v>
      </c>
      <c r="O528" s="105">
        <f t="shared" si="60"/>
        <v>89.4</v>
      </c>
      <c r="P528" s="112">
        <v>9.5000000000000001E-2</v>
      </c>
      <c r="Q528" s="113">
        <v>5.8900000000000001E-4</v>
      </c>
      <c r="R528" s="107">
        <f t="shared" si="61"/>
        <v>0.58899999999999997</v>
      </c>
      <c r="S528" s="105">
        <f t="shared" si="62"/>
        <v>138.6046511627907</v>
      </c>
      <c r="T528" s="114">
        <f>IFERROR(INDEX('MASTER por modelo'!$AQ$8:$AQ$474,MATCH(K528,'MASTER por modelo'!$D$8:$D$474,0)),"")</f>
        <v>0.83565891472868215</v>
      </c>
      <c r="U528" s="115">
        <f>IFERROR(INDEX('MASTER por modelo'!$AC$8:$AC$474,MATCH(K528,'MASTER por modelo'!$D$8:$D$474,0))+INDEX('MASTER por modelo'!$AD$8:$AD$474,MATCH(K528,'MASTER por modelo'!$D$8:$D$474,0)),"")</f>
        <v>539</v>
      </c>
      <c r="V528" s="93"/>
    </row>
    <row r="529" spans="1:22" x14ac:dyDescent="0.25">
      <c r="A529" s="109" t="s">
        <v>55</v>
      </c>
      <c r="B529" s="109" t="s">
        <v>509</v>
      </c>
      <c r="C529" s="109" t="s">
        <v>303</v>
      </c>
      <c r="D529" s="103">
        <f t="shared" si="56"/>
        <v>202.09675382089173</v>
      </c>
      <c r="E529" s="110">
        <v>0.38</v>
      </c>
      <c r="F529" s="110">
        <f t="shared" si="57"/>
        <v>0.24675324675324675</v>
      </c>
      <c r="G529" s="110">
        <f t="shared" si="58"/>
        <v>1</v>
      </c>
      <c r="H529" s="110"/>
      <c r="I529" s="111">
        <v>624</v>
      </c>
      <c r="J529" s="109" t="str">
        <f t="shared" si="59"/>
        <v>26</v>
      </c>
      <c r="K529" s="109" t="s">
        <v>574</v>
      </c>
      <c r="L529" s="109" t="s">
        <v>813</v>
      </c>
      <c r="M529" s="111">
        <v>4</v>
      </c>
      <c r="N529" s="110">
        <v>81.599999999999994</v>
      </c>
      <c r="O529" s="105">
        <f t="shared" si="60"/>
        <v>76.8</v>
      </c>
      <c r="P529" s="112">
        <v>9.5000000000000001E-2</v>
      </c>
      <c r="Q529" s="113">
        <v>6.0899999999999995E-4</v>
      </c>
      <c r="R529" s="107">
        <f t="shared" si="61"/>
        <v>0.60899999999999999</v>
      </c>
      <c r="S529" s="105">
        <f t="shared" si="62"/>
        <v>123.07692307692307</v>
      </c>
      <c r="T529" s="114">
        <f>IFERROR(INDEX('MASTER por modelo'!$AQ$8:$AQ$474,MATCH(K529,'MASTER por modelo'!$D$8:$D$474,0)),"")</f>
        <v>0.92788461538461542</v>
      </c>
      <c r="U529" s="115">
        <f>IFERROR(INDEX('MASTER por modelo'!$AC$8:$AC$474,MATCH(K529,'MASTER por modelo'!$D$8:$D$474,0))+INDEX('MASTER por modelo'!$AD$8:$AD$474,MATCH(K529,'MASTER por modelo'!$D$8:$D$474,0)),"")</f>
        <v>579</v>
      </c>
      <c r="V529" s="93"/>
    </row>
    <row r="530" spans="1:22" x14ac:dyDescent="0.25">
      <c r="A530" s="109" t="s">
        <v>55</v>
      </c>
      <c r="B530" s="109" t="s">
        <v>509</v>
      </c>
      <c r="C530" s="109" t="s">
        <v>303</v>
      </c>
      <c r="D530" s="103">
        <f t="shared" si="56"/>
        <v>225.48540454080953</v>
      </c>
      <c r="E530" s="110">
        <v>0.36</v>
      </c>
      <c r="F530" s="110">
        <f t="shared" si="57"/>
        <v>0.23376623376623376</v>
      </c>
      <c r="G530" s="110">
        <f t="shared" si="58"/>
        <v>1</v>
      </c>
      <c r="H530" s="110"/>
      <c r="I530" s="111">
        <v>634</v>
      </c>
      <c r="J530" s="109" t="str">
        <f t="shared" si="59"/>
        <v>26</v>
      </c>
      <c r="K530" s="109" t="s">
        <v>575</v>
      </c>
      <c r="L530" s="109" t="s">
        <v>827</v>
      </c>
      <c r="M530" s="111">
        <v>6</v>
      </c>
      <c r="N530" s="110">
        <v>88.4</v>
      </c>
      <c r="O530" s="105">
        <f t="shared" si="60"/>
        <v>81.2</v>
      </c>
      <c r="P530" s="112">
        <v>0.06</v>
      </c>
      <c r="Q530" s="113">
        <v>5.6800000000000004E-4</v>
      </c>
      <c r="R530" s="107">
        <f t="shared" si="61"/>
        <v>0.56800000000000006</v>
      </c>
      <c r="S530" s="105">
        <f t="shared" si="62"/>
        <v>128.07570977917982</v>
      </c>
      <c r="T530" s="114">
        <f>IFERROR(INDEX('MASTER por modelo'!$AQ$8:$AQ$474,MATCH(K530,'MASTER por modelo'!$D$8:$D$474,0)),"")</f>
        <v>0.9242902208201893</v>
      </c>
      <c r="U530" s="115">
        <f>IFERROR(INDEX('MASTER por modelo'!$AC$8:$AC$474,MATCH(K530,'MASTER por modelo'!$D$8:$D$474,0))+INDEX('MASTER por modelo'!$AD$8:$AD$474,MATCH(K530,'MASTER por modelo'!$D$8:$D$474,0)),"")</f>
        <v>586</v>
      </c>
      <c r="V530" s="93"/>
    </row>
    <row r="531" spans="1:22" x14ac:dyDescent="0.25">
      <c r="A531" s="109" t="s">
        <v>120</v>
      </c>
      <c r="B531" s="109" t="s">
        <v>576</v>
      </c>
      <c r="C531" s="109" t="s">
        <v>264</v>
      </c>
      <c r="D531" s="103">
        <f t="shared" si="56"/>
        <v>185.84882073506125</v>
      </c>
      <c r="E531" s="110">
        <v>0.36</v>
      </c>
      <c r="F531" s="110">
        <f t="shared" si="57"/>
        <v>0.23376623376623376</v>
      </c>
      <c r="G531" s="110">
        <f t="shared" si="58"/>
        <v>1</v>
      </c>
      <c r="H531" s="110"/>
      <c r="I531" s="111">
        <v>426</v>
      </c>
      <c r="J531" s="109" t="str">
        <f t="shared" si="59"/>
        <v>26</v>
      </c>
      <c r="K531" s="109" t="s">
        <v>577</v>
      </c>
      <c r="L531" s="109" t="s">
        <v>808</v>
      </c>
      <c r="M531" s="111">
        <v>5</v>
      </c>
      <c r="N531" s="110">
        <v>72.900000000000006</v>
      </c>
      <c r="O531" s="105">
        <f t="shared" si="60"/>
        <v>66.900000000000006</v>
      </c>
      <c r="P531" s="112">
        <v>7.1999999999999995E-2</v>
      </c>
      <c r="Q531" s="113">
        <v>8.4500000000000005E-4</v>
      </c>
      <c r="R531" s="107">
        <f t="shared" si="61"/>
        <v>0.84500000000000008</v>
      </c>
      <c r="S531" s="105">
        <f t="shared" si="62"/>
        <v>157.04225352112678</v>
      </c>
      <c r="T531" s="114">
        <f>IFERROR(INDEX('MASTER por modelo'!$AQ$8:$AQ$474,MATCH(K531,'MASTER por modelo'!$D$8:$D$474,0)),"")</f>
        <v>0.61267605633802813</v>
      </c>
      <c r="U531" s="115">
        <f>IFERROR(INDEX('MASTER por modelo'!$AC$8:$AC$474,MATCH(K531,'MASTER por modelo'!$D$8:$D$474,0))+INDEX('MASTER por modelo'!$AD$8:$AD$474,MATCH(K531,'MASTER por modelo'!$D$8:$D$474,0)),"")</f>
        <v>261</v>
      </c>
      <c r="V531" s="93"/>
    </row>
    <row r="532" spans="1:22" x14ac:dyDescent="0.25">
      <c r="A532" s="109" t="s">
        <v>55</v>
      </c>
      <c r="B532" s="109" t="s">
        <v>509</v>
      </c>
      <c r="C532" s="109" t="s">
        <v>303</v>
      </c>
      <c r="D532" s="103">
        <f t="shared" si="56"/>
        <v>232.88402509008409</v>
      </c>
      <c r="E532" s="110">
        <v>0.3</v>
      </c>
      <c r="F532" s="110">
        <f t="shared" si="57"/>
        <v>0.19480519480519479</v>
      </c>
      <c r="G532" s="110">
        <f t="shared" si="58"/>
        <v>1</v>
      </c>
      <c r="H532" s="110"/>
      <c r="I532" s="111">
        <v>590</v>
      </c>
      <c r="J532" s="109" t="str">
        <f t="shared" si="59"/>
        <v>26</v>
      </c>
      <c r="K532" s="109" t="s">
        <v>578</v>
      </c>
      <c r="L532" s="109" t="s">
        <v>827</v>
      </c>
      <c r="M532" s="111">
        <v>5</v>
      </c>
      <c r="N532" s="110">
        <v>75.8</v>
      </c>
      <c r="O532" s="105">
        <f t="shared" si="60"/>
        <v>69.8</v>
      </c>
      <c r="P532" s="112">
        <v>0.06</v>
      </c>
      <c r="Q532" s="113">
        <v>5.0799999999999999E-4</v>
      </c>
      <c r="R532" s="107">
        <f t="shared" si="61"/>
        <v>0.50800000000000001</v>
      </c>
      <c r="S532" s="105">
        <f t="shared" si="62"/>
        <v>118.30508474576271</v>
      </c>
      <c r="T532" s="114">
        <f>IFERROR(INDEX('MASTER por modelo'!$AQ$8:$AQ$474,MATCH(K532,'MASTER por modelo'!$D$8:$D$474,0)),"")</f>
        <v>0.85254237288135593</v>
      </c>
      <c r="U532" s="115">
        <f>IFERROR(INDEX('MASTER por modelo'!$AC$8:$AC$474,MATCH(K532,'MASTER por modelo'!$D$8:$D$474,0))+INDEX('MASTER por modelo'!$AD$8:$AD$474,MATCH(K532,'MASTER por modelo'!$D$8:$D$474,0)),"")</f>
        <v>503</v>
      </c>
      <c r="V532" s="93"/>
    </row>
    <row r="533" spans="1:22" x14ac:dyDescent="0.25">
      <c r="A533" s="109" t="s">
        <v>527</v>
      </c>
      <c r="B533" s="109" t="s">
        <v>528</v>
      </c>
      <c r="C533" s="109" t="s">
        <v>529</v>
      </c>
      <c r="D533" s="103">
        <f t="shared" si="56"/>
        <v>123.44827586206897</v>
      </c>
      <c r="E533" s="110">
        <v>0.28999999999999998</v>
      </c>
      <c r="F533" s="110">
        <f t="shared" si="57"/>
        <v>0.18831168831168829</v>
      </c>
      <c r="G533" s="110">
        <f t="shared" si="58"/>
        <v>1</v>
      </c>
      <c r="H533" s="110"/>
      <c r="I533" s="111">
        <v>400</v>
      </c>
      <c r="J533" s="109" t="str">
        <f t="shared" si="59"/>
        <v>26</v>
      </c>
      <c r="K533" s="109" t="s">
        <v>579</v>
      </c>
      <c r="L533" s="109" t="s">
        <v>829</v>
      </c>
      <c r="M533" s="111">
        <v>3</v>
      </c>
      <c r="N533" s="110">
        <v>39.4</v>
      </c>
      <c r="O533" s="105">
        <f t="shared" si="60"/>
        <v>35.799999999999997</v>
      </c>
      <c r="P533" s="112">
        <v>9.6699999999999994E-2</v>
      </c>
      <c r="Q533" s="113">
        <v>7.2499999999999995E-4</v>
      </c>
      <c r="R533" s="107">
        <f t="shared" si="61"/>
        <v>0.72499999999999998</v>
      </c>
      <c r="S533" s="105">
        <f t="shared" si="62"/>
        <v>89.5</v>
      </c>
      <c r="T533" s="114">
        <f>IFERROR(INDEX('MASTER por modelo'!$AQ$8:$AQ$474,MATCH(K533,'MASTER por modelo'!$D$8:$D$474,0)),"")</f>
        <v>0.23499999999999999</v>
      </c>
      <c r="U533" s="115">
        <f>IFERROR(INDEX('MASTER por modelo'!$AC$8:$AC$474,MATCH(K533,'MASTER por modelo'!$D$8:$D$474,0))+INDEX('MASTER por modelo'!$AD$8:$AD$474,MATCH(K533,'MASTER por modelo'!$D$8:$D$474,0)),"")</f>
        <v>94</v>
      </c>
      <c r="V533" s="93"/>
    </row>
    <row r="534" spans="1:22" x14ac:dyDescent="0.25">
      <c r="A534" s="109" t="s">
        <v>120</v>
      </c>
      <c r="B534" s="109" t="s">
        <v>576</v>
      </c>
      <c r="C534" s="109" t="s">
        <v>264</v>
      </c>
      <c r="D534" s="103">
        <f t="shared" si="56"/>
        <v>221.41706924315622</v>
      </c>
      <c r="E534" s="110">
        <v>0.28799999999999998</v>
      </c>
      <c r="F534" s="110">
        <f t="shared" si="57"/>
        <v>0.18701298701298699</v>
      </c>
      <c r="G534" s="110">
        <f t="shared" si="58"/>
        <v>1</v>
      </c>
      <c r="H534" s="110"/>
      <c r="I534" s="111">
        <v>348</v>
      </c>
      <c r="J534" s="109" t="str">
        <f t="shared" si="59"/>
        <v>26</v>
      </c>
      <c r="K534" s="109" t="s">
        <v>580</v>
      </c>
      <c r="L534" s="109" t="s">
        <v>826</v>
      </c>
      <c r="M534" s="111">
        <v>3</v>
      </c>
      <c r="N534" s="110">
        <v>67.400000000000006</v>
      </c>
      <c r="O534" s="105">
        <f t="shared" si="60"/>
        <v>63.800000000000004</v>
      </c>
      <c r="P534" s="112">
        <v>9.6000000000000002E-2</v>
      </c>
      <c r="Q534" s="113">
        <v>8.2799999999999996E-4</v>
      </c>
      <c r="R534" s="107">
        <f t="shared" si="61"/>
        <v>0.82799999999999996</v>
      </c>
      <c r="S534" s="105">
        <f t="shared" si="62"/>
        <v>183.33333333333334</v>
      </c>
      <c r="T534" s="114">
        <f>IFERROR(INDEX('MASTER por modelo'!$AQ$8:$AQ$474,MATCH(K534,'MASTER por modelo'!$D$8:$D$474,0)),"")</f>
        <v>0.86494252873563215</v>
      </c>
      <c r="U534" s="115">
        <f>IFERROR(INDEX('MASTER por modelo'!$AC$8:$AC$474,MATCH(K534,'MASTER por modelo'!$D$8:$D$474,0))+INDEX('MASTER por modelo'!$AD$8:$AD$474,MATCH(K534,'MASTER por modelo'!$D$8:$D$474,0)),"")</f>
        <v>301</v>
      </c>
      <c r="V534" s="93"/>
    </row>
    <row r="535" spans="1:22" x14ac:dyDescent="0.25">
      <c r="A535" s="109" t="s">
        <v>63</v>
      </c>
      <c r="B535" s="109" t="s">
        <v>110</v>
      </c>
      <c r="C535" s="109" t="s">
        <v>100</v>
      </c>
      <c r="D535" s="103">
        <f t="shared" si="56"/>
        <v>143.74700527072355</v>
      </c>
      <c r="E535" s="110">
        <v>0.192</v>
      </c>
      <c r="F535" s="110">
        <f t="shared" si="57"/>
        <v>0.12467532467532468</v>
      </c>
      <c r="G535" s="110">
        <f t="shared" si="58"/>
        <v>1</v>
      </c>
      <c r="H535" s="110"/>
      <c r="I535" s="111">
        <v>23</v>
      </c>
      <c r="J535" s="109" t="str">
        <f t="shared" si="59"/>
        <v>26</v>
      </c>
      <c r="K535" s="109" t="s">
        <v>128</v>
      </c>
      <c r="L535" s="109" t="s">
        <v>745</v>
      </c>
      <c r="M535" s="111">
        <v>2</v>
      </c>
      <c r="N535" s="110">
        <v>30</v>
      </c>
      <c r="O535" s="105">
        <f t="shared" si="60"/>
        <v>27.6</v>
      </c>
      <c r="P535" s="112">
        <v>9.6000000000000002E-2</v>
      </c>
      <c r="Q535" s="113">
        <v>8.3479999999999995E-3</v>
      </c>
      <c r="R535" s="107">
        <f t="shared" si="61"/>
        <v>8.347999999999999</v>
      </c>
      <c r="S535" s="105">
        <f t="shared" si="62"/>
        <v>1200</v>
      </c>
      <c r="T535" s="114">
        <f>IFERROR(INDEX('MASTER por modelo'!$AQ$8:$AQ$474,MATCH(K535,'MASTER por modelo'!$D$8:$D$474,0)),"")</f>
        <v>0.26010101010101011</v>
      </c>
      <c r="U535" s="115">
        <f>IFERROR(INDEX('MASTER por modelo'!$AC$8:$AC$474,MATCH(K535,'MASTER por modelo'!$D$8:$D$474,0))+INDEX('MASTER por modelo'!$AD$8:$AD$474,MATCH(K535,'MASTER por modelo'!$D$8:$D$474,0)),"")</f>
        <v>721</v>
      </c>
      <c r="V535" s="93"/>
    </row>
    <row r="536" spans="1:22" x14ac:dyDescent="0.25">
      <c r="A536" s="109" t="s">
        <v>63</v>
      </c>
      <c r="B536" s="109" t="s">
        <v>110</v>
      </c>
      <c r="C536" s="109" t="s">
        <v>100</v>
      </c>
      <c r="D536" s="103">
        <f t="shared" si="56"/>
        <v>148.95833333333334</v>
      </c>
      <c r="E536" s="110">
        <v>0.192</v>
      </c>
      <c r="F536" s="110">
        <f t="shared" si="57"/>
        <v>0.12467532467532468</v>
      </c>
      <c r="G536" s="110">
        <f t="shared" si="58"/>
        <v>1</v>
      </c>
      <c r="H536" s="110"/>
      <c r="I536" s="111">
        <v>25</v>
      </c>
      <c r="J536" s="109" t="str">
        <f t="shared" si="59"/>
        <v>26</v>
      </c>
      <c r="K536" s="109" t="s">
        <v>197</v>
      </c>
      <c r="L536" s="109" t="s">
        <v>745</v>
      </c>
      <c r="M536" s="111">
        <v>2</v>
      </c>
      <c r="N536" s="110">
        <v>31</v>
      </c>
      <c r="O536" s="105">
        <f t="shared" si="60"/>
        <v>28.6</v>
      </c>
      <c r="P536" s="112">
        <v>9.6000000000000002E-2</v>
      </c>
      <c r="Q536" s="113">
        <v>7.6800000000000002E-3</v>
      </c>
      <c r="R536" s="107">
        <f t="shared" si="61"/>
        <v>7.6800000000000006</v>
      </c>
      <c r="S536" s="105">
        <f t="shared" si="62"/>
        <v>1144.0000000000002</v>
      </c>
      <c r="T536" s="114">
        <f>IFERROR(INDEX('MASTER por modelo'!$AQ$8:$AQ$474,MATCH(K536,'MASTER por modelo'!$D$8:$D$474,0)),"")</f>
        <v>0.3217877094972067</v>
      </c>
      <c r="U536" s="115">
        <f>IFERROR(INDEX('MASTER por modelo'!$AC$8:$AC$474,MATCH(K536,'MASTER por modelo'!$D$8:$D$474,0))+INDEX('MASTER por modelo'!$AD$8:$AD$474,MATCH(K536,'MASTER por modelo'!$D$8:$D$474,0)),"")</f>
        <v>576</v>
      </c>
      <c r="V536" s="93"/>
    </row>
    <row r="537" spans="1:22" x14ac:dyDescent="0.25">
      <c r="A537" s="109" t="s">
        <v>63</v>
      </c>
      <c r="B537" s="109" t="s">
        <v>64</v>
      </c>
      <c r="C537" s="109" t="s">
        <v>57</v>
      </c>
      <c r="D537" s="103">
        <f t="shared" si="56"/>
        <v>87.992960563154952</v>
      </c>
      <c r="E537" s="110">
        <v>0.1</v>
      </c>
      <c r="F537" s="110">
        <f t="shared" si="57"/>
        <v>6.4935064935064943E-2</v>
      </c>
      <c r="G537" s="110">
        <f t="shared" si="58"/>
        <v>1</v>
      </c>
      <c r="H537" s="110"/>
      <c r="I537" s="111">
        <v>18</v>
      </c>
      <c r="J537" s="109" t="str">
        <f t="shared" si="59"/>
        <v>26</v>
      </c>
      <c r="K537" s="109" t="s">
        <v>276</v>
      </c>
      <c r="L537" s="109" t="s">
        <v>820</v>
      </c>
      <c r="M537" s="111">
        <v>1</v>
      </c>
      <c r="N537" s="110">
        <v>10</v>
      </c>
      <c r="O537" s="105">
        <f t="shared" si="60"/>
        <v>8.8000000000000007</v>
      </c>
      <c r="P537" s="112">
        <v>0.1</v>
      </c>
      <c r="Q537" s="113">
        <v>5.5560000000000002E-3</v>
      </c>
      <c r="R537" s="107">
        <f t="shared" si="61"/>
        <v>5.556</v>
      </c>
      <c r="S537" s="105">
        <f t="shared" si="62"/>
        <v>488.88888888888891</v>
      </c>
      <c r="T537" s="114">
        <f>IFERROR(INDEX('MASTER por modelo'!$AQ$8:$AQ$474,MATCH(K537,'MASTER por modelo'!$D$8:$D$474,0)),"")</f>
        <v>5.1613876319758676</v>
      </c>
      <c r="U537" s="115">
        <f>IFERROR(INDEX('MASTER por modelo'!$AC$8:$AC$474,MATCH(K537,'MASTER por modelo'!$D$8:$D$474,0))+INDEX('MASTER por modelo'!$AD$8:$AD$474,MATCH(K537,'MASTER por modelo'!$D$8:$D$474,0)),"")</f>
        <v>3422</v>
      </c>
      <c r="V537" s="93"/>
    </row>
    <row r="538" spans="1:22" x14ac:dyDescent="0.25">
      <c r="A538" s="109" t="s">
        <v>63</v>
      </c>
      <c r="B538" s="109" t="s">
        <v>64</v>
      </c>
      <c r="C538" s="109" t="s">
        <v>66</v>
      </c>
      <c r="D538" s="103">
        <f t="shared" si="56"/>
        <v>114.58333333333334</v>
      </c>
      <c r="E538" s="110">
        <v>9.6000000000000002E-2</v>
      </c>
      <c r="F538" s="110">
        <f t="shared" si="57"/>
        <v>6.2337662337662338E-2</v>
      </c>
      <c r="G538" s="110">
        <f t="shared" si="58"/>
        <v>1</v>
      </c>
      <c r="H538" s="110"/>
      <c r="I538" s="111">
        <v>20</v>
      </c>
      <c r="J538" s="109" t="str">
        <f t="shared" si="59"/>
        <v>26</v>
      </c>
      <c r="K538" s="109" t="s">
        <v>164</v>
      </c>
      <c r="L538" s="109" t="s">
        <v>797</v>
      </c>
      <c r="M538" s="111">
        <v>1</v>
      </c>
      <c r="N538" s="110">
        <v>12.2</v>
      </c>
      <c r="O538" s="105">
        <f t="shared" si="60"/>
        <v>11</v>
      </c>
      <c r="P538" s="112">
        <v>9.6000000000000002E-2</v>
      </c>
      <c r="Q538" s="113">
        <v>4.7999999999999996E-3</v>
      </c>
      <c r="R538" s="107">
        <f t="shared" si="61"/>
        <v>4.8</v>
      </c>
      <c r="S538" s="105">
        <f t="shared" si="62"/>
        <v>550</v>
      </c>
      <c r="T538" s="114">
        <f>IFERROR(INDEX('MASTER por modelo'!$AQ$8:$AQ$474,MATCH(K538,'MASTER por modelo'!$D$8:$D$474,0)),"")</f>
        <v>0.65458422174840081</v>
      </c>
      <c r="U538" s="115">
        <f>IFERROR(INDEX('MASTER por modelo'!$AC$8:$AC$474,MATCH(K538,'MASTER por modelo'!$D$8:$D$474,0))+INDEX('MASTER por modelo'!$AD$8:$AD$474,MATCH(K538,'MASTER por modelo'!$D$8:$D$474,0)),"")</f>
        <v>921</v>
      </c>
      <c r="V538" s="93"/>
    </row>
    <row r="539" spans="1:22" x14ac:dyDescent="0.25">
      <c r="A539" s="109" t="s">
        <v>63</v>
      </c>
      <c r="B539" s="109" t="s">
        <v>64</v>
      </c>
      <c r="C539" s="109" t="s">
        <v>57</v>
      </c>
      <c r="D539" s="103">
        <f t="shared" si="56"/>
        <v>39.583333333333329</v>
      </c>
      <c r="E539" s="110">
        <v>9.6000000000000002E-2</v>
      </c>
      <c r="F539" s="110">
        <f t="shared" si="57"/>
        <v>6.2337662337662338E-2</v>
      </c>
      <c r="G539" s="110">
        <f t="shared" si="58"/>
        <v>1</v>
      </c>
      <c r="H539" s="110"/>
      <c r="I539" s="111">
        <v>4</v>
      </c>
      <c r="J539" s="109" t="str">
        <f t="shared" si="59"/>
        <v>26</v>
      </c>
      <c r="K539" s="109" t="s">
        <v>114</v>
      </c>
      <c r="L539" s="109" t="s">
        <v>797</v>
      </c>
      <c r="M539" s="111">
        <v>1</v>
      </c>
      <c r="N539" s="110">
        <v>5</v>
      </c>
      <c r="O539" s="105">
        <f t="shared" si="60"/>
        <v>3.8</v>
      </c>
      <c r="P539" s="112">
        <v>9.6000000000000002E-2</v>
      </c>
      <c r="Q539" s="113">
        <v>2.4E-2</v>
      </c>
      <c r="R539" s="107">
        <f t="shared" si="61"/>
        <v>24</v>
      </c>
      <c r="S539" s="105">
        <f t="shared" si="62"/>
        <v>950</v>
      </c>
      <c r="T539" s="114">
        <f>IFERROR(INDEX('MASTER por modelo'!$AQ$8:$AQ$474,MATCH(K539,'MASTER por modelo'!$D$8:$D$474,0)),"")</f>
        <v>4.3508771929824559E-2</v>
      </c>
      <c r="U539" s="115">
        <f>IFERROR(INDEX('MASTER por modelo'!$AC$8:$AC$474,MATCH(K539,'MASTER por modelo'!$D$8:$D$474,0))+INDEX('MASTER por modelo'!$AD$8:$AD$474,MATCH(K539,'MASTER por modelo'!$D$8:$D$474,0)),"")</f>
        <v>62</v>
      </c>
      <c r="V539" s="93"/>
    </row>
    <row r="540" spans="1:22" x14ac:dyDescent="0.25">
      <c r="A540" s="116" t="s">
        <v>63</v>
      </c>
      <c r="B540" s="116" t="s">
        <v>84</v>
      </c>
      <c r="C540" s="116" t="s">
        <v>87</v>
      </c>
      <c r="D540" s="117">
        <f t="shared" si="56"/>
        <v>0</v>
      </c>
      <c r="E540" s="118">
        <v>0</v>
      </c>
      <c r="F540" s="118">
        <f t="shared" si="57"/>
        <v>0</v>
      </c>
      <c r="G540" s="118">
        <f t="shared" si="58"/>
        <v>0</v>
      </c>
      <c r="H540" s="118"/>
      <c r="I540" s="119">
        <v>601</v>
      </c>
      <c r="J540" s="116" t="str">
        <f t="shared" si="59"/>
        <v>26</v>
      </c>
      <c r="K540" s="116" t="s">
        <v>293</v>
      </c>
      <c r="L540" s="116" t="s">
        <v>753</v>
      </c>
      <c r="M540" s="119">
        <v>0</v>
      </c>
      <c r="N540" s="118">
        <v>0</v>
      </c>
      <c r="O540" s="120">
        <f t="shared" si="60"/>
        <v>0</v>
      </c>
      <c r="P540" s="121">
        <v>0</v>
      </c>
      <c r="Q540" s="122">
        <v>0</v>
      </c>
      <c r="R540" s="123">
        <f t="shared" si="61"/>
        <v>0</v>
      </c>
      <c r="S540" s="120">
        <f t="shared" si="62"/>
        <v>0</v>
      </c>
      <c r="T540" s="124">
        <f>IFERROR(INDEX('MASTER por modelo'!$AQ$8:$AQ$474,MATCH(K540,'MASTER por modelo'!$D$8:$D$474,0)),"")</f>
        <v>0.9975186104218362</v>
      </c>
      <c r="U540" s="125">
        <f>IFERROR(INDEX('MASTER por modelo'!$AC$8:$AC$474,MATCH(K540,'MASTER por modelo'!$D$8:$D$474,0))+INDEX('MASTER por modelo'!$AD$8:$AD$474,MATCH(K540,'MASTER por modelo'!$D$8:$D$474,0)),"")</f>
        <v>1206</v>
      </c>
      <c r="V540" s="93"/>
    </row>
    <row r="541" spans="1:22" x14ac:dyDescent="0.25">
      <c r="A541" s="116" t="s">
        <v>63</v>
      </c>
      <c r="B541" s="116" t="s">
        <v>288</v>
      </c>
      <c r="C541" s="116" t="s">
        <v>289</v>
      </c>
      <c r="D541" s="117">
        <f t="shared" si="56"/>
        <v>0</v>
      </c>
      <c r="E541" s="118">
        <v>0</v>
      </c>
      <c r="F541" s="118">
        <f t="shared" si="57"/>
        <v>0</v>
      </c>
      <c r="G541" s="118">
        <f t="shared" si="58"/>
        <v>0</v>
      </c>
      <c r="H541" s="118"/>
      <c r="I541" s="119">
        <v>725</v>
      </c>
      <c r="J541" s="116" t="str">
        <f t="shared" si="59"/>
        <v>26</v>
      </c>
      <c r="K541" s="116" t="s">
        <v>317</v>
      </c>
      <c r="L541" s="116" t="s">
        <v>753</v>
      </c>
      <c r="M541" s="119">
        <v>0</v>
      </c>
      <c r="N541" s="118">
        <v>0</v>
      </c>
      <c r="O541" s="120">
        <f t="shared" si="60"/>
        <v>0</v>
      </c>
      <c r="P541" s="121">
        <v>0</v>
      </c>
      <c r="Q541" s="122">
        <v>0</v>
      </c>
      <c r="R541" s="123">
        <f t="shared" si="61"/>
        <v>0</v>
      </c>
      <c r="S541" s="120">
        <f t="shared" si="62"/>
        <v>0</v>
      </c>
      <c r="T541" s="124">
        <f>IFERROR(INDEX('MASTER por modelo'!$AQ$8:$AQ$474,MATCH(K541,'MASTER por modelo'!$D$8:$D$474,0)),"")</f>
        <v>0.82837370242214536</v>
      </c>
      <c r="U541" s="125">
        <f>IFERROR(INDEX('MASTER por modelo'!$AC$8:$AC$474,MATCH(K541,'MASTER por modelo'!$D$8:$D$474,0))+INDEX('MASTER por modelo'!$AD$8:$AD$474,MATCH(K541,'MASTER por modelo'!$D$8:$D$474,0)),"")</f>
        <v>1197</v>
      </c>
      <c r="V541" s="93"/>
    </row>
    <row r="542" spans="1:22" x14ac:dyDescent="0.25">
      <c r="A542" s="116" t="s">
        <v>63</v>
      </c>
      <c r="B542" s="116" t="s">
        <v>110</v>
      </c>
      <c r="C542" s="116" t="s">
        <v>100</v>
      </c>
      <c r="D542" s="117">
        <f t="shared" si="56"/>
        <v>0</v>
      </c>
      <c r="E542" s="118">
        <v>0</v>
      </c>
      <c r="F542" s="118">
        <f t="shared" si="57"/>
        <v>0</v>
      </c>
      <c r="G542" s="118">
        <f t="shared" si="58"/>
        <v>0</v>
      </c>
      <c r="H542" s="118"/>
      <c r="I542" s="119">
        <v>727</v>
      </c>
      <c r="J542" s="116" t="str">
        <f t="shared" si="59"/>
        <v>26</v>
      </c>
      <c r="K542" s="116" t="s">
        <v>180</v>
      </c>
      <c r="L542" s="116" t="s">
        <v>753</v>
      </c>
      <c r="M542" s="119">
        <v>0</v>
      </c>
      <c r="N542" s="118">
        <v>0</v>
      </c>
      <c r="O542" s="120">
        <f t="shared" si="60"/>
        <v>0</v>
      </c>
      <c r="P542" s="121">
        <v>0</v>
      </c>
      <c r="Q542" s="122">
        <v>0</v>
      </c>
      <c r="R542" s="123">
        <f t="shared" si="61"/>
        <v>0</v>
      </c>
      <c r="S542" s="120">
        <f t="shared" si="62"/>
        <v>0</v>
      </c>
      <c r="T542" s="124">
        <f>IFERROR(INDEX('MASTER por modelo'!$AQ$8:$AQ$474,MATCH(K542,'MASTER por modelo'!$D$8:$D$474,0)),"")</f>
        <v>0.17613636363636365</v>
      </c>
      <c r="U542" s="125">
        <f>IFERROR(INDEX('MASTER por modelo'!$AC$8:$AC$474,MATCH(K542,'MASTER por modelo'!$D$8:$D$474,0))+INDEX('MASTER por modelo'!$AD$8:$AD$474,MATCH(K542,'MASTER por modelo'!$D$8:$D$474,0)),"")</f>
        <v>248</v>
      </c>
      <c r="V542" s="93"/>
    </row>
    <row r="543" spans="1:22" x14ac:dyDescent="0.25">
      <c r="A543" s="116" t="s">
        <v>63</v>
      </c>
      <c r="B543" s="116" t="s">
        <v>102</v>
      </c>
      <c r="C543" s="116" t="s">
        <v>132</v>
      </c>
      <c r="D543" s="117">
        <f t="shared" si="56"/>
        <v>0</v>
      </c>
      <c r="E543" s="118">
        <v>0</v>
      </c>
      <c r="F543" s="118">
        <f t="shared" si="57"/>
        <v>0</v>
      </c>
      <c r="G543" s="118">
        <f t="shared" si="58"/>
        <v>0</v>
      </c>
      <c r="H543" s="118"/>
      <c r="I543" s="119">
        <v>987</v>
      </c>
      <c r="J543" s="116" t="str">
        <f t="shared" si="59"/>
        <v>26</v>
      </c>
      <c r="K543" s="116" t="s">
        <v>581</v>
      </c>
      <c r="L543" s="116" t="s">
        <v>832</v>
      </c>
      <c r="M543" s="119">
        <v>33</v>
      </c>
      <c r="N543" s="118">
        <v>685.4</v>
      </c>
      <c r="O543" s="120">
        <f t="shared" si="60"/>
        <v>645.79999999999995</v>
      </c>
      <c r="P543" s="121">
        <v>0</v>
      </c>
      <c r="Q543" s="122">
        <v>0</v>
      </c>
      <c r="R543" s="123">
        <f t="shared" si="61"/>
        <v>0</v>
      </c>
      <c r="S543" s="120">
        <f t="shared" si="62"/>
        <v>654.30597771023304</v>
      </c>
      <c r="T543" s="124">
        <f>IFERROR(INDEX('MASTER por modelo'!$AQ$8:$AQ$474,MATCH(K543,'MASTER por modelo'!$D$8:$D$474,0)),"")</f>
        <v>0.63829787234042556</v>
      </c>
      <c r="U543" s="125">
        <f>IFERROR(INDEX('MASTER por modelo'!$AC$8:$AC$474,MATCH(K543,'MASTER por modelo'!$D$8:$D$474,0))+INDEX('MASTER por modelo'!$AD$8:$AD$474,MATCH(K543,'MASTER por modelo'!$D$8:$D$474,0)),"")</f>
        <v>630</v>
      </c>
      <c r="V543" s="93"/>
    </row>
    <row r="544" spans="1:22" x14ac:dyDescent="0.25">
      <c r="A544" s="116" t="s">
        <v>63</v>
      </c>
      <c r="B544" s="116" t="s">
        <v>102</v>
      </c>
      <c r="C544" s="116" t="s">
        <v>132</v>
      </c>
      <c r="D544" s="117">
        <f t="shared" si="56"/>
        <v>0</v>
      </c>
      <c r="E544" s="118">
        <v>0</v>
      </c>
      <c r="F544" s="118">
        <f t="shared" si="57"/>
        <v>0</v>
      </c>
      <c r="G544" s="118">
        <f t="shared" si="58"/>
        <v>0</v>
      </c>
      <c r="H544" s="118"/>
      <c r="I544" s="119">
        <v>957</v>
      </c>
      <c r="J544" s="116" t="str">
        <f t="shared" si="59"/>
        <v>26</v>
      </c>
      <c r="K544" s="116" t="s">
        <v>582</v>
      </c>
      <c r="L544" s="116" t="s">
        <v>832</v>
      </c>
      <c r="M544" s="119">
        <v>34</v>
      </c>
      <c r="N544" s="118">
        <v>692.1</v>
      </c>
      <c r="O544" s="120">
        <f t="shared" si="60"/>
        <v>651.30000000000007</v>
      </c>
      <c r="P544" s="121">
        <v>0</v>
      </c>
      <c r="Q544" s="122">
        <v>0</v>
      </c>
      <c r="R544" s="123">
        <f t="shared" si="61"/>
        <v>0</v>
      </c>
      <c r="S544" s="120">
        <f t="shared" si="62"/>
        <v>680.56426332288413</v>
      </c>
      <c r="T544" s="124">
        <f>IFERROR(INDEX('MASTER por modelo'!$AQ$8:$AQ$474,MATCH(K544,'MASTER por modelo'!$D$8:$D$474,0)),"")</f>
        <v>0.90073145245559039</v>
      </c>
      <c r="U544" s="125">
        <f>IFERROR(INDEX('MASTER por modelo'!$AC$8:$AC$474,MATCH(K544,'MASTER por modelo'!$D$8:$D$474,0))+INDEX('MASTER por modelo'!$AD$8:$AD$474,MATCH(K544,'MASTER por modelo'!$D$8:$D$474,0)),"")</f>
        <v>862</v>
      </c>
      <c r="V544" s="93"/>
    </row>
    <row r="545" spans="1:22" x14ac:dyDescent="0.25">
      <c r="A545" s="116" t="s">
        <v>63</v>
      </c>
      <c r="B545" s="116" t="s">
        <v>102</v>
      </c>
      <c r="C545" s="116" t="s">
        <v>132</v>
      </c>
      <c r="D545" s="117">
        <f t="shared" si="56"/>
        <v>0</v>
      </c>
      <c r="E545" s="118">
        <v>0</v>
      </c>
      <c r="F545" s="118">
        <f t="shared" si="57"/>
        <v>0</v>
      </c>
      <c r="G545" s="118">
        <f t="shared" si="58"/>
        <v>0</v>
      </c>
      <c r="H545" s="118"/>
      <c r="I545" s="119">
        <v>1257</v>
      </c>
      <c r="J545" s="116" t="str">
        <f t="shared" si="59"/>
        <v>26</v>
      </c>
      <c r="K545" s="116" t="s">
        <v>583</v>
      </c>
      <c r="L545" s="116" t="s">
        <v>832</v>
      </c>
      <c r="M545" s="119">
        <v>46</v>
      </c>
      <c r="N545" s="118">
        <v>947.4</v>
      </c>
      <c r="O545" s="120">
        <f t="shared" si="60"/>
        <v>892.19999999999993</v>
      </c>
      <c r="P545" s="121">
        <v>0</v>
      </c>
      <c r="Q545" s="122">
        <v>0</v>
      </c>
      <c r="R545" s="123">
        <f t="shared" si="61"/>
        <v>0</v>
      </c>
      <c r="S545" s="120">
        <f t="shared" si="62"/>
        <v>709.78520286396179</v>
      </c>
      <c r="T545" s="124">
        <f>IFERROR(INDEX('MASTER por modelo'!$AQ$8:$AQ$474,MATCH(K545,'MASTER por modelo'!$D$8:$D$474,0)),"")</f>
        <v>0.68257756563245819</v>
      </c>
      <c r="U545" s="125">
        <f>IFERROR(INDEX('MASTER por modelo'!$AC$8:$AC$474,MATCH(K545,'MASTER por modelo'!$D$8:$D$474,0))+INDEX('MASTER por modelo'!$AD$8:$AD$474,MATCH(K545,'MASTER por modelo'!$D$8:$D$474,0)),"")</f>
        <v>858</v>
      </c>
      <c r="V545" s="93"/>
    </row>
    <row r="546" spans="1:22" x14ac:dyDescent="0.25">
      <c r="A546" s="116" t="s">
        <v>63</v>
      </c>
      <c r="B546" s="116" t="s">
        <v>102</v>
      </c>
      <c r="C546" s="116" t="s">
        <v>132</v>
      </c>
      <c r="D546" s="117">
        <f t="shared" si="56"/>
        <v>0</v>
      </c>
      <c r="E546" s="118">
        <v>0</v>
      </c>
      <c r="F546" s="118">
        <f t="shared" si="57"/>
        <v>0</v>
      </c>
      <c r="G546" s="118">
        <f t="shared" si="58"/>
        <v>0</v>
      </c>
      <c r="H546" s="118"/>
      <c r="I546" s="119">
        <v>1231</v>
      </c>
      <c r="J546" s="116" t="str">
        <f t="shared" si="59"/>
        <v>26</v>
      </c>
      <c r="K546" s="116" t="s">
        <v>584</v>
      </c>
      <c r="L546" s="116" t="s">
        <v>832</v>
      </c>
      <c r="M546" s="119">
        <v>43</v>
      </c>
      <c r="N546" s="118">
        <v>884.6</v>
      </c>
      <c r="O546" s="120">
        <f t="shared" si="60"/>
        <v>833</v>
      </c>
      <c r="P546" s="121">
        <v>0</v>
      </c>
      <c r="Q546" s="122">
        <v>0</v>
      </c>
      <c r="R546" s="123">
        <f t="shared" si="61"/>
        <v>0</v>
      </c>
      <c r="S546" s="120">
        <f t="shared" si="62"/>
        <v>676.68562144597888</v>
      </c>
      <c r="T546" s="124">
        <f>IFERROR(INDEX('MASTER por modelo'!$AQ$8:$AQ$474,MATCH(K546,'MASTER por modelo'!$D$8:$D$474,0)),"")</f>
        <v>0.72298943948009753</v>
      </c>
      <c r="U546" s="125">
        <f>IFERROR(INDEX('MASTER por modelo'!$AC$8:$AC$474,MATCH(K546,'MASTER por modelo'!$D$8:$D$474,0))+INDEX('MASTER por modelo'!$AD$8:$AD$474,MATCH(K546,'MASTER por modelo'!$D$8:$D$474,0)),"")</f>
        <v>890</v>
      </c>
      <c r="V546" s="93"/>
    </row>
    <row r="547" spans="1:22" x14ac:dyDescent="0.25">
      <c r="A547" s="116" t="s">
        <v>63</v>
      </c>
      <c r="B547" s="116" t="s">
        <v>102</v>
      </c>
      <c r="C547" s="116" t="s">
        <v>132</v>
      </c>
      <c r="D547" s="117">
        <f t="shared" si="56"/>
        <v>0</v>
      </c>
      <c r="E547" s="118">
        <v>0</v>
      </c>
      <c r="F547" s="118">
        <f t="shared" si="57"/>
        <v>0</v>
      </c>
      <c r="G547" s="118">
        <f t="shared" si="58"/>
        <v>0</v>
      </c>
      <c r="H547" s="118"/>
      <c r="I547" s="119">
        <v>964</v>
      </c>
      <c r="J547" s="116" t="str">
        <f t="shared" si="59"/>
        <v>26</v>
      </c>
      <c r="K547" s="116" t="s">
        <v>585</v>
      </c>
      <c r="L547" s="116" t="s">
        <v>832</v>
      </c>
      <c r="M547" s="119">
        <v>36</v>
      </c>
      <c r="N547" s="118">
        <v>729.7</v>
      </c>
      <c r="O547" s="120">
        <f t="shared" si="60"/>
        <v>686.5</v>
      </c>
      <c r="P547" s="121">
        <v>0</v>
      </c>
      <c r="Q547" s="122">
        <v>0</v>
      </c>
      <c r="R547" s="123">
        <f t="shared" si="61"/>
        <v>0</v>
      </c>
      <c r="S547" s="120">
        <f t="shared" si="62"/>
        <v>712.13692946058097</v>
      </c>
      <c r="T547" s="124">
        <f>IFERROR(INDEX('MASTER por modelo'!$AQ$8:$AQ$474,MATCH(K547,'MASTER por modelo'!$D$8:$D$474,0)),"")</f>
        <v>0.84128630705394192</v>
      </c>
      <c r="U547" s="125">
        <f>IFERROR(INDEX('MASTER por modelo'!$AC$8:$AC$474,MATCH(K547,'MASTER por modelo'!$D$8:$D$474,0))+INDEX('MASTER por modelo'!$AD$8:$AD$474,MATCH(K547,'MASTER por modelo'!$D$8:$D$474,0)),"")</f>
        <v>811</v>
      </c>
      <c r="V547" s="93"/>
    </row>
    <row r="548" spans="1:22" x14ac:dyDescent="0.25">
      <c r="A548" s="116" t="s">
        <v>63</v>
      </c>
      <c r="B548" s="116" t="s">
        <v>102</v>
      </c>
      <c r="C548" s="116" t="s">
        <v>132</v>
      </c>
      <c r="D548" s="117">
        <f t="shared" si="56"/>
        <v>0</v>
      </c>
      <c r="E548" s="118">
        <v>0</v>
      </c>
      <c r="F548" s="118">
        <f t="shared" si="57"/>
        <v>0</v>
      </c>
      <c r="G548" s="118">
        <f t="shared" si="58"/>
        <v>0</v>
      </c>
      <c r="H548" s="118"/>
      <c r="I548" s="119">
        <v>669</v>
      </c>
      <c r="J548" s="116" t="str">
        <f t="shared" si="59"/>
        <v>26</v>
      </c>
      <c r="K548" s="116" t="s">
        <v>586</v>
      </c>
      <c r="L548" s="116" t="s">
        <v>832</v>
      </c>
      <c r="M548" s="119">
        <v>27</v>
      </c>
      <c r="N548" s="118">
        <v>553</v>
      </c>
      <c r="O548" s="120">
        <f t="shared" si="60"/>
        <v>520.6</v>
      </c>
      <c r="P548" s="121">
        <v>0</v>
      </c>
      <c r="Q548" s="122">
        <v>0</v>
      </c>
      <c r="R548" s="123">
        <f t="shared" si="61"/>
        <v>0</v>
      </c>
      <c r="S548" s="120">
        <f t="shared" si="62"/>
        <v>778.17638266068764</v>
      </c>
      <c r="T548" s="124">
        <f>IFERROR(INDEX('MASTER por modelo'!$AQ$8:$AQ$474,MATCH(K548,'MASTER por modelo'!$D$8:$D$474,0)),"")</f>
        <v>0.98355754857997013</v>
      </c>
      <c r="U548" s="125">
        <f>IFERROR(INDEX('MASTER por modelo'!$AC$8:$AC$474,MATCH(K548,'MASTER por modelo'!$D$8:$D$474,0))+INDEX('MASTER por modelo'!$AD$8:$AD$474,MATCH(K548,'MASTER por modelo'!$D$8:$D$474,0)),"")</f>
        <v>658</v>
      </c>
      <c r="V548" s="93"/>
    </row>
    <row r="549" spans="1:22" x14ac:dyDescent="0.25">
      <c r="A549" s="116" t="s">
        <v>63</v>
      </c>
      <c r="B549" s="116" t="s">
        <v>102</v>
      </c>
      <c r="C549" s="116" t="s">
        <v>132</v>
      </c>
      <c r="D549" s="117">
        <f t="shared" si="56"/>
        <v>0</v>
      </c>
      <c r="E549" s="118">
        <v>0</v>
      </c>
      <c r="F549" s="118">
        <f t="shared" si="57"/>
        <v>0</v>
      </c>
      <c r="G549" s="118">
        <f t="shared" si="58"/>
        <v>0</v>
      </c>
      <c r="H549" s="118"/>
      <c r="I549" s="119">
        <v>952</v>
      </c>
      <c r="J549" s="116" t="str">
        <f t="shared" si="59"/>
        <v>26</v>
      </c>
      <c r="K549" s="116" t="s">
        <v>587</v>
      </c>
      <c r="L549" s="116" t="s">
        <v>832</v>
      </c>
      <c r="M549" s="119">
        <v>26</v>
      </c>
      <c r="N549" s="118">
        <v>534.79999999999995</v>
      </c>
      <c r="O549" s="120">
        <f t="shared" si="60"/>
        <v>503.59999999999997</v>
      </c>
      <c r="P549" s="121">
        <v>0</v>
      </c>
      <c r="Q549" s="122">
        <v>0</v>
      </c>
      <c r="R549" s="123">
        <f t="shared" si="61"/>
        <v>0</v>
      </c>
      <c r="S549" s="120">
        <f t="shared" si="62"/>
        <v>528.99159663865544</v>
      </c>
      <c r="T549" s="124">
        <f>IFERROR(INDEX('MASTER por modelo'!$AQ$8:$AQ$474,MATCH(K549,'MASTER por modelo'!$D$8:$D$474,0)),"")</f>
        <v>0.71953781512605042</v>
      </c>
      <c r="U549" s="125">
        <f>IFERROR(INDEX('MASTER por modelo'!$AC$8:$AC$474,MATCH(K549,'MASTER por modelo'!$D$8:$D$474,0))+INDEX('MASTER por modelo'!$AD$8:$AD$474,MATCH(K549,'MASTER por modelo'!$D$8:$D$474,0)),"")</f>
        <v>685</v>
      </c>
      <c r="V549" s="93"/>
    </row>
    <row r="550" spans="1:22" x14ac:dyDescent="0.25">
      <c r="A550" s="116" t="s">
        <v>63</v>
      </c>
      <c r="B550" s="116" t="s">
        <v>84</v>
      </c>
      <c r="C550" s="116" t="s">
        <v>85</v>
      </c>
      <c r="D550" s="117">
        <f t="shared" si="56"/>
        <v>0</v>
      </c>
      <c r="E550" s="118">
        <v>0</v>
      </c>
      <c r="F550" s="118">
        <f t="shared" si="57"/>
        <v>0</v>
      </c>
      <c r="G550" s="118">
        <f t="shared" si="58"/>
        <v>0</v>
      </c>
      <c r="H550" s="118"/>
      <c r="I550" s="119">
        <v>1300</v>
      </c>
      <c r="J550" s="116" t="str">
        <f t="shared" si="59"/>
        <v>26</v>
      </c>
      <c r="K550" s="116" t="s">
        <v>143</v>
      </c>
      <c r="L550" s="116" t="s">
        <v>737</v>
      </c>
      <c r="M550" s="119">
        <v>0</v>
      </c>
      <c r="N550" s="118">
        <v>0</v>
      </c>
      <c r="O550" s="120">
        <f t="shared" si="60"/>
        <v>0</v>
      </c>
      <c r="P550" s="121">
        <v>0</v>
      </c>
      <c r="Q550" s="122">
        <v>0</v>
      </c>
      <c r="R550" s="123">
        <f t="shared" si="61"/>
        <v>0</v>
      </c>
      <c r="S550" s="120">
        <f t="shared" si="62"/>
        <v>0</v>
      </c>
      <c r="T550" s="124">
        <f>IFERROR(INDEX('MASTER por modelo'!$AQ$8:$AQ$474,MATCH(K550,'MASTER por modelo'!$D$8:$D$474,0)),"")</f>
        <v>0.32279999999999998</v>
      </c>
      <c r="U550" s="125">
        <f>IFERROR(INDEX('MASTER por modelo'!$AC$8:$AC$474,MATCH(K550,'MASTER por modelo'!$D$8:$D$474,0))+INDEX('MASTER por modelo'!$AD$8:$AD$474,MATCH(K550,'MASTER por modelo'!$D$8:$D$474,0)),"")</f>
        <v>807</v>
      </c>
      <c r="V550" s="93"/>
    </row>
    <row r="551" spans="1:22" x14ac:dyDescent="0.25">
      <c r="A551" s="116" t="s">
        <v>63</v>
      </c>
      <c r="B551" s="116" t="s">
        <v>84</v>
      </c>
      <c r="C551" s="116" t="s">
        <v>85</v>
      </c>
      <c r="D551" s="117">
        <f t="shared" si="56"/>
        <v>0</v>
      </c>
      <c r="E551" s="118">
        <v>0</v>
      </c>
      <c r="F551" s="118">
        <f t="shared" si="57"/>
        <v>0</v>
      </c>
      <c r="G551" s="118">
        <f t="shared" si="58"/>
        <v>0</v>
      </c>
      <c r="H551" s="118"/>
      <c r="I551" s="119">
        <v>1200</v>
      </c>
      <c r="J551" s="116" t="str">
        <f t="shared" si="59"/>
        <v>26</v>
      </c>
      <c r="K551" s="116" t="s">
        <v>149</v>
      </c>
      <c r="L551" s="116" t="s">
        <v>737</v>
      </c>
      <c r="M551" s="119">
        <v>0</v>
      </c>
      <c r="N551" s="118">
        <v>0</v>
      </c>
      <c r="O551" s="120">
        <f t="shared" si="60"/>
        <v>0</v>
      </c>
      <c r="P551" s="121">
        <v>0</v>
      </c>
      <c r="Q551" s="122">
        <v>0</v>
      </c>
      <c r="R551" s="123">
        <f t="shared" si="61"/>
        <v>0</v>
      </c>
      <c r="S551" s="120">
        <f t="shared" si="62"/>
        <v>0</v>
      </c>
      <c r="T551" s="124">
        <f>IFERROR(INDEX('MASTER por modelo'!$AQ$8:$AQ$474,MATCH(K551,'MASTER por modelo'!$D$8:$D$474,0)),"")</f>
        <v>0.43159999999999998</v>
      </c>
      <c r="U551" s="125">
        <f>IFERROR(INDEX('MASTER por modelo'!$AC$8:$AC$474,MATCH(K551,'MASTER por modelo'!$D$8:$D$474,0))+INDEX('MASTER por modelo'!$AD$8:$AD$474,MATCH(K551,'MASTER por modelo'!$D$8:$D$474,0)),"")</f>
        <v>1079</v>
      </c>
      <c r="V551" s="93"/>
    </row>
    <row r="552" spans="1:22" x14ac:dyDescent="0.25">
      <c r="A552" s="116" t="s">
        <v>63</v>
      </c>
      <c r="B552" s="116" t="s">
        <v>84</v>
      </c>
      <c r="C552" s="116" t="s">
        <v>94</v>
      </c>
      <c r="D552" s="117">
        <f t="shared" si="56"/>
        <v>0</v>
      </c>
      <c r="E552" s="118">
        <v>0</v>
      </c>
      <c r="F552" s="118">
        <f t="shared" si="57"/>
        <v>0</v>
      </c>
      <c r="G552" s="118">
        <f t="shared" si="58"/>
        <v>0</v>
      </c>
      <c r="H552" s="118"/>
      <c r="I552" s="119">
        <v>800</v>
      </c>
      <c r="J552" s="116" t="str">
        <f t="shared" si="59"/>
        <v>26</v>
      </c>
      <c r="K552" s="116" t="s">
        <v>126</v>
      </c>
      <c r="L552" s="116" t="s">
        <v>737</v>
      </c>
      <c r="M552" s="119">
        <v>0</v>
      </c>
      <c r="N552" s="118">
        <v>0</v>
      </c>
      <c r="O552" s="120">
        <f t="shared" si="60"/>
        <v>0</v>
      </c>
      <c r="P552" s="121">
        <v>0</v>
      </c>
      <c r="Q552" s="122">
        <v>0</v>
      </c>
      <c r="R552" s="123">
        <f t="shared" si="61"/>
        <v>0</v>
      </c>
      <c r="S552" s="120">
        <f t="shared" si="62"/>
        <v>0</v>
      </c>
      <c r="T552" s="124">
        <f>IFERROR(INDEX('MASTER por modelo'!$AQ$8:$AQ$474,MATCH(K552,'MASTER por modelo'!$D$8:$D$474,0)),"")</f>
        <v>0.70436187399030692</v>
      </c>
      <c r="U552" s="125">
        <f>IFERROR(INDEX('MASTER por modelo'!$AC$8:$AC$474,MATCH(K552,'MASTER por modelo'!$D$8:$D$474,0))+INDEX('MASTER por modelo'!$AD$8:$AD$474,MATCH(K552,'MASTER por modelo'!$D$8:$D$474,0)),"")</f>
        <v>1744</v>
      </c>
      <c r="V552" s="93"/>
    </row>
    <row r="553" spans="1:22" x14ac:dyDescent="0.25">
      <c r="A553" s="116" t="s">
        <v>63</v>
      </c>
      <c r="B553" s="116" t="s">
        <v>84</v>
      </c>
      <c r="C553" s="116" t="s">
        <v>94</v>
      </c>
      <c r="D553" s="117">
        <f t="shared" si="56"/>
        <v>0</v>
      </c>
      <c r="E553" s="118">
        <v>0</v>
      </c>
      <c r="F553" s="118">
        <f t="shared" si="57"/>
        <v>0</v>
      </c>
      <c r="G553" s="118">
        <f t="shared" si="58"/>
        <v>0</v>
      </c>
      <c r="H553" s="118"/>
      <c r="I553" s="119">
        <v>800</v>
      </c>
      <c r="J553" s="116" t="str">
        <f t="shared" si="59"/>
        <v>26</v>
      </c>
      <c r="K553" s="116" t="s">
        <v>126</v>
      </c>
      <c r="L553" s="116" t="s">
        <v>737</v>
      </c>
      <c r="M553" s="119">
        <v>0</v>
      </c>
      <c r="N553" s="118">
        <v>0</v>
      </c>
      <c r="O553" s="120">
        <f t="shared" si="60"/>
        <v>0</v>
      </c>
      <c r="P553" s="121">
        <v>0</v>
      </c>
      <c r="Q553" s="122">
        <v>0</v>
      </c>
      <c r="R553" s="123">
        <f t="shared" si="61"/>
        <v>0</v>
      </c>
      <c r="S553" s="120">
        <f t="shared" si="62"/>
        <v>0</v>
      </c>
      <c r="T553" s="124">
        <f>IFERROR(INDEX('MASTER por modelo'!$AQ$8:$AQ$474,MATCH(K553,'MASTER por modelo'!$D$8:$D$474,0)),"")</f>
        <v>0.70436187399030692</v>
      </c>
      <c r="U553" s="125">
        <f>IFERROR(INDEX('MASTER por modelo'!$AC$8:$AC$474,MATCH(K553,'MASTER por modelo'!$D$8:$D$474,0))+INDEX('MASTER por modelo'!$AD$8:$AD$474,MATCH(K553,'MASTER por modelo'!$D$8:$D$474,0)),"")</f>
        <v>1744</v>
      </c>
      <c r="V553" s="93"/>
    </row>
    <row r="554" spans="1:22" x14ac:dyDescent="0.25">
      <c r="A554" s="116" t="s">
        <v>63</v>
      </c>
      <c r="B554" s="116" t="s">
        <v>84</v>
      </c>
      <c r="C554" s="116" t="s">
        <v>85</v>
      </c>
      <c r="D554" s="117">
        <f t="shared" si="56"/>
        <v>0</v>
      </c>
      <c r="E554" s="118">
        <v>0</v>
      </c>
      <c r="F554" s="118">
        <f t="shared" si="57"/>
        <v>0</v>
      </c>
      <c r="G554" s="118">
        <f t="shared" si="58"/>
        <v>0</v>
      </c>
      <c r="H554" s="118"/>
      <c r="I554" s="119">
        <v>1700</v>
      </c>
      <c r="J554" s="116" t="str">
        <f t="shared" si="59"/>
        <v>26</v>
      </c>
      <c r="K554" s="116" t="s">
        <v>86</v>
      </c>
      <c r="L554" s="116" t="s">
        <v>737</v>
      </c>
      <c r="M554" s="119">
        <v>0</v>
      </c>
      <c r="N554" s="118">
        <v>0</v>
      </c>
      <c r="O554" s="120">
        <f t="shared" si="60"/>
        <v>0</v>
      </c>
      <c r="P554" s="121">
        <v>0</v>
      </c>
      <c r="Q554" s="122">
        <v>0</v>
      </c>
      <c r="R554" s="123">
        <f t="shared" si="61"/>
        <v>0</v>
      </c>
      <c r="S554" s="120">
        <f t="shared" si="62"/>
        <v>0</v>
      </c>
      <c r="T554" s="124">
        <f>IFERROR(INDEX('MASTER por modelo'!$AQ$8:$AQ$474,MATCH(K554,'MASTER por modelo'!$D$8:$D$474,0)),"")</f>
        <v>0.43124246079613993</v>
      </c>
      <c r="U554" s="125">
        <f>IFERROR(INDEX('MASTER por modelo'!$AC$8:$AC$474,MATCH(K554,'MASTER por modelo'!$D$8:$D$474,0))+INDEX('MASTER por modelo'!$AD$8:$AD$474,MATCH(K554,'MASTER por modelo'!$D$8:$D$474,0)),"")</f>
        <v>1430</v>
      </c>
      <c r="V554" s="93"/>
    </row>
    <row r="555" spans="1:22" x14ac:dyDescent="0.25">
      <c r="A555" s="116" t="s">
        <v>63</v>
      </c>
      <c r="B555" s="116" t="s">
        <v>84</v>
      </c>
      <c r="C555" s="116" t="s">
        <v>85</v>
      </c>
      <c r="D555" s="117">
        <f t="shared" si="56"/>
        <v>0</v>
      </c>
      <c r="E555" s="118">
        <v>0</v>
      </c>
      <c r="F555" s="118">
        <f t="shared" si="57"/>
        <v>0</v>
      </c>
      <c r="G555" s="118">
        <f t="shared" si="58"/>
        <v>0</v>
      </c>
      <c r="H555" s="118"/>
      <c r="I555" s="119">
        <v>823</v>
      </c>
      <c r="J555" s="116" t="str">
        <f t="shared" si="59"/>
        <v>26</v>
      </c>
      <c r="K555" s="116" t="s">
        <v>206</v>
      </c>
      <c r="L555" s="116" t="s">
        <v>737</v>
      </c>
      <c r="M555" s="119">
        <v>0</v>
      </c>
      <c r="N555" s="118">
        <v>0</v>
      </c>
      <c r="O555" s="120">
        <f t="shared" si="60"/>
        <v>0</v>
      </c>
      <c r="P555" s="121">
        <v>0</v>
      </c>
      <c r="Q555" s="122">
        <v>0</v>
      </c>
      <c r="R555" s="123">
        <f t="shared" si="61"/>
        <v>0</v>
      </c>
      <c r="S555" s="120">
        <f t="shared" si="62"/>
        <v>0</v>
      </c>
      <c r="T555" s="124">
        <f>IFERROR(INDEX('MASTER por modelo'!$AQ$8:$AQ$474,MATCH(K555,'MASTER por modelo'!$D$8:$D$474,0)),"")</f>
        <v>0.62433155080213909</v>
      </c>
      <c r="U555" s="125">
        <f>IFERROR(INDEX('MASTER por modelo'!$AC$8:$AC$474,MATCH(K555,'MASTER por modelo'!$D$8:$D$474,0))+INDEX('MASTER por modelo'!$AD$8:$AD$474,MATCH(K555,'MASTER por modelo'!$D$8:$D$474,0)),"")</f>
        <v>934</v>
      </c>
      <c r="V555" s="93"/>
    </row>
    <row r="556" spans="1:22" x14ac:dyDescent="0.25">
      <c r="A556" s="116" t="s">
        <v>55</v>
      </c>
      <c r="B556" s="116" t="s">
        <v>314</v>
      </c>
      <c r="C556" s="116" t="s">
        <v>315</v>
      </c>
      <c r="D556" s="117">
        <f t="shared" si="56"/>
        <v>0</v>
      </c>
      <c r="E556" s="118">
        <v>0</v>
      </c>
      <c r="F556" s="118">
        <f t="shared" si="57"/>
        <v>0</v>
      </c>
      <c r="G556" s="118">
        <f t="shared" si="58"/>
        <v>0</v>
      </c>
      <c r="H556" s="118"/>
      <c r="I556" s="119">
        <v>667</v>
      </c>
      <c r="J556" s="116" t="str">
        <f t="shared" si="59"/>
        <v>26</v>
      </c>
      <c r="K556" s="116" t="s">
        <v>399</v>
      </c>
      <c r="L556" s="116" t="s">
        <v>804</v>
      </c>
      <c r="M556" s="119">
        <v>0</v>
      </c>
      <c r="N556" s="118">
        <v>0</v>
      </c>
      <c r="O556" s="120">
        <f t="shared" si="60"/>
        <v>0</v>
      </c>
      <c r="P556" s="121">
        <v>0</v>
      </c>
      <c r="Q556" s="122">
        <v>0</v>
      </c>
      <c r="R556" s="123">
        <f t="shared" si="61"/>
        <v>0</v>
      </c>
      <c r="S556" s="120">
        <f t="shared" si="62"/>
        <v>0</v>
      </c>
      <c r="T556" s="124">
        <f>IFERROR(INDEX('MASTER por modelo'!$AQ$8:$AQ$474,MATCH(K556,'MASTER por modelo'!$D$8:$D$474,0)),"")</f>
        <v>0.69490358126721763</v>
      </c>
      <c r="U556" s="125">
        <f>IFERROR(INDEX('MASTER por modelo'!$AC$8:$AC$474,MATCH(K556,'MASTER por modelo'!$D$8:$D$474,0))+INDEX('MASTER por modelo'!$AD$8:$AD$474,MATCH(K556,'MASTER por modelo'!$D$8:$D$474,0)),"")</f>
        <v>1009</v>
      </c>
      <c r="V556" s="93"/>
    </row>
    <row r="557" spans="1:22" x14ac:dyDescent="0.25">
      <c r="A557" s="116" t="s">
        <v>55</v>
      </c>
      <c r="B557" s="116" t="s">
        <v>314</v>
      </c>
      <c r="C557" s="116" t="s">
        <v>315</v>
      </c>
      <c r="D557" s="117">
        <f t="shared" si="56"/>
        <v>0</v>
      </c>
      <c r="E557" s="118">
        <v>0</v>
      </c>
      <c r="F557" s="118">
        <f t="shared" si="57"/>
        <v>0</v>
      </c>
      <c r="G557" s="118">
        <f t="shared" si="58"/>
        <v>0</v>
      </c>
      <c r="H557" s="118"/>
      <c r="I557" s="119">
        <v>753</v>
      </c>
      <c r="J557" s="116" t="str">
        <f t="shared" si="59"/>
        <v>26</v>
      </c>
      <c r="K557" s="116" t="s">
        <v>414</v>
      </c>
      <c r="L557" s="116" t="s">
        <v>804</v>
      </c>
      <c r="M557" s="119">
        <v>0</v>
      </c>
      <c r="N557" s="118">
        <v>0</v>
      </c>
      <c r="O557" s="120">
        <f t="shared" si="60"/>
        <v>0</v>
      </c>
      <c r="P557" s="121">
        <v>0</v>
      </c>
      <c r="Q557" s="122">
        <v>0</v>
      </c>
      <c r="R557" s="123">
        <f t="shared" si="61"/>
        <v>0</v>
      </c>
      <c r="S557" s="120">
        <f t="shared" si="62"/>
        <v>0</v>
      </c>
      <c r="T557" s="124">
        <f>IFERROR(INDEX('MASTER por modelo'!$AQ$8:$AQ$474,MATCH(K557,'MASTER por modelo'!$D$8:$D$474,0)),"")</f>
        <v>0.61574382921947968</v>
      </c>
      <c r="U557" s="125">
        <f>IFERROR(INDEX('MASTER por modelo'!$AC$8:$AC$474,MATCH(K557,'MASTER por modelo'!$D$8:$D$474,0))+INDEX('MASTER por modelo'!$AD$8:$AD$474,MATCH(K557,'MASTER por modelo'!$D$8:$D$474,0)),"")</f>
        <v>923</v>
      </c>
      <c r="V557" s="93"/>
    </row>
    <row r="558" spans="1:22" x14ac:dyDescent="0.25">
      <c r="A558" s="116" t="s">
        <v>55</v>
      </c>
      <c r="B558" s="116" t="s">
        <v>314</v>
      </c>
      <c r="C558" s="116" t="s">
        <v>315</v>
      </c>
      <c r="D558" s="117">
        <f t="shared" si="56"/>
        <v>0</v>
      </c>
      <c r="E558" s="118">
        <v>0</v>
      </c>
      <c r="F558" s="118">
        <f t="shared" si="57"/>
        <v>0</v>
      </c>
      <c r="G558" s="118">
        <f t="shared" si="58"/>
        <v>0</v>
      </c>
      <c r="H558" s="118"/>
      <c r="I558" s="119">
        <v>780</v>
      </c>
      <c r="J558" s="116" t="str">
        <f t="shared" si="59"/>
        <v>26</v>
      </c>
      <c r="K558" s="116" t="s">
        <v>359</v>
      </c>
      <c r="L558" s="116" t="s">
        <v>804</v>
      </c>
      <c r="M558" s="119">
        <v>0</v>
      </c>
      <c r="N558" s="118">
        <v>0</v>
      </c>
      <c r="O558" s="120">
        <f t="shared" si="60"/>
        <v>0</v>
      </c>
      <c r="P558" s="121">
        <v>0</v>
      </c>
      <c r="Q558" s="122">
        <v>0</v>
      </c>
      <c r="R558" s="123">
        <f t="shared" si="61"/>
        <v>0</v>
      </c>
      <c r="S558" s="120">
        <f t="shared" si="62"/>
        <v>0</v>
      </c>
      <c r="T558" s="124">
        <f>IFERROR(INDEX('MASTER por modelo'!$AQ$8:$AQ$474,MATCH(K558,'MASTER por modelo'!$D$8:$D$474,0)),"")</f>
        <v>0.9428763440860215</v>
      </c>
      <c r="U558" s="125">
        <f>IFERROR(INDEX('MASTER por modelo'!$AC$8:$AC$474,MATCH(K558,'MASTER por modelo'!$D$8:$D$474,0))+INDEX('MASTER por modelo'!$AD$8:$AD$474,MATCH(K558,'MASTER por modelo'!$D$8:$D$474,0)),"")</f>
        <v>1403</v>
      </c>
      <c r="V558" s="93"/>
    </row>
    <row r="559" spans="1:22" x14ac:dyDescent="0.25">
      <c r="A559" s="116" t="s">
        <v>63</v>
      </c>
      <c r="B559" s="116" t="s">
        <v>102</v>
      </c>
      <c r="C559" s="116" t="s">
        <v>103</v>
      </c>
      <c r="D559" s="117">
        <f t="shared" si="56"/>
        <v>0</v>
      </c>
      <c r="E559" s="118">
        <v>0</v>
      </c>
      <c r="F559" s="118">
        <f t="shared" si="57"/>
        <v>0</v>
      </c>
      <c r="G559" s="118">
        <f t="shared" si="58"/>
        <v>0</v>
      </c>
      <c r="H559" s="118"/>
      <c r="I559" s="119">
        <v>901</v>
      </c>
      <c r="J559" s="116" t="str">
        <f t="shared" si="59"/>
        <v>26</v>
      </c>
      <c r="K559" s="116" t="s">
        <v>236</v>
      </c>
      <c r="L559" s="116" t="s">
        <v>744</v>
      </c>
      <c r="M559" s="119">
        <v>0</v>
      </c>
      <c r="N559" s="118">
        <v>0</v>
      </c>
      <c r="O559" s="120">
        <f t="shared" si="60"/>
        <v>0</v>
      </c>
      <c r="P559" s="121">
        <v>0</v>
      </c>
      <c r="Q559" s="122">
        <v>0</v>
      </c>
      <c r="R559" s="123">
        <f t="shared" si="61"/>
        <v>0</v>
      </c>
      <c r="S559" s="120">
        <f t="shared" si="62"/>
        <v>0</v>
      </c>
      <c r="T559" s="124">
        <f>IFERROR(INDEX('MASTER por modelo'!$AQ$8:$AQ$474,MATCH(K559,'MASTER por modelo'!$D$8:$D$474,0)),"")</f>
        <v>0.71683389074693427</v>
      </c>
      <c r="U559" s="125">
        <f>IFERROR(INDEX('MASTER por modelo'!$AC$8:$AC$474,MATCH(K559,'MASTER por modelo'!$D$8:$D$474,0))+INDEX('MASTER por modelo'!$AD$8:$AD$474,MATCH(K559,'MASTER por modelo'!$D$8:$D$474,0)),"")</f>
        <v>1286</v>
      </c>
      <c r="V559" s="93"/>
    </row>
    <row r="560" spans="1:22" x14ac:dyDescent="0.25">
      <c r="A560" s="116" t="s">
        <v>63</v>
      </c>
      <c r="B560" s="116" t="s">
        <v>102</v>
      </c>
      <c r="C560" s="116" t="s">
        <v>103</v>
      </c>
      <c r="D560" s="117">
        <f t="shared" si="56"/>
        <v>0</v>
      </c>
      <c r="E560" s="118">
        <v>0</v>
      </c>
      <c r="F560" s="118">
        <f t="shared" si="57"/>
        <v>0</v>
      </c>
      <c r="G560" s="118">
        <f t="shared" si="58"/>
        <v>0</v>
      </c>
      <c r="H560" s="118"/>
      <c r="I560" s="119">
        <v>597</v>
      </c>
      <c r="J560" s="116" t="str">
        <f t="shared" si="59"/>
        <v>26</v>
      </c>
      <c r="K560" s="116" t="s">
        <v>292</v>
      </c>
      <c r="L560" s="116" t="s">
        <v>744</v>
      </c>
      <c r="M560" s="119">
        <v>0</v>
      </c>
      <c r="N560" s="118">
        <v>0</v>
      </c>
      <c r="O560" s="120">
        <f t="shared" si="60"/>
        <v>0</v>
      </c>
      <c r="P560" s="121">
        <v>0</v>
      </c>
      <c r="Q560" s="122">
        <v>0</v>
      </c>
      <c r="R560" s="123">
        <f t="shared" si="61"/>
        <v>0</v>
      </c>
      <c r="S560" s="120">
        <f t="shared" si="62"/>
        <v>0</v>
      </c>
      <c r="T560" s="124">
        <f>IFERROR(INDEX('MASTER por modelo'!$AQ$8:$AQ$474,MATCH(K560,'MASTER por modelo'!$D$8:$D$474,0)),"")</f>
        <v>0.92030201342281881</v>
      </c>
      <c r="U560" s="125">
        <f>IFERROR(INDEX('MASTER por modelo'!$AC$8:$AC$474,MATCH(K560,'MASTER por modelo'!$D$8:$D$474,0))+INDEX('MASTER por modelo'!$AD$8:$AD$474,MATCH(K560,'MASTER por modelo'!$D$8:$D$474,0)),"")</f>
        <v>1097</v>
      </c>
      <c r="V560" s="93"/>
    </row>
    <row r="561" spans="1:22" x14ac:dyDescent="0.25">
      <c r="A561" s="116" t="s">
        <v>63</v>
      </c>
      <c r="B561" s="116" t="s">
        <v>102</v>
      </c>
      <c r="C561" s="116" t="s">
        <v>220</v>
      </c>
      <c r="D561" s="117">
        <f t="shared" si="56"/>
        <v>0</v>
      </c>
      <c r="E561" s="118">
        <v>0</v>
      </c>
      <c r="F561" s="118">
        <f t="shared" si="57"/>
        <v>0</v>
      </c>
      <c r="G561" s="118">
        <f t="shared" si="58"/>
        <v>0</v>
      </c>
      <c r="H561" s="118"/>
      <c r="I561" s="119">
        <v>720</v>
      </c>
      <c r="J561" s="116" t="str">
        <f t="shared" si="59"/>
        <v>26</v>
      </c>
      <c r="K561" s="116" t="s">
        <v>221</v>
      </c>
      <c r="L561" s="116" t="s">
        <v>744</v>
      </c>
      <c r="M561" s="119">
        <v>0</v>
      </c>
      <c r="N561" s="118">
        <v>0</v>
      </c>
      <c r="O561" s="120">
        <f t="shared" si="60"/>
        <v>0</v>
      </c>
      <c r="P561" s="121">
        <v>0</v>
      </c>
      <c r="Q561" s="122">
        <v>0</v>
      </c>
      <c r="R561" s="123">
        <f t="shared" si="61"/>
        <v>0</v>
      </c>
      <c r="S561" s="120">
        <f t="shared" si="62"/>
        <v>0</v>
      </c>
      <c r="T561" s="124">
        <f>IFERROR(INDEX('MASTER por modelo'!$AQ$8:$AQ$474,MATCH(K561,'MASTER por modelo'!$D$8:$D$474,0)),"")</f>
        <v>0.7812718378756115</v>
      </c>
      <c r="U561" s="125">
        <f>IFERROR(INDEX('MASTER por modelo'!$AC$8:$AC$474,MATCH(K561,'MASTER por modelo'!$D$8:$D$474,0))+INDEX('MASTER por modelo'!$AD$8:$AD$474,MATCH(K561,'MASTER por modelo'!$D$8:$D$474,0)),"")</f>
        <v>1118</v>
      </c>
      <c r="V561" s="93"/>
    </row>
    <row r="562" spans="1:22" x14ac:dyDescent="0.25">
      <c r="A562" s="116" t="s">
        <v>63</v>
      </c>
      <c r="B562" s="116" t="s">
        <v>102</v>
      </c>
      <c r="C562" s="116" t="s">
        <v>103</v>
      </c>
      <c r="D562" s="117">
        <f t="shared" si="56"/>
        <v>0</v>
      </c>
      <c r="E562" s="118">
        <v>0</v>
      </c>
      <c r="F562" s="118">
        <f t="shared" si="57"/>
        <v>0</v>
      </c>
      <c r="G562" s="118">
        <f t="shared" si="58"/>
        <v>0</v>
      </c>
      <c r="H562" s="118"/>
      <c r="I562" s="119">
        <v>900</v>
      </c>
      <c r="J562" s="116" t="str">
        <f t="shared" si="59"/>
        <v>26</v>
      </c>
      <c r="K562" s="116" t="s">
        <v>267</v>
      </c>
      <c r="L562" s="116" t="s">
        <v>744</v>
      </c>
      <c r="M562" s="119">
        <v>0</v>
      </c>
      <c r="N562" s="118">
        <v>0</v>
      </c>
      <c r="O562" s="120">
        <f t="shared" si="60"/>
        <v>0</v>
      </c>
      <c r="P562" s="121">
        <v>0</v>
      </c>
      <c r="Q562" s="122">
        <v>0</v>
      </c>
      <c r="R562" s="123">
        <f t="shared" si="61"/>
        <v>0</v>
      </c>
      <c r="S562" s="120">
        <f t="shared" si="62"/>
        <v>0</v>
      </c>
      <c r="T562" s="124">
        <f>IFERROR(INDEX('MASTER por modelo'!$AQ$8:$AQ$474,MATCH(K562,'MASTER por modelo'!$D$8:$D$474,0)),"")</f>
        <v>0.70905052748473074</v>
      </c>
      <c r="U562" s="125">
        <f>IFERROR(INDEX('MASTER por modelo'!$AC$8:$AC$474,MATCH(K562,'MASTER por modelo'!$D$8:$D$474,0))+INDEX('MASTER por modelo'!$AD$8:$AD$474,MATCH(K562,'MASTER por modelo'!$D$8:$D$474,0)),"")</f>
        <v>1277</v>
      </c>
      <c r="V562" s="93"/>
    </row>
    <row r="563" spans="1:22" x14ac:dyDescent="0.25">
      <c r="A563" s="116" t="s">
        <v>63</v>
      </c>
      <c r="B563" s="116" t="s">
        <v>102</v>
      </c>
      <c r="C563" s="116" t="s">
        <v>103</v>
      </c>
      <c r="D563" s="117">
        <f t="shared" si="56"/>
        <v>0</v>
      </c>
      <c r="E563" s="118">
        <v>0</v>
      </c>
      <c r="F563" s="118">
        <f t="shared" si="57"/>
        <v>0</v>
      </c>
      <c r="G563" s="118">
        <f t="shared" si="58"/>
        <v>0</v>
      </c>
      <c r="H563" s="118"/>
      <c r="I563" s="119">
        <v>1001</v>
      </c>
      <c r="J563" s="116" t="str">
        <f t="shared" si="59"/>
        <v>26</v>
      </c>
      <c r="K563" s="116" t="s">
        <v>104</v>
      </c>
      <c r="L563" s="116" t="s">
        <v>744</v>
      </c>
      <c r="M563" s="119">
        <v>0</v>
      </c>
      <c r="N563" s="118">
        <v>0</v>
      </c>
      <c r="O563" s="120">
        <f t="shared" si="60"/>
        <v>0</v>
      </c>
      <c r="P563" s="121">
        <v>0</v>
      </c>
      <c r="Q563" s="122">
        <v>0</v>
      </c>
      <c r="R563" s="123">
        <f t="shared" si="61"/>
        <v>0</v>
      </c>
      <c r="S563" s="120">
        <f t="shared" si="62"/>
        <v>0</v>
      </c>
      <c r="T563" s="124">
        <f>IFERROR(INDEX('MASTER por modelo'!$AQ$8:$AQ$474,MATCH(K563,'MASTER por modelo'!$D$8:$D$474,0)),"")</f>
        <v>0.644325290437891</v>
      </c>
      <c r="U563" s="125">
        <f>IFERROR(INDEX('MASTER por modelo'!$AC$8:$AC$474,MATCH(K563,'MASTER por modelo'!$D$8:$D$474,0))+INDEX('MASTER por modelo'!$AD$8:$AD$474,MATCH(K563,'MASTER por modelo'!$D$8:$D$474,0)),"")</f>
        <v>3605</v>
      </c>
      <c r="V563" s="93"/>
    </row>
    <row r="564" spans="1:22" x14ac:dyDescent="0.25">
      <c r="A564" s="116" t="s">
        <v>63</v>
      </c>
      <c r="B564" s="116" t="s">
        <v>102</v>
      </c>
      <c r="C564" s="116" t="s">
        <v>103</v>
      </c>
      <c r="D564" s="117">
        <f t="shared" si="56"/>
        <v>0</v>
      </c>
      <c r="E564" s="118">
        <v>0</v>
      </c>
      <c r="F564" s="118">
        <f t="shared" si="57"/>
        <v>0</v>
      </c>
      <c r="G564" s="118">
        <f t="shared" si="58"/>
        <v>0</v>
      </c>
      <c r="H564" s="118"/>
      <c r="I564" s="119">
        <v>1001</v>
      </c>
      <c r="J564" s="116" t="str">
        <f t="shared" si="59"/>
        <v>26</v>
      </c>
      <c r="K564" s="116" t="s">
        <v>104</v>
      </c>
      <c r="L564" s="116" t="s">
        <v>744</v>
      </c>
      <c r="M564" s="119">
        <v>0</v>
      </c>
      <c r="N564" s="118">
        <v>0</v>
      </c>
      <c r="O564" s="120">
        <f t="shared" si="60"/>
        <v>0</v>
      </c>
      <c r="P564" s="121">
        <v>0</v>
      </c>
      <c r="Q564" s="122">
        <v>0</v>
      </c>
      <c r="R564" s="123">
        <f t="shared" si="61"/>
        <v>0</v>
      </c>
      <c r="S564" s="120">
        <f t="shared" si="62"/>
        <v>0</v>
      </c>
      <c r="T564" s="124">
        <f>IFERROR(INDEX('MASTER por modelo'!$AQ$8:$AQ$474,MATCH(K564,'MASTER por modelo'!$D$8:$D$474,0)),"")</f>
        <v>0.644325290437891</v>
      </c>
      <c r="U564" s="125">
        <f>IFERROR(INDEX('MASTER por modelo'!$AC$8:$AC$474,MATCH(K564,'MASTER por modelo'!$D$8:$D$474,0))+INDEX('MASTER por modelo'!$AD$8:$AD$474,MATCH(K564,'MASTER por modelo'!$D$8:$D$474,0)),"")</f>
        <v>3605</v>
      </c>
      <c r="V564" s="93"/>
    </row>
    <row r="565" spans="1:22" x14ac:dyDescent="0.25">
      <c r="A565" s="116" t="s">
        <v>63</v>
      </c>
      <c r="B565" s="116" t="s">
        <v>102</v>
      </c>
      <c r="C565" s="116" t="s">
        <v>103</v>
      </c>
      <c r="D565" s="117">
        <f t="shared" si="56"/>
        <v>0</v>
      </c>
      <c r="E565" s="118">
        <v>0</v>
      </c>
      <c r="F565" s="118">
        <f t="shared" si="57"/>
        <v>0</v>
      </c>
      <c r="G565" s="118">
        <f t="shared" si="58"/>
        <v>0</v>
      </c>
      <c r="H565" s="118"/>
      <c r="I565" s="119">
        <v>1601</v>
      </c>
      <c r="J565" s="116" t="str">
        <f t="shared" si="59"/>
        <v>26</v>
      </c>
      <c r="K565" s="116" t="s">
        <v>104</v>
      </c>
      <c r="L565" s="116" t="s">
        <v>744</v>
      </c>
      <c r="M565" s="119">
        <v>0</v>
      </c>
      <c r="N565" s="118">
        <v>0</v>
      </c>
      <c r="O565" s="120">
        <f t="shared" si="60"/>
        <v>0</v>
      </c>
      <c r="P565" s="121">
        <v>0</v>
      </c>
      <c r="Q565" s="122">
        <v>0</v>
      </c>
      <c r="R565" s="123">
        <f t="shared" si="61"/>
        <v>0</v>
      </c>
      <c r="S565" s="120">
        <f t="shared" si="62"/>
        <v>0</v>
      </c>
      <c r="T565" s="124">
        <f>IFERROR(INDEX('MASTER por modelo'!$AQ$8:$AQ$474,MATCH(K565,'MASTER por modelo'!$D$8:$D$474,0)),"")</f>
        <v>0.644325290437891</v>
      </c>
      <c r="U565" s="125">
        <f>IFERROR(INDEX('MASTER por modelo'!$AC$8:$AC$474,MATCH(K565,'MASTER por modelo'!$D$8:$D$474,0))+INDEX('MASTER por modelo'!$AD$8:$AD$474,MATCH(K565,'MASTER por modelo'!$D$8:$D$474,0)),"")</f>
        <v>3605</v>
      </c>
      <c r="V565" s="93"/>
    </row>
    <row r="566" spans="1:22" x14ac:dyDescent="0.25">
      <c r="A566" s="116" t="s">
        <v>55</v>
      </c>
      <c r="B566" s="116" t="s">
        <v>314</v>
      </c>
      <c r="C566" s="116" t="s">
        <v>315</v>
      </c>
      <c r="D566" s="117">
        <f t="shared" si="56"/>
        <v>0</v>
      </c>
      <c r="E566" s="118">
        <v>0</v>
      </c>
      <c r="F566" s="118">
        <f t="shared" si="57"/>
        <v>0</v>
      </c>
      <c r="G566" s="118">
        <f t="shared" si="58"/>
        <v>0</v>
      </c>
      <c r="H566" s="118"/>
      <c r="I566" s="119">
        <v>846</v>
      </c>
      <c r="J566" s="116" t="str">
        <f t="shared" si="59"/>
        <v>26</v>
      </c>
      <c r="K566" s="116" t="s">
        <v>389</v>
      </c>
      <c r="L566" s="116" t="s">
        <v>808</v>
      </c>
      <c r="M566" s="119">
        <v>0</v>
      </c>
      <c r="N566" s="118">
        <v>0</v>
      </c>
      <c r="O566" s="120">
        <f t="shared" si="60"/>
        <v>0</v>
      </c>
      <c r="P566" s="121">
        <v>0</v>
      </c>
      <c r="Q566" s="122">
        <v>0</v>
      </c>
      <c r="R566" s="123">
        <f t="shared" si="61"/>
        <v>0</v>
      </c>
      <c r="S566" s="120">
        <f t="shared" si="62"/>
        <v>0</v>
      </c>
      <c r="T566" s="124">
        <f>IFERROR(INDEX('MASTER por modelo'!$AQ$8:$AQ$474,MATCH(K566,'MASTER por modelo'!$D$8:$D$474,0)),"")</f>
        <v>0.76793981481481477</v>
      </c>
      <c r="U566" s="125">
        <f>IFERROR(INDEX('MASTER por modelo'!$AC$8:$AC$474,MATCH(K566,'MASTER por modelo'!$D$8:$D$474,0))+INDEX('MASTER por modelo'!$AD$8:$AD$474,MATCH(K566,'MASTER por modelo'!$D$8:$D$474,0)),"")</f>
        <v>1327</v>
      </c>
      <c r="V566" s="93"/>
    </row>
    <row r="567" spans="1:22" x14ac:dyDescent="0.25">
      <c r="A567" s="116" t="s">
        <v>55</v>
      </c>
      <c r="B567" s="116" t="s">
        <v>56</v>
      </c>
      <c r="C567" s="116" t="s">
        <v>66</v>
      </c>
      <c r="D567" s="117">
        <f t="shared" si="56"/>
        <v>0</v>
      </c>
      <c r="E567" s="118">
        <v>0</v>
      </c>
      <c r="F567" s="118">
        <f t="shared" si="57"/>
        <v>0</v>
      </c>
      <c r="G567" s="118">
        <f t="shared" si="58"/>
        <v>0</v>
      </c>
      <c r="H567" s="118"/>
      <c r="I567" s="119">
        <v>1175</v>
      </c>
      <c r="J567" s="116" t="str">
        <f t="shared" si="59"/>
        <v>26</v>
      </c>
      <c r="K567" s="116" t="s">
        <v>92</v>
      </c>
      <c r="L567" s="116" t="s">
        <v>739</v>
      </c>
      <c r="M567" s="119">
        <v>76</v>
      </c>
      <c r="N567" s="118">
        <v>0</v>
      </c>
      <c r="O567" s="120">
        <f t="shared" si="60"/>
        <v>-91.2</v>
      </c>
      <c r="P567" s="121">
        <v>0</v>
      </c>
      <c r="Q567" s="122">
        <v>0</v>
      </c>
      <c r="R567" s="123">
        <f t="shared" si="61"/>
        <v>0</v>
      </c>
      <c r="S567" s="120">
        <f t="shared" si="62"/>
        <v>-77.617021276595736</v>
      </c>
      <c r="T567" s="124">
        <f>IFERROR(INDEX('MASTER por modelo'!$AQ$8:$AQ$474,MATCH(K567,'MASTER por modelo'!$D$8:$D$474,0)),"")</f>
        <v>0.72103004291845496</v>
      </c>
      <c r="U567" s="125">
        <f>IFERROR(INDEX('MASTER por modelo'!$AC$8:$AC$474,MATCH(K567,'MASTER por modelo'!$D$8:$D$474,0))+INDEX('MASTER por modelo'!$AD$8:$AD$474,MATCH(K567,'MASTER por modelo'!$D$8:$D$474,0)),"")</f>
        <v>2352</v>
      </c>
      <c r="V567" s="93"/>
    </row>
    <row r="568" spans="1:22" x14ac:dyDescent="0.25">
      <c r="A568" s="116" t="s">
        <v>55</v>
      </c>
      <c r="B568" s="116" t="s">
        <v>56</v>
      </c>
      <c r="C568" s="116" t="s">
        <v>66</v>
      </c>
      <c r="D568" s="117">
        <f t="shared" si="56"/>
        <v>0</v>
      </c>
      <c r="E568" s="118">
        <v>0</v>
      </c>
      <c r="F568" s="118">
        <f t="shared" si="57"/>
        <v>0</v>
      </c>
      <c r="G568" s="118">
        <f t="shared" si="58"/>
        <v>0</v>
      </c>
      <c r="H568" s="118"/>
      <c r="I568" s="119">
        <v>1145</v>
      </c>
      <c r="J568" s="116" t="str">
        <f t="shared" si="59"/>
        <v>26</v>
      </c>
      <c r="K568" s="116" t="s">
        <v>92</v>
      </c>
      <c r="L568" s="116" t="s">
        <v>739</v>
      </c>
      <c r="M568" s="119">
        <v>79</v>
      </c>
      <c r="N568" s="118">
        <v>0</v>
      </c>
      <c r="O568" s="120">
        <f t="shared" si="60"/>
        <v>-94.8</v>
      </c>
      <c r="P568" s="121">
        <v>0</v>
      </c>
      <c r="Q568" s="122">
        <v>0</v>
      </c>
      <c r="R568" s="123">
        <f t="shared" si="61"/>
        <v>0</v>
      </c>
      <c r="S568" s="120">
        <f t="shared" si="62"/>
        <v>-82.794759825327503</v>
      </c>
      <c r="T568" s="124">
        <f>IFERROR(INDEX('MASTER por modelo'!$AQ$8:$AQ$474,MATCH(K568,'MASTER por modelo'!$D$8:$D$474,0)),"")</f>
        <v>0.72103004291845496</v>
      </c>
      <c r="U568" s="125">
        <f>IFERROR(INDEX('MASTER por modelo'!$AC$8:$AC$474,MATCH(K568,'MASTER por modelo'!$D$8:$D$474,0))+INDEX('MASTER por modelo'!$AD$8:$AD$474,MATCH(K568,'MASTER por modelo'!$D$8:$D$474,0)),"")</f>
        <v>2352</v>
      </c>
      <c r="V568" s="93"/>
    </row>
    <row r="569" spans="1:22" x14ac:dyDescent="0.25">
      <c r="A569" s="116" t="s">
        <v>63</v>
      </c>
      <c r="B569" s="116" t="s">
        <v>102</v>
      </c>
      <c r="C569" s="116" t="s">
        <v>132</v>
      </c>
      <c r="D569" s="117">
        <f t="shared" si="56"/>
        <v>0</v>
      </c>
      <c r="E569" s="118">
        <v>0</v>
      </c>
      <c r="F569" s="118">
        <f t="shared" si="57"/>
        <v>0</v>
      </c>
      <c r="G569" s="118">
        <f t="shared" si="58"/>
        <v>0</v>
      </c>
      <c r="H569" s="118"/>
      <c r="I569" s="119">
        <v>1271</v>
      </c>
      <c r="J569" s="116" t="str">
        <f t="shared" si="59"/>
        <v>26</v>
      </c>
      <c r="K569" s="116" t="s">
        <v>588</v>
      </c>
      <c r="L569" s="116" t="s">
        <v>833</v>
      </c>
      <c r="M569" s="119">
        <v>43</v>
      </c>
      <c r="N569" s="118">
        <v>834.8</v>
      </c>
      <c r="O569" s="120">
        <f t="shared" si="60"/>
        <v>783.19999999999993</v>
      </c>
      <c r="P569" s="121">
        <v>0</v>
      </c>
      <c r="Q569" s="122">
        <v>0</v>
      </c>
      <c r="R569" s="123">
        <f t="shared" si="61"/>
        <v>0</v>
      </c>
      <c r="S569" s="120">
        <f t="shared" si="62"/>
        <v>616.20771046420134</v>
      </c>
      <c r="T569" s="124">
        <f>IFERROR(INDEX('MASTER por modelo'!$AQ$8:$AQ$474,MATCH(K569,'MASTER por modelo'!$D$8:$D$474,0)),"")</f>
        <v>0.72147915027537368</v>
      </c>
      <c r="U569" s="125">
        <f>IFERROR(INDEX('MASTER por modelo'!$AC$8:$AC$474,MATCH(K569,'MASTER por modelo'!$D$8:$D$474,0))+INDEX('MASTER por modelo'!$AD$8:$AD$474,MATCH(K569,'MASTER por modelo'!$D$8:$D$474,0)),"")</f>
        <v>917</v>
      </c>
      <c r="V569" s="93"/>
    </row>
    <row r="570" spans="1:22" x14ac:dyDescent="0.25">
      <c r="A570" s="116" t="s">
        <v>63</v>
      </c>
      <c r="B570" s="116" t="s">
        <v>102</v>
      </c>
      <c r="C570" s="116" t="s">
        <v>132</v>
      </c>
      <c r="D570" s="117">
        <f t="shared" si="56"/>
        <v>0</v>
      </c>
      <c r="E570" s="118">
        <v>0</v>
      </c>
      <c r="F570" s="118">
        <f t="shared" si="57"/>
        <v>0</v>
      </c>
      <c r="G570" s="118">
        <f t="shared" si="58"/>
        <v>0</v>
      </c>
      <c r="H570" s="118"/>
      <c r="I570" s="119">
        <v>1185</v>
      </c>
      <c r="J570" s="116" t="str">
        <f t="shared" si="59"/>
        <v>26</v>
      </c>
      <c r="K570" s="116" t="s">
        <v>589</v>
      </c>
      <c r="L570" s="116" t="s">
        <v>833</v>
      </c>
      <c r="M570" s="119">
        <v>45</v>
      </c>
      <c r="N570" s="118">
        <v>866.6</v>
      </c>
      <c r="O570" s="120">
        <f t="shared" si="60"/>
        <v>812.6</v>
      </c>
      <c r="P570" s="121">
        <v>0</v>
      </c>
      <c r="Q570" s="122">
        <v>0</v>
      </c>
      <c r="R570" s="123">
        <f t="shared" si="61"/>
        <v>0</v>
      </c>
      <c r="S570" s="120">
        <f t="shared" si="62"/>
        <v>685.73839662447256</v>
      </c>
      <c r="T570" s="124">
        <f>IFERROR(INDEX('MASTER por modelo'!$AQ$8:$AQ$474,MATCH(K570,'MASTER por modelo'!$D$8:$D$474,0)),"")</f>
        <v>0.73924050632911398</v>
      </c>
      <c r="U570" s="125">
        <f>IFERROR(INDEX('MASTER por modelo'!$AC$8:$AC$474,MATCH(K570,'MASTER por modelo'!$D$8:$D$474,0))+INDEX('MASTER por modelo'!$AD$8:$AD$474,MATCH(K570,'MASTER por modelo'!$D$8:$D$474,0)),"")</f>
        <v>876</v>
      </c>
      <c r="V570" s="93"/>
    </row>
    <row r="571" spans="1:22" x14ac:dyDescent="0.25">
      <c r="A571" s="116" t="s">
        <v>63</v>
      </c>
      <c r="B571" s="116" t="s">
        <v>102</v>
      </c>
      <c r="C571" s="116" t="s">
        <v>132</v>
      </c>
      <c r="D571" s="117">
        <f t="shared" si="56"/>
        <v>0</v>
      </c>
      <c r="E571" s="118">
        <v>0</v>
      </c>
      <c r="F571" s="118">
        <f t="shared" si="57"/>
        <v>0</v>
      </c>
      <c r="G571" s="118">
        <f t="shared" si="58"/>
        <v>0</v>
      </c>
      <c r="H571" s="118"/>
      <c r="I571" s="119">
        <v>1450</v>
      </c>
      <c r="J571" s="116" t="str">
        <f t="shared" si="59"/>
        <v>26</v>
      </c>
      <c r="K571" s="116" t="s">
        <v>590</v>
      </c>
      <c r="L571" s="116" t="s">
        <v>833</v>
      </c>
      <c r="M571" s="119">
        <v>63</v>
      </c>
      <c r="N571" s="118">
        <v>1230.5999999999999</v>
      </c>
      <c r="O571" s="120">
        <f t="shared" si="60"/>
        <v>1155</v>
      </c>
      <c r="P571" s="121">
        <v>0</v>
      </c>
      <c r="Q571" s="122">
        <v>0</v>
      </c>
      <c r="R571" s="123">
        <f t="shared" si="61"/>
        <v>0</v>
      </c>
      <c r="S571" s="120">
        <f t="shared" si="62"/>
        <v>796.55172413793105</v>
      </c>
      <c r="T571" s="124">
        <f>IFERROR(INDEX('MASTER por modelo'!$AQ$8:$AQ$474,MATCH(K571,'MASTER por modelo'!$D$8:$D$474,0)),"")</f>
        <v>0.42620689655172411</v>
      </c>
      <c r="U571" s="125">
        <f>IFERROR(INDEX('MASTER por modelo'!$AC$8:$AC$474,MATCH(K571,'MASTER por modelo'!$D$8:$D$474,0))+INDEX('MASTER por modelo'!$AD$8:$AD$474,MATCH(K571,'MASTER por modelo'!$D$8:$D$474,0)),"")</f>
        <v>618</v>
      </c>
      <c r="V571" s="93"/>
    </row>
    <row r="572" spans="1:22" x14ac:dyDescent="0.25">
      <c r="A572" s="116" t="s">
        <v>63</v>
      </c>
      <c r="B572" s="116" t="s">
        <v>102</v>
      </c>
      <c r="C572" s="116" t="s">
        <v>132</v>
      </c>
      <c r="D572" s="117">
        <f t="shared" si="56"/>
        <v>0</v>
      </c>
      <c r="E572" s="118">
        <v>0</v>
      </c>
      <c r="F572" s="118">
        <f t="shared" si="57"/>
        <v>0</v>
      </c>
      <c r="G572" s="118">
        <f t="shared" si="58"/>
        <v>0</v>
      </c>
      <c r="H572" s="118"/>
      <c r="I572" s="119">
        <v>917</v>
      </c>
      <c r="J572" s="116" t="str">
        <f t="shared" si="59"/>
        <v>26</v>
      </c>
      <c r="K572" s="116" t="s">
        <v>591</v>
      </c>
      <c r="L572" s="116" t="s">
        <v>833</v>
      </c>
      <c r="M572" s="119">
        <v>33</v>
      </c>
      <c r="N572" s="118">
        <v>635.29999999999995</v>
      </c>
      <c r="O572" s="120">
        <f t="shared" si="60"/>
        <v>595.69999999999993</v>
      </c>
      <c r="P572" s="121">
        <v>0</v>
      </c>
      <c r="Q572" s="122">
        <v>0</v>
      </c>
      <c r="R572" s="123">
        <f t="shared" si="61"/>
        <v>0</v>
      </c>
      <c r="S572" s="120">
        <f t="shared" si="62"/>
        <v>649.61832061068696</v>
      </c>
      <c r="T572" s="124">
        <f>IFERROR(INDEX('MASTER por modelo'!$AQ$8:$AQ$474,MATCH(K572,'MASTER por modelo'!$D$8:$D$474,0)),"")</f>
        <v>0.90730643402399125</v>
      </c>
      <c r="U572" s="125">
        <f>IFERROR(INDEX('MASTER por modelo'!$AC$8:$AC$474,MATCH(K572,'MASTER por modelo'!$D$8:$D$474,0))+INDEX('MASTER por modelo'!$AD$8:$AD$474,MATCH(K572,'MASTER por modelo'!$D$8:$D$474,0)),"")</f>
        <v>832</v>
      </c>
      <c r="V572" s="93"/>
    </row>
    <row r="573" spans="1:22" x14ac:dyDescent="0.25">
      <c r="A573" s="116" t="s">
        <v>63</v>
      </c>
      <c r="B573" s="116" t="s">
        <v>102</v>
      </c>
      <c r="C573" s="116" t="s">
        <v>132</v>
      </c>
      <c r="D573" s="117">
        <f t="shared" si="56"/>
        <v>0</v>
      </c>
      <c r="E573" s="118">
        <v>0</v>
      </c>
      <c r="F573" s="118">
        <f t="shared" si="57"/>
        <v>0</v>
      </c>
      <c r="G573" s="118">
        <f t="shared" si="58"/>
        <v>0</v>
      </c>
      <c r="H573" s="118"/>
      <c r="I573" s="119">
        <v>1506</v>
      </c>
      <c r="J573" s="116" t="str">
        <f t="shared" si="59"/>
        <v>26</v>
      </c>
      <c r="K573" s="116" t="s">
        <v>592</v>
      </c>
      <c r="L573" s="116" t="s">
        <v>833</v>
      </c>
      <c r="M573" s="119">
        <v>48</v>
      </c>
      <c r="N573" s="118">
        <v>933</v>
      </c>
      <c r="O573" s="120">
        <f t="shared" si="60"/>
        <v>875.4</v>
      </c>
      <c r="P573" s="121">
        <v>0</v>
      </c>
      <c r="Q573" s="122">
        <v>0</v>
      </c>
      <c r="R573" s="123">
        <f t="shared" si="61"/>
        <v>0</v>
      </c>
      <c r="S573" s="120">
        <f t="shared" si="62"/>
        <v>581.27490039840632</v>
      </c>
      <c r="T573" s="124">
        <f>IFERROR(INDEX('MASTER por modelo'!$AQ$8:$AQ$474,MATCH(K573,'MASTER por modelo'!$D$8:$D$474,0)),"")</f>
        <v>0</v>
      </c>
      <c r="U573" s="125">
        <f>IFERROR(INDEX('MASTER por modelo'!$AC$8:$AC$474,MATCH(K573,'MASTER por modelo'!$D$8:$D$474,0))+INDEX('MASTER por modelo'!$AD$8:$AD$474,MATCH(K573,'MASTER por modelo'!$D$8:$D$474,0)),"")</f>
        <v>0</v>
      </c>
      <c r="V573" s="93"/>
    </row>
    <row r="574" spans="1:22" x14ac:dyDescent="0.25">
      <c r="A574" s="116" t="s">
        <v>63</v>
      </c>
      <c r="B574" s="116" t="s">
        <v>102</v>
      </c>
      <c r="C574" s="116" t="s">
        <v>132</v>
      </c>
      <c r="D574" s="117">
        <f t="shared" si="56"/>
        <v>0</v>
      </c>
      <c r="E574" s="118">
        <v>0</v>
      </c>
      <c r="F574" s="118">
        <f t="shared" si="57"/>
        <v>0</v>
      </c>
      <c r="G574" s="118">
        <f t="shared" si="58"/>
        <v>0</v>
      </c>
      <c r="H574" s="118"/>
      <c r="I574" s="119">
        <v>985</v>
      </c>
      <c r="J574" s="116" t="str">
        <f t="shared" si="59"/>
        <v>26</v>
      </c>
      <c r="K574" s="116" t="s">
        <v>593</v>
      </c>
      <c r="L574" s="116" t="s">
        <v>833</v>
      </c>
      <c r="M574" s="119">
        <v>41</v>
      </c>
      <c r="N574" s="118">
        <v>802.2</v>
      </c>
      <c r="O574" s="120">
        <f t="shared" si="60"/>
        <v>753</v>
      </c>
      <c r="P574" s="121">
        <v>0</v>
      </c>
      <c r="Q574" s="122">
        <v>0</v>
      </c>
      <c r="R574" s="123">
        <f t="shared" si="61"/>
        <v>0</v>
      </c>
      <c r="S574" s="120">
        <f t="shared" si="62"/>
        <v>764.46700507614219</v>
      </c>
      <c r="T574" s="124">
        <f>IFERROR(INDEX('MASTER por modelo'!$AQ$8:$AQ$474,MATCH(K574,'MASTER por modelo'!$D$8:$D$474,0)),"")</f>
        <v>0</v>
      </c>
      <c r="U574" s="125">
        <f>IFERROR(INDEX('MASTER por modelo'!$AC$8:$AC$474,MATCH(K574,'MASTER por modelo'!$D$8:$D$474,0))+INDEX('MASTER por modelo'!$AD$8:$AD$474,MATCH(K574,'MASTER por modelo'!$D$8:$D$474,0)),"")</f>
        <v>0</v>
      </c>
      <c r="V574" s="93"/>
    </row>
    <row r="575" spans="1:22" x14ac:dyDescent="0.25">
      <c r="A575" s="116" t="s">
        <v>63</v>
      </c>
      <c r="B575" s="116" t="s">
        <v>102</v>
      </c>
      <c r="C575" s="116" t="s">
        <v>220</v>
      </c>
      <c r="D575" s="117">
        <f t="shared" si="56"/>
        <v>0</v>
      </c>
      <c r="E575" s="118">
        <v>0</v>
      </c>
      <c r="F575" s="118">
        <f t="shared" si="57"/>
        <v>0</v>
      </c>
      <c r="G575" s="118">
        <f t="shared" si="58"/>
        <v>0</v>
      </c>
      <c r="H575" s="118"/>
      <c r="I575" s="119">
        <v>765</v>
      </c>
      <c r="J575" s="116" t="str">
        <f t="shared" si="59"/>
        <v>26</v>
      </c>
      <c r="K575" s="116" t="s">
        <v>594</v>
      </c>
      <c r="L575" s="116" t="s">
        <v>833</v>
      </c>
      <c r="M575" s="119">
        <v>27</v>
      </c>
      <c r="N575" s="118">
        <v>525</v>
      </c>
      <c r="O575" s="120">
        <f t="shared" si="60"/>
        <v>492.6</v>
      </c>
      <c r="P575" s="121">
        <v>0</v>
      </c>
      <c r="Q575" s="122">
        <v>0</v>
      </c>
      <c r="R575" s="123">
        <f t="shared" si="61"/>
        <v>0</v>
      </c>
      <c r="S575" s="120">
        <f t="shared" si="62"/>
        <v>643.92156862745094</v>
      </c>
      <c r="T575" s="124">
        <f>IFERROR(INDEX('MASTER por modelo'!$AQ$8:$AQ$474,MATCH(K575,'MASTER por modelo'!$D$8:$D$474,0)),"")</f>
        <v>0.94117647058823528</v>
      </c>
      <c r="U575" s="125">
        <f>IFERROR(INDEX('MASTER por modelo'!$AC$8:$AC$474,MATCH(K575,'MASTER por modelo'!$D$8:$D$474,0))+INDEX('MASTER por modelo'!$AD$8:$AD$474,MATCH(K575,'MASTER por modelo'!$D$8:$D$474,0)),"")</f>
        <v>720</v>
      </c>
      <c r="V575" s="93"/>
    </row>
    <row r="576" spans="1:22" x14ac:dyDescent="0.25">
      <c r="A576" s="116" t="s">
        <v>63</v>
      </c>
      <c r="B576" s="116" t="s">
        <v>102</v>
      </c>
      <c r="C576" s="116" t="s">
        <v>132</v>
      </c>
      <c r="D576" s="117">
        <f t="shared" si="56"/>
        <v>0</v>
      </c>
      <c r="E576" s="118">
        <v>0</v>
      </c>
      <c r="F576" s="118">
        <f t="shared" si="57"/>
        <v>0</v>
      </c>
      <c r="G576" s="118">
        <f t="shared" si="58"/>
        <v>0</v>
      </c>
      <c r="H576" s="118"/>
      <c r="I576" s="119">
        <v>1267</v>
      </c>
      <c r="J576" s="116" t="str">
        <f t="shared" si="59"/>
        <v>26</v>
      </c>
      <c r="K576" s="116" t="s">
        <v>595</v>
      </c>
      <c r="L576" s="116" t="s">
        <v>833</v>
      </c>
      <c r="M576" s="119">
        <v>40</v>
      </c>
      <c r="N576" s="118">
        <v>775</v>
      </c>
      <c r="O576" s="120">
        <f t="shared" si="60"/>
        <v>727</v>
      </c>
      <c r="P576" s="121">
        <v>0</v>
      </c>
      <c r="Q576" s="122">
        <v>0</v>
      </c>
      <c r="R576" s="123">
        <f t="shared" si="61"/>
        <v>0</v>
      </c>
      <c r="S576" s="120">
        <f t="shared" si="62"/>
        <v>573.79636937647979</v>
      </c>
      <c r="T576" s="124">
        <f>IFERROR(INDEX('MASTER por modelo'!$AQ$8:$AQ$474,MATCH(K576,'MASTER por modelo'!$D$8:$D$474,0)),"")</f>
        <v>0.76874506708760848</v>
      </c>
      <c r="U576" s="125">
        <f>IFERROR(INDEX('MASTER por modelo'!$AC$8:$AC$474,MATCH(K576,'MASTER por modelo'!$D$8:$D$474,0))+INDEX('MASTER por modelo'!$AD$8:$AD$474,MATCH(K576,'MASTER por modelo'!$D$8:$D$474,0)),"")</f>
        <v>974</v>
      </c>
      <c r="V576" s="93"/>
    </row>
    <row r="577" spans="1:22" x14ac:dyDescent="0.25">
      <c r="A577" s="116" t="s">
        <v>63</v>
      </c>
      <c r="B577" s="116" t="s">
        <v>102</v>
      </c>
      <c r="C577" s="116" t="s">
        <v>132</v>
      </c>
      <c r="D577" s="117">
        <f t="shared" si="56"/>
        <v>0</v>
      </c>
      <c r="E577" s="118">
        <v>0</v>
      </c>
      <c r="F577" s="118">
        <f t="shared" si="57"/>
        <v>0</v>
      </c>
      <c r="G577" s="118">
        <f t="shared" si="58"/>
        <v>0</v>
      </c>
      <c r="H577" s="118"/>
      <c r="I577" s="119">
        <v>1596</v>
      </c>
      <c r="J577" s="116" t="str">
        <f t="shared" si="59"/>
        <v>26</v>
      </c>
      <c r="K577" s="116" t="s">
        <v>596</v>
      </c>
      <c r="L577" s="116" t="s">
        <v>833</v>
      </c>
      <c r="M577" s="119">
        <v>46</v>
      </c>
      <c r="N577" s="118">
        <v>904.5</v>
      </c>
      <c r="O577" s="120">
        <f t="shared" si="60"/>
        <v>849.3</v>
      </c>
      <c r="P577" s="121">
        <v>0</v>
      </c>
      <c r="Q577" s="122">
        <v>0</v>
      </c>
      <c r="R577" s="123">
        <f t="shared" si="61"/>
        <v>0</v>
      </c>
      <c r="S577" s="120">
        <f t="shared" si="62"/>
        <v>532.14285714285711</v>
      </c>
      <c r="T577" s="124">
        <f>IFERROR(INDEX('MASTER por modelo'!$AQ$8:$AQ$474,MATCH(K577,'MASTER por modelo'!$D$8:$D$474,0)),"")</f>
        <v>0.61842105263157898</v>
      </c>
      <c r="U577" s="125">
        <f>IFERROR(INDEX('MASTER por modelo'!$AC$8:$AC$474,MATCH(K577,'MASTER por modelo'!$D$8:$D$474,0))+INDEX('MASTER por modelo'!$AD$8:$AD$474,MATCH(K577,'MASTER por modelo'!$D$8:$D$474,0)),"")</f>
        <v>987</v>
      </c>
      <c r="V577" s="93"/>
    </row>
    <row r="578" spans="1:22" x14ac:dyDescent="0.25">
      <c r="A578" s="116" t="s">
        <v>63</v>
      </c>
      <c r="B578" s="116" t="s">
        <v>171</v>
      </c>
      <c r="C578" s="116" t="s">
        <v>172</v>
      </c>
      <c r="D578" s="117">
        <f t="shared" si="56"/>
        <v>0</v>
      </c>
      <c r="E578" s="118">
        <v>0</v>
      </c>
      <c r="F578" s="118">
        <f t="shared" si="57"/>
        <v>0</v>
      </c>
      <c r="G578" s="118">
        <f t="shared" si="58"/>
        <v>0</v>
      </c>
      <c r="H578" s="118"/>
      <c r="I578" s="119">
        <v>931</v>
      </c>
      <c r="J578" s="116" t="str">
        <f t="shared" si="59"/>
        <v>26</v>
      </c>
      <c r="K578" s="116" t="s">
        <v>173</v>
      </c>
      <c r="L578" s="116" t="s">
        <v>761</v>
      </c>
      <c r="M578" s="119">
        <v>0</v>
      </c>
      <c r="N578" s="118">
        <v>0</v>
      </c>
      <c r="O578" s="120">
        <f t="shared" si="60"/>
        <v>0</v>
      </c>
      <c r="P578" s="121">
        <v>0</v>
      </c>
      <c r="Q578" s="122">
        <v>0</v>
      </c>
      <c r="R578" s="123">
        <f t="shared" si="61"/>
        <v>0</v>
      </c>
      <c r="S578" s="120">
        <f t="shared" si="62"/>
        <v>0</v>
      </c>
      <c r="T578" s="124">
        <f>IFERROR(INDEX('MASTER por modelo'!$AQ$8:$AQ$474,MATCH(K578,'MASTER por modelo'!$D$8:$D$474,0)),"")</f>
        <v>0.84852216748768472</v>
      </c>
      <c r="U578" s="125">
        <f>IFERROR(INDEX('MASTER por modelo'!$AC$8:$AC$474,MATCH(K578,'MASTER por modelo'!$D$8:$D$474,0))+INDEX('MASTER por modelo'!$AD$8:$AD$474,MATCH(K578,'MASTER por modelo'!$D$8:$D$474,0)),"")</f>
        <v>2067</v>
      </c>
      <c r="V578" s="93"/>
    </row>
    <row r="579" spans="1:22" x14ac:dyDescent="0.25">
      <c r="A579" s="116" t="s">
        <v>63</v>
      </c>
      <c r="B579" s="116" t="s">
        <v>171</v>
      </c>
      <c r="C579" s="116" t="s">
        <v>172</v>
      </c>
      <c r="D579" s="117">
        <f t="shared" si="56"/>
        <v>0</v>
      </c>
      <c r="E579" s="118">
        <v>0</v>
      </c>
      <c r="F579" s="118">
        <f t="shared" si="57"/>
        <v>0</v>
      </c>
      <c r="G579" s="118">
        <f t="shared" si="58"/>
        <v>0</v>
      </c>
      <c r="H579" s="118"/>
      <c r="I579" s="119">
        <v>747</v>
      </c>
      <c r="J579" s="116" t="str">
        <f t="shared" si="59"/>
        <v>26</v>
      </c>
      <c r="K579" s="116" t="s">
        <v>173</v>
      </c>
      <c r="L579" s="116" t="s">
        <v>761</v>
      </c>
      <c r="M579" s="119">
        <v>0</v>
      </c>
      <c r="N579" s="118">
        <v>0</v>
      </c>
      <c r="O579" s="120">
        <f t="shared" si="60"/>
        <v>0</v>
      </c>
      <c r="P579" s="121">
        <v>0</v>
      </c>
      <c r="Q579" s="122">
        <v>0</v>
      </c>
      <c r="R579" s="123">
        <f t="shared" si="61"/>
        <v>0</v>
      </c>
      <c r="S579" s="120">
        <f t="shared" si="62"/>
        <v>0</v>
      </c>
      <c r="T579" s="124">
        <f>IFERROR(INDEX('MASTER por modelo'!$AQ$8:$AQ$474,MATCH(K579,'MASTER por modelo'!$D$8:$D$474,0)),"")</f>
        <v>0.84852216748768472</v>
      </c>
      <c r="U579" s="125">
        <f>IFERROR(INDEX('MASTER por modelo'!$AC$8:$AC$474,MATCH(K579,'MASTER por modelo'!$D$8:$D$474,0))+INDEX('MASTER por modelo'!$AD$8:$AD$474,MATCH(K579,'MASTER por modelo'!$D$8:$D$474,0)),"")</f>
        <v>2067</v>
      </c>
      <c r="V579" s="93"/>
    </row>
    <row r="580" spans="1:22" x14ac:dyDescent="0.25">
      <c r="A580" s="116" t="s">
        <v>63</v>
      </c>
      <c r="B580" s="116" t="s">
        <v>110</v>
      </c>
      <c r="C580" s="116" t="s">
        <v>100</v>
      </c>
      <c r="D580" s="117">
        <f t="shared" si="56"/>
        <v>0</v>
      </c>
      <c r="E580" s="118">
        <v>0</v>
      </c>
      <c r="F580" s="118">
        <f t="shared" si="57"/>
        <v>0</v>
      </c>
      <c r="G580" s="118">
        <f t="shared" si="58"/>
        <v>0</v>
      </c>
      <c r="H580" s="118"/>
      <c r="I580" s="119">
        <v>852</v>
      </c>
      <c r="J580" s="116" t="str">
        <f t="shared" si="59"/>
        <v>26</v>
      </c>
      <c r="K580" s="116" t="s">
        <v>238</v>
      </c>
      <c r="L580" s="116" t="s">
        <v>758</v>
      </c>
      <c r="M580" s="119">
        <v>0</v>
      </c>
      <c r="N580" s="118">
        <v>0</v>
      </c>
      <c r="O580" s="120">
        <f t="shared" si="60"/>
        <v>0</v>
      </c>
      <c r="P580" s="121">
        <v>0</v>
      </c>
      <c r="Q580" s="122">
        <v>0</v>
      </c>
      <c r="R580" s="123">
        <f t="shared" si="61"/>
        <v>0</v>
      </c>
      <c r="S580" s="120">
        <f t="shared" si="62"/>
        <v>0</v>
      </c>
      <c r="T580" s="124">
        <f>IFERROR(INDEX('MASTER por modelo'!$AQ$8:$AQ$474,MATCH(K580,'MASTER por modelo'!$D$8:$D$474,0)),"")</f>
        <v>0.32515337423312884</v>
      </c>
      <c r="U580" s="125">
        <f>IFERROR(INDEX('MASTER por modelo'!$AC$8:$AC$474,MATCH(K580,'MASTER por modelo'!$D$8:$D$474,0))+INDEX('MASTER por modelo'!$AD$8:$AD$474,MATCH(K580,'MASTER por modelo'!$D$8:$D$474,0)),"")</f>
        <v>636</v>
      </c>
      <c r="V580" s="93"/>
    </row>
    <row r="581" spans="1:22" x14ac:dyDescent="0.25">
      <c r="A581" s="116" t="s">
        <v>63</v>
      </c>
      <c r="B581" s="116" t="s">
        <v>110</v>
      </c>
      <c r="C581" s="116" t="s">
        <v>100</v>
      </c>
      <c r="D581" s="117">
        <f t="shared" si="56"/>
        <v>0</v>
      </c>
      <c r="E581" s="118">
        <v>0</v>
      </c>
      <c r="F581" s="118">
        <f t="shared" si="57"/>
        <v>0</v>
      </c>
      <c r="G581" s="118">
        <f t="shared" si="58"/>
        <v>0</v>
      </c>
      <c r="H581" s="118"/>
      <c r="I581" s="119">
        <v>1096</v>
      </c>
      <c r="J581" s="116" t="str">
        <f t="shared" si="59"/>
        <v>26</v>
      </c>
      <c r="K581" s="116" t="s">
        <v>203</v>
      </c>
      <c r="L581" s="116" t="s">
        <v>758</v>
      </c>
      <c r="M581" s="119">
        <v>0</v>
      </c>
      <c r="N581" s="118">
        <v>0</v>
      </c>
      <c r="O581" s="120">
        <f t="shared" si="60"/>
        <v>0</v>
      </c>
      <c r="P581" s="121">
        <v>0</v>
      </c>
      <c r="Q581" s="122">
        <v>0</v>
      </c>
      <c r="R581" s="123">
        <f t="shared" si="61"/>
        <v>0</v>
      </c>
      <c r="S581" s="120">
        <f t="shared" si="62"/>
        <v>0</v>
      </c>
      <c r="T581" s="124">
        <f>IFERROR(INDEX('MASTER por modelo'!$AQ$8:$AQ$474,MATCH(K581,'MASTER por modelo'!$D$8:$D$474,0)),"")</f>
        <v>0.29896907216494845</v>
      </c>
      <c r="U581" s="125">
        <f>IFERROR(INDEX('MASTER por modelo'!$AC$8:$AC$474,MATCH(K581,'MASTER por modelo'!$D$8:$D$474,0))+INDEX('MASTER por modelo'!$AD$8:$AD$474,MATCH(K581,'MASTER por modelo'!$D$8:$D$474,0)),"")</f>
        <v>609</v>
      </c>
      <c r="V581" s="93"/>
    </row>
    <row r="582" spans="1:22" x14ac:dyDescent="0.25">
      <c r="A582" s="116" t="s">
        <v>63</v>
      </c>
      <c r="B582" s="116" t="s">
        <v>110</v>
      </c>
      <c r="C582" s="116" t="s">
        <v>100</v>
      </c>
      <c r="D582" s="117">
        <f t="shared" si="56"/>
        <v>0</v>
      </c>
      <c r="E582" s="118">
        <v>0</v>
      </c>
      <c r="F582" s="118">
        <f t="shared" si="57"/>
        <v>0</v>
      </c>
      <c r="G582" s="118">
        <f t="shared" si="58"/>
        <v>0</v>
      </c>
      <c r="H582" s="118"/>
      <c r="I582" s="119">
        <v>745</v>
      </c>
      <c r="J582" s="116" t="str">
        <f t="shared" si="59"/>
        <v>26</v>
      </c>
      <c r="K582" s="116" t="s">
        <v>163</v>
      </c>
      <c r="L582" s="116" t="s">
        <v>758</v>
      </c>
      <c r="M582" s="119">
        <v>0</v>
      </c>
      <c r="N582" s="118">
        <v>0</v>
      </c>
      <c r="O582" s="120">
        <f t="shared" si="60"/>
        <v>0</v>
      </c>
      <c r="P582" s="121">
        <v>0</v>
      </c>
      <c r="Q582" s="122">
        <v>0</v>
      </c>
      <c r="R582" s="123">
        <f t="shared" si="61"/>
        <v>0</v>
      </c>
      <c r="S582" s="120">
        <f t="shared" si="62"/>
        <v>0</v>
      </c>
      <c r="T582" s="124">
        <f>IFERROR(INDEX('MASTER por modelo'!$AQ$8:$AQ$474,MATCH(K582,'MASTER por modelo'!$D$8:$D$474,0)),"")</f>
        <v>0.40135593220338983</v>
      </c>
      <c r="U582" s="125">
        <f>IFERROR(INDEX('MASTER por modelo'!$AC$8:$AC$474,MATCH(K582,'MASTER por modelo'!$D$8:$D$474,0))+INDEX('MASTER por modelo'!$AD$8:$AD$474,MATCH(K582,'MASTER por modelo'!$D$8:$D$474,0)),"")</f>
        <v>1184</v>
      </c>
      <c r="V582" s="93"/>
    </row>
    <row r="583" spans="1:22" x14ac:dyDescent="0.25">
      <c r="A583" s="116" t="s">
        <v>63</v>
      </c>
      <c r="B583" s="116" t="s">
        <v>110</v>
      </c>
      <c r="C583" s="116" t="s">
        <v>100</v>
      </c>
      <c r="D583" s="117">
        <f t="shared" si="56"/>
        <v>0</v>
      </c>
      <c r="E583" s="118">
        <v>0</v>
      </c>
      <c r="F583" s="118">
        <f t="shared" si="57"/>
        <v>0</v>
      </c>
      <c r="G583" s="118">
        <f t="shared" si="58"/>
        <v>0</v>
      </c>
      <c r="H583" s="118"/>
      <c r="I583" s="119">
        <v>998</v>
      </c>
      <c r="J583" s="116" t="str">
        <f t="shared" si="59"/>
        <v>26</v>
      </c>
      <c r="K583" s="116" t="s">
        <v>163</v>
      </c>
      <c r="L583" s="116" t="s">
        <v>758</v>
      </c>
      <c r="M583" s="119">
        <v>0</v>
      </c>
      <c r="N583" s="118">
        <v>0</v>
      </c>
      <c r="O583" s="120">
        <f t="shared" si="60"/>
        <v>0</v>
      </c>
      <c r="P583" s="121">
        <v>0</v>
      </c>
      <c r="Q583" s="122">
        <v>0</v>
      </c>
      <c r="R583" s="123">
        <f t="shared" si="61"/>
        <v>0</v>
      </c>
      <c r="S583" s="120">
        <f t="shared" si="62"/>
        <v>0</v>
      </c>
      <c r="T583" s="124">
        <f>IFERROR(INDEX('MASTER por modelo'!$AQ$8:$AQ$474,MATCH(K583,'MASTER por modelo'!$D$8:$D$474,0)),"")</f>
        <v>0.40135593220338983</v>
      </c>
      <c r="U583" s="125">
        <f>IFERROR(INDEX('MASTER por modelo'!$AC$8:$AC$474,MATCH(K583,'MASTER por modelo'!$D$8:$D$474,0))+INDEX('MASTER por modelo'!$AD$8:$AD$474,MATCH(K583,'MASTER por modelo'!$D$8:$D$474,0)),"")</f>
        <v>1184</v>
      </c>
      <c r="V583" s="93"/>
    </row>
    <row r="584" spans="1:22" x14ac:dyDescent="0.25">
      <c r="A584" s="116" t="s">
        <v>63</v>
      </c>
      <c r="B584" s="116" t="s">
        <v>64</v>
      </c>
      <c r="C584" s="116" t="s">
        <v>57</v>
      </c>
      <c r="D584" s="117">
        <f t="shared" ref="D584:D592" si="63">IFERROR((1/R584)*S584,0)</f>
        <v>0</v>
      </c>
      <c r="E584" s="118">
        <v>0</v>
      </c>
      <c r="F584" s="118">
        <f t="shared" ref="F584:F592" si="64">E584/1.54</f>
        <v>0</v>
      </c>
      <c r="G584" s="118">
        <f t="shared" ref="G584:G592" si="65">ROUNDUP(F584,0)</f>
        <v>0</v>
      </c>
      <c r="H584" s="118"/>
      <c r="I584" s="119">
        <v>0</v>
      </c>
      <c r="J584" s="116" t="str">
        <f t="shared" ref="J584:J592" si="66">LEFT(K584,2)</f>
        <v>26</v>
      </c>
      <c r="K584" s="116" t="s">
        <v>114</v>
      </c>
      <c r="L584" s="116" t="s">
        <v>730</v>
      </c>
      <c r="M584" s="119">
        <v>0</v>
      </c>
      <c r="N584" s="118">
        <v>0</v>
      </c>
      <c r="O584" s="120">
        <f t="shared" ref="O584:O592" si="67">N584-(M584*1.2)</f>
        <v>0</v>
      </c>
      <c r="P584" s="121">
        <v>0</v>
      </c>
      <c r="Q584" s="122">
        <v>0</v>
      </c>
      <c r="R584" s="123">
        <f t="shared" ref="R584:R592" si="68">Q584*1000</f>
        <v>0</v>
      </c>
      <c r="S584" s="120">
        <f t="shared" ref="S584:S592" si="69">IFERROR((O584/I584)*1000,0)</f>
        <v>0</v>
      </c>
      <c r="T584" s="124">
        <f>IFERROR(INDEX('MASTER por modelo'!$AQ$8:$AQ$474,MATCH(K584,'MASTER por modelo'!$D$8:$D$474,0)),"")</f>
        <v>4.3508771929824559E-2</v>
      </c>
      <c r="U584" s="125">
        <f>IFERROR(INDEX('MASTER por modelo'!$AC$8:$AC$474,MATCH(K584,'MASTER por modelo'!$D$8:$D$474,0))+INDEX('MASTER por modelo'!$AD$8:$AD$474,MATCH(K584,'MASTER por modelo'!$D$8:$D$474,0)),"")</f>
        <v>62</v>
      </c>
      <c r="V584" s="93"/>
    </row>
    <row r="585" spans="1:22" x14ac:dyDescent="0.25">
      <c r="A585" s="116" t="s">
        <v>138</v>
      </c>
      <c r="B585" s="116" t="s">
        <v>139</v>
      </c>
      <c r="C585" s="116" t="s">
        <v>57</v>
      </c>
      <c r="D585" s="117">
        <f t="shared" si="63"/>
        <v>0</v>
      </c>
      <c r="E585" s="118">
        <v>0</v>
      </c>
      <c r="F585" s="118">
        <f t="shared" si="64"/>
        <v>0</v>
      </c>
      <c r="G585" s="118">
        <f t="shared" si="65"/>
        <v>0</v>
      </c>
      <c r="H585" s="118"/>
      <c r="I585" s="119">
        <v>0</v>
      </c>
      <c r="J585" s="116" t="str">
        <f t="shared" si="66"/>
        <v>26</v>
      </c>
      <c r="K585" s="116" t="s">
        <v>321</v>
      </c>
      <c r="L585" s="116" t="s">
        <v>730</v>
      </c>
      <c r="M585" s="119">
        <v>0</v>
      </c>
      <c r="N585" s="118">
        <v>0</v>
      </c>
      <c r="O585" s="120">
        <f t="shared" si="67"/>
        <v>0</v>
      </c>
      <c r="P585" s="121">
        <v>0</v>
      </c>
      <c r="Q585" s="122">
        <v>0</v>
      </c>
      <c r="R585" s="123">
        <f t="shared" si="68"/>
        <v>0</v>
      </c>
      <c r="S585" s="120">
        <f t="shared" si="69"/>
        <v>0</v>
      </c>
      <c r="T585" s="124">
        <f>IFERROR(INDEX('MASTER por modelo'!$AQ$8:$AQ$474,MATCH(K585,'MASTER por modelo'!$D$8:$D$474,0)),"")</f>
        <v>0.10220440881763528</v>
      </c>
      <c r="U585" s="125">
        <f>IFERROR(INDEX('MASTER por modelo'!$AC$8:$AC$474,MATCH(K585,'MASTER por modelo'!$D$8:$D$474,0))+INDEX('MASTER por modelo'!$AD$8:$AD$474,MATCH(K585,'MASTER por modelo'!$D$8:$D$474,0)),"")</f>
        <v>51</v>
      </c>
      <c r="V585" s="93"/>
    </row>
    <row r="586" spans="1:22" x14ac:dyDescent="0.25">
      <c r="A586" s="116" t="s">
        <v>120</v>
      </c>
      <c r="B586" s="116" t="s">
        <v>576</v>
      </c>
      <c r="C586" s="116" t="s">
        <v>264</v>
      </c>
      <c r="D586" s="117">
        <f t="shared" si="63"/>
        <v>0</v>
      </c>
      <c r="E586" s="118">
        <v>0</v>
      </c>
      <c r="F586" s="118">
        <f t="shared" si="64"/>
        <v>0</v>
      </c>
      <c r="G586" s="118">
        <f t="shared" si="65"/>
        <v>0</v>
      </c>
      <c r="H586" s="118"/>
      <c r="I586" s="119">
        <v>371</v>
      </c>
      <c r="J586" s="116" t="str">
        <f t="shared" si="66"/>
        <v>26</v>
      </c>
      <c r="K586" s="116" t="s">
        <v>597</v>
      </c>
      <c r="L586" s="116" t="s">
        <v>834</v>
      </c>
      <c r="M586" s="119">
        <v>4</v>
      </c>
      <c r="N586" s="118">
        <v>59.84</v>
      </c>
      <c r="O586" s="120">
        <f t="shared" si="67"/>
        <v>55.040000000000006</v>
      </c>
      <c r="P586" s="121">
        <v>0</v>
      </c>
      <c r="Q586" s="122">
        <v>0</v>
      </c>
      <c r="R586" s="123">
        <f t="shared" si="68"/>
        <v>0</v>
      </c>
      <c r="S586" s="120">
        <f t="shared" si="69"/>
        <v>148.35579514824798</v>
      </c>
      <c r="T586" s="124">
        <f>IFERROR(INDEX('MASTER por modelo'!$AQ$8:$AQ$474,MATCH(K586,'MASTER por modelo'!$D$8:$D$474,0)),"")</f>
        <v>0.78167115902964956</v>
      </c>
      <c r="U586" s="125">
        <f>IFERROR(INDEX('MASTER por modelo'!$AC$8:$AC$474,MATCH(K586,'MASTER por modelo'!$D$8:$D$474,0))+INDEX('MASTER por modelo'!$AD$8:$AD$474,MATCH(K586,'MASTER por modelo'!$D$8:$D$474,0)),"")</f>
        <v>290</v>
      </c>
      <c r="V586" s="93"/>
    </row>
    <row r="587" spans="1:22" x14ac:dyDescent="0.25">
      <c r="A587" s="116" t="s">
        <v>120</v>
      </c>
      <c r="B587" s="116" t="s">
        <v>507</v>
      </c>
      <c r="C587" s="116" t="s">
        <v>427</v>
      </c>
      <c r="D587" s="117">
        <f t="shared" si="63"/>
        <v>0</v>
      </c>
      <c r="E587" s="118">
        <v>0</v>
      </c>
      <c r="F587" s="118">
        <f t="shared" si="64"/>
        <v>0</v>
      </c>
      <c r="G587" s="118">
        <f t="shared" si="65"/>
        <v>0</v>
      </c>
      <c r="H587" s="118"/>
      <c r="I587" s="119">
        <v>366</v>
      </c>
      <c r="J587" s="116" t="str">
        <f t="shared" si="66"/>
        <v>26</v>
      </c>
      <c r="K587" s="116" t="s">
        <v>598</v>
      </c>
      <c r="L587" s="116" t="s">
        <v>834</v>
      </c>
      <c r="M587" s="119">
        <v>8</v>
      </c>
      <c r="N587" s="118">
        <v>130.38999999999999</v>
      </c>
      <c r="O587" s="120">
        <f t="shared" si="67"/>
        <v>120.78999999999999</v>
      </c>
      <c r="P587" s="121">
        <v>0</v>
      </c>
      <c r="Q587" s="122">
        <v>0</v>
      </c>
      <c r="R587" s="123">
        <f t="shared" si="68"/>
        <v>0</v>
      </c>
      <c r="S587" s="120">
        <f t="shared" si="69"/>
        <v>330.02732240437155</v>
      </c>
      <c r="T587" s="124">
        <f>IFERROR(INDEX('MASTER por modelo'!$AQ$8:$AQ$474,MATCH(K587,'MASTER por modelo'!$D$8:$D$474,0)),"")</f>
        <v>0.80601092896174864</v>
      </c>
      <c r="U587" s="125">
        <f>IFERROR(INDEX('MASTER por modelo'!$AC$8:$AC$474,MATCH(K587,'MASTER por modelo'!$D$8:$D$474,0))+INDEX('MASTER por modelo'!$AD$8:$AD$474,MATCH(K587,'MASTER por modelo'!$D$8:$D$474,0)),"")</f>
        <v>295</v>
      </c>
      <c r="V587" s="93"/>
    </row>
    <row r="588" spans="1:22" x14ac:dyDescent="0.25">
      <c r="A588" s="116" t="s">
        <v>55</v>
      </c>
      <c r="B588" s="116" t="s">
        <v>99</v>
      </c>
      <c r="C588" s="116" t="s">
        <v>100</v>
      </c>
      <c r="D588" s="117">
        <f t="shared" si="63"/>
        <v>0</v>
      </c>
      <c r="E588" s="118">
        <v>0</v>
      </c>
      <c r="F588" s="118">
        <f t="shared" si="64"/>
        <v>0</v>
      </c>
      <c r="G588" s="118">
        <f t="shared" si="65"/>
        <v>0</v>
      </c>
      <c r="H588" s="118"/>
      <c r="I588" s="119">
        <v>800</v>
      </c>
      <c r="J588" s="116" t="str">
        <f t="shared" si="66"/>
        <v>26</v>
      </c>
      <c r="K588" s="116" t="s">
        <v>213</v>
      </c>
      <c r="L588" s="116" t="s">
        <v>768</v>
      </c>
      <c r="M588" s="119">
        <v>0</v>
      </c>
      <c r="N588" s="118">
        <v>0</v>
      </c>
      <c r="O588" s="120">
        <f t="shared" si="67"/>
        <v>0</v>
      </c>
      <c r="P588" s="121">
        <v>0</v>
      </c>
      <c r="Q588" s="122">
        <v>0</v>
      </c>
      <c r="R588" s="123">
        <f t="shared" si="68"/>
        <v>0</v>
      </c>
      <c r="S588" s="120">
        <f t="shared" si="69"/>
        <v>0</v>
      </c>
      <c r="T588" s="124">
        <f>IFERROR(INDEX('MASTER por modelo'!$AQ$8:$AQ$474,MATCH(K588,'MASTER por modelo'!$D$8:$D$474,0)),"")</f>
        <v>0.46759539672925499</v>
      </c>
      <c r="U588" s="125">
        <f>IFERROR(INDEX('MASTER por modelo'!$AC$8:$AC$474,MATCH(K588,'MASTER por modelo'!$D$8:$D$474,0))+INDEX('MASTER por modelo'!$AD$8:$AD$474,MATCH(K588,'MASTER por modelo'!$D$8:$D$474,0)),"")</f>
        <v>772</v>
      </c>
      <c r="V588" s="93"/>
    </row>
    <row r="589" spans="1:22" x14ac:dyDescent="0.25">
      <c r="A589" s="116" t="s">
        <v>55</v>
      </c>
      <c r="B589" s="116" t="s">
        <v>99</v>
      </c>
      <c r="C589" s="116" t="s">
        <v>100</v>
      </c>
      <c r="D589" s="117">
        <f t="shared" si="63"/>
        <v>0</v>
      </c>
      <c r="E589" s="118">
        <v>0</v>
      </c>
      <c r="F589" s="118">
        <f t="shared" si="64"/>
        <v>0</v>
      </c>
      <c r="G589" s="118">
        <f t="shared" si="65"/>
        <v>0</v>
      </c>
      <c r="H589" s="118"/>
      <c r="I589" s="119">
        <v>1400</v>
      </c>
      <c r="J589" s="116" t="str">
        <f t="shared" si="66"/>
        <v>26</v>
      </c>
      <c r="K589" s="116" t="s">
        <v>194</v>
      </c>
      <c r="L589" s="116" t="s">
        <v>768</v>
      </c>
      <c r="M589" s="119">
        <v>0</v>
      </c>
      <c r="N589" s="118">
        <v>0</v>
      </c>
      <c r="O589" s="120">
        <f t="shared" si="67"/>
        <v>0</v>
      </c>
      <c r="P589" s="121">
        <v>0</v>
      </c>
      <c r="Q589" s="122">
        <v>0</v>
      </c>
      <c r="R589" s="123">
        <f t="shared" si="68"/>
        <v>0</v>
      </c>
      <c r="S589" s="120">
        <f t="shared" si="69"/>
        <v>0</v>
      </c>
      <c r="T589" s="124">
        <f>IFERROR(INDEX('MASTER por modelo'!$AQ$8:$AQ$474,MATCH(K589,'MASTER por modelo'!$D$8:$D$474,0)),"")</f>
        <v>0.44193262411347517</v>
      </c>
      <c r="U589" s="125">
        <f>IFERROR(INDEX('MASTER por modelo'!$AC$8:$AC$474,MATCH(K589,'MASTER por modelo'!$D$8:$D$474,0))+INDEX('MASTER por modelo'!$AD$8:$AD$474,MATCH(K589,'MASTER por modelo'!$D$8:$D$474,0)),"")</f>
        <v>997</v>
      </c>
      <c r="V589" s="93"/>
    </row>
    <row r="590" spans="1:22" x14ac:dyDescent="0.25">
      <c r="A590" s="116" t="s">
        <v>55</v>
      </c>
      <c r="B590" s="116" t="s">
        <v>99</v>
      </c>
      <c r="C590" s="116" t="s">
        <v>100</v>
      </c>
      <c r="D590" s="117">
        <f t="shared" si="63"/>
        <v>0</v>
      </c>
      <c r="E590" s="118">
        <v>0</v>
      </c>
      <c r="F590" s="118">
        <f t="shared" si="64"/>
        <v>0</v>
      </c>
      <c r="G590" s="118">
        <f t="shared" si="65"/>
        <v>0</v>
      </c>
      <c r="H590" s="118"/>
      <c r="I590" s="119">
        <v>750</v>
      </c>
      <c r="J590" s="116" t="str">
        <f t="shared" si="66"/>
        <v>26</v>
      </c>
      <c r="K590" s="116" t="s">
        <v>210</v>
      </c>
      <c r="L590" s="116" t="s">
        <v>768</v>
      </c>
      <c r="M590" s="119">
        <v>0</v>
      </c>
      <c r="N590" s="118">
        <v>0</v>
      </c>
      <c r="O590" s="120">
        <f t="shared" si="67"/>
        <v>0</v>
      </c>
      <c r="P590" s="121">
        <v>0</v>
      </c>
      <c r="Q590" s="122">
        <v>0</v>
      </c>
      <c r="R590" s="123">
        <f t="shared" si="68"/>
        <v>0</v>
      </c>
      <c r="S590" s="120">
        <f t="shared" si="69"/>
        <v>0</v>
      </c>
      <c r="T590" s="124">
        <f>IFERROR(INDEX('MASTER por modelo'!$AQ$8:$AQ$474,MATCH(K590,'MASTER por modelo'!$D$8:$D$474,0)),"")</f>
        <v>0.24</v>
      </c>
      <c r="U590" s="125">
        <f>IFERROR(INDEX('MASTER por modelo'!$AC$8:$AC$474,MATCH(K590,'MASTER por modelo'!$D$8:$D$474,0))+INDEX('MASTER por modelo'!$AD$8:$AD$474,MATCH(K590,'MASTER por modelo'!$D$8:$D$474,0)),"")</f>
        <v>372</v>
      </c>
      <c r="V590" s="93"/>
    </row>
    <row r="591" spans="1:22" x14ac:dyDescent="0.25">
      <c r="A591" s="116" t="s">
        <v>55</v>
      </c>
      <c r="B591" s="116" t="s">
        <v>99</v>
      </c>
      <c r="C591" s="116" t="s">
        <v>111</v>
      </c>
      <c r="D591" s="117">
        <f t="shared" si="63"/>
        <v>0</v>
      </c>
      <c r="E591" s="118">
        <v>0</v>
      </c>
      <c r="F591" s="118">
        <f t="shared" si="64"/>
        <v>0</v>
      </c>
      <c r="G591" s="118">
        <f t="shared" si="65"/>
        <v>0</v>
      </c>
      <c r="H591" s="118"/>
      <c r="I591" s="119">
        <v>901</v>
      </c>
      <c r="J591" s="116" t="str">
        <f t="shared" si="66"/>
        <v>26</v>
      </c>
      <c r="K591" s="116" t="s">
        <v>232</v>
      </c>
      <c r="L591" s="116" t="s">
        <v>768</v>
      </c>
      <c r="M591" s="119">
        <v>0</v>
      </c>
      <c r="N591" s="118">
        <v>0</v>
      </c>
      <c r="O591" s="120">
        <f t="shared" si="67"/>
        <v>0</v>
      </c>
      <c r="P591" s="121">
        <v>0</v>
      </c>
      <c r="Q591" s="122">
        <v>0</v>
      </c>
      <c r="R591" s="123">
        <f t="shared" si="68"/>
        <v>0</v>
      </c>
      <c r="S591" s="120">
        <f t="shared" si="69"/>
        <v>0</v>
      </c>
      <c r="T591" s="124">
        <f>IFERROR(INDEX('MASTER por modelo'!$AQ$8:$AQ$474,MATCH(K591,'MASTER por modelo'!$D$8:$D$474,0)),"")</f>
        <v>0.22956955708047411</v>
      </c>
      <c r="U591" s="125">
        <f>IFERROR(INDEX('MASTER por modelo'!$AC$8:$AC$474,MATCH(K591,'MASTER por modelo'!$D$8:$D$474,0))+INDEX('MASTER por modelo'!$AD$8:$AD$474,MATCH(K591,'MASTER por modelo'!$D$8:$D$474,0)),"")</f>
        <v>368</v>
      </c>
      <c r="V591" s="93"/>
    </row>
    <row r="592" spans="1:22" x14ac:dyDescent="0.25">
      <c r="A592" s="116" t="s">
        <v>55</v>
      </c>
      <c r="B592" s="116" t="s">
        <v>56</v>
      </c>
      <c r="C592" s="116" t="s">
        <v>57</v>
      </c>
      <c r="D592" s="117">
        <f t="shared" si="63"/>
        <v>0</v>
      </c>
      <c r="E592" s="118">
        <v>0</v>
      </c>
      <c r="F592" s="118">
        <f t="shared" si="64"/>
        <v>0</v>
      </c>
      <c r="G592" s="118">
        <f t="shared" si="65"/>
        <v>0</v>
      </c>
      <c r="H592" s="118"/>
      <c r="I592" s="119">
        <v>718</v>
      </c>
      <c r="J592" s="116" t="str">
        <f t="shared" si="66"/>
        <v>26</v>
      </c>
      <c r="K592" s="116" t="s">
        <v>131</v>
      </c>
      <c r="L592" s="116" t="s">
        <v>750</v>
      </c>
      <c r="M592" s="119">
        <v>0</v>
      </c>
      <c r="N592" s="118">
        <v>0</v>
      </c>
      <c r="O592" s="120">
        <f t="shared" si="67"/>
        <v>0</v>
      </c>
      <c r="P592" s="121">
        <v>0</v>
      </c>
      <c r="Q592" s="122">
        <v>0</v>
      </c>
      <c r="R592" s="123">
        <f t="shared" si="68"/>
        <v>0</v>
      </c>
      <c r="S592" s="120">
        <f t="shared" si="69"/>
        <v>0</v>
      </c>
      <c r="T592" s="124">
        <f>IFERROR(INDEX('MASTER por modelo'!$AQ$8:$AQ$474,MATCH(K592,'MASTER por modelo'!$D$8:$D$474,0)),"")</f>
        <v>5.1560379918588875E-2</v>
      </c>
      <c r="U592" s="125">
        <f>IFERROR(INDEX('MASTER por modelo'!$AC$8:$AC$474,MATCH(K592,'MASTER por modelo'!$D$8:$D$474,0))+INDEX('MASTER por modelo'!$AD$8:$AD$474,MATCH(K592,'MASTER por modelo'!$D$8:$D$474,0)),"")</f>
        <v>76</v>
      </c>
      <c r="V592" s="93"/>
    </row>
  </sheetData>
  <autoFilter ref="A7:Q592" xr:uid="{00000000-0009-0000-0000-000002000000}">
    <sortState xmlns:xlrd2="http://schemas.microsoft.com/office/spreadsheetml/2017/richdata2" ref="A8:Q592">
      <sortCondition descending="1" ref="E7:E59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659"/>
  <sheetViews>
    <sheetView workbookViewId="0">
      <pane xSplit="7" ySplit="7" topLeftCell="H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7" width="11" customWidth="1"/>
    <col min="8" max="60" width="6" customWidth="1"/>
  </cols>
  <sheetData>
    <row r="1" spans="1:60" ht="18" x14ac:dyDescent="0.25">
      <c r="A1" s="13" t="s">
        <v>860</v>
      </c>
    </row>
    <row r="2" spans="1:60" x14ac:dyDescent="0.25">
      <c r="A2" s="14" t="s">
        <v>861</v>
      </c>
    </row>
    <row r="4" spans="1:60" x14ac:dyDescent="0.25">
      <c r="I4" s="126" t="s">
        <v>862</v>
      </c>
      <c r="K4" s="127">
        <v>50</v>
      </c>
      <c r="L4" s="14" t="s">
        <v>863</v>
      </c>
    </row>
    <row r="6" spans="1:60" x14ac:dyDescent="0.25">
      <c r="A6" s="126" t="s">
        <v>5</v>
      </c>
      <c r="B6" s="17">
        <f>SUM(B8:B659)</f>
        <v>196973</v>
      </c>
      <c r="C6" s="90">
        <f>IFERROR(AVERAGE(C8:C659),0)</f>
        <v>29.049079754601227</v>
      </c>
      <c r="D6" s="21">
        <f>IFERROR(AVERAGE(D8:D659),0)</f>
        <v>0.58098159509202374</v>
      </c>
      <c r="E6" s="24">
        <f>MIN(E8:E659)</f>
        <v>46177</v>
      </c>
      <c r="F6" s="24">
        <f>MAX(F8:F659)</f>
        <v>46323</v>
      </c>
      <c r="G6" s="90">
        <f>IFERROR(AVERAGE(G8:G659),0)</f>
        <v>23.215434083601288</v>
      </c>
      <c r="H6" s="17">
        <f t="shared" ref="H6:AM6" si="0">SUM(H8:H659)</f>
        <v>3321</v>
      </c>
      <c r="I6" s="17">
        <f t="shared" si="0"/>
        <v>3316</v>
      </c>
      <c r="J6" s="17">
        <f t="shared" si="0"/>
        <v>4434</v>
      </c>
      <c r="K6" s="17">
        <f t="shared" si="0"/>
        <v>4224</v>
      </c>
      <c r="L6" s="17">
        <f t="shared" si="0"/>
        <v>4398</v>
      </c>
      <c r="M6" s="17">
        <f t="shared" si="0"/>
        <v>677</v>
      </c>
      <c r="N6" s="17">
        <f t="shared" si="0"/>
        <v>4333</v>
      </c>
      <c r="O6" s="17">
        <f t="shared" si="0"/>
        <v>4302</v>
      </c>
      <c r="P6" s="17">
        <f t="shared" si="0"/>
        <v>4085</v>
      </c>
      <c r="Q6" s="17">
        <f t="shared" si="0"/>
        <v>3891</v>
      </c>
      <c r="R6" s="17">
        <f t="shared" si="0"/>
        <v>4076</v>
      </c>
      <c r="S6" s="17">
        <f t="shared" si="0"/>
        <v>4199</v>
      </c>
      <c r="T6" s="17">
        <f t="shared" si="0"/>
        <v>4245</v>
      </c>
      <c r="U6" s="17">
        <f t="shared" si="0"/>
        <v>3285</v>
      </c>
      <c r="V6" s="17">
        <f t="shared" si="0"/>
        <v>4226</v>
      </c>
      <c r="W6" s="17">
        <f t="shared" si="0"/>
        <v>4208</v>
      </c>
      <c r="X6" s="17">
        <f t="shared" si="0"/>
        <v>4299</v>
      </c>
      <c r="Y6" s="17">
        <f t="shared" si="0"/>
        <v>1840</v>
      </c>
      <c r="Z6" s="17">
        <f t="shared" si="0"/>
        <v>3710</v>
      </c>
      <c r="AA6" s="17">
        <f t="shared" si="0"/>
        <v>3180</v>
      </c>
      <c r="AB6" s="17">
        <f t="shared" si="0"/>
        <v>4345</v>
      </c>
      <c r="AC6" s="17">
        <f t="shared" si="0"/>
        <v>4359</v>
      </c>
      <c r="AD6" s="17">
        <f t="shared" si="0"/>
        <v>4451</v>
      </c>
      <c r="AE6" s="17">
        <f t="shared" si="0"/>
        <v>3496</v>
      </c>
      <c r="AF6" s="17">
        <f t="shared" si="0"/>
        <v>3983</v>
      </c>
      <c r="AG6" s="17">
        <f t="shared" si="0"/>
        <v>4001</v>
      </c>
      <c r="AH6" s="17">
        <f t="shared" si="0"/>
        <v>4058</v>
      </c>
      <c r="AI6" s="17">
        <f t="shared" si="0"/>
        <v>3951</v>
      </c>
      <c r="AJ6" s="17">
        <f t="shared" si="0"/>
        <v>4205</v>
      </c>
      <c r="AK6" s="17">
        <f t="shared" si="0"/>
        <v>3267</v>
      </c>
      <c r="AL6" s="17">
        <f t="shared" si="0"/>
        <v>3875</v>
      </c>
      <c r="AM6" s="17">
        <f t="shared" si="0"/>
        <v>3871</v>
      </c>
      <c r="AN6" s="17">
        <f t="shared" ref="AN6:BH6" si="1">SUM(AN8:AN659)</f>
        <v>3960</v>
      </c>
      <c r="AO6" s="17">
        <f t="shared" si="1"/>
        <v>4551</v>
      </c>
      <c r="AP6" s="17">
        <f t="shared" si="1"/>
        <v>3881</v>
      </c>
      <c r="AQ6" s="17">
        <f t="shared" si="1"/>
        <v>3595</v>
      </c>
      <c r="AR6" s="17">
        <f t="shared" si="1"/>
        <v>3195</v>
      </c>
      <c r="AS6" s="17">
        <f t="shared" si="1"/>
        <v>3977</v>
      </c>
      <c r="AT6" s="17">
        <f t="shared" si="1"/>
        <v>3896</v>
      </c>
      <c r="AU6" s="17">
        <f t="shared" si="1"/>
        <v>3640</v>
      </c>
      <c r="AV6" s="17">
        <f t="shared" si="1"/>
        <v>2964</v>
      </c>
      <c r="AW6" s="17">
        <f t="shared" si="1"/>
        <v>3882</v>
      </c>
      <c r="AX6" s="17">
        <f t="shared" si="1"/>
        <v>3685</v>
      </c>
      <c r="AY6" s="17">
        <f t="shared" si="1"/>
        <v>249</v>
      </c>
      <c r="AZ6" s="17">
        <f t="shared" si="1"/>
        <v>3224</v>
      </c>
      <c r="BA6" s="17">
        <f t="shared" si="1"/>
        <v>3487</v>
      </c>
      <c r="BB6" s="17">
        <f t="shared" si="1"/>
        <v>4102</v>
      </c>
      <c r="BC6" s="17">
        <f t="shared" si="1"/>
        <v>3522</v>
      </c>
      <c r="BD6" s="17">
        <f t="shared" si="1"/>
        <v>3827</v>
      </c>
      <c r="BE6" s="17">
        <f t="shared" si="1"/>
        <v>3726</v>
      </c>
      <c r="BF6" s="17">
        <f t="shared" si="1"/>
        <v>5058</v>
      </c>
      <c r="BG6" s="17">
        <f t="shared" si="1"/>
        <v>6433</v>
      </c>
      <c r="BH6" s="17">
        <f t="shared" si="1"/>
        <v>8</v>
      </c>
    </row>
    <row r="7" spans="1:60" ht="120" customHeight="1" x14ac:dyDescent="0.25">
      <c r="A7" s="30" t="s">
        <v>9</v>
      </c>
      <c r="B7" s="30" t="s">
        <v>864</v>
      </c>
      <c r="C7" s="30" t="s">
        <v>36</v>
      </c>
      <c r="D7" s="30" t="s">
        <v>865</v>
      </c>
      <c r="E7" s="30" t="s">
        <v>866</v>
      </c>
      <c r="F7" s="30" t="s">
        <v>867</v>
      </c>
      <c r="G7" s="30" t="s">
        <v>868</v>
      </c>
      <c r="H7" s="128" t="s">
        <v>869</v>
      </c>
      <c r="I7" s="128" t="s">
        <v>870</v>
      </c>
      <c r="J7" s="128" t="s">
        <v>871</v>
      </c>
      <c r="K7" s="128" t="s">
        <v>872</v>
      </c>
      <c r="L7" s="128" t="s">
        <v>873</v>
      </c>
      <c r="M7" s="128" t="s">
        <v>874</v>
      </c>
      <c r="N7" s="128" t="s">
        <v>875</v>
      </c>
      <c r="O7" s="128" t="s">
        <v>876</v>
      </c>
      <c r="P7" s="128" t="s">
        <v>877</v>
      </c>
      <c r="Q7" s="128" t="s">
        <v>878</v>
      </c>
      <c r="R7" s="128" t="s">
        <v>879</v>
      </c>
      <c r="S7" s="128" t="s">
        <v>880</v>
      </c>
      <c r="T7" s="128" t="s">
        <v>881</v>
      </c>
      <c r="U7" s="128" t="s">
        <v>882</v>
      </c>
      <c r="V7" s="128" t="s">
        <v>883</v>
      </c>
      <c r="W7" s="128" t="s">
        <v>884</v>
      </c>
      <c r="X7" s="128" t="s">
        <v>885</v>
      </c>
      <c r="Y7" s="128" t="s">
        <v>886</v>
      </c>
      <c r="Z7" s="128" t="s">
        <v>887</v>
      </c>
      <c r="AA7" s="128" t="s">
        <v>888</v>
      </c>
      <c r="AB7" s="128" t="s">
        <v>889</v>
      </c>
      <c r="AC7" s="128" t="s">
        <v>890</v>
      </c>
      <c r="AD7" s="128" t="s">
        <v>891</v>
      </c>
      <c r="AE7" s="128" t="s">
        <v>892</v>
      </c>
      <c r="AF7" s="128" t="s">
        <v>893</v>
      </c>
      <c r="AG7" s="128" t="s">
        <v>894</v>
      </c>
      <c r="AH7" s="128" t="s">
        <v>895</v>
      </c>
      <c r="AI7" s="128" t="s">
        <v>896</v>
      </c>
      <c r="AJ7" s="128" t="s">
        <v>897</v>
      </c>
      <c r="AK7" s="128" t="s">
        <v>898</v>
      </c>
      <c r="AL7" s="128" t="s">
        <v>899</v>
      </c>
      <c r="AM7" s="128" t="s">
        <v>900</v>
      </c>
      <c r="AN7" s="128" t="s">
        <v>901</v>
      </c>
      <c r="AO7" s="128" t="s">
        <v>902</v>
      </c>
      <c r="AP7" s="128" t="s">
        <v>903</v>
      </c>
      <c r="AQ7" s="128" t="s">
        <v>904</v>
      </c>
      <c r="AR7" s="128" t="s">
        <v>905</v>
      </c>
      <c r="AS7" s="128" t="s">
        <v>906</v>
      </c>
      <c r="AT7" s="128" t="s">
        <v>907</v>
      </c>
      <c r="AU7" s="128" t="s">
        <v>908</v>
      </c>
      <c r="AV7" s="128" t="s">
        <v>909</v>
      </c>
      <c r="AW7" s="128" t="s">
        <v>910</v>
      </c>
      <c r="AX7" s="128" t="s">
        <v>911</v>
      </c>
      <c r="AY7" s="128" t="s">
        <v>912</v>
      </c>
      <c r="AZ7" s="128" t="s">
        <v>913</v>
      </c>
      <c r="BA7" s="128" t="s">
        <v>914</v>
      </c>
      <c r="BB7" s="128" t="s">
        <v>915</v>
      </c>
      <c r="BC7" s="128" t="s">
        <v>916</v>
      </c>
      <c r="BD7" s="128" t="s">
        <v>917</v>
      </c>
      <c r="BE7" s="128" t="s">
        <v>918</v>
      </c>
      <c r="BF7" s="128" t="s">
        <v>919</v>
      </c>
      <c r="BG7" s="128" t="s">
        <v>920</v>
      </c>
      <c r="BH7" s="128" t="s">
        <v>921</v>
      </c>
    </row>
    <row r="8" spans="1:60" x14ac:dyDescent="0.25">
      <c r="A8" s="91" t="s">
        <v>76</v>
      </c>
      <c r="B8" s="129">
        <f t="shared" ref="B8:B71" si="2">SUM(H8:BH8)</f>
        <v>1505</v>
      </c>
      <c r="C8" s="91">
        <f t="shared" ref="C8:C71" si="3">COUNTIF(H8:BE8,"&gt;0")</f>
        <v>49</v>
      </c>
      <c r="D8" s="130">
        <f t="shared" ref="D8:D71" si="4">IFERROR(C8/TIENDAS,0)</f>
        <v>0.98</v>
      </c>
      <c r="E8" s="131">
        <v>46275</v>
      </c>
      <c r="F8" s="131">
        <v>46309</v>
      </c>
      <c r="G8" s="91">
        <f t="shared" ref="G8:G71" si="5">F8-E8</f>
        <v>34</v>
      </c>
      <c r="H8" s="91">
        <v>24</v>
      </c>
      <c r="I8" s="91">
        <v>48</v>
      </c>
      <c r="J8" s="91">
        <v>48</v>
      </c>
      <c r="K8" s="91">
        <v>48</v>
      </c>
      <c r="L8" s="91">
        <v>24</v>
      </c>
      <c r="M8" s="91"/>
      <c r="N8" s="91">
        <v>24</v>
      </c>
      <c r="O8" s="91">
        <v>24</v>
      </c>
      <c r="P8" s="91">
        <v>24</v>
      </c>
      <c r="Q8" s="91">
        <v>24</v>
      </c>
      <c r="R8" s="91">
        <v>24</v>
      </c>
      <c r="S8" s="91">
        <v>24</v>
      </c>
      <c r="T8" s="91">
        <v>48</v>
      </c>
      <c r="U8" s="91">
        <v>24</v>
      </c>
      <c r="V8" s="91">
        <v>49</v>
      </c>
      <c r="W8" s="91">
        <v>48</v>
      </c>
      <c r="X8" s="91">
        <v>24</v>
      </c>
      <c r="Y8" s="91">
        <v>24</v>
      </c>
      <c r="Z8" s="91">
        <v>24</v>
      </c>
      <c r="AA8" s="91">
        <v>24</v>
      </c>
      <c r="AB8" s="91">
        <v>48</v>
      </c>
      <c r="AC8" s="91">
        <v>24</v>
      </c>
      <c r="AD8" s="91">
        <v>24</v>
      </c>
      <c r="AE8" s="91">
        <v>24</v>
      </c>
      <c r="AF8" s="91">
        <v>24</v>
      </c>
      <c r="AG8" s="91">
        <v>24</v>
      </c>
      <c r="AH8" s="91">
        <v>48</v>
      </c>
      <c r="AI8" s="91">
        <v>24</v>
      </c>
      <c r="AJ8" s="91">
        <v>24</v>
      </c>
      <c r="AK8" s="91">
        <v>24</v>
      </c>
      <c r="AL8" s="91">
        <v>48</v>
      </c>
      <c r="AM8" s="91">
        <v>24</v>
      </c>
      <c r="AN8" s="91">
        <v>24</v>
      </c>
      <c r="AO8" s="91">
        <v>48</v>
      </c>
      <c r="AP8" s="91">
        <v>24</v>
      </c>
      <c r="AQ8" s="91">
        <v>24</v>
      </c>
      <c r="AR8" s="91">
        <v>24</v>
      </c>
      <c r="AS8" s="91">
        <v>24</v>
      </c>
      <c r="AT8" s="91">
        <v>24</v>
      </c>
      <c r="AU8" s="91">
        <v>24</v>
      </c>
      <c r="AV8" s="91">
        <v>24</v>
      </c>
      <c r="AW8" s="91">
        <v>24</v>
      </c>
      <c r="AX8" s="91">
        <v>24</v>
      </c>
      <c r="AY8" s="91">
        <v>21</v>
      </c>
      <c r="AZ8" s="91">
        <v>24</v>
      </c>
      <c r="BA8" s="91">
        <v>24</v>
      </c>
      <c r="BB8" s="91">
        <v>48</v>
      </c>
      <c r="BC8" s="91">
        <v>24</v>
      </c>
      <c r="BD8" s="91">
        <v>24</v>
      </c>
      <c r="BE8" s="91">
        <v>48</v>
      </c>
      <c r="BF8" s="91">
        <v>43</v>
      </c>
      <c r="BG8" s="91"/>
      <c r="BH8" s="91"/>
    </row>
    <row r="9" spans="1:60" x14ac:dyDescent="0.25">
      <c r="A9" s="91" t="s">
        <v>61</v>
      </c>
      <c r="B9" s="129">
        <f t="shared" si="2"/>
        <v>1473</v>
      </c>
      <c r="C9" s="91">
        <f t="shared" si="3"/>
        <v>45</v>
      </c>
      <c r="D9" s="130">
        <f t="shared" si="4"/>
        <v>0.9</v>
      </c>
      <c r="E9" s="131">
        <v>46287</v>
      </c>
      <c r="F9" s="131">
        <v>46317</v>
      </c>
      <c r="G9" s="91">
        <f t="shared" si="5"/>
        <v>30</v>
      </c>
      <c r="H9" s="91">
        <v>32</v>
      </c>
      <c r="I9" s="91">
        <v>32</v>
      </c>
      <c r="J9" s="91">
        <v>33</v>
      </c>
      <c r="K9" s="91">
        <v>32</v>
      </c>
      <c r="L9" s="91">
        <v>32</v>
      </c>
      <c r="M9" s="91"/>
      <c r="N9" s="91">
        <v>32</v>
      </c>
      <c r="O9" s="91">
        <v>32</v>
      </c>
      <c r="P9" s="91">
        <v>32</v>
      </c>
      <c r="Q9" s="91">
        <v>32</v>
      </c>
      <c r="R9" s="91">
        <v>32</v>
      </c>
      <c r="S9" s="91">
        <v>32</v>
      </c>
      <c r="T9" s="91">
        <v>32</v>
      </c>
      <c r="U9" s="91">
        <v>32</v>
      </c>
      <c r="V9" s="91">
        <v>32</v>
      </c>
      <c r="W9" s="91">
        <v>32</v>
      </c>
      <c r="X9" s="91">
        <v>32</v>
      </c>
      <c r="Y9" s="91">
        <v>3</v>
      </c>
      <c r="Z9" s="91">
        <v>32</v>
      </c>
      <c r="AA9" s="91">
        <v>32</v>
      </c>
      <c r="AB9" s="91">
        <v>32</v>
      </c>
      <c r="AC9" s="91">
        <v>32</v>
      </c>
      <c r="AD9" s="91">
        <v>32</v>
      </c>
      <c r="AE9" s="91">
        <v>32</v>
      </c>
      <c r="AF9" s="91">
        <v>32</v>
      </c>
      <c r="AG9" s="91">
        <v>32</v>
      </c>
      <c r="AH9" s="91">
        <v>32</v>
      </c>
      <c r="AI9" s="91">
        <v>32</v>
      </c>
      <c r="AJ9" s="91">
        <v>32</v>
      </c>
      <c r="AK9" s="91">
        <v>32</v>
      </c>
      <c r="AL9" s="91">
        <v>32</v>
      </c>
      <c r="AM9" s="91">
        <v>32</v>
      </c>
      <c r="AN9" s="91">
        <v>32</v>
      </c>
      <c r="AO9" s="91">
        <v>32</v>
      </c>
      <c r="AP9" s="91">
        <v>32</v>
      </c>
      <c r="AQ9" s="91">
        <v>32</v>
      </c>
      <c r="AR9" s="91">
        <v>32</v>
      </c>
      <c r="AS9" s="91">
        <v>32</v>
      </c>
      <c r="AT9" s="91">
        <v>32</v>
      </c>
      <c r="AU9" s="91">
        <v>32</v>
      </c>
      <c r="AV9" s="91"/>
      <c r="AW9" s="91">
        <v>32</v>
      </c>
      <c r="AX9" s="91">
        <v>32</v>
      </c>
      <c r="AY9" s="91"/>
      <c r="AZ9" s="91">
        <v>32</v>
      </c>
      <c r="BA9" s="91">
        <v>32</v>
      </c>
      <c r="BB9" s="91">
        <v>31</v>
      </c>
      <c r="BC9" s="91"/>
      <c r="BD9" s="91"/>
      <c r="BE9" s="91">
        <v>34</v>
      </c>
      <c r="BF9" s="91">
        <v>32</v>
      </c>
      <c r="BG9" s="91">
        <v>28</v>
      </c>
      <c r="BH9" s="91"/>
    </row>
    <row r="10" spans="1:60" x14ac:dyDescent="0.25">
      <c r="A10" s="91" t="s">
        <v>173</v>
      </c>
      <c r="B10" s="129">
        <f t="shared" si="2"/>
        <v>1438</v>
      </c>
      <c r="C10" s="91">
        <f t="shared" si="3"/>
        <v>48</v>
      </c>
      <c r="D10" s="130">
        <f t="shared" si="4"/>
        <v>0.96</v>
      </c>
      <c r="E10" s="131">
        <v>46274</v>
      </c>
      <c r="F10" s="131">
        <v>46301</v>
      </c>
      <c r="G10" s="91">
        <f t="shared" si="5"/>
        <v>27</v>
      </c>
      <c r="H10" s="91">
        <v>9</v>
      </c>
      <c r="I10" s="91">
        <v>27</v>
      </c>
      <c r="J10" s="91">
        <v>45</v>
      </c>
      <c r="K10" s="91">
        <v>27</v>
      </c>
      <c r="L10" s="91">
        <v>27</v>
      </c>
      <c r="M10" s="91"/>
      <c r="N10" s="91">
        <v>27</v>
      </c>
      <c r="O10" s="91">
        <v>27</v>
      </c>
      <c r="P10" s="91">
        <v>27</v>
      </c>
      <c r="Q10" s="91">
        <v>27</v>
      </c>
      <c r="R10" s="91">
        <v>27</v>
      </c>
      <c r="S10" s="91">
        <v>27</v>
      </c>
      <c r="T10" s="91">
        <v>45</v>
      </c>
      <c r="U10" s="91">
        <v>27</v>
      </c>
      <c r="V10" s="91">
        <v>27</v>
      </c>
      <c r="W10" s="91">
        <v>45</v>
      </c>
      <c r="X10" s="91">
        <v>27</v>
      </c>
      <c r="Y10" s="91">
        <v>1</v>
      </c>
      <c r="Z10" s="91">
        <v>27</v>
      </c>
      <c r="AA10" s="91">
        <v>27</v>
      </c>
      <c r="AB10" s="91">
        <v>45</v>
      </c>
      <c r="AC10" s="91">
        <v>27</v>
      </c>
      <c r="AD10" s="91">
        <v>27</v>
      </c>
      <c r="AE10" s="91">
        <v>27</v>
      </c>
      <c r="AF10" s="91">
        <v>27</v>
      </c>
      <c r="AG10" s="91">
        <v>27</v>
      </c>
      <c r="AH10" s="91">
        <v>45</v>
      </c>
      <c r="AI10" s="91">
        <v>27</v>
      </c>
      <c r="AJ10" s="91">
        <v>27</v>
      </c>
      <c r="AK10" s="91">
        <v>27</v>
      </c>
      <c r="AL10" s="91">
        <v>45</v>
      </c>
      <c r="AM10" s="91">
        <v>27</v>
      </c>
      <c r="AN10" s="91">
        <v>27</v>
      </c>
      <c r="AO10" s="91">
        <v>45</v>
      </c>
      <c r="AP10" s="91">
        <v>27</v>
      </c>
      <c r="AQ10" s="91">
        <v>27</v>
      </c>
      <c r="AR10" s="91">
        <v>27</v>
      </c>
      <c r="AS10" s="91">
        <v>27</v>
      </c>
      <c r="AT10" s="91">
        <v>27</v>
      </c>
      <c r="AU10" s="91">
        <v>27</v>
      </c>
      <c r="AV10" s="91">
        <v>27</v>
      </c>
      <c r="AW10" s="91">
        <v>27</v>
      </c>
      <c r="AX10" s="91">
        <v>27</v>
      </c>
      <c r="AY10" s="91"/>
      <c r="AZ10" s="91">
        <v>27</v>
      </c>
      <c r="BA10" s="91">
        <v>27</v>
      </c>
      <c r="BB10" s="91">
        <v>45</v>
      </c>
      <c r="BC10" s="91">
        <v>27</v>
      </c>
      <c r="BD10" s="91">
        <v>36</v>
      </c>
      <c r="BE10" s="91">
        <v>27</v>
      </c>
      <c r="BF10" s="91">
        <v>17</v>
      </c>
      <c r="BG10" s="91">
        <v>16</v>
      </c>
      <c r="BH10" s="91"/>
    </row>
    <row r="11" spans="1:60" x14ac:dyDescent="0.25">
      <c r="A11" s="91" t="s">
        <v>113</v>
      </c>
      <c r="B11" s="129">
        <f t="shared" si="2"/>
        <v>1420</v>
      </c>
      <c r="C11" s="91">
        <f t="shared" si="3"/>
        <v>47</v>
      </c>
      <c r="D11" s="130">
        <f t="shared" si="4"/>
        <v>0.94</v>
      </c>
      <c r="E11" s="131">
        <v>46282</v>
      </c>
      <c r="F11" s="131">
        <v>46319</v>
      </c>
      <c r="G11" s="91">
        <f t="shared" si="5"/>
        <v>37</v>
      </c>
      <c r="H11" s="91">
        <v>28</v>
      </c>
      <c r="I11" s="91">
        <v>28</v>
      </c>
      <c r="J11" s="91">
        <v>28</v>
      </c>
      <c r="K11" s="91">
        <v>28</v>
      </c>
      <c r="L11" s="91">
        <v>28</v>
      </c>
      <c r="M11" s="91"/>
      <c r="N11" s="91">
        <v>28</v>
      </c>
      <c r="O11" s="91">
        <v>28</v>
      </c>
      <c r="P11" s="91">
        <v>28</v>
      </c>
      <c r="Q11" s="91">
        <v>28</v>
      </c>
      <c r="R11" s="91">
        <v>28</v>
      </c>
      <c r="S11" s="91">
        <v>28</v>
      </c>
      <c r="T11" s="91">
        <v>28</v>
      </c>
      <c r="U11" s="91">
        <v>28</v>
      </c>
      <c r="V11" s="91">
        <v>28</v>
      </c>
      <c r="W11" s="91">
        <v>28</v>
      </c>
      <c r="X11" s="91">
        <v>28</v>
      </c>
      <c r="Y11" s="91">
        <v>28</v>
      </c>
      <c r="Z11" s="91">
        <v>28</v>
      </c>
      <c r="AA11" s="91">
        <v>28</v>
      </c>
      <c r="AB11" s="91">
        <v>28</v>
      </c>
      <c r="AC11" s="91">
        <v>28</v>
      </c>
      <c r="AD11" s="91">
        <v>28</v>
      </c>
      <c r="AE11" s="91">
        <v>28</v>
      </c>
      <c r="AF11" s="91">
        <v>28</v>
      </c>
      <c r="AG11" s="91">
        <v>28</v>
      </c>
      <c r="AH11" s="91">
        <v>28</v>
      </c>
      <c r="AI11" s="91">
        <v>28</v>
      </c>
      <c r="AJ11" s="91">
        <v>28</v>
      </c>
      <c r="AK11" s="91">
        <v>28</v>
      </c>
      <c r="AL11" s="91">
        <v>28</v>
      </c>
      <c r="AM11" s="91">
        <v>28</v>
      </c>
      <c r="AN11" s="91">
        <v>28</v>
      </c>
      <c r="AO11" s="91">
        <v>28</v>
      </c>
      <c r="AP11" s="91">
        <v>28</v>
      </c>
      <c r="AQ11" s="91">
        <v>28</v>
      </c>
      <c r="AR11" s="91">
        <v>28</v>
      </c>
      <c r="AS11" s="91">
        <v>28</v>
      </c>
      <c r="AT11" s="91">
        <v>28</v>
      </c>
      <c r="AU11" s="91">
        <v>28</v>
      </c>
      <c r="AV11" s="91">
        <v>28</v>
      </c>
      <c r="AW11" s="91">
        <v>28</v>
      </c>
      <c r="AX11" s="91">
        <v>28</v>
      </c>
      <c r="AY11" s="91"/>
      <c r="AZ11" s="91">
        <v>20</v>
      </c>
      <c r="BA11" s="91">
        <v>28</v>
      </c>
      <c r="BB11" s="91">
        <v>28</v>
      </c>
      <c r="BC11" s="91">
        <v>28</v>
      </c>
      <c r="BD11" s="91"/>
      <c r="BE11" s="91">
        <v>28</v>
      </c>
      <c r="BF11" s="91">
        <v>56</v>
      </c>
      <c r="BG11" s="91">
        <v>56</v>
      </c>
      <c r="BH11" s="91"/>
    </row>
    <row r="12" spans="1:60" x14ac:dyDescent="0.25">
      <c r="A12" s="91" t="s">
        <v>69</v>
      </c>
      <c r="B12" s="129">
        <f t="shared" si="2"/>
        <v>1375</v>
      </c>
      <c r="C12" s="91">
        <f t="shared" si="3"/>
        <v>48</v>
      </c>
      <c r="D12" s="130">
        <f t="shared" si="4"/>
        <v>0.96</v>
      </c>
      <c r="E12" s="131">
        <v>46304</v>
      </c>
      <c r="F12" s="131">
        <v>46315</v>
      </c>
      <c r="G12" s="91">
        <f t="shared" si="5"/>
        <v>11</v>
      </c>
      <c r="H12" s="91">
        <v>27</v>
      </c>
      <c r="I12" s="91">
        <v>27</v>
      </c>
      <c r="J12" s="91">
        <v>27</v>
      </c>
      <c r="K12" s="91">
        <v>27</v>
      </c>
      <c r="L12" s="91">
        <v>27</v>
      </c>
      <c r="M12" s="91"/>
      <c r="N12" s="91">
        <v>27</v>
      </c>
      <c r="O12" s="91">
        <v>27</v>
      </c>
      <c r="P12" s="91">
        <v>27</v>
      </c>
      <c r="Q12" s="91">
        <v>27</v>
      </c>
      <c r="R12" s="91">
        <v>27</v>
      </c>
      <c r="S12" s="91">
        <v>27</v>
      </c>
      <c r="T12" s="91">
        <v>27</v>
      </c>
      <c r="U12" s="91">
        <v>27</v>
      </c>
      <c r="V12" s="91">
        <v>27</v>
      </c>
      <c r="W12" s="91">
        <v>27</v>
      </c>
      <c r="X12" s="91">
        <v>27</v>
      </c>
      <c r="Y12" s="91">
        <v>36</v>
      </c>
      <c r="Z12" s="91">
        <v>27</v>
      </c>
      <c r="AA12" s="91">
        <v>27</v>
      </c>
      <c r="AB12" s="91">
        <v>27</v>
      </c>
      <c r="AC12" s="91">
        <v>27</v>
      </c>
      <c r="AD12" s="91">
        <v>27</v>
      </c>
      <c r="AE12" s="91">
        <v>27</v>
      </c>
      <c r="AF12" s="91">
        <v>27</v>
      </c>
      <c r="AG12" s="91">
        <v>27</v>
      </c>
      <c r="AH12" s="91">
        <v>27</v>
      </c>
      <c r="AI12" s="91">
        <v>27</v>
      </c>
      <c r="AJ12" s="91">
        <v>27</v>
      </c>
      <c r="AK12" s="91">
        <v>27</v>
      </c>
      <c r="AL12" s="91">
        <v>27</v>
      </c>
      <c r="AM12" s="91">
        <v>27</v>
      </c>
      <c r="AN12" s="91">
        <v>27</v>
      </c>
      <c r="AO12" s="91">
        <v>27</v>
      </c>
      <c r="AP12" s="91">
        <v>27</v>
      </c>
      <c r="AQ12" s="91">
        <v>27</v>
      </c>
      <c r="AR12" s="91">
        <v>27</v>
      </c>
      <c r="AS12" s="91">
        <v>27</v>
      </c>
      <c r="AT12" s="91">
        <v>27</v>
      </c>
      <c r="AU12" s="91">
        <v>27</v>
      </c>
      <c r="AV12" s="91">
        <v>27</v>
      </c>
      <c r="AW12" s="91">
        <v>27</v>
      </c>
      <c r="AX12" s="91">
        <v>27</v>
      </c>
      <c r="AY12" s="91"/>
      <c r="AZ12" s="91">
        <v>27</v>
      </c>
      <c r="BA12" s="91">
        <v>27</v>
      </c>
      <c r="BB12" s="91">
        <v>27</v>
      </c>
      <c r="BC12" s="91">
        <v>27</v>
      </c>
      <c r="BD12" s="91">
        <v>27</v>
      </c>
      <c r="BE12" s="91">
        <v>27</v>
      </c>
      <c r="BF12" s="91">
        <v>70</v>
      </c>
      <c r="BG12" s="91"/>
      <c r="BH12" s="91"/>
    </row>
    <row r="13" spans="1:60" x14ac:dyDescent="0.25">
      <c r="A13" s="91" t="s">
        <v>59</v>
      </c>
      <c r="B13" s="129">
        <f t="shared" si="2"/>
        <v>1372</v>
      </c>
      <c r="C13" s="91">
        <f t="shared" si="3"/>
        <v>41</v>
      </c>
      <c r="D13" s="130">
        <f t="shared" si="4"/>
        <v>0.82</v>
      </c>
      <c r="E13" s="131">
        <v>46275</v>
      </c>
      <c r="F13" s="131">
        <v>46287</v>
      </c>
      <c r="G13" s="91">
        <f t="shared" si="5"/>
        <v>12</v>
      </c>
      <c r="H13" s="91"/>
      <c r="I13" s="91">
        <v>32</v>
      </c>
      <c r="J13" s="91">
        <v>32</v>
      </c>
      <c r="K13" s="91">
        <v>32</v>
      </c>
      <c r="L13" s="91">
        <v>32</v>
      </c>
      <c r="M13" s="91"/>
      <c r="N13" s="91">
        <v>32</v>
      </c>
      <c r="O13" s="91">
        <v>32</v>
      </c>
      <c r="P13" s="91">
        <v>32</v>
      </c>
      <c r="Q13" s="91">
        <v>32</v>
      </c>
      <c r="R13" s="91">
        <v>32</v>
      </c>
      <c r="S13" s="91">
        <v>32</v>
      </c>
      <c r="T13" s="91">
        <v>32</v>
      </c>
      <c r="U13" s="91">
        <v>32</v>
      </c>
      <c r="V13" s="91">
        <v>33</v>
      </c>
      <c r="W13" s="91">
        <v>32</v>
      </c>
      <c r="X13" s="91">
        <v>32</v>
      </c>
      <c r="Y13" s="91">
        <v>31</v>
      </c>
      <c r="Z13" s="91">
        <v>32</v>
      </c>
      <c r="AA13" s="91"/>
      <c r="AB13" s="91">
        <v>32</v>
      </c>
      <c r="AC13" s="91">
        <v>32</v>
      </c>
      <c r="AD13" s="91">
        <v>32</v>
      </c>
      <c r="AE13" s="91">
        <v>32</v>
      </c>
      <c r="AF13" s="91">
        <v>32</v>
      </c>
      <c r="AG13" s="91">
        <v>32</v>
      </c>
      <c r="AH13" s="91">
        <v>32</v>
      </c>
      <c r="AI13" s="91">
        <v>32</v>
      </c>
      <c r="AJ13" s="91">
        <v>32</v>
      </c>
      <c r="AK13" s="91">
        <v>32</v>
      </c>
      <c r="AL13" s="91">
        <v>32</v>
      </c>
      <c r="AM13" s="91">
        <v>32</v>
      </c>
      <c r="AN13" s="91">
        <v>32</v>
      </c>
      <c r="AO13" s="91">
        <v>32</v>
      </c>
      <c r="AP13" s="91"/>
      <c r="AQ13" s="91"/>
      <c r="AR13" s="91">
        <v>32</v>
      </c>
      <c r="AS13" s="91">
        <v>32</v>
      </c>
      <c r="AT13" s="91">
        <v>32</v>
      </c>
      <c r="AU13" s="91">
        <v>32</v>
      </c>
      <c r="AV13" s="91"/>
      <c r="AW13" s="91">
        <v>32</v>
      </c>
      <c r="AX13" s="91">
        <v>32</v>
      </c>
      <c r="AY13" s="91"/>
      <c r="AZ13" s="91">
        <v>32</v>
      </c>
      <c r="BA13" s="91">
        <v>32</v>
      </c>
      <c r="BB13" s="91">
        <v>32</v>
      </c>
      <c r="BC13" s="91"/>
      <c r="BD13" s="91"/>
      <c r="BE13" s="91">
        <v>32</v>
      </c>
      <c r="BF13" s="91">
        <v>32</v>
      </c>
      <c r="BG13" s="91">
        <v>28</v>
      </c>
      <c r="BH13" s="91"/>
    </row>
    <row r="14" spans="1:60" x14ac:dyDescent="0.25">
      <c r="A14" s="91" t="s">
        <v>92</v>
      </c>
      <c r="B14" s="129">
        <f t="shared" si="2"/>
        <v>1366</v>
      </c>
      <c r="C14" s="91">
        <f t="shared" si="3"/>
        <v>48</v>
      </c>
      <c r="D14" s="130">
        <f t="shared" si="4"/>
        <v>0.96</v>
      </c>
      <c r="E14" s="131">
        <v>46262</v>
      </c>
      <c r="F14" s="131">
        <v>46302</v>
      </c>
      <c r="G14" s="91">
        <f t="shared" si="5"/>
        <v>40</v>
      </c>
      <c r="H14" s="91">
        <v>24</v>
      </c>
      <c r="I14" s="91">
        <v>30</v>
      </c>
      <c r="J14" s="91">
        <v>30</v>
      </c>
      <c r="K14" s="91">
        <v>30</v>
      </c>
      <c r="L14" s="91">
        <v>30</v>
      </c>
      <c r="M14" s="91"/>
      <c r="N14" s="91">
        <v>30</v>
      </c>
      <c r="O14" s="91">
        <v>30</v>
      </c>
      <c r="P14" s="91">
        <v>24</v>
      </c>
      <c r="Q14" s="91">
        <v>30</v>
      </c>
      <c r="R14" s="91">
        <v>26</v>
      </c>
      <c r="S14" s="91">
        <v>30</v>
      </c>
      <c r="T14" s="91">
        <v>30</v>
      </c>
      <c r="U14" s="91">
        <v>30</v>
      </c>
      <c r="V14" s="91">
        <v>30</v>
      </c>
      <c r="W14" s="91">
        <v>30</v>
      </c>
      <c r="X14" s="91">
        <v>30</v>
      </c>
      <c r="Y14" s="91">
        <v>3</v>
      </c>
      <c r="Z14" s="91">
        <v>30</v>
      </c>
      <c r="AA14" s="91">
        <v>30</v>
      </c>
      <c r="AB14" s="91">
        <v>30</v>
      </c>
      <c r="AC14" s="91">
        <v>30</v>
      </c>
      <c r="AD14" s="91">
        <v>30</v>
      </c>
      <c r="AE14" s="91">
        <v>30</v>
      </c>
      <c r="AF14" s="91">
        <v>30</v>
      </c>
      <c r="AG14" s="91">
        <v>30</v>
      </c>
      <c r="AH14" s="91">
        <v>30</v>
      </c>
      <c r="AI14" s="91">
        <v>30</v>
      </c>
      <c r="AJ14" s="91">
        <v>30</v>
      </c>
      <c r="AK14" s="91">
        <v>24</v>
      </c>
      <c r="AL14" s="91">
        <v>30</v>
      </c>
      <c r="AM14" s="91">
        <v>30</v>
      </c>
      <c r="AN14" s="91">
        <v>30</v>
      </c>
      <c r="AO14" s="91">
        <v>30</v>
      </c>
      <c r="AP14" s="91">
        <v>30</v>
      </c>
      <c r="AQ14" s="91">
        <v>30</v>
      </c>
      <c r="AR14" s="91">
        <v>30</v>
      </c>
      <c r="AS14" s="91">
        <v>30</v>
      </c>
      <c r="AT14" s="91">
        <v>30</v>
      </c>
      <c r="AU14" s="91">
        <v>30</v>
      </c>
      <c r="AV14" s="91">
        <v>10</v>
      </c>
      <c r="AW14" s="91">
        <v>30</v>
      </c>
      <c r="AX14" s="91">
        <v>30</v>
      </c>
      <c r="AY14" s="91"/>
      <c r="AZ14" s="91">
        <v>30</v>
      </c>
      <c r="BA14" s="91">
        <v>30</v>
      </c>
      <c r="BB14" s="91">
        <v>24</v>
      </c>
      <c r="BC14" s="91">
        <v>10</v>
      </c>
      <c r="BD14" s="91">
        <v>10</v>
      </c>
      <c r="BE14" s="91">
        <v>24</v>
      </c>
      <c r="BF14" s="91">
        <v>5</v>
      </c>
      <c r="BG14" s="91">
        <v>42</v>
      </c>
      <c r="BH14" s="91"/>
    </row>
    <row r="15" spans="1:60" x14ac:dyDescent="0.25">
      <c r="A15" s="91" t="s">
        <v>75</v>
      </c>
      <c r="B15" s="129">
        <f t="shared" si="2"/>
        <v>1317</v>
      </c>
      <c r="C15" s="91">
        <f t="shared" si="3"/>
        <v>48</v>
      </c>
      <c r="D15" s="130">
        <f t="shared" si="4"/>
        <v>0.96</v>
      </c>
      <c r="E15" s="131">
        <v>46282</v>
      </c>
      <c r="F15" s="131">
        <v>46301</v>
      </c>
      <c r="G15" s="91">
        <f t="shared" si="5"/>
        <v>19</v>
      </c>
      <c r="H15" s="91">
        <v>18</v>
      </c>
      <c r="I15" s="91">
        <v>27</v>
      </c>
      <c r="J15" s="91">
        <v>27</v>
      </c>
      <c r="K15" s="91">
        <v>27</v>
      </c>
      <c r="L15" s="91">
        <v>27</v>
      </c>
      <c r="M15" s="91"/>
      <c r="N15" s="91">
        <v>27</v>
      </c>
      <c r="O15" s="91">
        <v>27</v>
      </c>
      <c r="P15" s="91">
        <v>27</v>
      </c>
      <c r="Q15" s="91">
        <v>27</v>
      </c>
      <c r="R15" s="91">
        <v>27</v>
      </c>
      <c r="S15" s="91">
        <v>27</v>
      </c>
      <c r="T15" s="91">
        <v>27</v>
      </c>
      <c r="U15" s="91">
        <v>18</v>
      </c>
      <c r="V15" s="91">
        <v>27</v>
      </c>
      <c r="W15" s="91">
        <v>27</v>
      </c>
      <c r="X15" s="91">
        <v>27</v>
      </c>
      <c r="Y15" s="91">
        <v>4</v>
      </c>
      <c r="Z15" s="91">
        <v>27</v>
      </c>
      <c r="AA15" s="91">
        <v>27</v>
      </c>
      <c r="AB15" s="91">
        <v>27</v>
      </c>
      <c r="AC15" s="91">
        <v>27</v>
      </c>
      <c r="AD15" s="91">
        <v>27</v>
      </c>
      <c r="AE15" s="91">
        <v>27</v>
      </c>
      <c r="AF15" s="91">
        <v>27</v>
      </c>
      <c r="AG15" s="91">
        <v>9</v>
      </c>
      <c r="AH15" s="91">
        <v>27</v>
      </c>
      <c r="AI15" s="91">
        <v>27</v>
      </c>
      <c r="AJ15" s="91">
        <v>27</v>
      </c>
      <c r="AK15" s="91">
        <v>17</v>
      </c>
      <c r="AL15" s="91">
        <v>9</v>
      </c>
      <c r="AM15" s="91">
        <v>27</v>
      </c>
      <c r="AN15" s="91">
        <v>27</v>
      </c>
      <c r="AO15" s="91">
        <v>27</v>
      </c>
      <c r="AP15" s="91">
        <v>27</v>
      </c>
      <c r="AQ15" s="91">
        <v>27</v>
      </c>
      <c r="AR15" s="91">
        <v>27</v>
      </c>
      <c r="AS15" s="91">
        <v>27</v>
      </c>
      <c r="AT15" s="91">
        <v>27</v>
      </c>
      <c r="AU15" s="91">
        <v>27</v>
      </c>
      <c r="AV15" s="91">
        <v>27</v>
      </c>
      <c r="AW15" s="91">
        <v>27</v>
      </c>
      <c r="AX15" s="91">
        <v>27</v>
      </c>
      <c r="AY15" s="91"/>
      <c r="AZ15" s="91">
        <v>27</v>
      </c>
      <c r="BA15" s="91">
        <v>27</v>
      </c>
      <c r="BB15" s="91">
        <v>27</v>
      </c>
      <c r="BC15" s="91">
        <v>27</v>
      </c>
      <c r="BD15" s="91">
        <v>27</v>
      </c>
      <c r="BE15" s="91">
        <v>27</v>
      </c>
      <c r="BF15" s="91">
        <v>54</v>
      </c>
      <c r="BG15" s="91">
        <v>54</v>
      </c>
      <c r="BH15" s="91"/>
    </row>
    <row r="16" spans="1:60" x14ac:dyDescent="0.25">
      <c r="A16" s="91" t="s">
        <v>290</v>
      </c>
      <c r="B16" s="129">
        <f t="shared" si="2"/>
        <v>1258</v>
      </c>
      <c r="C16" s="91">
        <f t="shared" si="3"/>
        <v>48</v>
      </c>
      <c r="D16" s="130">
        <f t="shared" si="4"/>
        <v>0.96</v>
      </c>
      <c r="E16" s="131">
        <v>46238</v>
      </c>
      <c r="F16" s="131">
        <v>46262</v>
      </c>
      <c r="G16" s="91">
        <f t="shared" si="5"/>
        <v>24</v>
      </c>
      <c r="H16" s="91">
        <v>14</v>
      </c>
      <c r="I16" s="91">
        <v>17</v>
      </c>
      <c r="J16" s="91">
        <v>30</v>
      </c>
      <c r="K16" s="91">
        <v>35</v>
      </c>
      <c r="L16" s="91">
        <v>34</v>
      </c>
      <c r="M16" s="91"/>
      <c r="N16" s="91">
        <v>30</v>
      </c>
      <c r="O16" s="91">
        <v>34</v>
      </c>
      <c r="P16" s="91">
        <v>31</v>
      </c>
      <c r="Q16" s="91">
        <v>27</v>
      </c>
      <c r="R16" s="91">
        <v>35</v>
      </c>
      <c r="S16" s="91">
        <v>18</v>
      </c>
      <c r="T16" s="91">
        <v>37</v>
      </c>
      <c r="U16" s="91">
        <v>18</v>
      </c>
      <c r="V16" s="91">
        <v>30</v>
      </c>
      <c r="W16" s="91">
        <v>28</v>
      </c>
      <c r="X16" s="91">
        <v>37</v>
      </c>
      <c r="Y16" s="91">
        <v>32</v>
      </c>
      <c r="Z16" s="91">
        <v>27</v>
      </c>
      <c r="AA16" s="91">
        <v>18</v>
      </c>
      <c r="AB16" s="91">
        <v>35</v>
      </c>
      <c r="AC16" s="91">
        <v>30</v>
      </c>
      <c r="AD16" s="91">
        <v>40</v>
      </c>
      <c r="AE16" s="91">
        <v>26</v>
      </c>
      <c r="AF16" s="91">
        <v>28</v>
      </c>
      <c r="AG16" s="91">
        <v>32</v>
      </c>
      <c r="AH16" s="91">
        <v>27</v>
      </c>
      <c r="AI16" s="91">
        <v>14</v>
      </c>
      <c r="AJ16" s="91">
        <v>34</v>
      </c>
      <c r="AK16" s="91">
        <v>18</v>
      </c>
      <c r="AL16" s="91">
        <v>28</v>
      </c>
      <c r="AM16" s="91">
        <v>18</v>
      </c>
      <c r="AN16" s="91">
        <v>31</v>
      </c>
      <c r="AO16" s="91">
        <v>30</v>
      </c>
      <c r="AP16" s="91">
        <v>18</v>
      </c>
      <c r="AQ16" s="91">
        <v>32</v>
      </c>
      <c r="AR16" s="91">
        <v>18</v>
      </c>
      <c r="AS16" s="91">
        <v>16</v>
      </c>
      <c r="AT16" s="91">
        <v>18</v>
      </c>
      <c r="AU16" s="91">
        <v>30</v>
      </c>
      <c r="AV16" s="91">
        <v>12</v>
      </c>
      <c r="AW16" s="91">
        <v>18</v>
      </c>
      <c r="AX16" s="91">
        <v>27</v>
      </c>
      <c r="AY16" s="91"/>
      <c r="AZ16" s="91">
        <v>18</v>
      </c>
      <c r="BA16" s="91">
        <v>26</v>
      </c>
      <c r="BB16" s="91">
        <v>30</v>
      </c>
      <c r="BC16" s="91">
        <v>18</v>
      </c>
      <c r="BD16" s="91">
        <v>14</v>
      </c>
      <c r="BE16" s="91">
        <v>14</v>
      </c>
      <c r="BF16" s="91">
        <v>4</v>
      </c>
      <c r="BG16" s="91">
        <v>22</v>
      </c>
      <c r="BH16" s="91"/>
    </row>
    <row r="17" spans="1:60" x14ac:dyDescent="0.25">
      <c r="A17" s="91" t="s">
        <v>101</v>
      </c>
      <c r="B17" s="129">
        <f t="shared" si="2"/>
        <v>1221</v>
      </c>
      <c r="C17" s="91">
        <f t="shared" si="3"/>
        <v>48</v>
      </c>
      <c r="D17" s="130">
        <f t="shared" si="4"/>
        <v>0.96</v>
      </c>
      <c r="E17" s="131">
        <v>46282</v>
      </c>
      <c r="F17" s="131">
        <v>46311</v>
      </c>
      <c r="G17" s="91">
        <f t="shared" si="5"/>
        <v>29</v>
      </c>
      <c r="H17" s="91">
        <v>21</v>
      </c>
      <c r="I17" s="91">
        <v>21</v>
      </c>
      <c r="J17" s="91">
        <v>28</v>
      </c>
      <c r="K17" s="91">
        <v>28</v>
      </c>
      <c r="L17" s="91">
        <v>28</v>
      </c>
      <c r="M17" s="91"/>
      <c r="N17" s="91">
        <v>28</v>
      </c>
      <c r="O17" s="91">
        <v>28</v>
      </c>
      <c r="P17" s="91">
        <v>21</v>
      </c>
      <c r="Q17" s="91">
        <v>28</v>
      </c>
      <c r="R17" s="91">
        <v>21</v>
      </c>
      <c r="S17" s="91">
        <v>21</v>
      </c>
      <c r="T17" s="91">
        <v>21</v>
      </c>
      <c r="U17" s="91">
        <v>28</v>
      </c>
      <c r="V17" s="91">
        <v>28</v>
      </c>
      <c r="W17" s="91">
        <v>28</v>
      </c>
      <c r="X17" s="91">
        <v>28</v>
      </c>
      <c r="Y17" s="91">
        <v>21</v>
      </c>
      <c r="Z17" s="91">
        <v>28</v>
      </c>
      <c r="AA17" s="91">
        <v>21</v>
      </c>
      <c r="AB17" s="91">
        <v>28</v>
      </c>
      <c r="AC17" s="91">
        <v>28</v>
      </c>
      <c r="AD17" s="91">
        <v>21</v>
      </c>
      <c r="AE17" s="91">
        <v>28</v>
      </c>
      <c r="AF17" s="91">
        <v>21</v>
      </c>
      <c r="AG17" s="91">
        <v>21</v>
      </c>
      <c r="AH17" s="91">
        <v>21</v>
      </c>
      <c r="AI17" s="91">
        <v>28</v>
      </c>
      <c r="AJ17" s="91">
        <v>21</v>
      </c>
      <c r="AK17" s="91">
        <v>28</v>
      </c>
      <c r="AL17" s="91">
        <v>21</v>
      </c>
      <c r="AM17" s="91">
        <v>21</v>
      </c>
      <c r="AN17" s="91">
        <v>21</v>
      </c>
      <c r="AO17" s="91">
        <v>21</v>
      </c>
      <c r="AP17" s="91">
        <v>21</v>
      </c>
      <c r="AQ17" s="91">
        <v>21</v>
      </c>
      <c r="AR17" s="91">
        <v>21</v>
      </c>
      <c r="AS17" s="91">
        <v>21</v>
      </c>
      <c r="AT17" s="91">
        <v>21</v>
      </c>
      <c r="AU17" s="91">
        <v>21</v>
      </c>
      <c r="AV17" s="91">
        <v>28</v>
      </c>
      <c r="AW17" s="91">
        <v>21</v>
      </c>
      <c r="AX17" s="91">
        <v>21</v>
      </c>
      <c r="AY17" s="91"/>
      <c r="AZ17" s="91">
        <v>21</v>
      </c>
      <c r="BA17" s="91">
        <v>21</v>
      </c>
      <c r="BB17" s="91">
        <v>28</v>
      </c>
      <c r="BC17" s="91">
        <v>28</v>
      </c>
      <c r="BD17" s="91">
        <v>28</v>
      </c>
      <c r="BE17" s="91">
        <v>21</v>
      </c>
      <c r="BF17" s="91">
        <v>25</v>
      </c>
      <c r="BG17" s="91">
        <v>48</v>
      </c>
      <c r="BH17" s="91"/>
    </row>
    <row r="18" spans="1:60" x14ac:dyDescent="0.25">
      <c r="A18" s="91" t="s">
        <v>65</v>
      </c>
      <c r="B18" s="129">
        <f t="shared" si="2"/>
        <v>1188</v>
      </c>
      <c r="C18" s="91">
        <f t="shared" si="3"/>
        <v>46</v>
      </c>
      <c r="D18" s="130">
        <f t="shared" si="4"/>
        <v>0.92</v>
      </c>
      <c r="E18" s="131">
        <v>46287</v>
      </c>
      <c r="F18" s="131">
        <v>46316</v>
      </c>
      <c r="G18" s="91">
        <f t="shared" si="5"/>
        <v>29</v>
      </c>
      <c r="H18" s="91">
        <v>24</v>
      </c>
      <c r="I18" s="91">
        <v>24</v>
      </c>
      <c r="J18" s="91">
        <v>32</v>
      </c>
      <c r="K18" s="91">
        <v>24</v>
      </c>
      <c r="L18" s="91">
        <v>32</v>
      </c>
      <c r="M18" s="91"/>
      <c r="N18" s="91">
        <v>24</v>
      </c>
      <c r="O18" s="91">
        <v>32</v>
      </c>
      <c r="P18" s="91">
        <v>24</v>
      </c>
      <c r="Q18" s="91">
        <v>24</v>
      </c>
      <c r="R18" s="91">
        <v>24</v>
      </c>
      <c r="S18" s="91">
        <v>32</v>
      </c>
      <c r="T18" s="91">
        <v>24</v>
      </c>
      <c r="U18" s="91">
        <v>24</v>
      </c>
      <c r="V18" s="91">
        <v>24</v>
      </c>
      <c r="W18" s="91">
        <v>24</v>
      </c>
      <c r="X18" s="91">
        <v>24</v>
      </c>
      <c r="Y18" s="91"/>
      <c r="Z18" s="91">
        <v>24</v>
      </c>
      <c r="AA18" s="91">
        <v>24</v>
      </c>
      <c r="AB18" s="91">
        <v>32</v>
      </c>
      <c r="AC18" s="91">
        <v>24</v>
      </c>
      <c r="AD18" s="91">
        <v>24</v>
      </c>
      <c r="AE18" s="91">
        <v>24</v>
      </c>
      <c r="AF18" s="91">
        <v>24</v>
      </c>
      <c r="AG18" s="91">
        <v>24</v>
      </c>
      <c r="AH18" s="91">
        <v>24</v>
      </c>
      <c r="AI18" s="91">
        <v>24</v>
      </c>
      <c r="AJ18" s="91">
        <v>24</v>
      </c>
      <c r="AK18" s="91">
        <v>24</v>
      </c>
      <c r="AL18" s="91">
        <v>24</v>
      </c>
      <c r="AM18" s="91">
        <v>24</v>
      </c>
      <c r="AN18" s="91">
        <v>24</v>
      </c>
      <c r="AO18" s="91">
        <v>24</v>
      </c>
      <c r="AP18" s="91">
        <v>24</v>
      </c>
      <c r="AQ18" s="91">
        <v>24</v>
      </c>
      <c r="AR18" s="91">
        <v>24</v>
      </c>
      <c r="AS18" s="91">
        <v>24</v>
      </c>
      <c r="AT18" s="91">
        <v>24</v>
      </c>
      <c r="AU18" s="91">
        <v>24</v>
      </c>
      <c r="AV18" s="91"/>
      <c r="AW18" s="91">
        <v>24</v>
      </c>
      <c r="AX18" s="91">
        <v>24</v>
      </c>
      <c r="AY18" s="91"/>
      <c r="AZ18" s="91">
        <v>24</v>
      </c>
      <c r="BA18" s="91">
        <v>24</v>
      </c>
      <c r="BB18" s="91">
        <v>33</v>
      </c>
      <c r="BC18" s="91">
        <v>22</v>
      </c>
      <c r="BD18" s="91">
        <v>16</v>
      </c>
      <c r="BE18" s="91">
        <v>24</v>
      </c>
      <c r="BF18" s="91">
        <v>31</v>
      </c>
      <c r="BG18" s="91">
        <v>14</v>
      </c>
      <c r="BH18" s="91"/>
    </row>
    <row r="19" spans="1:60" x14ac:dyDescent="0.25">
      <c r="A19" s="91" t="s">
        <v>175</v>
      </c>
      <c r="B19" s="129">
        <f t="shared" si="2"/>
        <v>1173</v>
      </c>
      <c r="C19" s="91">
        <f t="shared" si="3"/>
        <v>47</v>
      </c>
      <c r="D19" s="130">
        <f t="shared" si="4"/>
        <v>0.94</v>
      </c>
      <c r="E19" s="131">
        <v>46282</v>
      </c>
      <c r="F19" s="131">
        <v>46318</v>
      </c>
      <c r="G19" s="91">
        <f t="shared" si="5"/>
        <v>36</v>
      </c>
      <c r="H19" s="91">
        <v>24</v>
      </c>
      <c r="I19" s="91">
        <v>24</v>
      </c>
      <c r="J19" s="91">
        <v>24</v>
      </c>
      <c r="K19" s="91">
        <v>24</v>
      </c>
      <c r="L19" s="91">
        <v>24</v>
      </c>
      <c r="M19" s="91"/>
      <c r="N19" s="91">
        <v>24</v>
      </c>
      <c r="O19" s="91">
        <v>24</v>
      </c>
      <c r="P19" s="91">
        <v>24</v>
      </c>
      <c r="Q19" s="91">
        <v>24</v>
      </c>
      <c r="R19" s="91">
        <v>24</v>
      </c>
      <c r="S19" s="91">
        <v>24</v>
      </c>
      <c r="T19" s="91">
        <v>24</v>
      </c>
      <c r="U19" s="91">
        <v>24</v>
      </c>
      <c r="V19" s="91">
        <v>24</v>
      </c>
      <c r="W19" s="91">
        <v>24</v>
      </c>
      <c r="X19" s="91">
        <v>24</v>
      </c>
      <c r="Y19" s="91">
        <v>24</v>
      </c>
      <c r="Z19" s="91">
        <v>24</v>
      </c>
      <c r="AA19" s="91">
        <v>24</v>
      </c>
      <c r="AB19" s="91">
        <v>24</v>
      </c>
      <c r="AC19" s="91">
        <v>24</v>
      </c>
      <c r="AD19" s="91">
        <v>24</v>
      </c>
      <c r="AE19" s="91">
        <v>24</v>
      </c>
      <c r="AF19" s="91">
        <v>24</v>
      </c>
      <c r="AG19" s="91">
        <v>24</v>
      </c>
      <c r="AH19" s="91">
        <v>24</v>
      </c>
      <c r="AI19" s="91">
        <v>24</v>
      </c>
      <c r="AJ19" s="91">
        <v>24</v>
      </c>
      <c r="AK19" s="91">
        <v>24</v>
      </c>
      <c r="AL19" s="91">
        <v>24</v>
      </c>
      <c r="AM19" s="91">
        <v>24</v>
      </c>
      <c r="AN19" s="91">
        <v>24</v>
      </c>
      <c r="AO19" s="91">
        <v>24</v>
      </c>
      <c r="AP19" s="91">
        <v>24</v>
      </c>
      <c r="AQ19" s="91">
        <v>24</v>
      </c>
      <c r="AR19" s="91">
        <v>9</v>
      </c>
      <c r="AS19" s="91">
        <v>24</v>
      </c>
      <c r="AT19" s="91">
        <v>24</v>
      </c>
      <c r="AU19" s="91">
        <v>24</v>
      </c>
      <c r="AV19" s="91">
        <v>14</v>
      </c>
      <c r="AW19" s="91">
        <v>24</v>
      </c>
      <c r="AX19" s="91">
        <v>24</v>
      </c>
      <c r="AY19" s="91"/>
      <c r="AZ19" s="91">
        <v>24</v>
      </c>
      <c r="BA19" s="91">
        <v>24</v>
      </c>
      <c r="BB19" s="91">
        <v>14</v>
      </c>
      <c r="BC19" s="91">
        <v>14</v>
      </c>
      <c r="BD19" s="91"/>
      <c r="BE19" s="91">
        <v>24</v>
      </c>
      <c r="BF19" s="91">
        <v>45</v>
      </c>
      <c r="BG19" s="91">
        <v>45</v>
      </c>
      <c r="BH19" s="91"/>
    </row>
    <row r="20" spans="1:60" x14ac:dyDescent="0.25">
      <c r="A20" s="91" t="s">
        <v>265</v>
      </c>
      <c r="B20" s="129">
        <f t="shared" si="2"/>
        <v>1168</v>
      </c>
      <c r="C20" s="91">
        <f t="shared" si="3"/>
        <v>49</v>
      </c>
      <c r="D20" s="130">
        <f t="shared" si="4"/>
        <v>0.98</v>
      </c>
      <c r="E20" s="131">
        <v>46238</v>
      </c>
      <c r="F20" s="131">
        <v>46262</v>
      </c>
      <c r="G20" s="91">
        <f t="shared" si="5"/>
        <v>24</v>
      </c>
      <c r="H20" s="91">
        <v>13</v>
      </c>
      <c r="I20" s="91">
        <v>17</v>
      </c>
      <c r="J20" s="91">
        <v>30</v>
      </c>
      <c r="K20" s="91">
        <v>32</v>
      </c>
      <c r="L20" s="91">
        <v>26</v>
      </c>
      <c r="M20" s="91">
        <v>14</v>
      </c>
      <c r="N20" s="91">
        <v>36</v>
      </c>
      <c r="O20" s="91">
        <v>36</v>
      </c>
      <c r="P20" s="91">
        <v>32</v>
      </c>
      <c r="Q20" s="91">
        <v>20</v>
      </c>
      <c r="R20" s="91">
        <v>31</v>
      </c>
      <c r="S20" s="91">
        <v>9</v>
      </c>
      <c r="T20" s="91">
        <v>33</v>
      </c>
      <c r="U20" s="91">
        <v>18</v>
      </c>
      <c r="V20" s="91">
        <v>30</v>
      </c>
      <c r="W20" s="91">
        <v>29</v>
      </c>
      <c r="X20" s="91">
        <v>24</v>
      </c>
      <c r="Y20" s="91">
        <v>32</v>
      </c>
      <c r="Z20" s="91">
        <v>20</v>
      </c>
      <c r="AA20" s="91">
        <v>9</v>
      </c>
      <c r="AB20" s="91">
        <v>24</v>
      </c>
      <c r="AC20" s="91">
        <v>24</v>
      </c>
      <c r="AD20" s="91">
        <v>25</v>
      </c>
      <c r="AE20" s="91">
        <v>29</v>
      </c>
      <c r="AF20" s="91">
        <v>29</v>
      </c>
      <c r="AG20" s="91">
        <v>31</v>
      </c>
      <c r="AH20" s="91">
        <v>29</v>
      </c>
      <c r="AI20" s="91">
        <v>17</v>
      </c>
      <c r="AJ20" s="91">
        <v>34</v>
      </c>
      <c r="AK20" s="91">
        <v>9</v>
      </c>
      <c r="AL20" s="91">
        <v>29</v>
      </c>
      <c r="AM20" s="91">
        <v>18</v>
      </c>
      <c r="AN20" s="91">
        <v>31</v>
      </c>
      <c r="AO20" s="91">
        <v>21</v>
      </c>
      <c r="AP20" s="91">
        <v>18</v>
      </c>
      <c r="AQ20" s="91">
        <v>31</v>
      </c>
      <c r="AR20" s="91">
        <v>18</v>
      </c>
      <c r="AS20" s="91">
        <v>17</v>
      </c>
      <c r="AT20" s="91">
        <v>18</v>
      </c>
      <c r="AU20" s="91">
        <v>32</v>
      </c>
      <c r="AV20" s="91">
        <v>12</v>
      </c>
      <c r="AW20" s="91">
        <v>18</v>
      </c>
      <c r="AX20" s="91">
        <v>29</v>
      </c>
      <c r="AY20" s="91"/>
      <c r="AZ20" s="91">
        <v>18</v>
      </c>
      <c r="BA20" s="91">
        <v>20</v>
      </c>
      <c r="BB20" s="91">
        <v>21</v>
      </c>
      <c r="BC20" s="91">
        <v>9</v>
      </c>
      <c r="BD20" s="91">
        <v>15</v>
      </c>
      <c r="BE20" s="91">
        <v>13</v>
      </c>
      <c r="BF20" s="91">
        <v>14</v>
      </c>
      <c r="BG20" s="91">
        <v>24</v>
      </c>
      <c r="BH20" s="91"/>
    </row>
    <row r="21" spans="1:60" x14ac:dyDescent="0.25">
      <c r="A21" s="91" t="s">
        <v>73</v>
      </c>
      <c r="B21" s="129">
        <f t="shared" si="2"/>
        <v>1120</v>
      </c>
      <c r="C21" s="91">
        <f t="shared" si="3"/>
        <v>48</v>
      </c>
      <c r="D21" s="130">
        <f t="shared" si="4"/>
        <v>0.96</v>
      </c>
      <c r="E21" s="131">
        <v>46304</v>
      </c>
      <c r="F21" s="131">
        <v>46315</v>
      </c>
      <c r="G21" s="91">
        <f t="shared" si="5"/>
        <v>11</v>
      </c>
      <c r="H21" s="91">
        <v>24</v>
      </c>
      <c r="I21" s="91">
        <v>24</v>
      </c>
      <c r="J21" s="91">
        <v>24</v>
      </c>
      <c r="K21" s="91">
        <v>24</v>
      </c>
      <c r="L21" s="91">
        <v>24</v>
      </c>
      <c r="M21" s="91"/>
      <c r="N21" s="91">
        <v>24</v>
      </c>
      <c r="O21" s="91">
        <v>24</v>
      </c>
      <c r="P21" s="91">
        <v>24</v>
      </c>
      <c r="Q21" s="91">
        <v>24</v>
      </c>
      <c r="R21" s="91">
        <v>24</v>
      </c>
      <c r="S21" s="91">
        <v>24</v>
      </c>
      <c r="T21" s="91">
        <v>24</v>
      </c>
      <c r="U21" s="91">
        <v>24</v>
      </c>
      <c r="V21" s="91">
        <v>24</v>
      </c>
      <c r="W21" s="91">
        <v>24</v>
      </c>
      <c r="X21" s="91">
        <v>24</v>
      </c>
      <c r="Y21" s="91">
        <v>24</v>
      </c>
      <c r="Z21" s="91">
        <v>24</v>
      </c>
      <c r="AA21" s="91">
        <v>24</v>
      </c>
      <c r="AB21" s="91">
        <v>24</v>
      </c>
      <c r="AC21" s="91">
        <v>24</v>
      </c>
      <c r="AD21" s="91">
        <v>24</v>
      </c>
      <c r="AE21" s="91">
        <v>24</v>
      </c>
      <c r="AF21" s="91">
        <v>24</v>
      </c>
      <c r="AG21" s="91">
        <v>24</v>
      </c>
      <c r="AH21" s="91">
        <v>24</v>
      </c>
      <c r="AI21" s="91">
        <v>24</v>
      </c>
      <c r="AJ21" s="91">
        <v>24</v>
      </c>
      <c r="AK21" s="91">
        <v>24</v>
      </c>
      <c r="AL21" s="91">
        <v>24</v>
      </c>
      <c r="AM21" s="91">
        <v>24</v>
      </c>
      <c r="AN21" s="91">
        <v>24</v>
      </c>
      <c r="AO21" s="91">
        <v>24</v>
      </c>
      <c r="AP21" s="91">
        <v>24</v>
      </c>
      <c r="AQ21" s="91">
        <v>24</v>
      </c>
      <c r="AR21" s="91">
        <v>24</v>
      </c>
      <c r="AS21" s="91">
        <v>24</v>
      </c>
      <c r="AT21" s="91">
        <v>24</v>
      </c>
      <c r="AU21" s="91">
        <v>24</v>
      </c>
      <c r="AV21" s="91">
        <v>8</v>
      </c>
      <c r="AW21" s="91">
        <v>24</v>
      </c>
      <c r="AX21" s="91">
        <v>24</v>
      </c>
      <c r="AY21" s="91"/>
      <c r="AZ21" s="91">
        <v>24</v>
      </c>
      <c r="BA21" s="91">
        <v>24</v>
      </c>
      <c r="BB21" s="91">
        <v>8</v>
      </c>
      <c r="BC21" s="91">
        <v>8</v>
      </c>
      <c r="BD21" s="91">
        <v>8</v>
      </c>
      <c r="BE21" s="91">
        <v>24</v>
      </c>
      <c r="BF21" s="91">
        <v>16</v>
      </c>
      <c r="BG21" s="91">
        <v>16</v>
      </c>
      <c r="BH21" s="91"/>
    </row>
    <row r="22" spans="1:60" x14ac:dyDescent="0.25">
      <c r="A22" s="91" t="s">
        <v>104</v>
      </c>
      <c r="B22" s="129">
        <f t="shared" si="2"/>
        <v>1096</v>
      </c>
      <c r="C22" s="91">
        <f t="shared" si="3"/>
        <v>49</v>
      </c>
      <c r="D22" s="130">
        <f t="shared" si="4"/>
        <v>0.98</v>
      </c>
      <c r="E22" s="131">
        <v>46252</v>
      </c>
      <c r="F22" s="131">
        <v>46301</v>
      </c>
      <c r="G22" s="91">
        <f t="shared" si="5"/>
        <v>49</v>
      </c>
      <c r="H22" s="91">
        <v>28</v>
      </c>
      <c r="I22" s="91">
        <v>28</v>
      </c>
      <c r="J22" s="91">
        <v>28</v>
      </c>
      <c r="K22" s="91">
        <v>28</v>
      </c>
      <c r="L22" s="91">
        <v>14</v>
      </c>
      <c r="M22" s="91">
        <v>10</v>
      </c>
      <c r="N22" s="91">
        <v>28</v>
      </c>
      <c r="O22" s="91">
        <v>28</v>
      </c>
      <c r="P22" s="91">
        <v>28</v>
      </c>
      <c r="Q22" s="91">
        <v>26</v>
      </c>
      <c r="R22" s="91">
        <v>14</v>
      </c>
      <c r="S22" s="91">
        <v>28</v>
      </c>
      <c r="T22" s="91">
        <v>28</v>
      </c>
      <c r="U22" s="91">
        <v>14</v>
      </c>
      <c r="V22" s="91">
        <v>28</v>
      </c>
      <c r="W22" s="91">
        <v>14</v>
      </c>
      <c r="X22" s="91">
        <v>28</v>
      </c>
      <c r="Y22" s="91">
        <v>9</v>
      </c>
      <c r="Z22" s="91">
        <v>14</v>
      </c>
      <c r="AA22" s="91">
        <v>14</v>
      </c>
      <c r="AB22" s="91">
        <v>28</v>
      </c>
      <c r="AC22" s="91">
        <v>28</v>
      </c>
      <c r="AD22" s="91">
        <v>14</v>
      </c>
      <c r="AE22" s="91">
        <v>14</v>
      </c>
      <c r="AF22" s="91">
        <v>28</v>
      </c>
      <c r="AG22" s="91">
        <v>14</v>
      </c>
      <c r="AH22" s="91">
        <v>28</v>
      </c>
      <c r="AI22" s="91">
        <v>28</v>
      </c>
      <c r="AJ22" s="91">
        <v>14</v>
      </c>
      <c r="AK22" s="91">
        <v>14</v>
      </c>
      <c r="AL22" s="91">
        <v>14</v>
      </c>
      <c r="AM22" s="91">
        <v>28</v>
      </c>
      <c r="AN22" s="91">
        <v>28</v>
      </c>
      <c r="AO22" s="91">
        <v>28</v>
      </c>
      <c r="AP22" s="91">
        <v>14</v>
      </c>
      <c r="AQ22" s="91">
        <v>14</v>
      </c>
      <c r="AR22" s="91">
        <v>14</v>
      </c>
      <c r="AS22" s="91">
        <v>28</v>
      </c>
      <c r="AT22" s="91">
        <v>28</v>
      </c>
      <c r="AU22" s="91">
        <v>14</v>
      </c>
      <c r="AV22" s="91">
        <v>14</v>
      </c>
      <c r="AW22" s="91">
        <v>14</v>
      </c>
      <c r="AX22" s="91">
        <v>14</v>
      </c>
      <c r="AY22" s="91"/>
      <c r="AZ22" s="91">
        <v>14</v>
      </c>
      <c r="BA22" s="91">
        <v>14</v>
      </c>
      <c r="BB22" s="91">
        <v>14</v>
      </c>
      <c r="BC22" s="91">
        <v>14</v>
      </c>
      <c r="BD22" s="91">
        <v>14</v>
      </c>
      <c r="BE22" s="91">
        <v>28</v>
      </c>
      <c r="BF22" s="91">
        <v>51</v>
      </c>
      <c r="BG22" s="91">
        <v>48</v>
      </c>
      <c r="BH22" s="91"/>
    </row>
    <row r="23" spans="1:60" x14ac:dyDescent="0.25">
      <c r="A23" s="91" t="s">
        <v>293</v>
      </c>
      <c r="B23" s="129">
        <f t="shared" si="2"/>
        <v>1065</v>
      </c>
      <c r="C23" s="91">
        <f t="shared" si="3"/>
        <v>49</v>
      </c>
      <c r="D23" s="130">
        <f t="shared" si="4"/>
        <v>0.98</v>
      </c>
      <c r="E23" s="131">
        <v>46225</v>
      </c>
      <c r="F23" s="131">
        <v>46254</v>
      </c>
      <c r="G23" s="91">
        <f t="shared" si="5"/>
        <v>29</v>
      </c>
      <c r="H23" s="91">
        <v>11</v>
      </c>
      <c r="I23" s="91">
        <v>11</v>
      </c>
      <c r="J23" s="91">
        <v>26</v>
      </c>
      <c r="K23" s="91">
        <v>29</v>
      </c>
      <c r="L23" s="91">
        <v>29</v>
      </c>
      <c r="M23" s="91">
        <v>4</v>
      </c>
      <c r="N23" s="91">
        <v>26</v>
      </c>
      <c r="O23" s="91">
        <v>28</v>
      </c>
      <c r="P23" s="91">
        <v>29</v>
      </c>
      <c r="Q23" s="91">
        <v>23</v>
      </c>
      <c r="R23" s="91">
        <v>28</v>
      </c>
      <c r="S23" s="91">
        <v>16</v>
      </c>
      <c r="T23" s="91">
        <v>30</v>
      </c>
      <c r="U23" s="91">
        <v>16</v>
      </c>
      <c r="V23" s="91">
        <v>26</v>
      </c>
      <c r="W23" s="91">
        <v>24</v>
      </c>
      <c r="X23" s="91">
        <v>28</v>
      </c>
      <c r="Y23" s="91">
        <v>28</v>
      </c>
      <c r="Z23" s="91">
        <v>23</v>
      </c>
      <c r="AA23" s="91">
        <v>16</v>
      </c>
      <c r="AB23" s="91">
        <v>27</v>
      </c>
      <c r="AC23" s="91">
        <v>28</v>
      </c>
      <c r="AD23" s="91">
        <v>29</v>
      </c>
      <c r="AE23" s="91">
        <v>23</v>
      </c>
      <c r="AF23" s="91">
        <v>24</v>
      </c>
      <c r="AG23" s="91">
        <v>26</v>
      </c>
      <c r="AH23" s="91">
        <v>23</v>
      </c>
      <c r="AI23" s="91">
        <v>11</v>
      </c>
      <c r="AJ23" s="91">
        <v>30</v>
      </c>
      <c r="AK23" s="91">
        <v>16</v>
      </c>
      <c r="AL23" s="91">
        <v>24</v>
      </c>
      <c r="AM23" s="91">
        <v>16</v>
      </c>
      <c r="AN23" s="91">
        <v>26</v>
      </c>
      <c r="AO23" s="91">
        <v>16</v>
      </c>
      <c r="AP23" s="91">
        <v>16</v>
      </c>
      <c r="AQ23" s="91">
        <v>27</v>
      </c>
      <c r="AR23" s="91">
        <v>16</v>
      </c>
      <c r="AS23" s="91">
        <v>5</v>
      </c>
      <c r="AT23" s="91">
        <v>16</v>
      </c>
      <c r="AU23" s="91">
        <v>26</v>
      </c>
      <c r="AV23" s="91">
        <v>10</v>
      </c>
      <c r="AW23" s="91">
        <v>16</v>
      </c>
      <c r="AX23" s="91">
        <v>23</v>
      </c>
      <c r="AY23" s="91"/>
      <c r="AZ23" s="91">
        <v>16</v>
      </c>
      <c r="BA23" s="91">
        <v>23</v>
      </c>
      <c r="BB23" s="91">
        <v>26</v>
      </c>
      <c r="BC23" s="91">
        <v>16</v>
      </c>
      <c r="BD23" s="91">
        <v>10</v>
      </c>
      <c r="BE23" s="91">
        <v>9</v>
      </c>
      <c r="BF23" s="91">
        <v>20</v>
      </c>
      <c r="BG23" s="91">
        <v>20</v>
      </c>
      <c r="BH23" s="91"/>
    </row>
    <row r="24" spans="1:60" x14ac:dyDescent="0.25">
      <c r="A24" s="91" t="s">
        <v>127</v>
      </c>
      <c r="B24" s="129">
        <f t="shared" si="2"/>
        <v>1060</v>
      </c>
      <c r="C24" s="91">
        <f t="shared" si="3"/>
        <v>48</v>
      </c>
      <c r="D24" s="130">
        <f t="shared" si="4"/>
        <v>0.96</v>
      </c>
      <c r="E24" s="131">
        <v>46311</v>
      </c>
      <c r="F24" s="131">
        <v>46316</v>
      </c>
      <c r="G24" s="91">
        <f t="shared" si="5"/>
        <v>5</v>
      </c>
      <c r="H24" s="91">
        <v>16</v>
      </c>
      <c r="I24" s="91">
        <v>16</v>
      </c>
      <c r="J24" s="91">
        <v>24</v>
      </c>
      <c r="K24" s="91">
        <v>24</v>
      </c>
      <c r="L24" s="91">
        <v>24</v>
      </c>
      <c r="M24" s="91"/>
      <c r="N24" s="91">
        <v>24</v>
      </c>
      <c r="O24" s="91">
        <v>24</v>
      </c>
      <c r="P24" s="91">
        <v>24</v>
      </c>
      <c r="Q24" s="91">
        <v>24</v>
      </c>
      <c r="R24" s="91">
        <v>24</v>
      </c>
      <c r="S24" s="91">
        <v>24</v>
      </c>
      <c r="T24" s="91">
        <v>24</v>
      </c>
      <c r="U24" s="91">
        <v>16</v>
      </c>
      <c r="V24" s="91">
        <v>24</v>
      </c>
      <c r="W24" s="91">
        <v>24</v>
      </c>
      <c r="X24" s="91">
        <v>24</v>
      </c>
      <c r="Y24" s="91">
        <v>24</v>
      </c>
      <c r="Z24" s="91">
        <v>16</v>
      </c>
      <c r="AA24" s="91">
        <v>16</v>
      </c>
      <c r="AB24" s="91">
        <v>24</v>
      </c>
      <c r="AC24" s="91">
        <v>24</v>
      </c>
      <c r="AD24" s="91">
        <v>24</v>
      </c>
      <c r="AE24" s="91">
        <v>16</v>
      </c>
      <c r="AF24" s="91">
        <v>24</v>
      </c>
      <c r="AG24" s="91">
        <v>24</v>
      </c>
      <c r="AH24" s="91">
        <v>24</v>
      </c>
      <c r="AI24" s="91">
        <v>24</v>
      </c>
      <c r="AJ24" s="91">
        <v>24</v>
      </c>
      <c r="AK24" s="91">
        <v>16</v>
      </c>
      <c r="AL24" s="91">
        <v>24</v>
      </c>
      <c r="AM24" s="91">
        <v>24</v>
      </c>
      <c r="AN24" s="91">
        <v>24</v>
      </c>
      <c r="AO24" s="91">
        <v>24</v>
      </c>
      <c r="AP24" s="91">
        <v>24</v>
      </c>
      <c r="AQ24" s="91">
        <v>16</v>
      </c>
      <c r="AR24" s="91">
        <v>16</v>
      </c>
      <c r="AS24" s="91">
        <v>24</v>
      </c>
      <c r="AT24" s="91">
        <v>24</v>
      </c>
      <c r="AU24" s="91">
        <v>24</v>
      </c>
      <c r="AV24" s="91">
        <v>16</v>
      </c>
      <c r="AW24" s="91">
        <v>24</v>
      </c>
      <c r="AX24" s="91">
        <v>16</v>
      </c>
      <c r="AY24" s="91"/>
      <c r="AZ24" s="91">
        <v>16</v>
      </c>
      <c r="BA24" s="91">
        <v>16</v>
      </c>
      <c r="BB24" s="91">
        <v>24</v>
      </c>
      <c r="BC24" s="91">
        <v>24</v>
      </c>
      <c r="BD24" s="91">
        <v>24</v>
      </c>
      <c r="BE24" s="91">
        <v>24</v>
      </c>
      <c r="BF24" s="91">
        <v>6</v>
      </c>
      <c r="BG24" s="91">
        <v>6</v>
      </c>
      <c r="BH24" s="91"/>
    </row>
    <row r="25" spans="1:60" x14ac:dyDescent="0.25">
      <c r="A25" s="91" t="s">
        <v>163</v>
      </c>
      <c r="B25" s="129">
        <f t="shared" si="2"/>
        <v>973</v>
      </c>
      <c r="C25" s="91">
        <f t="shared" si="3"/>
        <v>47</v>
      </c>
      <c r="D25" s="130">
        <f t="shared" si="4"/>
        <v>0.94</v>
      </c>
      <c r="E25" s="131">
        <v>46293</v>
      </c>
      <c r="F25" s="131">
        <v>46318</v>
      </c>
      <c r="G25" s="91">
        <f t="shared" si="5"/>
        <v>25</v>
      </c>
      <c r="H25" s="91">
        <v>21</v>
      </c>
      <c r="I25" s="91">
        <v>5</v>
      </c>
      <c r="J25" s="91">
        <v>21</v>
      </c>
      <c r="K25" s="91">
        <v>21</v>
      </c>
      <c r="L25" s="91">
        <v>21</v>
      </c>
      <c r="M25" s="91"/>
      <c r="N25" s="91">
        <v>21</v>
      </c>
      <c r="O25" s="91">
        <v>21</v>
      </c>
      <c r="P25" s="91">
        <v>21</v>
      </c>
      <c r="Q25" s="91">
        <v>21</v>
      </c>
      <c r="R25" s="91">
        <v>21</v>
      </c>
      <c r="S25" s="91">
        <v>21</v>
      </c>
      <c r="T25" s="91">
        <v>21</v>
      </c>
      <c r="U25" s="91">
        <v>21</v>
      </c>
      <c r="V25" s="91">
        <v>21</v>
      </c>
      <c r="W25" s="91">
        <v>21</v>
      </c>
      <c r="X25" s="91">
        <v>21</v>
      </c>
      <c r="Y25" s="91">
        <v>21</v>
      </c>
      <c r="Z25" s="91">
        <v>21</v>
      </c>
      <c r="AA25" s="91">
        <v>5</v>
      </c>
      <c r="AB25" s="91">
        <v>21</v>
      </c>
      <c r="AC25" s="91">
        <v>21</v>
      </c>
      <c r="AD25" s="91">
        <v>21</v>
      </c>
      <c r="AE25" s="91">
        <v>5</v>
      </c>
      <c r="AF25" s="91">
        <v>21</v>
      </c>
      <c r="AG25" s="91"/>
      <c r="AH25" s="91">
        <v>21</v>
      </c>
      <c r="AI25" s="91">
        <v>7</v>
      </c>
      <c r="AJ25" s="91">
        <v>21</v>
      </c>
      <c r="AK25" s="91">
        <v>21</v>
      </c>
      <c r="AL25" s="91">
        <v>21</v>
      </c>
      <c r="AM25" s="91">
        <v>21</v>
      </c>
      <c r="AN25" s="91">
        <v>21</v>
      </c>
      <c r="AO25" s="91">
        <v>21</v>
      </c>
      <c r="AP25" s="91">
        <v>21</v>
      </c>
      <c r="AQ25" s="91">
        <v>21</v>
      </c>
      <c r="AR25" s="91">
        <v>5</v>
      </c>
      <c r="AS25" s="91">
        <v>21</v>
      </c>
      <c r="AT25" s="91">
        <v>21</v>
      </c>
      <c r="AU25" s="91">
        <v>21</v>
      </c>
      <c r="AV25" s="91">
        <v>21</v>
      </c>
      <c r="AW25" s="91">
        <v>21</v>
      </c>
      <c r="AX25" s="91">
        <v>5</v>
      </c>
      <c r="AY25" s="91"/>
      <c r="AZ25" s="91">
        <v>21</v>
      </c>
      <c r="BA25" s="91">
        <v>21</v>
      </c>
      <c r="BB25" s="91">
        <v>21</v>
      </c>
      <c r="BC25" s="91">
        <v>21</v>
      </c>
      <c r="BD25" s="91">
        <v>21</v>
      </c>
      <c r="BE25" s="91">
        <v>21</v>
      </c>
      <c r="BF25" s="91">
        <v>40</v>
      </c>
      <c r="BG25" s="91">
        <v>40</v>
      </c>
      <c r="BH25" s="91"/>
    </row>
    <row r="26" spans="1:60" x14ac:dyDescent="0.25">
      <c r="A26" s="91" t="s">
        <v>389</v>
      </c>
      <c r="B26" s="129">
        <f t="shared" si="2"/>
        <v>958</v>
      </c>
      <c r="C26" s="91">
        <f t="shared" si="3"/>
        <v>49</v>
      </c>
      <c r="D26" s="130">
        <f t="shared" si="4"/>
        <v>0.98</v>
      </c>
      <c r="E26" s="131">
        <v>46262</v>
      </c>
      <c r="F26" s="131">
        <v>46302</v>
      </c>
      <c r="G26" s="91">
        <f t="shared" si="5"/>
        <v>40</v>
      </c>
      <c r="H26" s="91">
        <v>16</v>
      </c>
      <c r="I26" s="91">
        <v>20</v>
      </c>
      <c r="J26" s="91">
        <v>20</v>
      </c>
      <c r="K26" s="91">
        <v>20</v>
      </c>
      <c r="L26" s="91">
        <v>20</v>
      </c>
      <c r="M26" s="91">
        <v>6</v>
      </c>
      <c r="N26" s="91">
        <v>20</v>
      </c>
      <c r="O26" s="91">
        <v>20</v>
      </c>
      <c r="P26" s="91">
        <v>20</v>
      </c>
      <c r="Q26" s="91">
        <v>20</v>
      </c>
      <c r="R26" s="91">
        <v>20</v>
      </c>
      <c r="S26" s="91">
        <v>20</v>
      </c>
      <c r="T26" s="91">
        <v>20</v>
      </c>
      <c r="U26" s="91">
        <v>20</v>
      </c>
      <c r="V26" s="91">
        <v>20</v>
      </c>
      <c r="W26" s="91">
        <v>16</v>
      </c>
      <c r="X26" s="91">
        <v>20</v>
      </c>
      <c r="Y26" s="91">
        <v>2</v>
      </c>
      <c r="Z26" s="91">
        <v>20</v>
      </c>
      <c r="AA26" s="91">
        <v>20</v>
      </c>
      <c r="AB26" s="91">
        <v>20</v>
      </c>
      <c r="AC26" s="91">
        <v>20</v>
      </c>
      <c r="AD26" s="91">
        <v>20</v>
      </c>
      <c r="AE26" s="91">
        <v>20</v>
      </c>
      <c r="AF26" s="91">
        <v>20</v>
      </c>
      <c r="AG26" s="91">
        <v>20</v>
      </c>
      <c r="AH26" s="91">
        <v>20</v>
      </c>
      <c r="AI26" s="91">
        <v>20</v>
      </c>
      <c r="AJ26" s="91">
        <v>20</v>
      </c>
      <c r="AK26" s="91">
        <v>20</v>
      </c>
      <c r="AL26" s="91">
        <v>20</v>
      </c>
      <c r="AM26" s="91">
        <v>20</v>
      </c>
      <c r="AN26" s="91">
        <v>20</v>
      </c>
      <c r="AO26" s="91">
        <v>20</v>
      </c>
      <c r="AP26" s="91">
        <v>20</v>
      </c>
      <c r="AQ26" s="91">
        <v>20</v>
      </c>
      <c r="AR26" s="91">
        <v>20</v>
      </c>
      <c r="AS26" s="91">
        <v>20</v>
      </c>
      <c r="AT26" s="91">
        <v>20</v>
      </c>
      <c r="AU26" s="91">
        <v>16</v>
      </c>
      <c r="AV26" s="91">
        <v>16</v>
      </c>
      <c r="AW26" s="91">
        <v>20</v>
      </c>
      <c r="AX26" s="91">
        <v>20</v>
      </c>
      <c r="AY26" s="91"/>
      <c r="AZ26" s="91">
        <v>16</v>
      </c>
      <c r="BA26" s="91">
        <v>16</v>
      </c>
      <c r="BB26" s="91">
        <v>16</v>
      </c>
      <c r="BC26" s="91">
        <v>16</v>
      </c>
      <c r="BD26" s="91">
        <v>32</v>
      </c>
      <c r="BE26" s="91">
        <v>20</v>
      </c>
      <c r="BF26" s="91">
        <v>16</v>
      </c>
      <c r="BG26" s="91">
        <v>14</v>
      </c>
      <c r="BH26" s="91"/>
    </row>
    <row r="27" spans="1:60" x14ac:dyDescent="0.25">
      <c r="A27" s="91" t="s">
        <v>117</v>
      </c>
      <c r="B27" s="129">
        <f t="shared" si="2"/>
        <v>948</v>
      </c>
      <c r="C27" s="91">
        <f t="shared" si="3"/>
        <v>49</v>
      </c>
      <c r="D27" s="130">
        <f t="shared" si="4"/>
        <v>0.98</v>
      </c>
      <c r="E27" s="131">
        <v>46275</v>
      </c>
      <c r="F27" s="131">
        <v>46309</v>
      </c>
      <c r="G27" s="91">
        <f t="shared" si="5"/>
        <v>34</v>
      </c>
      <c r="H27" s="91">
        <v>18</v>
      </c>
      <c r="I27" s="91">
        <v>18</v>
      </c>
      <c r="J27" s="91">
        <v>18</v>
      </c>
      <c r="K27" s="91">
        <v>18</v>
      </c>
      <c r="L27" s="91">
        <v>18</v>
      </c>
      <c r="M27" s="91"/>
      <c r="N27" s="91">
        <v>18</v>
      </c>
      <c r="O27" s="91">
        <v>18</v>
      </c>
      <c r="P27" s="91">
        <v>18</v>
      </c>
      <c r="Q27" s="91">
        <v>18</v>
      </c>
      <c r="R27" s="91">
        <v>18</v>
      </c>
      <c r="S27" s="91">
        <v>18</v>
      </c>
      <c r="T27" s="91">
        <v>18</v>
      </c>
      <c r="U27" s="91">
        <v>18</v>
      </c>
      <c r="V27" s="91">
        <v>18</v>
      </c>
      <c r="W27" s="91">
        <v>18</v>
      </c>
      <c r="X27" s="91">
        <v>18</v>
      </c>
      <c r="Y27" s="91">
        <v>18</v>
      </c>
      <c r="Z27" s="91">
        <v>18</v>
      </c>
      <c r="AA27" s="91">
        <v>18</v>
      </c>
      <c r="AB27" s="91">
        <v>18</v>
      </c>
      <c r="AC27" s="91">
        <v>18</v>
      </c>
      <c r="AD27" s="91">
        <v>18</v>
      </c>
      <c r="AE27" s="91">
        <v>18</v>
      </c>
      <c r="AF27" s="91">
        <v>18</v>
      </c>
      <c r="AG27" s="91">
        <v>18</v>
      </c>
      <c r="AH27" s="91">
        <v>18</v>
      </c>
      <c r="AI27" s="91">
        <v>18</v>
      </c>
      <c r="AJ27" s="91">
        <v>18</v>
      </c>
      <c r="AK27" s="91">
        <v>18</v>
      </c>
      <c r="AL27" s="91">
        <v>18</v>
      </c>
      <c r="AM27" s="91">
        <v>18</v>
      </c>
      <c r="AN27" s="91">
        <v>18</v>
      </c>
      <c r="AO27" s="91">
        <v>18</v>
      </c>
      <c r="AP27" s="91">
        <v>18</v>
      </c>
      <c r="AQ27" s="91">
        <v>18</v>
      </c>
      <c r="AR27" s="91">
        <v>18</v>
      </c>
      <c r="AS27" s="91">
        <v>18</v>
      </c>
      <c r="AT27" s="91">
        <v>18</v>
      </c>
      <c r="AU27" s="91">
        <v>18</v>
      </c>
      <c r="AV27" s="91">
        <v>18</v>
      </c>
      <c r="AW27" s="91">
        <v>18</v>
      </c>
      <c r="AX27" s="91">
        <v>18</v>
      </c>
      <c r="AY27" s="91">
        <v>14</v>
      </c>
      <c r="AZ27" s="91">
        <v>18</v>
      </c>
      <c r="BA27" s="91">
        <v>18</v>
      </c>
      <c r="BB27" s="91">
        <v>18</v>
      </c>
      <c r="BC27" s="91">
        <v>18</v>
      </c>
      <c r="BD27" s="91">
        <v>18</v>
      </c>
      <c r="BE27" s="91">
        <v>18</v>
      </c>
      <c r="BF27" s="91">
        <v>35</v>
      </c>
      <c r="BG27" s="91">
        <v>35</v>
      </c>
      <c r="BH27" s="91"/>
    </row>
    <row r="28" spans="1:60" x14ac:dyDescent="0.25">
      <c r="A28" s="91" t="s">
        <v>268</v>
      </c>
      <c r="B28" s="129">
        <f t="shared" si="2"/>
        <v>943</v>
      </c>
      <c r="C28" s="91">
        <f t="shared" si="3"/>
        <v>48</v>
      </c>
      <c r="D28" s="130">
        <f t="shared" si="4"/>
        <v>0.96</v>
      </c>
      <c r="E28" s="131">
        <v>46255</v>
      </c>
      <c r="F28" s="131">
        <v>46287</v>
      </c>
      <c r="G28" s="91">
        <f t="shared" si="5"/>
        <v>32</v>
      </c>
      <c r="H28" s="91">
        <v>18</v>
      </c>
      <c r="I28" s="91">
        <v>18</v>
      </c>
      <c r="J28" s="91">
        <v>18</v>
      </c>
      <c r="K28" s="91">
        <v>18</v>
      </c>
      <c r="L28" s="91">
        <v>18</v>
      </c>
      <c r="M28" s="91"/>
      <c r="N28" s="91">
        <v>18</v>
      </c>
      <c r="O28" s="91">
        <v>18</v>
      </c>
      <c r="P28" s="91">
        <v>18</v>
      </c>
      <c r="Q28" s="91">
        <v>18</v>
      </c>
      <c r="R28" s="91">
        <v>18</v>
      </c>
      <c r="S28" s="91">
        <v>18</v>
      </c>
      <c r="T28" s="91">
        <v>18</v>
      </c>
      <c r="U28" s="91">
        <v>18</v>
      </c>
      <c r="V28" s="91">
        <v>18</v>
      </c>
      <c r="W28" s="91">
        <v>18</v>
      </c>
      <c r="X28" s="91">
        <v>18</v>
      </c>
      <c r="Y28" s="91">
        <v>17</v>
      </c>
      <c r="Z28" s="91">
        <v>18</v>
      </c>
      <c r="AA28" s="91">
        <v>18</v>
      </c>
      <c r="AB28" s="91">
        <v>18</v>
      </c>
      <c r="AC28" s="91">
        <v>18</v>
      </c>
      <c r="AD28" s="91">
        <v>18</v>
      </c>
      <c r="AE28" s="91">
        <v>18</v>
      </c>
      <c r="AF28" s="91">
        <v>18</v>
      </c>
      <c r="AG28" s="91">
        <v>18</v>
      </c>
      <c r="AH28" s="91">
        <v>35</v>
      </c>
      <c r="AI28" s="91">
        <v>18</v>
      </c>
      <c r="AJ28" s="91">
        <v>18</v>
      </c>
      <c r="AK28" s="91">
        <v>18</v>
      </c>
      <c r="AL28" s="91">
        <v>36</v>
      </c>
      <c r="AM28" s="91">
        <v>18</v>
      </c>
      <c r="AN28" s="91">
        <v>18</v>
      </c>
      <c r="AO28" s="91">
        <v>18</v>
      </c>
      <c r="AP28" s="91">
        <v>18</v>
      </c>
      <c r="AQ28" s="91">
        <v>18</v>
      </c>
      <c r="AR28" s="91">
        <v>18</v>
      </c>
      <c r="AS28" s="91">
        <v>18</v>
      </c>
      <c r="AT28" s="91">
        <v>18</v>
      </c>
      <c r="AU28" s="91">
        <v>18</v>
      </c>
      <c r="AV28" s="91">
        <v>17</v>
      </c>
      <c r="AW28" s="91">
        <v>18</v>
      </c>
      <c r="AX28" s="91">
        <v>18</v>
      </c>
      <c r="AY28" s="91"/>
      <c r="AZ28" s="91">
        <v>18</v>
      </c>
      <c r="BA28" s="91">
        <v>18</v>
      </c>
      <c r="BB28" s="91">
        <v>18</v>
      </c>
      <c r="BC28" s="91">
        <v>20</v>
      </c>
      <c r="BD28" s="91">
        <v>35</v>
      </c>
      <c r="BE28" s="91">
        <v>18</v>
      </c>
      <c r="BF28" s="91">
        <v>1</v>
      </c>
      <c r="BG28" s="91">
        <v>26</v>
      </c>
      <c r="BH28" s="91"/>
    </row>
    <row r="29" spans="1:60" x14ac:dyDescent="0.25">
      <c r="A29" s="91" t="s">
        <v>332</v>
      </c>
      <c r="B29" s="129">
        <f t="shared" si="2"/>
        <v>942</v>
      </c>
      <c r="C29" s="91">
        <f t="shared" si="3"/>
        <v>48</v>
      </c>
      <c r="D29" s="130">
        <f t="shared" si="4"/>
        <v>0.96</v>
      </c>
      <c r="E29" s="131">
        <v>46266</v>
      </c>
      <c r="F29" s="131">
        <v>46287</v>
      </c>
      <c r="G29" s="91">
        <f t="shared" si="5"/>
        <v>21</v>
      </c>
      <c r="H29" s="91">
        <v>18</v>
      </c>
      <c r="I29" s="91">
        <v>18</v>
      </c>
      <c r="J29" s="91">
        <v>18</v>
      </c>
      <c r="K29" s="91">
        <v>36</v>
      </c>
      <c r="L29" s="91">
        <v>18</v>
      </c>
      <c r="M29" s="91"/>
      <c r="N29" s="91">
        <v>18</v>
      </c>
      <c r="O29" s="91">
        <v>18</v>
      </c>
      <c r="P29" s="91">
        <v>18</v>
      </c>
      <c r="Q29" s="91">
        <v>18</v>
      </c>
      <c r="R29" s="91">
        <v>18</v>
      </c>
      <c r="S29" s="91">
        <v>18</v>
      </c>
      <c r="T29" s="91">
        <v>18</v>
      </c>
      <c r="U29" s="91">
        <v>18</v>
      </c>
      <c r="V29" s="91">
        <v>18</v>
      </c>
      <c r="W29" s="91">
        <v>18</v>
      </c>
      <c r="X29" s="91">
        <v>18</v>
      </c>
      <c r="Y29" s="91">
        <v>17</v>
      </c>
      <c r="Z29" s="91">
        <v>18</v>
      </c>
      <c r="AA29" s="91">
        <v>18</v>
      </c>
      <c r="AB29" s="91">
        <v>18</v>
      </c>
      <c r="AC29" s="91">
        <v>18</v>
      </c>
      <c r="AD29" s="91">
        <v>18</v>
      </c>
      <c r="AE29" s="91">
        <v>18</v>
      </c>
      <c r="AF29" s="91">
        <v>18</v>
      </c>
      <c r="AG29" s="91">
        <v>18</v>
      </c>
      <c r="AH29" s="91">
        <v>18</v>
      </c>
      <c r="AI29" s="91">
        <v>18</v>
      </c>
      <c r="AJ29" s="91">
        <v>9</v>
      </c>
      <c r="AK29" s="91">
        <v>18</v>
      </c>
      <c r="AL29" s="91">
        <v>18</v>
      </c>
      <c r="AM29" s="91">
        <v>18</v>
      </c>
      <c r="AN29" s="91">
        <v>18</v>
      </c>
      <c r="AO29" s="91">
        <v>18</v>
      </c>
      <c r="AP29" s="91">
        <v>18</v>
      </c>
      <c r="AQ29" s="91">
        <v>18</v>
      </c>
      <c r="AR29" s="91">
        <v>18</v>
      </c>
      <c r="AS29" s="91">
        <v>18</v>
      </c>
      <c r="AT29" s="91">
        <v>18</v>
      </c>
      <c r="AU29" s="91">
        <v>18</v>
      </c>
      <c r="AV29" s="91">
        <v>18</v>
      </c>
      <c r="AW29" s="91">
        <v>18</v>
      </c>
      <c r="AX29" s="91">
        <v>18</v>
      </c>
      <c r="AY29" s="91"/>
      <c r="AZ29" s="91">
        <v>18</v>
      </c>
      <c r="BA29" s="91">
        <v>18</v>
      </c>
      <c r="BB29" s="91">
        <v>18</v>
      </c>
      <c r="BC29" s="91">
        <v>18</v>
      </c>
      <c r="BD29" s="91">
        <v>36</v>
      </c>
      <c r="BE29" s="91">
        <v>18</v>
      </c>
      <c r="BF29" s="91">
        <v>36</v>
      </c>
      <c r="BG29" s="91">
        <v>16</v>
      </c>
      <c r="BH29" s="91"/>
    </row>
    <row r="30" spans="1:60" x14ac:dyDescent="0.25">
      <c r="A30" s="91" t="s">
        <v>83</v>
      </c>
      <c r="B30" s="129">
        <f t="shared" si="2"/>
        <v>929</v>
      </c>
      <c r="C30" s="91">
        <f t="shared" si="3"/>
        <v>48</v>
      </c>
      <c r="D30" s="130">
        <f t="shared" si="4"/>
        <v>0.96</v>
      </c>
      <c r="E30" s="131">
        <v>46262</v>
      </c>
      <c r="F30" s="131">
        <v>46301</v>
      </c>
      <c r="G30" s="91">
        <f t="shared" si="5"/>
        <v>39</v>
      </c>
      <c r="H30" s="91">
        <v>20</v>
      </c>
      <c r="I30" s="91">
        <v>20</v>
      </c>
      <c r="J30" s="91">
        <v>20</v>
      </c>
      <c r="K30" s="91">
        <v>20</v>
      </c>
      <c r="L30" s="91">
        <v>20</v>
      </c>
      <c r="M30" s="91"/>
      <c r="N30" s="91">
        <v>20</v>
      </c>
      <c r="O30" s="91">
        <v>20</v>
      </c>
      <c r="P30" s="91">
        <v>16</v>
      </c>
      <c r="Q30" s="91">
        <v>20</v>
      </c>
      <c r="R30" s="91">
        <v>20</v>
      </c>
      <c r="S30" s="91">
        <v>20</v>
      </c>
      <c r="T30" s="91">
        <v>20</v>
      </c>
      <c r="U30" s="91">
        <v>20</v>
      </c>
      <c r="V30" s="91">
        <v>20</v>
      </c>
      <c r="W30" s="91">
        <v>20</v>
      </c>
      <c r="X30" s="91">
        <v>20</v>
      </c>
      <c r="Y30" s="91">
        <v>2</v>
      </c>
      <c r="Z30" s="91">
        <v>20</v>
      </c>
      <c r="AA30" s="91">
        <v>20</v>
      </c>
      <c r="AB30" s="91">
        <v>21</v>
      </c>
      <c r="AC30" s="91">
        <v>20</v>
      </c>
      <c r="AD30" s="91">
        <v>20</v>
      </c>
      <c r="AE30" s="91">
        <v>20</v>
      </c>
      <c r="AF30" s="91">
        <v>20</v>
      </c>
      <c r="AG30" s="91">
        <v>20</v>
      </c>
      <c r="AH30" s="91">
        <v>20</v>
      </c>
      <c r="AI30" s="91">
        <v>20</v>
      </c>
      <c r="AJ30" s="91">
        <v>20</v>
      </c>
      <c r="AK30" s="91">
        <v>20</v>
      </c>
      <c r="AL30" s="91">
        <v>20</v>
      </c>
      <c r="AM30" s="91">
        <v>20</v>
      </c>
      <c r="AN30" s="91">
        <v>20</v>
      </c>
      <c r="AO30" s="91">
        <v>20</v>
      </c>
      <c r="AP30" s="91">
        <v>20</v>
      </c>
      <c r="AQ30" s="91">
        <v>20</v>
      </c>
      <c r="AR30" s="91">
        <v>20</v>
      </c>
      <c r="AS30" s="91">
        <v>20</v>
      </c>
      <c r="AT30" s="91">
        <v>20</v>
      </c>
      <c r="AU30" s="91">
        <v>20</v>
      </c>
      <c r="AV30" s="91">
        <v>10</v>
      </c>
      <c r="AW30" s="91">
        <v>20</v>
      </c>
      <c r="AX30" s="91">
        <v>20</v>
      </c>
      <c r="AY30" s="91"/>
      <c r="AZ30" s="91">
        <v>20</v>
      </c>
      <c r="BA30" s="91">
        <v>20</v>
      </c>
      <c r="BB30" s="91">
        <v>10</v>
      </c>
      <c r="BC30" s="91">
        <v>10</v>
      </c>
      <c r="BD30" s="91">
        <v>10</v>
      </c>
      <c r="BE30" s="91">
        <v>20</v>
      </c>
      <c r="BF30" s="91">
        <v>16</v>
      </c>
      <c r="BG30" s="91">
        <v>14</v>
      </c>
      <c r="BH30" s="91"/>
    </row>
    <row r="31" spans="1:60" x14ac:dyDescent="0.25">
      <c r="A31" s="91" t="s">
        <v>165</v>
      </c>
      <c r="B31" s="129">
        <f t="shared" si="2"/>
        <v>928</v>
      </c>
      <c r="C31" s="91">
        <f t="shared" si="3"/>
        <v>48</v>
      </c>
      <c r="D31" s="130">
        <f t="shared" si="4"/>
        <v>0.96</v>
      </c>
      <c r="E31" s="131">
        <v>46275</v>
      </c>
      <c r="F31" s="131">
        <v>46287</v>
      </c>
      <c r="G31" s="91">
        <f t="shared" si="5"/>
        <v>12</v>
      </c>
      <c r="H31" s="91">
        <v>18</v>
      </c>
      <c r="I31" s="91">
        <v>18</v>
      </c>
      <c r="J31" s="91">
        <v>18</v>
      </c>
      <c r="K31" s="91">
        <v>18</v>
      </c>
      <c r="L31" s="91">
        <v>18</v>
      </c>
      <c r="M31" s="91"/>
      <c r="N31" s="91">
        <v>18</v>
      </c>
      <c r="O31" s="91">
        <v>18</v>
      </c>
      <c r="P31" s="91">
        <v>18</v>
      </c>
      <c r="Q31" s="91">
        <v>18</v>
      </c>
      <c r="R31" s="91">
        <v>18</v>
      </c>
      <c r="S31" s="91">
        <v>18</v>
      </c>
      <c r="T31" s="91">
        <v>18</v>
      </c>
      <c r="U31" s="91">
        <v>18</v>
      </c>
      <c r="V31" s="91">
        <v>18</v>
      </c>
      <c r="W31" s="91">
        <v>18</v>
      </c>
      <c r="X31" s="91">
        <v>18</v>
      </c>
      <c r="Y31" s="91">
        <v>18</v>
      </c>
      <c r="Z31" s="91">
        <v>18</v>
      </c>
      <c r="AA31" s="91">
        <v>18</v>
      </c>
      <c r="AB31" s="91">
        <v>18</v>
      </c>
      <c r="AC31" s="91">
        <v>18</v>
      </c>
      <c r="AD31" s="91">
        <v>18</v>
      </c>
      <c r="AE31" s="91">
        <v>18</v>
      </c>
      <c r="AF31" s="91">
        <v>18</v>
      </c>
      <c r="AG31" s="91">
        <v>18</v>
      </c>
      <c r="AH31" s="91">
        <v>18</v>
      </c>
      <c r="AI31" s="91">
        <v>18</v>
      </c>
      <c r="AJ31" s="91">
        <v>18</v>
      </c>
      <c r="AK31" s="91">
        <v>18</v>
      </c>
      <c r="AL31" s="91">
        <v>18</v>
      </c>
      <c r="AM31" s="91">
        <v>18</v>
      </c>
      <c r="AN31" s="91">
        <v>18</v>
      </c>
      <c r="AO31" s="91">
        <v>18</v>
      </c>
      <c r="AP31" s="91">
        <v>18</v>
      </c>
      <c r="AQ31" s="91">
        <v>18</v>
      </c>
      <c r="AR31" s="91">
        <v>18</v>
      </c>
      <c r="AS31" s="91">
        <v>18</v>
      </c>
      <c r="AT31" s="91">
        <v>18</v>
      </c>
      <c r="AU31" s="91">
        <v>18</v>
      </c>
      <c r="AV31" s="91">
        <v>18</v>
      </c>
      <c r="AW31" s="91">
        <v>18</v>
      </c>
      <c r="AX31" s="91">
        <v>18</v>
      </c>
      <c r="AY31" s="91"/>
      <c r="AZ31" s="91">
        <v>18</v>
      </c>
      <c r="BA31" s="91">
        <v>18</v>
      </c>
      <c r="BB31" s="91">
        <v>18</v>
      </c>
      <c r="BC31" s="91">
        <v>18</v>
      </c>
      <c r="BD31" s="91">
        <v>18</v>
      </c>
      <c r="BE31" s="91">
        <v>18</v>
      </c>
      <c r="BF31" s="91">
        <v>32</v>
      </c>
      <c r="BG31" s="91">
        <v>32</v>
      </c>
      <c r="BH31" s="91"/>
    </row>
    <row r="32" spans="1:60" x14ac:dyDescent="0.25">
      <c r="A32" s="91" t="s">
        <v>136</v>
      </c>
      <c r="B32" s="129">
        <f t="shared" si="2"/>
        <v>927</v>
      </c>
      <c r="C32" s="91">
        <f t="shared" si="3"/>
        <v>48</v>
      </c>
      <c r="D32" s="130">
        <f t="shared" si="4"/>
        <v>0.96</v>
      </c>
      <c r="E32" s="131">
        <v>46258</v>
      </c>
      <c r="F32" s="131">
        <v>46301</v>
      </c>
      <c r="G32" s="91">
        <f t="shared" si="5"/>
        <v>43</v>
      </c>
      <c r="H32" s="91">
        <v>18</v>
      </c>
      <c r="I32" s="91">
        <v>18</v>
      </c>
      <c r="J32" s="91">
        <v>18</v>
      </c>
      <c r="K32" s="91">
        <v>18</v>
      </c>
      <c r="L32" s="91">
        <v>18</v>
      </c>
      <c r="M32" s="91"/>
      <c r="N32" s="91">
        <v>18</v>
      </c>
      <c r="O32" s="91">
        <v>18</v>
      </c>
      <c r="P32" s="91">
        <v>18</v>
      </c>
      <c r="Q32" s="91">
        <v>18</v>
      </c>
      <c r="R32" s="91">
        <v>18</v>
      </c>
      <c r="S32" s="91">
        <v>18</v>
      </c>
      <c r="T32" s="91">
        <v>18</v>
      </c>
      <c r="U32" s="91">
        <v>18</v>
      </c>
      <c r="V32" s="91">
        <v>18</v>
      </c>
      <c r="W32" s="91">
        <v>18</v>
      </c>
      <c r="X32" s="91">
        <v>18</v>
      </c>
      <c r="Y32" s="91">
        <v>3</v>
      </c>
      <c r="Z32" s="91">
        <v>18</v>
      </c>
      <c r="AA32" s="91">
        <v>18</v>
      </c>
      <c r="AB32" s="91">
        <v>18</v>
      </c>
      <c r="AC32" s="91">
        <v>18</v>
      </c>
      <c r="AD32" s="91">
        <v>20</v>
      </c>
      <c r="AE32" s="91">
        <v>18</v>
      </c>
      <c r="AF32" s="91">
        <v>18</v>
      </c>
      <c r="AG32" s="91">
        <v>20</v>
      </c>
      <c r="AH32" s="91">
        <v>18</v>
      </c>
      <c r="AI32" s="91">
        <v>18</v>
      </c>
      <c r="AJ32" s="91">
        <v>20</v>
      </c>
      <c r="AK32" s="91">
        <v>18</v>
      </c>
      <c r="AL32" s="91">
        <v>20</v>
      </c>
      <c r="AM32" s="91">
        <v>18</v>
      </c>
      <c r="AN32" s="91">
        <v>18</v>
      </c>
      <c r="AO32" s="91">
        <v>18</v>
      </c>
      <c r="AP32" s="91">
        <v>18</v>
      </c>
      <c r="AQ32" s="91">
        <v>18</v>
      </c>
      <c r="AR32" s="91">
        <v>18</v>
      </c>
      <c r="AS32" s="91">
        <v>18</v>
      </c>
      <c r="AT32" s="91">
        <v>18</v>
      </c>
      <c r="AU32" s="91">
        <v>18</v>
      </c>
      <c r="AV32" s="91">
        <v>18</v>
      </c>
      <c r="AW32" s="91">
        <v>18</v>
      </c>
      <c r="AX32" s="91">
        <v>18</v>
      </c>
      <c r="AY32" s="91"/>
      <c r="AZ32" s="91">
        <v>18</v>
      </c>
      <c r="BA32" s="91">
        <v>18</v>
      </c>
      <c r="BB32" s="91">
        <v>18</v>
      </c>
      <c r="BC32" s="91">
        <v>18</v>
      </c>
      <c r="BD32" s="91">
        <v>20</v>
      </c>
      <c r="BE32" s="91">
        <v>18</v>
      </c>
      <c r="BF32" s="91">
        <v>36</v>
      </c>
      <c r="BG32" s="91">
        <v>32</v>
      </c>
      <c r="BH32" s="91"/>
    </row>
    <row r="33" spans="1:60" x14ac:dyDescent="0.25">
      <c r="A33" s="91" t="s">
        <v>193</v>
      </c>
      <c r="B33" s="129">
        <f t="shared" si="2"/>
        <v>916</v>
      </c>
      <c r="C33" s="91">
        <f t="shared" si="3"/>
        <v>48</v>
      </c>
      <c r="D33" s="130">
        <f t="shared" si="4"/>
        <v>0.96</v>
      </c>
      <c r="E33" s="131">
        <v>46225</v>
      </c>
      <c r="F33" s="131">
        <v>46253</v>
      </c>
      <c r="G33" s="91">
        <f t="shared" si="5"/>
        <v>28</v>
      </c>
      <c r="H33" s="91">
        <v>14</v>
      </c>
      <c r="I33" s="91">
        <v>16</v>
      </c>
      <c r="J33" s="91">
        <v>16</v>
      </c>
      <c r="K33" s="91">
        <v>16</v>
      </c>
      <c r="L33" s="91">
        <v>16</v>
      </c>
      <c r="M33" s="91"/>
      <c r="N33" s="91">
        <v>16</v>
      </c>
      <c r="O33" s="91">
        <v>16</v>
      </c>
      <c r="P33" s="91">
        <v>16</v>
      </c>
      <c r="Q33" s="91">
        <v>16</v>
      </c>
      <c r="R33" s="91">
        <v>32</v>
      </c>
      <c r="S33" s="91">
        <v>16</v>
      </c>
      <c r="T33" s="91">
        <v>16</v>
      </c>
      <c r="U33" s="91">
        <v>16</v>
      </c>
      <c r="V33" s="91">
        <v>16</v>
      </c>
      <c r="W33" s="91">
        <v>26</v>
      </c>
      <c r="X33" s="91">
        <v>16</v>
      </c>
      <c r="Y33" s="91">
        <v>32</v>
      </c>
      <c r="Z33" s="91">
        <v>16</v>
      </c>
      <c r="AA33" s="91">
        <v>16</v>
      </c>
      <c r="AB33" s="91">
        <v>16</v>
      </c>
      <c r="AC33" s="91">
        <v>16</v>
      </c>
      <c r="AD33" s="91">
        <v>16</v>
      </c>
      <c r="AE33" s="91">
        <v>26</v>
      </c>
      <c r="AF33" s="91">
        <v>16</v>
      </c>
      <c r="AG33" s="91">
        <v>16</v>
      </c>
      <c r="AH33" s="91">
        <v>16</v>
      </c>
      <c r="AI33" s="91">
        <v>16</v>
      </c>
      <c r="AJ33" s="91">
        <v>16</v>
      </c>
      <c r="AK33" s="91">
        <v>16</v>
      </c>
      <c r="AL33" s="91">
        <v>16</v>
      </c>
      <c r="AM33" s="91">
        <v>32</v>
      </c>
      <c r="AN33" s="91">
        <v>29</v>
      </c>
      <c r="AO33" s="91">
        <v>16</v>
      </c>
      <c r="AP33" s="91">
        <v>32</v>
      </c>
      <c r="AQ33" s="91">
        <v>16</v>
      </c>
      <c r="AR33" s="91">
        <v>16</v>
      </c>
      <c r="AS33" s="91">
        <v>16</v>
      </c>
      <c r="AT33" s="91">
        <v>16</v>
      </c>
      <c r="AU33" s="91">
        <v>28</v>
      </c>
      <c r="AV33" s="91">
        <v>16</v>
      </c>
      <c r="AW33" s="91">
        <v>16</v>
      </c>
      <c r="AX33" s="91">
        <v>31</v>
      </c>
      <c r="AY33" s="91"/>
      <c r="AZ33" s="91">
        <v>16</v>
      </c>
      <c r="BA33" s="91">
        <v>21</v>
      </c>
      <c r="BB33" s="91">
        <v>16</v>
      </c>
      <c r="BC33" s="91">
        <v>16</v>
      </c>
      <c r="BD33" s="91">
        <v>16</v>
      </c>
      <c r="BE33" s="91">
        <v>11</v>
      </c>
      <c r="BF33" s="91">
        <v>16</v>
      </c>
      <c r="BG33" s="91">
        <v>10</v>
      </c>
      <c r="BH33" s="91"/>
    </row>
    <row r="34" spans="1:60" x14ac:dyDescent="0.25">
      <c r="A34" s="91" t="s">
        <v>372</v>
      </c>
      <c r="B34" s="129">
        <f t="shared" si="2"/>
        <v>916</v>
      </c>
      <c r="C34" s="91">
        <f t="shared" si="3"/>
        <v>49</v>
      </c>
      <c r="D34" s="130">
        <f t="shared" si="4"/>
        <v>0.98</v>
      </c>
      <c r="E34" s="131">
        <v>46266</v>
      </c>
      <c r="F34" s="131">
        <v>46302</v>
      </c>
      <c r="G34" s="91">
        <f t="shared" si="5"/>
        <v>36</v>
      </c>
      <c r="H34" s="91">
        <v>18</v>
      </c>
      <c r="I34" s="91">
        <v>18</v>
      </c>
      <c r="J34" s="91">
        <v>18</v>
      </c>
      <c r="K34" s="91">
        <v>18</v>
      </c>
      <c r="L34" s="91">
        <v>18</v>
      </c>
      <c r="M34" s="91">
        <v>20</v>
      </c>
      <c r="N34" s="91">
        <v>18</v>
      </c>
      <c r="O34" s="91">
        <v>18</v>
      </c>
      <c r="P34" s="91">
        <v>18</v>
      </c>
      <c r="Q34" s="91">
        <v>18</v>
      </c>
      <c r="R34" s="91">
        <v>18</v>
      </c>
      <c r="S34" s="91">
        <v>18</v>
      </c>
      <c r="T34" s="91">
        <v>18</v>
      </c>
      <c r="U34" s="91">
        <v>18</v>
      </c>
      <c r="V34" s="91">
        <v>18</v>
      </c>
      <c r="W34" s="91">
        <v>18</v>
      </c>
      <c r="X34" s="91">
        <v>18</v>
      </c>
      <c r="Y34" s="91">
        <v>1</v>
      </c>
      <c r="Z34" s="91">
        <v>18</v>
      </c>
      <c r="AA34" s="91">
        <v>17</v>
      </c>
      <c r="AB34" s="91">
        <v>18</v>
      </c>
      <c r="AC34" s="91">
        <v>18</v>
      </c>
      <c r="AD34" s="91">
        <v>18</v>
      </c>
      <c r="AE34" s="91">
        <v>16</v>
      </c>
      <c r="AF34" s="91">
        <v>18</v>
      </c>
      <c r="AG34" s="91">
        <v>18</v>
      </c>
      <c r="AH34" s="91">
        <v>18</v>
      </c>
      <c r="AI34" s="91">
        <v>18</v>
      </c>
      <c r="AJ34" s="91">
        <v>18</v>
      </c>
      <c r="AK34" s="91">
        <v>16</v>
      </c>
      <c r="AL34" s="91">
        <v>18</v>
      </c>
      <c r="AM34" s="91">
        <v>18</v>
      </c>
      <c r="AN34" s="91">
        <v>18</v>
      </c>
      <c r="AO34" s="91">
        <v>18</v>
      </c>
      <c r="AP34" s="91">
        <v>18</v>
      </c>
      <c r="AQ34" s="91">
        <v>18</v>
      </c>
      <c r="AR34" s="91">
        <v>18</v>
      </c>
      <c r="AS34" s="91">
        <v>18</v>
      </c>
      <c r="AT34" s="91">
        <v>18</v>
      </c>
      <c r="AU34" s="91">
        <v>18</v>
      </c>
      <c r="AV34" s="91">
        <v>18</v>
      </c>
      <c r="AW34" s="91">
        <v>18</v>
      </c>
      <c r="AX34" s="91">
        <v>18</v>
      </c>
      <c r="AY34" s="91"/>
      <c r="AZ34" s="91">
        <v>18</v>
      </c>
      <c r="BA34" s="91">
        <v>18</v>
      </c>
      <c r="BB34" s="91">
        <v>18</v>
      </c>
      <c r="BC34" s="91">
        <v>18</v>
      </c>
      <c r="BD34" s="91">
        <v>18</v>
      </c>
      <c r="BE34" s="91">
        <v>18</v>
      </c>
      <c r="BF34" s="91">
        <v>28</v>
      </c>
      <c r="BG34" s="91">
        <v>26</v>
      </c>
      <c r="BH34" s="91"/>
    </row>
    <row r="35" spans="1:60" x14ac:dyDescent="0.25">
      <c r="A35" s="91" t="s">
        <v>360</v>
      </c>
      <c r="B35" s="129">
        <f t="shared" si="2"/>
        <v>915</v>
      </c>
      <c r="C35" s="91">
        <f t="shared" si="3"/>
        <v>49</v>
      </c>
      <c r="D35" s="130">
        <f t="shared" si="4"/>
        <v>0.98</v>
      </c>
      <c r="E35" s="131">
        <v>46245</v>
      </c>
      <c r="F35" s="131">
        <v>46287</v>
      </c>
      <c r="G35" s="91">
        <f t="shared" si="5"/>
        <v>42</v>
      </c>
      <c r="H35" s="91">
        <v>18</v>
      </c>
      <c r="I35" s="91">
        <v>18</v>
      </c>
      <c r="J35" s="91">
        <v>18</v>
      </c>
      <c r="K35" s="91">
        <v>18</v>
      </c>
      <c r="L35" s="91">
        <v>18</v>
      </c>
      <c r="M35" s="91">
        <v>20</v>
      </c>
      <c r="N35" s="91">
        <v>18</v>
      </c>
      <c r="O35" s="91">
        <v>18</v>
      </c>
      <c r="P35" s="91">
        <v>18</v>
      </c>
      <c r="Q35" s="91">
        <v>18</v>
      </c>
      <c r="R35" s="91">
        <v>18</v>
      </c>
      <c r="S35" s="91">
        <v>18</v>
      </c>
      <c r="T35" s="91">
        <v>18</v>
      </c>
      <c r="U35" s="91">
        <v>18</v>
      </c>
      <c r="V35" s="91">
        <v>18</v>
      </c>
      <c r="W35" s="91">
        <v>18</v>
      </c>
      <c r="X35" s="91">
        <v>18</v>
      </c>
      <c r="Y35" s="91">
        <v>18</v>
      </c>
      <c r="Z35" s="91">
        <v>18</v>
      </c>
      <c r="AA35" s="91">
        <v>18</v>
      </c>
      <c r="AB35" s="91">
        <v>18</v>
      </c>
      <c r="AC35" s="91">
        <v>18</v>
      </c>
      <c r="AD35" s="91">
        <v>18</v>
      </c>
      <c r="AE35" s="91">
        <v>18</v>
      </c>
      <c r="AF35" s="91">
        <v>18</v>
      </c>
      <c r="AG35" s="91">
        <v>18</v>
      </c>
      <c r="AH35" s="91">
        <v>18</v>
      </c>
      <c r="AI35" s="91">
        <v>18</v>
      </c>
      <c r="AJ35" s="91">
        <v>18</v>
      </c>
      <c r="AK35" s="91">
        <v>18</v>
      </c>
      <c r="AL35" s="91">
        <v>18</v>
      </c>
      <c r="AM35" s="91">
        <v>18</v>
      </c>
      <c r="AN35" s="91">
        <v>18</v>
      </c>
      <c r="AO35" s="91">
        <v>18</v>
      </c>
      <c r="AP35" s="91">
        <v>18</v>
      </c>
      <c r="AQ35" s="91">
        <v>18</v>
      </c>
      <c r="AR35" s="91">
        <v>18</v>
      </c>
      <c r="AS35" s="91">
        <v>20</v>
      </c>
      <c r="AT35" s="91">
        <v>18</v>
      </c>
      <c r="AU35" s="91">
        <v>18</v>
      </c>
      <c r="AV35" s="91">
        <v>18</v>
      </c>
      <c r="AW35" s="91">
        <v>18</v>
      </c>
      <c r="AX35" s="91">
        <v>18</v>
      </c>
      <c r="AY35" s="91"/>
      <c r="AZ35" s="91">
        <v>18</v>
      </c>
      <c r="BA35" s="91">
        <v>18</v>
      </c>
      <c r="BB35" s="91">
        <v>18</v>
      </c>
      <c r="BC35" s="91">
        <v>18</v>
      </c>
      <c r="BD35" s="91">
        <v>18</v>
      </c>
      <c r="BE35" s="91">
        <v>18</v>
      </c>
      <c r="BF35" s="91">
        <v>3</v>
      </c>
      <c r="BG35" s="91">
        <v>26</v>
      </c>
      <c r="BH35" s="91"/>
    </row>
    <row r="36" spans="1:60" x14ac:dyDescent="0.25">
      <c r="A36" s="91" t="s">
        <v>311</v>
      </c>
      <c r="B36" s="129">
        <f t="shared" si="2"/>
        <v>890</v>
      </c>
      <c r="C36" s="91">
        <f t="shared" si="3"/>
        <v>48</v>
      </c>
      <c r="D36" s="130">
        <f t="shared" si="4"/>
        <v>0.96</v>
      </c>
      <c r="E36" s="131">
        <v>46245</v>
      </c>
      <c r="F36" s="131">
        <v>46262</v>
      </c>
      <c r="G36" s="91">
        <f t="shared" si="5"/>
        <v>17</v>
      </c>
      <c r="H36" s="91">
        <v>18</v>
      </c>
      <c r="I36" s="91">
        <v>18</v>
      </c>
      <c r="J36" s="91">
        <v>18</v>
      </c>
      <c r="K36" s="91">
        <v>18</v>
      </c>
      <c r="L36" s="91">
        <v>18</v>
      </c>
      <c r="M36" s="91">
        <v>14</v>
      </c>
      <c r="N36" s="91">
        <v>18</v>
      </c>
      <c r="O36" s="91">
        <v>18</v>
      </c>
      <c r="P36" s="91">
        <v>18</v>
      </c>
      <c r="Q36" s="91">
        <v>18</v>
      </c>
      <c r="R36" s="91">
        <v>18</v>
      </c>
      <c r="S36" s="91">
        <v>18</v>
      </c>
      <c r="T36" s="91">
        <v>18</v>
      </c>
      <c r="U36" s="91">
        <v>18</v>
      </c>
      <c r="V36" s="91">
        <v>18</v>
      </c>
      <c r="W36" s="91">
        <v>18</v>
      </c>
      <c r="X36" s="91">
        <v>18</v>
      </c>
      <c r="Y36" s="91"/>
      <c r="Z36" s="91">
        <v>18</v>
      </c>
      <c r="AA36" s="91">
        <v>18</v>
      </c>
      <c r="AB36" s="91">
        <v>18</v>
      </c>
      <c r="AC36" s="91">
        <v>18</v>
      </c>
      <c r="AD36" s="91">
        <v>18</v>
      </c>
      <c r="AE36" s="91">
        <v>18</v>
      </c>
      <c r="AF36" s="91">
        <v>18</v>
      </c>
      <c r="AG36" s="91">
        <v>18</v>
      </c>
      <c r="AH36" s="91">
        <v>18</v>
      </c>
      <c r="AI36" s="91">
        <v>18</v>
      </c>
      <c r="AJ36" s="91">
        <v>18</v>
      </c>
      <c r="AK36" s="91">
        <v>18</v>
      </c>
      <c r="AL36" s="91">
        <v>18</v>
      </c>
      <c r="AM36" s="91">
        <v>18</v>
      </c>
      <c r="AN36" s="91">
        <v>18</v>
      </c>
      <c r="AO36" s="91">
        <v>18</v>
      </c>
      <c r="AP36" s="91">
        <v>18</v>
      </c>
      <c r="AQ36" s="91">
        <v>18</v>
      </c>
      <c r="AR36" s="91">
        <v>18</v>
      </c>
      <c r="AS36" s="91">
        <v>20</v>
      </c>
      <c r="AT36" s="91">
        <v>18</v>
      </c>
      <c r="AU36" s="91">
        <v>18</v>
      </c>
      <c r="AV36" s="91">
        <v>18</v>
      </c>
      <c r="AW36" s="91">
        <v>18</v>
      </c>
      <c r="AX36" s="91">
        <v>18</v>
      </c>
      <c r="AY36" s="91"/>
      <c r="AZ36" s="91">
        <v>18</v>
      </c>
      <c r="BA36" s="91">
        <v>18</v>
      </c>
      <c r="BB36" s="91">
        <v>18</v>
      </c>
      <c r="BC36" s="91">
        <v>18</v>
      </c>
      <c r="BD36" s="91">
        <v>18</v>
      </c>
      <c r="BE36" s="91">
        <v>18</v>
      </c>
      <c r="BF36" s="91">
        <v>2</v>
      </c>
      <c r="BG36" s="91">
        <v>26</v>
      </c>
      <c r="BH36" s="91"/>
    </row>
    <row r="37" spans="1:60" x14ac:dyDescent="0.25">
      <c r="A37" s="91" t="s">
        <v>107</v>
      </c>
      <c r="B37" s="129">
        <f t="shared" si="2"/>
        <v>878</v>
      </c>
      <c r="C37" s="91">
        <f t="shared" si="3"/>
        <v>50</v>
      </c>
      <c r="D37" s="130">
        <f t="shared" si="4"/>
        <v>1</v>
      </c>
      <c r="E37" s="131">
        <v>46262</v>
      </c>
      <c r="F37" s="131">
        <v>46314</v>
      </c>
      <c r="G37" s="91">
        <f t="shared" si="5"/>
        <v>52</v>
      </c>
      <c r="H37" s="91">
        <v>15</v>
      </c>
      <c r="I37" s="91">
        <v>20</v>
      </c>
      <c r="J37" s="91">
        <v>20</v>
      </c>
      <c r="K37" s="91">
        <v>20</v>
      </c>
      <c r="L37" s="91">
        <v>20</v>
      </c>
      <c r="M37" s="91">
        <v>3</v>
      </c>
      <c r="N37" s="91">
        <v>20</v>
      </c>
      <c r="O37" s="91">
        <v>19</v>
      </c>
      <c r="P37" s="91">
        <v>15</v>
      </c>
      <c r="Q37" s="91">
        <v>20</v>
      </c>
      <c r="R37" s="91">
        <v>17</v>
      </c>
      <c r="S37" s="91">
        <v>20</v>
      </c>
      <c r="T37" s="91">
        <v>16</v>
      </c>
      <c r="U37" s="91">
        <v>20</v>
      </c>
      <c r="V37" s="91">
        <v>20</v>
      </c>
      <c r="W37" s="91">
        <v>19</v>
      </c>
      <c r="X37" s="91">
        <v>20</v>
      </c>
      <c r="Y37" s="91">
        <v>1</v>
      </c>
      <c r="Z37" s="91">
        <v>20</v>
      </c>
      <c r="AA37" s="91">
        <v>15</v>
      </c>
      <c r="AB37" s="91">
        <v>20</v>
      </c>
      <c r="AC37" s="91">
        <v>20</v>
      </c>
      <c r="AD37" s="91">
        <v>16</v>
      </c>
      <c r="AE37" s="91">
        <v>20</v>
      </c>
      <c r="AF37" s="91">
        <v>20</v>
      </c>
      <c r="AG37" s="91">
        <v>16</v>
      </c>
      <c r="AH37" s="91">
        <v>20</v>
      </c>
      <c r="AI37" s="91">
        <v>20</v>
      </c>
      <c r="AJ37" s="91">
        <v>15</v>
      </c>
      <c r="AK37" s="91">
        <v>20</v>
      </c>
      <c r="AL37" s="91">
        <v>15</v>
      </c>
      <c r="AM37" s="91">
        <v>20</v>
      </c>
      <c r="AN37" s="91">
        <v>20</v>
      </c>
      <c r="AO37" s="91">
        <v>16</v>
      </c>
      <c r="AP37" s="91">
        <v>15</v>
      </c>
      <c r="AQ37" s="91">
        <v>15</v>
      </c>
      <c r="AR37" s="91">
        <v>15</v>
      </c>
      <c r="AS37" s="91">
        <v>16</v>
      </c>
      <c r="AT37" s="91">
        <v>20</v>
      </c>
      <c r="AU37" s="91">
        <v>15</v>
      </c>
      <c r="AV37" s="91">
        <v>15</v>
      </c>
      <c r="AW37" s="91">
        <v>20</v>
      </c>
      <c r="AX37" s="91">
        <v>20</v>
      </c>
      <c r="AY37" s="91">
        <v>3</v>
      </c>
      <c r="AZ37" s="91">
        <v>20</v>
      </c>
      <c r="BA37" s="91">
        <v>20</v>
      </c>
      <c r="BB37" s="91">
        <v>16</v>
      </c>
      <c r="BC37" s="91">
        <v>20</v>
      </c>
      <c r="BD37" s="91">
        <v>20</v>
      </c>
      <c r="BE37" s="91">
        <v>16</v>
      </c>
      <c r="BF37" s="91">
        <v>14</v>
      </c>
      <c r="BG37" s="91"/>
      <c r="BH37" s="91"/>
    </row>
    <row r="38" spans="1:60" x14ac:dyDescent="0.25">
      <c r="A38" s="91" t="s">
        <v>244</v>
      </c>
      <c r="B38" s="129">
        <f t="shared" si="2"/>
        <v>875</v>
      </c>
      <c r="C38" s="91">
        <f t="shared" si="3"/>
        <v>48</v>
      </c>
      <c r="D38" s="130">
        <f t="shared" si="4"/>
        <v>0.96</v>
      </c>
      <c r="E38" s="131">
        <v>46225</v>
      </c>
      <c r="F38" s="131">
        <v>46302</v>
      </c>
      <c r="G38" s="91">
        <f t="shared" si="5"/>
        <v>77</v>
      </c>
      <c r="H38" s="91">
        <v>18</v>
      </c>
      <c r="I38" s="91">
        <v>18</v>
      </c>
      <c r="J38" s="91">
        <v>18</v>
      </c>
      <c r="K38" s="91">
        <v>9</v>
      </c>
      <c r="L38" s="91">
        <v>9</v>
      </c>
      <c r="M38" s="91"/>
      <c r="N38" s="91">
        <v>18</v>
      </c>
      <c r="O38" s="91">
        <v>18</v>
      </c>
      <c r="P38" s="91">
        <v>18</v>
      </c>
      <c r="Q38" s="91">
        <v>18</v>
      </c>
      <c r="R38" s="91">
        <v>18</v>
      </c>
      <c r="S38" s="91">
        <v>18</v>
      </c>
      <c r="T38" s="91">
        <v>18</v>
      </c>
      <c r="U38" s="91">
        <v>18</v>
      </c>
      <c r="V38" s="91">
        <v>9</v>
      </c>
      <c r="W38" s="91">
        <v>18</v>
      </c>
      <c r="X38" s="91">
        <v>18</v>
      </c>
      <c r="Y38" s="91">
        <v>2</v>
      </c>
      <c r="Z38" s="91">
        <v>18</v>
      </c>
      <c r="AA38" s="91">
        <v>18</v>
      </c>
      <c r="AB38" s="91">
        <v>18</v>
      </c>
      <c r="AC38" s="91">
        <v>9</v>
      </c>
      <c r="AD38" s="91">
        <v>18</v>
      </c>
      <c r="AE38" s="91">
        <v>18</v>
      </c>
      <c r="AF38" s="91">
        <v>18</v>
      </c>
      <c r="AG38" s="91">
        <v>18</v>
      </c>
      <c r="AH38" s="91">
        <v>18</v>
      </c>
      <c r="AI38" s="91">
        <v>18</v>
      </c>
      <c r="AJ38" s="91">
        <v>18</v>
      </c>
      <c r="AK38" s="91">
        <v>18</v>
      </c>
      <c r="AL38" s="91">
        <v>18</v>
      </c>
      <c r="AM38" s="91">
        <v>18</v>
      </c>
      <c r="AN38" s="91">
        <v>18</v>
      </c>
      <c r="AO38" s="91">
        <v>18</v>
      </c>
      <c r="AP38" s="91">
        <v>18</v>
      </c>
      <c r="AQ38" s="91">
        <v>18</v>
      </c>
      <c r="AR38" s="91">
        <v>18</v>
      </c>
      <c r="AS38" s="91">
        <v>18</v>
      </c>
      <c r="AT38" s="91">
        <v>18</v>
      </c>
      <c r="AU38" s="91">
        <v>18</v>
      </c>
      <c r="AV38" s="91">
        <v>9</v>
      </c>
      <c r="AW38" s="91">
        <v>18</v>
      </c>
      <c r="AX38" s="91">
        <v>18</v>
      </c>
      <c r="AY38" s="91"/>
      <c r="AZ38" s="91">
        <v>18</v>
      </c>
      <c r="BA38" s="91">
        <v>18</v>
      </c>
      <c r="BB38" s="91">
        <v>18</v>
      </c>
      <c r="BC38" s="91">
        <v>18</v>
      </c>
      <c r="BD38" s="91">
        <v>18</v>
      </c>
      <c r="BE38" s="91">
        <v>18</v>
      </c>
      <c r="BF38" s="91">
        <v>36</v>
      </c>
      <c r="BG38" s="91">
        <v>36</v>
      </c>
      <c r="BH38" s="91"/>
    </row>
    <row r="39" spans="1:60" x14ac:dyDescent="0.25">
      <c r="A39" s="91" t="s">
        <v>60</v>
      </c>
      <c r="B39" s="129">
        <f t="shared" si="2"/>
        <v>870</v>
      </c>
      <c r="C39" s="91">
        <f t="shared" si="3"/>
        <v>48</v>
      </c>
      <c r="D39" s="130">
        <f t="shared" si="4"/>
        <v>0.96</v>
      </c>
      <c r="E39" s="131">
        <v>46301</v>
      </c>
      <c r="F39" s="131">
        <v>46317</v>
      </c>
      <c r="G39" s="91">
        <f t="shared" si="5"/>
        <v>16</v>
      </c>
      <c r="H39" s="91">
        <v>16</v>
      </c>
      <c r="I39" s="91">
        <v>1</v>
      </c>
      <c r="J39" s="91">
        <v>32</v>
      </c>
      <c r="K39" s="91">
        <v>16</v>
      </c>
      <c r="L39" s="91">
        <v>16</v>
      </c>
      <c r="M39" s="91"/>
      <c r="N39" s="91">
        <v>16</v>
      </c>
      <c r="O39" s="91">
        <v>16</v>
      </c>
      <c r="P39" s="91">
        <v>16</v>
      </c>
      <c r="Q39" s="91">
        <v>16</v>
      </c>
      <c r="R39" s="91">
        <v>16</v>
      </c>
      <c r="S39" s="91">
        <v>16</v>
      </c>
      <c r="T39" s="91">
        <v>16</v>
      </c>
      <c r="U39" s="91">
        <v>16</v>
      </c>
      <c r="V39" s="91">
        <v>24</v>
      </c>
      <c r="W39" s="91">
        <v>16</v>
      </c>
      <c r="X39" s="91">
        <v>32</v>
      </c>
      <c r="Y39" s="91">
        <v>16</v>
      </c>
      <c r="Z39" s="91">
        <v>16</v>
      </c>
      <c r="AA39" s="91">
        <v>16</v>
      </c>
      <c r="AB39" s="91">
        <v>32</v>
      </c>
      <c r="AC39" s="91">
        <v>16</v>
      </c>
      <c r="AD39" s="91">
        <v>16</v>
      </c>
      <c r="AE39" s="91">
        <v>16</v>
      </c>
      <c r="AF39" s="91">
        <v>16</v>
      </c>
      <c r="AG39" s="91">
        <v>16</v>
      </c>
      <c r="AH39" s="91">
        <v>16</v>
      </c>
      <c r="AI39" s="91">
        <v>16</v>
      </c>
      <c r="AJ39" s="91">
        <v>16</v>
      </c>
      <c r="AK39" s="91">
        <v>16</v>
      </c>
      <c r="AL39" s="91">
        <v>16</v>
      </c>
      <c r="AM39" s="91">
        <v>24</v>
      </c>
      <c r="AN39" s="91">
        <v>24</v>
      </c>
      <c r="AO39" s="91">
        <v>16</v>
      </c>
      <c r="AP39" s="91">
        <v>16</v>
      </c>
      <c r="AQ39" s="91">
        <v>16</v>
      </c>
      <c r="AR39" s="91">
        <v>16</v>
      </c>
      <c r="AS39" s="91">
        <v>16</v>
      </c>
      <c r="AT39" s="91">
        <v>16</v>
      </c>
      <c r="AU39" s="91">
        <v>16</v>
      </c>
      <c r="AV39" s="91">
        <v>8</v>
      </c>
      <c r="AW39" s="91">
        <v>16</v>
      </c>
      <c r="AX39" s="91">
        <v>16</v>
      </c>
      <c r="AY39" s="91"/>
      <c r="AZ39" s="91">
        <v>16</v>
      </c>
      <c r="BA39" s="91">
        <v>16</v>
      </c>
      <c r="BB39" s="91">
        <v>24</v>
      </c>
      <c r="BC39" s="91">
        <v>8</v>
      </c>
      <c r="BD39" s="91">
        <v>8</v>
      </c>
      <c r="BE39" s="91">
        <v>16</v>
      </c>
      <c r="BF39" s="91">
        <v>46</v>
      </c>
      <c r="BG39" s="91">
        <v>15</v>
      </c>
      <c r="BH39" s="91"/>
    </row>
    <row r="40" spans="1:60" x14ac:dyDescent="0.25">
      <c r="A40" s="91" t="s">
        <v>256</v>
      </c>
      <c r="B40" s="129">
        <f t="shared" si="2"/>
        <v>839</v>
      </c>
      <c r="C40" s="91">
        <f t="shared" si="3"/>
        <v>49</v>
      </c>
      <c r="D40" s="130">
        <f t="shared" si="4"/>
        <v>0.98</v>
      </c>
      <c r="E40" s="131">
        <v>46213</v>
      </c>
      <c r="F40" s="131">
        <v>46254</v>
      </c>
      <c r="G40" s="91">
        <f t="shared" si="5"/>
        <v>41</v>
      </c>
      <c r="H40" s="91">
        <v>14</v>
      </c>
      <c r="I40" s="91">
        <v>8</v>
      </c>
      <c r="J40" s="91">
        <v>16</v>
      </c>
      <c r="K40" s="91">
        <v>16</v>
      </c>
      <c r="L40" s="91">
        <v>16</v>
      </c>
      <c r="M40" s="91">
        <v>8</v>
      </c>
      <c r="N40" s="91">
        <v>16</v>
      </c>
      <c r="O40" s="91">
        <v>8</v>
      </c>
      <c r="P40" s="91">
        <v>16</v>
      </c>
      <c r="Q40" s="91">
        <v>16</v>
      </c>
      <c r="R40" s="91">
        <v>28</v>
      </c>
      <c r="S40" s="91">
        <v>16</v>
      </c>
      <c r="T40" s="91">
        <v>16</v>
      </c>
      <c r="U40" s="91">
        <v>16</v>
      </c>
      <c r="V40" s="91">
        <v>16</v>
      </c>
      <c r="W40" s="91">
        <v>19</v>
      </c>
      <c r="X40" s="91">
        <v>16</v>
      </c>
      <c r="Y40" s="91">
        <v>16</v>
      </c>
      <c r="Z40" s="91">
        <v>28</v>
      </c>
      <c r="AA40" s="91">
        <v>16</v>
      </c>
      <c r="AB40" s="91">
        <v>16</v>
      </c>
      <c r="AC40" s="91">
        <v>16</v>
      </c>
      <c r="AD40" s="91">
        <v>16</v>
      </c>
      <c r="AE40" s="91">
        <v>16</v>
      </c>
      <c r="AF40" s="91">
        <v>16</v>
      </c>
      <c r="AG40" s="91">
        <v>16</v>
      </c>
      <c r="AH40" s="91">
        <v>16</v>
      </c>
      <c r="AI40" s="91">
        <v>16</v>
      </c>
      <c r="AJ40" s="91">
        <v>16</v>
      </c>
      <c r="AK40" s="91">
        <v>16</v>
      </c>
      <c r="AL40" s="91">
        <v>16</v>
      </c>
      <c r="AM40" s="91">
        <v>32</v>
      </c>
      <c r="AN40" s="91">
        <v>22</v>
      </c>
      <c r="AO40" s="91">
        <v>16</v>
      </c>
      <c r="AP40" s="91">
        <v>16</v>
      </c>
      <c r="AQ40" s="91">
        <v>16</v>
      </c>
      <c r="AR40" s="91">
        <v>16</v>
      </c>
      <c r="AS40" s="91">
        <v>8</v>
      </c>
      <c r="AT40" s="91">
        <v>16</v>
      </c>
      <c r="AU40" s="91">
        <v>16</v>
      </c>
      <c r="AV40" s="91">
        <v>12</v>
      </c>
      <c r="AW40" s="91">
        <v>16</v>
      </c>
      <c r="AX40" s="91">
        <v>28</v>
      </c>
      <c r="AY40" s="91"/>
      <c r="AZ40" s="91">
        <v>16</v>
      </c>
      <c r="BA40" s="91">
        <v>16</v>
      </c>
      <c r="BB40" s="91">
        <v>16</v>
      </c>
      <c r="BC40" s="91">
        <v>16</v>
      </c>
      <c r="BD40" s="91">
        <v>28</v>
      </c>
      <c r="BE40" s="91">
        <v>12</v>
      </c>
      <c r="BF40" s="91"/>
      <c r="BG40" s="91">
        <v>24</v>
      </c>
      <c r="BH40" s="91"/>
    </row>
    <row r="41" spans="1:60" x14ac:dyDescent="0.25">
      <c r="A41" s="91" t="s">
        <v>58</v>
      </c>
      <c r="B41" s="129">
        <f t="shared" si="2"/>
        <v>829</v>
      </c>
      <c r="C41" s="91">
        <f t="shared" si="3"/>
        <v>46</v>
      </c>
      <c r="D41" s="130">
        <f t="shared" si="4"/>
        <v>0.92</v>
      </c>
      <c r="E41" s="131">
        <v>46287</v>
      </c>
      <c r="F41" s="131">
        <v>46318</v>
      </c>
      <c r="G41" s="91">
        <f t="shared" si="5"/>
        <v>31</v>
      </c>
      <c r="H41" s="91">
        <v>16</v>
      </c>
      <c r="I41" s="91">
        <v>16</v>
      </c>
      <c r="J41" s="91">
        <v>16</v>
      </c>
      <c r="K41" s="91">
        <v>16</v>
      </c>
      <c r="L41" s="91">
        <v>16</v>
      </c>
      <c r="M41" s="91"/>
      <c r="N41" s="91">
        <v>16</v>
      </c>
      <c r="O41" s="91">
        <v>16</v>
      </c>
      <c r="P41" s="91">
        <v>16</v>
      </c>
      <c r="Q41" s="91">
        <v>16</v>
      </c>
      <c r="R41" s="91">
        <v>16</v>
      </c>
      <c r="S41" s="91">
        <v>16</v>
      </c>
      <c r="T41" s="91">
        <v>16</v>
      </c>
      <c r="U41" s="91">
        <v>16</v>
      </c>
      <c r="V41" s="91">
        <v>16</v>
      </c>
      <c r="W41" s="91">
        <v>16</v>
      </c>
      <c r="X41" s="91">
        <v>16</v>
      </c>
      <c r="Y41" s="91">
        <v>5</v>
      </c>
      <c r="Z41" s="91">
        <v>16</v>
      </c>
      <c r="AA41" s="91">
        <v>16</v>
      </c>
      <c r="AB41" s="91">
        <v>16</v>
      </c>
      <c r="AC41" s="91">
        <v>16</v>
      </c>
      <c r="AD41" s="91">
        <v>16</v>
      </c>
      <c r="AE41" s="91">
        <v>16</v>
      </c>
      <c r="AF41" s="91">
        <v>16</v>
      </c>
      <c r="AG41" s="91">
        <v>16</v>
      </c>
      <c r="AH41" s="91">
        <v>16</v>
      </c>
      <c r="AI41" s="91">
        <v>16</v>
      </c>
      <c r="AJ41" s="91">
        <v>16</v>
      </c>
      <c r="AK41" s="91">
        <v>16</v>
      </c>
      <c r="AL41" s="91">
        <v>16</v>
      </c>
      <c r="AM41" s="91">
        <v>16</v>
      </c>
      <c r="AN41" s="91">
        <v>16</v>
      </c>
      <c r="AO41" s="91">
        <v>16</v>
      </c>
      <c r="AP41" s="91">
        <v>16</v>
      </c>
      <c r="AQ41" s="91">
        <v>16</v>
      </c>
      <c r="AR41" s="91">
        <v>16</v>
      </c>
      <c r="AS41" s="91">
        <v>16</v>
      </c>
      <c r="AT41" s="91">
        <v>16</v>
      </c>
      <c r="AU41" s="91">
        <v>16</v>
      </c>
      <c r="AV41" s="91"/>
      <c r="AW41" s="91">
        <v>16</v>
      </c>
      <c r="AX41" s="91">
        <v>16</v>
      </c>
      <c r="AY41" s="91"/>
      <c r="AZ41" s="91">
        <v>16</v>
      </c>
      <c r="BA41" s="91">
        <v>16</v>
      </c>
      <c r="BB41" s="91">
        <v>16</v>
      </c>
      <c r="BC41" s="91">
        <v>24</v>
      </c>
      <c r="BD41" s="91"/>
      <c r="BE41" s="91">
        <v>16</v>
      </c>
      <c r="BF41" s="91">
        <v>32</v>
      </c>
      <c r="BG41" s="91">
        <v>64</v>
      </c>
      <c r="BH41" s="91"/>
    </row>
    <row r="42" spans="1:60" x14ac:dyDescent="0.25">
      <c r="A42" s="91" t="s">
        <v>88</v>
      </c>
      <c r="B42" s="129">
        <f t="shared" si="2"/>
        <v>826</v>
      </c>
      <c r="C42" s="91">
        <f t="shared" si="3"/>
        <v>48</v>
      </c>
      <c r="D42" s="130">
        <f t="shared" si="4"/>
        <v>0.96</v>
      </c>
      <c r="E42" s="131">
        <v>46274</v>
      </c>
      <c r="F42" s="131">
        <v>46309</v>
      </c>
      <c r="G42" s="91">
        <f t="shared" si="5"/>
        <v>35</v>
      </c>
      <c r="H42" s="91">
        <v>16</v>
      </c>
      <c r="I42" s="91">
        <v>16</v>
      </c>
      <c r="J42" s="91">
        <v>16</v>
      </c>
      <c r="K42" s="91">
        <v>16</v>
      </c>
      <c r="L42" s="91">
        <v>16</v>
      </c>
      <c r="M42" s="91"/>
      <c r="N42" s="91">
        <v>16</v>
      </c>
      <c r="O42" s="91">
        <v>16</v>
      </c>
      <c r="P42" s="91">
        <v>16</v>
      </c>
      <c r="Q42" s="91">
        <v>16</v>
      </c>
      <c r="R42" s="91">
        <v>16</v>
      </c>
      <c r="S42" s="91">
        <v>16</v>
      </c>
      <c r="T42" s="91">
        <v>16</v>
      </c>
      <c r="U42" s="91">
        <v>16</v>
      </c>
      <c r="V42" s="91">
        <v>16</v>
      </c>
      <c r="W42" s="91">
        <v>16</v>
      </c>
      <c r="X42" s="91">
        <v>16</v>
      </c>
      <c r="Y42" s="91"/>
      <c r="Z42" s="91">
        <v>16</v>
      </c>
      <c r="AA42" s="91">
        <v>16</v>
      </c>
      <c r="AB42" s="91">
        <v>16</v>
      </c>
      <c r="AC42" s="91">
        <v>16</v>
      </c>
      <c r="AD42" s="91">
        <v>16</v>
      </c>
      <c r="AE42" s="91">
        <v>16</v>
      </c>
      <c r="AF42" s="91">
        <v>16</v>
      </c>
      <c r="AG42" s="91">
        <v>16</v>
      </c>
      <c r="AH42" s="91">
        <v>16</v>
      </c>
      <c r="AI42" s="91">
        <v>16</v>
      </c>
      <c r="AJ42" s="91">
        <v>16</v>
      </c>
      <c r="AK42" s="91">
        <v>16</v>
      </c>
      <c r="AL42" s="91">
        <v>16</v>
      </c>
      <c r="AM42" s="91">
        <v>16</v>
      </c>
      <c r="AN42" s="91">
        <v>16</v>
      </c>
      <c r="AO42" s="91">
        <v>16</v>
      </c>
      <c r="AP42" s="91">
        <v>16</v>
      </c>
      <c r="AQ42" s="91">
        <v>16</v>
      </c>
      <c r="AR42" s="91">
        <v>16</v>
      </c>
      <c r="AS42" s="91">
        <v>16</v>
      </c>
      <c r="AT42" s="91">
        <v>16</v>
      </c>
      <c r="AU42" s="91">
        <v>16</v>
      </c>
      <c r="AV42" s="91">
        <v>16</v>
      </c>
      <c r="AW42" s="91">
        <v>16</v>
      </c>
      <c r="AX42" s="91">
        <v>16</v>
      </c>
      <c r="AY42" s="91">
        <v>14</v>
      </c>
      <c r="AZ42" s="91">
        <v>16</v>
      </c>
      <c r="BA42" s="91">
        <v>16</v>
      </c>
      <c r="BB42" s="91">
        <v>16</v>
      </c>
      <c r="BC42" s="91">
        <v>16</v>
      </c>
      <c r="BD42" s="91">
        <v>16</v>
      </c>
      <c r="BE42" s="91">
        <v>16</v>
      </c>
      <c r="BF42" s="91">
        <v>28</v>
      </c>
      <c r="BG42" s="91">
        <v>32</v>
      </c>
      <c r="BH42" s="91"/>
    </row>
    <row r="43" spans="1:60" x14ac:dyDescent="0.25">
      <c r="A43" s="91" t="s">
        <v>162</v>
      </c>
      <c r="B43" s="129">
        <f t="shared" si="2"/>
        <v>822</v>
      </c>
      <c r="C43" s="91">
        <f t="shared" si="3"/>
        <v>49</v>
      </c>
      <c r="D43" s="130">
        <f t="shared" si="4"/>
        <v>0.98</v>
      </c>
      <c r="E43" s="131">
        <v>46274</v>
      </c>
      <c r="F43" s="131">
        <v>46310</v>
      </c>
      <c r="G43" s="91">
        <f t="shared" si="5"/>
        <v>36</v>
      </c>
      <c r="H43" s="91">
        <v>16</v>
      </c>
      <c r="I43" s="91">
        <v>16</v>
      </c>
      <c r="J43" s="91">
        <v>16</v>
      </c>
      <c r="K43" s="91">
        <v>16</v>
      </c>
      <c r="L43" s="91">
        <v>16</v>
      </c>
      <c r="M43" s="91"/>
      <c r="N43" s="91">
        <v>16</v>
      </c>
      <c r="O43" s="91">
        <v>16</v>
      </c>
      <c r="P43" s="91">
        <v>16</v>
      </c>
      <c r="Q43" s="91">
        <v>16</v>
      </c>
      <c r="R43" s="91">
        <v>16</v>
      </c>
      <c r="S43" s="91">
        <v>16</v>
      </c>
      <c r="T43" s="91">
        <v>16</v>
      </c>
      <c r="U43" s="91">
        <v>16</v>
      </c>
      <c r="V43" s="91">
        <v>16</v>
      </c>
      <c r="W43" s="91">
        <v>16</v>
      </c>
      <c r="X43" s="91">
        <v>16</v>
      </c>
      <c r="Y43" s="91">
        <v>1</v>
      </c>
      <c r="Z43" s="91">
        <v>16</v>
      </c>
      <c r="AA43" s="91">
        <v>16</v>
      </c>
      <c r="AB43" s="91">
        <v>16</v>
      </c>
      <c r="AC43" s="91">
        <v>16</v>
      </c>
      <c r="AD43" s="91">
        <v>16</v>
      </c>
      <c r="AE43" s="91">
        <v>15</v>
      </c>
      <c r="AF43" s="91">
        <v>16</v>
      </c>
      <c r="AG43" s="91">
        <v>16</v>
      </c>
      <c r="AH43" s="91">
        <v>16</v>
      </c>
      <c r="AI43" s="91">
        <v>16</v>
      </c>
      <c r="AJ43" s="91">
        <v>16</v>
      </c>
      <c r="AK43" s="91">
        <v>16</v>
      </c>
      <c r="AL43" s="91">
        <v>16</v>
      </c>
      <c r="AM43" s="91">
        <v>16</v>
      </c>
      <c r="AN43" s="91">
        <v>16</v>
      </c>
      <c r="AO43" s="91">
        <v>16</v>
      </c>
      <c r="AP43" s="91">
        <v>16</v>
      </c>
      <c r="AQ43" s="91">
        <v>16</v>
      </c>
      <c r="AR43" s="91">
        <v>16</v>
      </c>
      <c r="AS43" s="91">
        <v>16</v>
      </c>
      <c r="AT43" s="91">
        <v>16</v>
      </c>
      <c r="AU43" s="91">
        <v>16</v>
      </c>
      <c r="AV43" s="91">
        <v>16</v>
      </c>
      <c r="AW43" s="91">
        <v>16</v>
      </c>
      <c r="AX43" s="91">
        <v>16</v>
      </c>
      <c r="AY43" s="91">
        <v>14</v>
      </c>
      <c r="AZ43" s="91">
        <v>16</v>
      </c>
      <c r="BA43" s="91">
        <v>16</v>
      </c>
      <c r="BB43" s="91">
        <v>16</v>
      </c>
      <c r="BC43" s="91">
        <v>16</v>
      </c>
      <c r="BD43" s="91">
        <v>16</v>
      </c>
      <c r="BE43" s="91">
        <v>16</v>
      </c>
      <c r="BF43" s="91">
        <v>30</v>
      </c>
      <c r="BG43" s="91">
        <v>26</v>
      </c>
      <c r="BH43" s="91"/>
    </row>
    <row r="44" spans="1:60" x14ac:dyDescent="0.25">
      <c r="A44" s="91" t="s">
        <v>292</v>
      </c>
      <c r="B44" s="129">
        <f t="shared" si="2"/>
        <v>814</v>
      </c>
      <c r="C44" s="91">
        <f t="shared" si="3"/>
        <v>48</v>
      </c>
      <c r="D44" s="130">
        <f t="shared" si="4"/>
        <v>0.96</v>
      </c>
      <c r="E44" s="131">
        <v>46255</v>
      </c>
      <c r="F44" s="131">
        <v>46318</v>
      </c>
      <c r="G44" s="91">
        <f t="shared" si="5"/>
        <v>63</v>
      </c>
      <c r="H44" s="91">
        <v>16</v>
      </c>
      <c r="I44" s="91">
        <v>16</v>
      </c>
      <c r="J44" s="91">
        <v>16</v>
      </c>
      <c r="K44" s="91">
        <v>16</v>
      </c>
      <c r="L44" s="91">
        <v>16</v>
      </c>
      <c r="M44" s="91"/>
      <c r="N44" s="91">
        <v>16</v>
      </c>
      <c r="O44" s="91">
        <v>16</v>
      </c>
      <c r="P44" s="91">
        <v>16</v>
      </c>
      <c r="Q44" s="91">
        <v>16</v>
      </c>
      <c r="R44" s="91">
        <v>16</v>
      </c>
      <c r="S44" s="91">
        <v>16</v>
      </c>
      <c r="T44" s="91">
        <v>16</v>
      </c>
      <c r="U44" s="91">
        <v>16</v>
      </c>
      <c r="V44" s="91">
        <v>16</v>
      </c>
      <c r="W44" s="91">
        <v>16</v>
      </c>
      <c r="X44" s="91">
        <v>16</v>
      </c>
      <c r="Y44" s="91">
        <v>2</v>
      </c>
      <c r="Z44" s="91">
        <v>16</v>
      </c>
      <c r="AA44" s="91">
        <v>16</v>
      </c>
      <c r="AB44" s="91">
        <v>16</v>
      </c>
      <c r="AC44" s="91">
        <v>16</v>
      </c>
      <c r="AD44" s="91">
        <v>32</v>
      </c>
      <c r="AE44" s="91">
        <v>16</v>
      </c>
      <c r="AF44" s="91">
        <v>16</v>
      </c>
      <c r="AG44" s="91">
        <v>16</v>
      </c>
      <c r="AH44" s="91">
        <v>16</v>
      </c>
      <c r="AI44" s="91">
        <v>16</v>
      </c>
      <c r="AJ44" s="91">
        <v>16</v>
      </c>
      <c r="AK44" s="91">
        <v>16</v>
      </c>
      <c r="AL44" s="91">
        <v>16</v>
      </c>
      <c r="AM44" s="91">
        <v>16</v>
      </c>
      <c r="AN44" s="91">
        <v>16</v>
      </c>
      <c r="AO44" s="91">
        <v>32</v>
      </c>
      <c r="AP44" s="91">
        <v>16</v>
      </c>
      <c r="AQ44" s="91">
        <v>16</v>
      </c>
      <c r="AR44" s="91">
        <v>16</v>
      </c>
      <c r="AS44" s="91">
        <v>16</v>
      </c>
      <c r="AT44" s="91">
        <v>17</v>
      </c>
      <c r="AU44" s="91">
        <v>16</v>
      </c>
      <c r="AV44" s="91">
        <v>9</v>
      </c>
      <c r="AW44" s="91">
        <v>16</v>
      </c>
      <c r="AX44" s="91">
        <v>16</v>
      </c>
      <c r="AY44" s="91"/>
      <c r="AZ44" s="91">
        <v>16</v>
      </c>
      <c r="BA44" s="91">
        <v>16</v>
      </c>
      <c r="BB44" s="91">
        <v>9</v>
      </c>
      <c r="BC44" s="91">
        <v>16</v>
      </c>
      <c r="BD44" s="91">
        <v>9</v>
      </c>
      <c r="BE44" s="91">
        <v>16</v>
      </c>
      <c r="BF44" s="91">
        <v>24</v>
      </c>
      <c r="BG44" s="91">
        <v>24</v>
      </c>
      <c r="BH44" s="91"/>
    </row>
    <row r="45" spans="1:60" x14ac:dyDescent="0.25">
      <c r="A45" s="91" t="s">
        <v>399</v>
      </c>
      <c r="B45" s="129">
        <f t="shared" si="2"/>
        <v>798</v>
      </c>
      <c r="C45" s="91">
        <f t="shared" si="3"/>
        <v>48</v>
      </c>
      <c r="D45" s="130">
        <f t="shared" si="4"/>
        <v>0.96</v>
      </c>
      <c r="E45" s="131">
        <v>46262</v>
      </c>
      <c r="F45" s="131">
        <v>46301</v>
      </c>
      <c r="G45" s="91">
        <f t="shared" si="5"/>
        <v>39</v>
      </c>
      <c r="H45" s="91">
        <v>16</v>
      </c>
      <c r="I45" s="91">
        <v>16</v>
      </c>
      <c r="J45" s="91">
        <v>20</v>
      </c>
      <c r="K45" s="91">
        <v>16</v>
      </c>
      <c r="L45" s="91">
        <v>16</v>
      </c>
      <c r="M45" s="91"/>
      <c r="N45" s="91">
        <v>20</v>
      </c>
      <c r="O45" s="91">
        <v>16</v>
      </c>
      <c r="P45" s="91">
        <v>16</v>
      </c>
      <c r="Q45" s="91">
        <v>16</v>
      </c>
      <c r="R45" s="91">
        <v>16</v>
      </c>
      <c r="S45" s="91">
        <v>20</v>
      </c>
      <c r="T45" s="91">
        <v>20</v>
      </c>
      <c r="U45" s="91">
        <v>16</v>
      </c>
      <c r="V45" s="91">
        <v>16</v>
      </c>
      <c r="W45" s="91">
        <v>16</v>
      </c>
      <c r="X45" s="91">
        <v>16</v>
      </c>
      <c r="Y45" s="91">
        <v>1</v>
      </c>
      <c r="Z45" s="91">
        <v>16</v>
      </c>
      <c r="AA45" s="91">
        <v>16</v>
      </c>
      <c r="AB45" s="91">
        <v>16</v>
      </c>
      <c r="AC45" s="91">
        <v>16</v>
      </c>
      <c r="AD45" s="91">
        <v>16</v>
      </c>
      <c r="AE45" s="91">
        <v>16</v>
      </c>
      <c r="AF45" s="91">
        <v>16</v>
      </c>
      <c r="AG45" s="91">
        <v>16</v>
      </c>
      <c r="AH45" s="91">
        <v>16</v>
      </c>
      <c r="AI45" s="91">
        <v>16</v>
      </c>
      <c r="AJ45" s="91">
        <v>16</v>
      </c>
      <c r="AK45" s="91">
        <v>16</v>
      </c>
      <c r="AL45" s="91">
        <v>16</v>
      </c>
      <c r="AM45" s="91">
        <v>16</v>
      </c>
      <c r="AN45" s="91">
        <v>16</v>
      </c>
      <c r="AO45" s="91">
        <v>16</v>
      </c>
      <c r="AP45" s="91">
        <v>16</v>
      </c>
      <c r="AQ45" s="91">
        <v>16</v>
      </c>
      <c r="AR45" s="91">
        <v>20</v>
      </c>
      <c r="AS45" s="91">
        <v>16</v>
      </c>
      <c r="AT45" s="91">
        <v>16</v>
      </c>
      <c r="AU45" s="91">
        <v>16</v>
      </c>
      <c r="AV45" s="91">
        <v>16</v>
      </c>
      <c r="AW45" s="91">
        <v>16</v>
      </c>
      <c r="AX45" s="91">
        <v>16</v>
      </c>
      <c r="AY45" s="91"/>
      <c r="AZ45" s="91">
        <v>16</v>
      </c>
      <c r="BA45" s="91">
        <v>16</v>
      </c>
      <c r="BB45" s="91">
        <v>10</v>
      </c>
      <c r="BC45" s="91">
        <v>16</v>
      </c>
      <c r="BD45" s="91">
        <v>32</v>
      </c>
      <c r="BE45" s="91">
        <v>16</v>
      </c>
      <c r="BF45" s="91">
        <v>1</v>
      </c>
      <c r="BG45" s="91">
        <v>14</v>
      </c>
      <c r="BH45" s="91"/>
    </row>
    <row r="46" spans="1:60" x14ac:dyDescent="0.25">
      <c r="A46" s="91" t="s">
        <v>414</v>
      </c>
      <c r="B46" s="129">
        <f t="shared" si="2"/>
        <v>784</v>
      </c>
      <c r="C46" s="91">
        <f t="shared" si="3"/>
        <v>48</v>
      </c>
      <c r="D46" s="130">
        <f t="shared" si="4"/>
        <v>0.96</v>
      </c>
      <c r="E46" s="131">
        <v>46280</v>
      </c>
      <c r="F46" s="131">
        <v>46310</v>
      </c>
      <c r="G46" s="91">
        <f t="shared" si="5"/>
        <v>30</v>
      </c>
      <c r="H46" s="91">
        <v>16</v>
      </c>
      <c r="I46" s="91">
        <v>16</v>
      </c>
      <c r="J46" s="91">
        <v>16</v>
      </c>
      <c r="K46" s="91">
        <v>16</v>
      </c>
      <c r="L46" s="91">
        <v>16</v>
      </c>
      <c r="M46" s="91"/>
      <c r="N46" s="91">
        <v>16</v>
      </c>
      <c r="O46" s="91">
        <v>16</v>
      </c>
      <c r="P46" s="91">
        <v>16</v>
      </c>
      <c r="Q46" s="91">
        <v>16</v>
      </c>
      <c r="R46" s="91">
        <v>16</v>
      </c>
      <c r="S46" s="91">
        <v>16</v>
      </c>
      <c r="T46" s="91">
        <v>16</v>
      </c>
      <c r="U46" s="91">
        <v>16</v>
      </c>
      <c r="V46" s="91">
        <v>16</v>
      </c>
      <c r="W46" s="91">
        <v>16</v>
      </c>
      <c r="X46" s="91">
        <v>16</v>
      </c>
      <c r="Y46" s="91">
        <v>1</v>
      </c>
      <c r="Z46" s="91">
        <v>16</v>
      </c>
      <c r="AA46" s="91">
        <v>16</v>
      </c>
      <c r="AB46" s="91">
        <v>16</v>
      </c>
      <c r="AC46" s="91">
        <v>16</v>
      </c>
      <c r="AD46" s="91">
        <v>16</v>
      </c>
      <c r="AE46" s="91">
        <v>16</v>
      </c>
      <c r="AF46" s="91">
        <v>16</v>
      </c>
      <c r="AG46" s="91">
        <v>16</v>
      </c>
      <c r="AH46" s="91">
        <v>16</v>
      </c>
      <c r="AI46" s="91">
        <v>16</v>
      </c>
      <c r="AJ46" s="91">
        <v>16</v>
      </c>
      <c r="AK46" s="91">
        <v>16</v>
      </c>
      <c r="AL46" s="91">
        <v>16</v>
      </c>
      <c r="AM46" s="91">
        <v>16</v>
      </c>
      <c r="AN46" s="91">
        <v>16</v>
      </c>
      <c r="AO46" s="91">
        <v>16</v>
      </c>
      <c r="AP46" s="91">
        <v>16</v>
      </c>
      <c r="AQ46" s="91">
        <v>16</v>
      </c>
      <c r="AR46" s="91">
        <v>16</v>
      </c>
      <c r="AS46" s="91">
        <v>16</v>
      </c>
      <c r="AT46" s="91">
        <v>16</v>
      </c>
      <c r="AU46" s="91">
        <v>16</v>
      </c>
      <c r="AV46" s="91">
        <v>16</v>
      </c>
      <c r="AW46" s="91">
        <v>16</v>
      </c>
      <c r="AX46" s="91">
        <v>16</v>
      </c>
      <c r="AY46" s="91"/>
      <c r="AZ46" s="91">
        <v>16</v>
      </c>
      <c r="BA46" s="91">
        <v>16</v>
      </c>
      <c r="BB46" s="91">
        <v>16</v>
      </c>
      <c r="BC46" s="91">
        <v>16</v>
      </c>
      <c r="BD46" s="91">
        <v>32</v>
      </c>
      <c r="BE46" s="91">
        <v>16</v>
      </c>
      <c r="BF46" s="91">
        <v>1</v>
      </c>
      <c r="BG46" s="91">
        <v>14</v>
      </c>
      <c r="BH46" s="91"/>
    </row>
    <row r="47" spans="1:60" x14ac:dyDescent="0.25">
      <c r="A47" s="91" t="s">
        <v>316</v>
      </c>
      <c r="B47" s="129">
        <f t="shared" si="2"/>
        <v>784</v>
      </c>
      <c r="C47" s="91">
        <f t="shared" si="3"/>
        <v>49</v>
      </c>
      <c r="D47" s="130">
        <f t="shared" si="4"/>
        <v>0.98</v>
      </c>
      <c r="E47" s="131">
        <v>46267</v>
      </c>
      <c r="F47" s="131">
        <v>46310</v>
      </c>
      <c r="G47" s="91">
        <f t="shared" si="5"/>
        <v>43</v>
      </c>
      <c r="H47" s="91">
        <v>16</v>
      </c>
      <c r="I47" s="91">
        <v>16</v>
      </c>
      <c r="J47" s="91">
        <v>16</v>
      </c>
      <c r="K47" s="91">
        <v>16</v>
      </c>
      <c r="L47" s="91">
        <v>16</v>
      </c>
      <c r="M47" s="91">
        <v>12</v>
      </c>
      <c r="N47" s="91">
        <v>16</v>
      </c>
      <c r="O47" s="91">
        <v>16</v>
      </c>
      <c r="P47" s="91">
        <v>16</v>
      </c>
      <c r="Q47" s="91">
        <v>16</v>
      </c>
      <c r="R47" s="91">
        <v>16</v>
      </c>
      <c r="S47" s="91">
        <v>16</v>
      </c>
      <c r="T47" s="91">
        <v>16</v>
      </c>
      <c r="U47" s="91">
        <v>16</v>
      </c>
      <c r="V47" s="91">
        <v>16</v>
      </c>
      <c r="W47" s="91">
        <v>16</v>
      </c>
      <c r="X47" s="91">
        <v>16</v>
      </c>
      <c r="Y47" s="91">
        <v>5</v>
      </c>
      <c r="Z47" s="91">
        <v>16</v>
      </c>
      <c r="AA47" s="91">
        <v>16</v>
      </c>
      <c r="AB47" s="91">
        <v>16</v>
      </c>
      <c r="AC47" s="91">
        <v>16</v>
      </c>
      <c r="AD47" s="91">
        <v>16</v>
      </c>
      <c r="AE47" s="91">
        <v>16</v>
      </c>
      <c r="AF47" s="91">
        <v>16</v>
      </c>
      <c r="AG47" s="91">
        <v>16</v>
      </c>
      <c r="AH47" s="91">
        <v>16</v>
      </c>
      <c r="AI47" s="91">
        <v>16</v>
      </c>
      <c r="AJ47" s="91">
        <v>16</v>
      </c>
      <c r="AK47" s="91">
        <v>16</v>
      </c>
      <c r="AL47" s="91">
        <v>16</v>
      </c>
      <c r="AM47" s="91">
        <v>16</v>
      </c>
      <c r="AN47" s="91">
        <v>16</v>
      </c>
      <c r="AO47" s="91">
        <v>16</v>
      </c>
      <c r="AP47" s="91">
        <v>16</v>
      </c>
      <c r="AQ47" s="91">
        <v>16</v>
      </c>
      <c r="AR47" s="91">
        <v>16</v>
      </c>
      <c r="AS47" s="91">
        <v>16</v>
      </c>
      <c r="AT47" s="91">
        <v>16</v>
      </c>
      <c r="AU47" s="91">
        <v>16</v>
      </c>
      <c r="AV47" s="91">
        <v>16</v>
      </c>
      <c r="AW47" s="91">
        <v>16</v>
      </c>
      <c r="AX47" s="91">
        <v>16</v>
      </c>
      <c r="AY47" s="91"/>
      <c r="AZ47" s="91">
        <v>16</v>
      </c>
      <c r="BA47" s="91">
        <v>16</v>
      </c>
      <c r="BB47" s="91">
        <v>16</v>
      </c>
      <c r="BC47" s="91">
        <v>16</v>
      </c>
      <c r="BD47" s="91">
        <v>16</v>
      </c>
      <c r="BE47" s="91">
        <v>16</v>
      </c>
      <c r="BF47" s="91">
        <v>1</v>
      </c>
      <c r="BG47" s="91">
        <v>14</v>
      </c>
      <c r="BH47" s="91"/>
    </row>
    <row r="48" spans="1:60" x14ac:dyDescent="0.25">
      <c r="A48" s="91" t="s">
        <v>221</v>
      </c>
      <c r="B48" s="129">
        <f t="shared" si="2"/>
        <v>777</v>
      </c>
      <c r="C48" s="91">
        <f t="shared" si="3"/>
        <v>48</v>
      </c>
      <c r="D48" s="130">
        <f t="shared" si="4"/>
        <v>0.96</v>
      </c>
      <c r="E48" s="131">
        <v>46255</v>
      </c>
      <c r="F48" s="131">
        <v>46301</v>
      </c>
      <c r="G48" s="91">
        <f t="shared" si="5"/>
        <v>46</v>
      </c>
      <c r="H48" s="91">
        <v>21</v>
      </c>
      <c r="I48" s="91">
        <v>16</v>
      </c>
      <c r="J48" s="91">
        <v>16</v>
      </c>
      <c r="K48" s="91">
        <v>8</v>
      </c>
      <c r="L48" s="91">
        <v>8</v>
      </c>
      <c r="M48" s="91"/>
      <c r="N48" s="91">
        <v>16</v>
      </c>
      <c r="O48" s="91">
        <v>16</v>
      </c>
      <c r="P48" s="91">
        <v>16</v>
      </c>
      <c r="Q48" s="91">
        <v>16</v>
      </c>
      <c r="R48" s="91">
        <v>16</v>
      </c>
      <c r="S48" s="91">
        <v>16</v>
      </c>
      <c r="T48" s="91">
        <v>16</v>
      </c>
      <c r="U48" s="91">
        <v>16</v>
      </c>
      <c r="V48" s="91">
        <v>8</v>
      </c>
      <c r="W48" s="91">
        <v>16</v>
      </c>
      <c r="X48" s="91">
        <v>16</v>
      </c>
      <c r="Y48" s="91">
        <v>2</v>
      </c>
      <c r="Z48" s="91">
        <v>16</v>
      </c>
      <c r="AA48" s="91">
        <v>16</v>
      </c>
      <c r="AB48" s="91">
        <v>16</v>
      </c>
      <c r="AC48" s="91">
        <v>8</v>
      </c>
      <c r="AD48" s="91">
        <v>32</v>
      </c>
      <c r="AE48" s="91">
        <v>16</v>
      </c>
      <c r="AF48" s="91">
        <v>16</v>
      </c>
      <c r="AG48" s="91">
        <v>16</v>
      </c>
      <c r="AH48" s="91">
        <v>16</v>
      </c>
      <c r="AI48" s="91">
        <v>16</v>
      </c>
      <c r="AJ48" s="91">
        <v>16</v>
      </c>
      <c r="AK48" s="91">
        <v>16</v>
      </c>
      <c r="AL48" s="91">
        <v>16</v>
      </c>
      <c r="AM48" s="91">
        <v>16</v>
      </c>
      <c r="AN48" s="91">
        <v>16</v>
      </c>
      <c r="AO48" s="91">
        <v>32</v>
      </c>
      <c r="AP48" s="91">
        <v>16</v>
      </c>
      <c r="AQ48" s="91">
        <v>16</v>
      </c>
      <c r="AR48" s="91">
        <v>16</v>
      </c>
      <c r="AS48" s="91">
        <v>16</v>
      </c>
      <c r="AT48" s="91">
        <v>16</v>
      </c>
      <c r="AU48" s="91">
        <v>16</v>
      </c>
      <c r="AV48" s="91">
        <v>16</v>
      </c>
      <c r="AW48" s="91">
        <v>16</v>
      </c>
      <c r="AX48" s="91">
        <v>16</v>
      </c>
      <c r="AY48" s="91"/>
      <c r="AZ48" s="91">
        <v>16</v>
      </c>
      <c r="BA48" s="91">
        <v>16</v>
      </c>
      <c r="BB48" s="91">
        <v>10</v>
      </c>
      <c r="BC48" s="91">
        <v>10</v>
      </c>
      <c r="BD48" s="91">
        <v>16</v>
      </c>
      <c r="BE48" s="91">
        <v>16</v>
      </c>
      <c r="BF48" s="91">
        <v>16</v>
      </c>
      <c r="BG48" s="91">
        <v>14</v>
      </c>
      <c r="BH48" s="91"/>
    </row>
    <row r="49" spans="1:60" x14ac:dyDescent="0.25">
      <c r="A49" s="91" t="s">
        <v>185</v>
      </c>
      <c r="B49" s="129">
        <f t="shared" si="2"/>
        <v>774</v>
      </c>
      <c r="C49" s="91">
        <f t="shared" si="3"/>
        <v>48</v>
      </c>
      <c r="D49" s="130">
        <f t="shared" si="4"/>
        <v>0.96</v>
      </c>
      <c r="E49" s="131">
        <v>46225</v>
      </c>
      <c r="F49" s="131">
        <v>46301</v>
      </c>
      <c r="G49" s="91">
        <f t="shared" si="5"/>
        <v>76</v>
      </c>
      <c r="H49" s="91">
        <v>16</v>
      </c>
      <c r="I49" s="91">
        <v>16</v>
      </c>
      <c r="J49" s="91">
        <v>16</v>
      </c>
      <c r="K49" s="91">
        <v>16</v>
      </c>
      <c r="L49" s="91">
        <v>16</v>
      </c>
      <c r="M49" s="91"/>
      <c r="N49" s="91">
        <v>16</v>
      </c>
      <c r="O49" s="91">
        <v>16</v>
      </c>
      <c r="P49" s="91">
        <v>16</v>
      </c>
      <c r="Q49" s="91">
        <v>16</v>
      </c>
      <c r="R49" s="91">
        <v>16</v>
      </c>
      <c r="S49" s="91">
        <v>16</v>
      </c>
      <c r="T49" s="91">
        <v>16</v>
      </c>
      <c r="U49" s="91">
        <v>16</v>
      </c>
      <c r="V49" s="91">
        <v>16</v>
      </c>
      <c r="W49" s="91">
        <v>16</v>
      </c>
      <c r="X49" s="91">
        <v>16</v>
      </c>
      <c r="Y49" s="91">
        <v>1</v>
      </c>
      <c r="Z49" s="91">
        <v>16</v>
      </c>
      <c r="AA49" s="91">
        <v>16</v>
      </c>
      <c r="AB49" s="91">
        <v>16</v>
      </c>
      <c r="AC49" s="91">
        <v>16</v>
      </c>
      <c r="AD49" s="91">
        <v>16</v>
      </c>
      <c r="AE49" s="91">
        <v>16</v>
      </c>
      <c r="AF49" s="91">
        <v>16</v>
      </c>
      <c r="AG49" s="91">
        <v>16</v>
      </c>
      <c r="AH49" s="91">
        <v>16</v>
      </c>
      <c r="AI49" s="91">
        <v>16</v>
      </c>
      <c r="AJ49" s="91">
        <v>16</v>
      </c>
      <c r="AK49" s="91">
        <v>16</v>
      </c>
      <c r="AL49" s="91">
        <v>16</v>
      </c>
      <c r="AM49" s="91">
        <v>16</v>
      </c>
      <c r="AN49" s="91">
        <v>16</v>
      </c>
      <c r="AO49" s="91">
        <v>16</v>
      </c>
      <c r="AP49" s="91">
        <v>16</v>
      </c>
      <c r="AQ49" s="91">
        <v>16</v>
      </c>
      <c r="AR49" s="91">
        <v>16</v>
      </c>
      <c r="AS49" s="91">
        <v>16</v>
      </c>
      <c r="AT49" s="91">
        <v>18</v>
      </c>
      <c r="AU49" s="91">
        <v>16</v>
      </c>
      <c r="AV49" s="91">
        <v>17</v>
      </c>
      <c r="AW49" s="91">
        <v>16</v>
      </c>
      <c r="AX49" s="91">
        <v>16</v>
      </c>
      <c r="AY49" s="91"/>
      <c r="AZ49" s="91">
        <v>16</v>
      </c>
      <c r="BA49" s="91">
        <v>8</v>
      </c>
      <c r="BB49" s="91">
        <v>16</v>
      </c>
      <c r="BC49" s="91">
        <v>16</v>
      </c>
      <c r="BD49" s="91">
        <v>16</v>
      </c>
      <c r="BE49" s="91">
        <v>16</v>
      </c>
      <c r="BF49" s="91">
        <v>16</v>
      </c>
      <c r="BG49" s="91">
        <v>10</v>
      </c>
      <c r="BH49" s="91"/>
    </row>
    <row r="50" spans="1:60" x14ac:dyDescent="0.25">
      <c r="A50" s="91" t="s">
        <v>134</v>
      </c>
      <c r="B50" s="129">
        <f t="shared" si="2"/>
        <v>769</v>
      </c>
      <c r="C50" s="91">
        <f t="shared" si="3"/>
        <v>48</v>
      </c>
      <c r="D50" s="130">
        <f t="shared" si="4"/>
        <v>0.96</v>
      </c>
      <c r="E50" s="131">
        <v>46262</v>
      </c>
      <c r="F50" s="131">
        <v>46322</v>
      </c>
      <c r="G50" s="91">
        <f t="shared" si="5"/>
        <v>60</v>
      </c>
      <c r="H50" s="91">
        <v>16</v>
      </c>
      <c r="I50" s="91">
        <v>16</v>
      </c>
      <c r="J50" s="91">
        <v>16</v>
      </c>
      <c r="K50" s="91">
        <v>16</v>
      </c>
      <c r="L50" s="91">
        <v>10</v>
      </c>
      <c r="M50" s="91"/>
      <c r="N50" s="91">
        <v>16</v>
      </c>
      <c r="O50" s="91">
        <v>10</v>
      </c>
      <c r="P50" s="91">
        <v>16</v>
      </c>
      <c r="Q50" s="91">
        <v>10</v>
      </c>
      <c r="R50" s="91">
        <v>16</v>
      </c>
      <c r="S50" s="91">
        <v>16</v>
      </c>
      <c r="T50" s="91">
        <v>16</v>
      </c>
      <c r="U50" s="91">
        <v>16</v>
      </c>
      <c r="V50" s="91">
        <v>16</v>
      </c>
      <c r="W50" s="91">
        <v>16</v>
      </c>
      <c r="X50" s="91">
        <v>16</v>
      </c>
      <c r="Y50" s="91">
        <v>1</v>
      </c>
      <c r="Z50" s="91">
        <v>16</v>
      </c>
      <c r="AA50" s="91">
        <v>16</v>
      </c>
      <c r="AB50" s="91">
        <v>10</v>
      </c>
      <c r="AC50" s="91">
        <v>16</v>
      </c>
      <c r="AD50" s="91">
        <v>16</v>
      </c>
      <c r="AE50" s="91">
        <v>16</v>
      </c>
      <c r="AF50" s="91">
        <v>16</v>
      </c>
      <c r="AG50" s="91">
        <v>16</v>
      </c>
      <c r="AH50" s="91">
        <v>16</v>
      </c>
      <c r="AI50" s="91">
        <v>10</v>
      </c>
      <c r="AJ50" s="91">
        <v>16</v>
      </c>
      <c r="AK50" s="91">
        <v>16</v>
      </c>
      <c r="AL50" s="91">
        <v>16</v>
      </c>
      <c r="AM50" s="91">
        <v>16</v>
      </c>
      <c r="AN50" s="91">
        <v>16</v>
      </c>
      <c r="AO50" s="91">
        <v>16</v>
      </c>
      <c r="AP50" s="91">
        <v>16</v>
      </c>
      <c r="AQ50" s="91">
        <v>16</v>
      </c>
      <c r="AR50" s="91">
        <v>16</v>
      </c>
      <c r="AS50" s="91">
        <v>16</v>
      </c>
      <c r="AT50" s="91">
        <v>16</v>
      </c>
      <c r="AU50" s="91">
        <v>16</v>
      </c>
      <c r="AV50" s="91">
        <v>16</v>
      </c>
      <c r="AW50" s="91">
        <v>16</v>
      </c>
      <c r="AX50" s="91">
        <v>16</v>
      </c>
      <c r="AY50" s="91"/>
      <c r="AZ50" s="91">
        <v>16</v>
      </c>
      <c r="BA50" s="91">
        <v>16</v>
      </c>
      <c r="BB50" s="91">
        <v>16</v>
      </c>
      <c r="BC50" s="91">
        <v>16</v>
      </c>
      <c r="BD50" s="91">
        <v>16</v>
      </c>
      <c r="BE50" s="91">
        <v>16</v>
      </c>
      <c r="BF50" s="91">
        <v>32</v>
      </c>
      <c r="BG50" s="91">
        <v>14</v>
      </c>
      <c r="BH50" s="91"/>
    </row>
    <row r="51" spans="1:60" x14ac:dyDescent="0.25">
      <c r="A51" s="91" t="s">
        <v>236</v>
      </c>
      <c r="B51" s="129">
        <f t="shared" si="2"/>
        <v>758</v>
      </c>
      <c r="C51" s="91">
        <f t="shared" si="3"/>
        <v>49</v>
      </c>
      <c r="D51" s="130">
        <f t="shared" si="4"/>
        <v>0.98</v>
      </c>
      <c r="E51" s="131">
        <v>46258</v>
      </c>
      <c r="F51" s="131">
        <v>46302</v>
      </c>
      <c r="G51" s="91">
        <f t="shared" si="5"/>
        <v>44</v>
      </c>
      <c r="H51" s="91">
        <v>14</v>
      </c>
      <c r="I51" s="91">
        <v>14</v>
      </c>
      <c r="J51" s="91">
        <v>14</v>
      </c>
      <c r="K51" s="91">
        <v>14</v>
      </c>
      <c r="L51" s="91">
        <v>14</v>
      </c>
      <c r="M51" s="91">
        <v>10</v>
      </c>
      <c r="N51" s="91">
        <v>14</v>
      </c>
      <c r="O51" s="91">
        <v>14</v>
      </c>
      <c r="P51" s="91">
        <v>14</v>
      </c>
      <c r="Q51" s="91">
        <v>14</v>
      </c>
      <c r="R51" s="91">
        <v>14</v>
      </c>
      <c r="S51" s="91">
        <v>14</v>
      </c>
      <c r="T51" s="91">
        <v>18</v>
      </c>
      <c r="U51" s="91">
        <v>14</v>
      </c>
      <c r="V51" s="91">
        <v>14</v>
      </c>
      <c r="W51" s="91">
        <v>18</v>
      </c>
      <c r="X51" s="91">
        <v>14</v>
      </c>
      <c r="Y51" s="91">
        <v>1</v>
      </c>
      <c r="Z51" s="91">
        <v>18</v>
      </c>
      <c r="AA51" s="91">
        <v>14</v>
      </c>
      <c r="AB51" s="91">
        <v>14</v>
      </c>
      <c r="AC51" s="91">
        <v>15</v>
      </c>
      <c r="AD51" s="91">
        <v>18</v>
      </c>
      <c r="AE51" s="91">
        <v>18</v>
      </c>
      <c r="AF51" s="91">
        <v>14</v>
      </c>
      <c r="AG51" s="91">
        <v>18</v>
      </c>
      <c r="AH51" s="91">
        <v>14</v>
      </c>
      <c r="AI51" s="91">
        <v>14</v>
      </c>
      <c r="AJ51" s="91">
        <v>14</v>
      </c>
      <c r="AK51" s="91">
        <v>14</v>
      </c>
      <c r="AL51" s="91">
        <v>18</v>
      </c>
      <c r="AM51" s="91">
        <v>14</v>
      </c>
      <c r="AN51" s="91">
        <v>14</v>
      </c>
      <c r="AO51" s="91">
        <v>14</v>
      </c>
      <c r="AP51" s="91">
        <v>18</v>
      </c>
      <c r="AQ51" s="91">
        <v>18</v>
      </c>
      <c r="AR51" s="91">
        <v>18</v>
      </c>
      <c r="AS51" s="91">
        <v>14</v>
      </c>
      <c r="AT51" s="91">
        <v>18</v>
      </c>
      <c r="AU51" s="91">
        <v>18</v>
      </c>
      <c r="AV51" s="91">
        <v>14</v>
      </c>
      <c r="AW51" s="91">
        <v>18</v>
      </c>
      <c r="AX51" s="91">
        <v>14</v>
      </c>
      <c r="AY51" s="91"/>
      <c r="AZ51" s="91">
        <v>18</v>
      </c>
      <c r="BA51" s="91">
        <v>18</v>
      </c>
      <c r="BB51" s="91">
        <v>9</v>
      </c>
      <c r="BC51" s="91">
        <v>9</v>
      </c>
      <c r="BD51" s="91">
        <v>18</v>
      </c>
      <c r="BE51" s="91">
        <v>14</v>
      </c>
      <c r="BF51" s="91">
        <v>8</v>
      </c>
      <c r="BG51" s="91">
        <v>26</v>
      </c>
      <c r="BH51" s="91"/>
    </row>
    <row r="52" spans="1:60" x14ac:dyDescent="0.25">
      <c r="A52" s="91" t="s">
        <v>267</v>
      </c>
      <c r="B52" s="129">
        <f t="shared" si="2"/>
        <v>742</v>
      </c>
      <c r="C52" s="91">
        <f t="shared" si="3"/>
        <v>49</v>
      </c>
      <c r="D52" s="130">
        <f t="shared" si="4"/>
        <v>0.98</v>
      </c>
      <c r="E52" s="131">
        <v>46254</v>
      </c>
      <c r="F52" s="131">
        <v>46301</v>
      </c>
      <c r="G52" s="91">
        <f t="shared" si="5"/>
        <v>47</v>
      </c>
      <c r="H52" s="91">
        <v>12</v>
      </c>
      <c r="I52" s="91">
        <v>18</v>
      </c>
      <c r="J52" s="91">
        <v>14</v>
      </c>
      <c r="K52" s="91">
        <v>14</v>
      </c>
      <c r="L52" s="91">
        <v>14</v>
      </c>
      <c r="M52" s="91">
        <v>5</v>
      </c>
      <c r="N52" s="91">
        <v>14</v>
      </c>
      <c r="O52" s="91">
        <v>14</v>
      </c>
      <c r="P52" s="91">
        <v>18</v>
      </c>
      <c r="Q52" s="91">
        <v>14</v>
      </c>
      <c r="R52" s="91">
        <v>18</v>
      </c>
      <c r="S52" s="91">
        <v>14</v>
      </c>
      <c r="T52" s="91">
        <v>14</v>
      </c>
      <c r="U52" s="91">
        <v>18</v>
      </c>
      <c r="V52" s="91">
        <v>14</v>
      </c>
      <c r="W52" s="91">
        <v>13</v>
      </c>
      <c r="X52" s="91">
        <v>18</v>
      </c>
      <c r="Y52" s="91">
        <v>1</v>
      </c>
      <c r="Z52" s="91">
        <v>18</v>
      </c>
      <c r="AA52" s="91">
        <v>18</v>
      </c>
      <c r="AB52" s="91">
        <v>14</v>
      </c>
      <c r="AC52" s="91">
        <v>14</v>
      </c>
      <c r="AD52" s="91">
        <v>18</v>
      </c>
      <c r="AE52" s="91">
        <v>18</v>
      </c>
      <c r="AF52" s="91">
        <v>14</v>
      </c>
      <c r="AG52" s="91">
        <v>18</v>
      </c>
      <c r="AH52" s="91">
        <v>14</v>
      </c>
      <c r="AI52" s="91">
        <v>14</v>
      </c>
      <c r="AJ52" s="91">
        <v>18</v>
      </c>
      <c r="AK52" s="91">
        <v>12</v>
      </c>
      <c r="AL52" s="91">
        <v>18</v>
      </c>
      <c r="AM52" s="91">
        <v>13</v>
      </c>
      <c r="AN52" s="91">
        <v>13</v>
      </c>
      <c r="AO52" s="91">
        <v>14</v>
      </c>
      <c r="AP52" s="91">
        <v>19</v>
      </c>
      <c r="AQ52" s="91">
        <v>13</v>
      </c>
      <c r="AR52" s="91">
        <v>18</v>
      </c>
      <c r="AS52" s="91">
        <v>13</v>
      </c>
      <c r="AT52" s="91">
        <v>14</v>
      </c>
      <c r="AU52" s="91">
        <v>12</v>
      </c>
      <c r="AV52" s="91">
        <v>9</v>
      </c>
      <c r="AW52" s="91">
        <v>18</v>
      </c>
      <c r="AX52" s="91">
        <v>18</v>
      </c>
      <c r="AY52" s="91"/>
      <c r="AZ52" s="91">
        <v>18</v>
      </c>
      <c r="BA52" s="91">
        <v>18</v>
      </c>
      <c r="BB52" s="91">
        <v>9</v>
      </c>
      <c r="BC52" s="91">
        <v>9</v>
      </c>
      <c r="BD52" s="91">
        <v>18</v>
      </c>
      <c r="BE52" s="91">
        <v>16</v>
      </c>
      <c r="BF52" s="91">
        <v>1</v>
      </c>
      <c r="BG52" s="91">
        <v>24</v>
      </c>
      <c r="BH52" s="91"/>
    </row>
    <row r="53" spans="1:60" x14ac:dyDescent="0.25">
      <c r="A53" s="91" t="s">
        <v>164</v>
      </c>
      <c r="B53" s="129">
        <f t="shared" si="2"/>
        <v>730</v>
      </c>
      <c r="C53" s="91">
        <f t="shared" si="3"/>
        <v>49</v>
      </c>
      <c r="D53" s="130">
        <f t="shared" si="4"/>
        <v>0.98</v>
      </c>
      <c r="E53" s="131">
        <v>46282</v>
      </c>
      <c r="F53" s="131">
        <v>46315</v>
      </c>
      <c r="G53" s="91">
        <f t="shared" si="5"/>
        <v>33</v>
      </c>
      <c r="H53" s="91">
        <v>16</v>
      </c>
      <c r="I53" s="91">
        <v>16</v>
      </c>
      <c r="J53" s="91">
        <v>7</v>
      </c>
      <c r="K53" s="91">
        <v>13</v>
      </c>
      <c r="L53" s="91">
        <v>16</v>
      </c>
      <c r="M53" s="91"/>
      <c r="N53" s="91">
        <v>7</v>
      </c>
      <c r="O53" s="91">
        <v>16</v>
      </c>
      <c r="P53" s="91">
        <v>16</v>
      </c>
      <c r="Q53" s="91">
        <v>16</v>
      </c>
      <c r="R53" s="91">
        <v>13</v>
      </c>
      <c r="S53" s="91">
        <v>7</v>
      </c>
      <c r="T53" s="91">
        <v>13</v>
      </c>
      <c r="U53" s="91">
        <v>13</v>
      </c>
      <c r="V53" s="91">
        <v>13</v>
      </c>
      <c r="W53" s="91">
        <v>16</v>
      </c>
      <c r="X53" s="91">
        <v>13</v>
      </c>
      <c r="Y53" s="91">
        <v>8</v>
      </c>
      <c r="Z53" s="91">
        <v>16</v>
      </c>
      <c r="AA53" s="91">
        <v>16</v>
      </c>
      <c r="AB53" s="91">
        <v>7</v>
      </c>
      <c r="AC53" s="91">
        <v>7</v>
      </c>
      <c r="AD53" s="91">
        <v>7</v>
      </c>
      <c r="AE53" s="91">
        <v>16</v>
      </c>
      <c r="AF53" s="91">
        <v>16</v>
      </c>
      <c r="AG53" s="91">
        <v>16</v>
      </c>
      <c r="AH53" s="91">
        <v>16</v>
      </c>
      <c r="AI53" s="91">
        <v>16</v>
      </c>
      <c r="AJ53" s="91">
        <v>16</v>
      </c>
      <c r="AK53" s="91">
        <v>16</v>
      </c>
      <c r="AL53" s="91">
        <v>16</v>
      </c>
      <c r="AM53" s="91">
        <v>13</v>
      </c>
      <c r="AN53" s="91">
        <v>16</v>
      </c>
      <c r="AO53" s="91">
        <v>16</v>
      </c>
      <c r="AP53" s="91">
        <v>16</v>
      </c>
      <c r="AQ53" s="91">
        <v>16</v>
      </c>
      <c r="AR53" s="91">
        <v>16</v>
      </c>
      <c r="AS53" s="91">
        <v>16</v>
      </c>
      <c r="AT53" s="91">
        <v>13</v>
      </c>
      <c r="AU53" s="91">
        <v>16</v>
      </c>
      <c r="AV53" s="91">
        <v>16</v>
      </c>
      <c r="AW53" s="91">
        <v>16</v>
      </c>
      <c r="AX53" s="91">
        <v>16</v>
      </c>
      <c r="AY53" s="91">
        <v>13</v>
      </c>
      <c r="AZ53" s="91">
        <v>16</v>
      </c>
      <c r="BA53" s="91">
        <v>16</v>
      </c>
      <c r="BB53" s="91">
        <v>16</v>
      </c>
      <c r="BC53" s="91">
        <v>16</v>
      </c>
      <c r="BD53" s="91">
        <v>16</v>
      </c>
      <c r="BE53" s="91">
        <v>16</v>
      </c>
      <c r="BF53" s="91">
        <v>13</v>
      </c>
      <c r="BG53" s="91">
        <v>22</v>
      </c>
      <c r="BH53" s="91"/>
    </row>
    <row r="54" spans="1:60" x14ac:dyDescent="0.25">
      <c r="A54" s="91" t="s">
        <v>166</v>
      </c>
      <c r="B54" s="129">
        <f t="shared" si="2"/>
        <v>729</v>
      </c>
      <c r="C54" s="91">
        <f t="shared" si="3"/>
        <v>47</v>
      </c>
      <c r="D54" s="130">
        <f t="shared" si="4"/>
        <v>0.94</v>
      </c>
      <c r="E54" s="131">
        <v>46274</v>
      </c>
      <c r="F54" s="131">
        <v>46309</v>
      </c>
      <c r="G54" s="91">
        <f t="shared" si="5"/>
        <v>35</v>
      </c>
      <c r="H54" s="91">
        <v>16</v>
      </c>
      <c r="I54" s="91">
        <v>9</v>
      </c>
      <c r="J54" s="91">
        <v>9</v>
      </c>
      <c r="K54" s="91">
        <v>18</v>
      </c>
      <c r="L54" s="91">
        <v>9</v>
      </c>
      <c r="M54" s="91"/>
      <c r="N54" s="91">
        <v>9</v>
      </c>
      <c r="O54" s="91">
        <v>9</v>
      </c>
      <c r="P54" s="91">
        <v>18</v>
      </c>
      <c r="Q54" s="91">
        <v>9</v>
      </c>
      <c r="R54" s="91">
        <v>9</v>
      </c>
      <c r="S54" s="91">
        <v>9</v>
      </c>
      <c r="T54" s="91">
        <v>18</v>
      </c>
      <c r="U54" s="91"/>
      <c r="V54" s="91">
        <v>9</v>
      </c>
      <c r="W54" s="91">
        <v>18</v>
      </c>
      <c r="X54" s="91">
        <v>18</v>
      </c>
      <c r="Y54" s="91">
        <v>2</v>
      </c>
      <c r="Z54" s="91">
        <v>9</v>
      </c>
      <c r="AA54" s="91">
        <v>9</v>
      </c>
      <c r="AB54" s="91">
        <v>18</v>
      </c>
      <c r="AC54" s="91">
        <v>18</v>
      </c>
      <c r="AD54" s="91">
        <v>9</v>
      </c>
      <c r="AE54" s="91">
        <v>18</v>
      </c>
      <c r="AF54" s="91">
        <v>18</v>
      </c>
      <c r="AG54" s="91">
        <v>18</v>
      </c>
      <c r="AH54" s="91">
        <v>18</v>
      </c>
      <c r="AI54" s="91">
        <v>18</v>
      </c>
      <c r="AJ54" s="91">
        <v>18</v>
      </c>
      <c r="AK54" s="91"/>
      <c r="AL54" s="91">
        <v>18</v>
      </c>
      <c r="AM54" s="91">
        <v>18</v>
      </c>
      <c r="AN54" s="91">
        <v>18</v>
      </c>
      <c r="AO54" s="91">
        <v>18</v>
      </c>
      <c r="AP54" s="91">
        <v>18</v>
      </c>
      <c r="AQ54" s="91">
        <v>18</v>
      </c>
      <c r="AR54" s="91">
        <v>18</v>
      </c>
      <c r="AS54" s="91">
        <v>18</v>
      </c>
      <c r="AT54" s="91">
        <v>18</v>
      </c>
      <c r="AU54" s="91">
        <v>18</v>
      </c>
      <c r="AV54" s="91">
        <v>18</v>
      </c>
      <c r="AW54" s="91">
        <v>9</v>
      </c>
      <c r="AX54" s="91">
        <v>18</v>
      </c>
      <c r="AY54" s="91">
        <v>14</v>
      </c>
      <c r="AZ54" s="91">
        <v>18</v>
      </c>
      <c r="BA54" s="91">
        <v>18</v>
      </c>
      <c r="BB54" s="91">
        <v>9</v>
      </c>
      <c r="BC54" s="91">
        <v>18</v>
      </c>
      <c r="BD54" s="91">
        <v>18</v>
      </c>
      <c r="BE54" s="91">
        <v>18</v>
      </c>
      <c r="BF54" s="91">
        <v>16</v>
      </c>
      <c r="BG54" s="91">
        <v>15</v>
      </c>
      <c r="BH54" s="91"/>
    </row>
    <row r="55" spans="1:60" x14ac:dyDescent="0.25">
      <c r="A55" s="91" t="s">
        <v>194</v>
      </c>
      <c r="B55" s="129">
        <f t="shared" si="2"/>
        <v>728</v>
      </c>
      <c r="C55" s="91">
        <f t="shared" si="3"/>
        <v>48</v>
      </c>
      <c r="D55" s="130">
        <f t="shared" si="4"/>
        <v>0.96</v>
      </c>
      <c r="E55" s="131">
        <v>46282</v>
      </c>
      <c r="F55" s="131">
        <v>46309</v>
      </c>
      <c r="G55" s="91">
        <f t="shared" si="5"/>
        <v>27</v>
      </c>
      <c r="H55" s="91">
        <v>14</v>
      </c>
      <c r="I55" s="91">
        <v>14</v>
      </c>
      <c r="J55" s="91">
        <v>14</v>
      </c>
      <c r="K55" s="91">
        <v>14</v>
      </c>
      <c r="L55" s="91">
        <v>14</v>
      </c>
      <c r="M55" s="91"/>
      <c r="N55" s="91">
        <v>14</v>
      </c>
      <c r="O55" s="91">
        <v>14</v>
      </c>
      <c r="P55" s="91">
        <v>14</v>
      </c>
      <c r="Q55" s="91">
        <v>14</v>
      </c>
      <c r="R55" s="91">
        <v>14</v>
      </c>
      <c r="S55" s="91">
        <v>14</v>
      </c>
      <c r="T55" s="91">
        <v>14</v>
      </c>
      <c r="U55" s="91">
        <v>14</v>
      </c>
      <c r="V55" s="91">
        <v>14</v>
      </c>
      <c r="W55" s="91">
        <v>14</v>
      </c>
      <c r="X55" s="91">
        <v>14</v>
      </c>
      <c r="Y55" s="91">
        <v>14</v>
      </c>
      <c r="Z55" s="91">
        <v>14</v>
      </c>
      <c r="AA55" s="91">
        <v>14</v>
      </c>
      <c r="AB55" s="91">
        <v>14</v>
      </c>
      <c r="AC55" s="91">
        <v>14</v>
      </c>
      <c r="AD55" s="91">
        <v>14</v>
      </c>
      <c r="AE55" s="91">
        <v>14</v>
      </c>
      <c r="AF55" s="91">
        <v>14</v>
      </c>
      <c r="AG55" s="91">
        <v>14</v>
      </c>
      <c r="AH55" s="91">
        <v>14</v>
      </c>
      <c r="AI55" s="91">
        <v>14</v>
      </c>
      <c r="AJ55" s="91">
        <v>14</v>
      </c>
      <c r="AK55" s="91">
        <v>14</v>
      </c>
      <c r="AL55" s="91">
        <v>14</v>
      </c>
      <c r="AM55" s="91">
        <v>14</v>
      </c>
      <c r="AN55" s="91">
        <v>14</v>
      </c>
      <c r="AO55" s="91">
        <v>14</v>
      </c>
      <c r="AP55" s="91">
        <v>14</v>
      </c>
      <c r="AQ55" s="91">
        <v>14</v>
      </c>
      <c r="AR55" s="91">
        <v>14</v>
      </c>
      <c r="AS55" s="91">
        <v>14</v>
      </c>
      <c r="AT55" s="91">
        <v>14</v>
      </c>
      <c r="AU55" s="91">
        <v>14</v>
      </c>
      <c r="AV55" s="91">
        <v>14</v>
      </c>
      <c r="AW55" s="91">
        <v>14</v>
      </c>
      <c r="AX55" s="91">
        <v>14</v>
      </c>
      <c r="AY55" s="91"/>
      <c r="AZ55" s="91">
        <v>14</v>
      </c>
      <c r="BA55" s="91">
        <v>14</v>
      </c>
      <c r="BB55" s="91">
        <v>14</v>
      </c>
      <c r="BC55" s="91">
        <v>14</v>
      </c>
      <c r="BD55" s="91">
        <v>14</v>
      </c>
      <c r="BE55" s="91">
        <v>14</v>
      </c>
      <c r="BF55" s="91">
        <v>28</v>
      </c>
      <c r="BG55" s="91">
        <v>28</v>
      </c>
      <c r="BH55" s="91"/>
    </row>
    <row r="56" spans="1:60" x14ac:dyDescent="0.25">
      <c r="A56" s="91" t="s">
        <v>155</v>
      </c>
      <c r="B56" s="129">
        <f t="shared" si="2"/>
        <v>721</v>
      </c>
      <c r="C56" s="91">
        <f t="shared" si="3"/>
        <v>49</v>
      </c>
      <c r="D56" s="130">
        <f t="shared" si="4"/>
        <v>0.98</v>
      </c>
      <c r="E56" s="131">
        <v>46266</v>
      </c>
      <c r="F56" s="131">
        <v>46302</v>
      </c>
      <c r="G56" s="91">
        <f t="shared" si="5"/>
        <v>36</v>
      </c>
      <c r="H56" s="91">
        <v>14</v>
      </c>
      <c r="I56" s="91">
        <v>14</v>
      </c>
      <c r="J56" s="91">
        <v>14</v>
      </c>
      <c r="K56" s="91">
        <v>14</v>
      </c>
      <c r="L56" s="91">
        <v>14</v>
      </c>
      <c r="M56" s="91">
        <v>10</v>
      </c>
      <c r="N56" s="91">
        <v>14</v>
      </c>
      <c r="O56" s="91">
        <v>14</v>
      </c>
      <c r="P56" s="91">
        <v>14</v>
      </c>
      <c r="Q56" s="91">
        <v>14</v>
      </c>
      <c r="R56" s="91">
        <v>14</v>
      </c>
      <c r="S56" s="91">
        <v>14</v>
      </c>
      <c r="T56" s="91">
        <v>14</v>
      </c>
      <c r="U56" s="91">
        <v>14</v>
      </c>
      <c r="V56" s="91">
        <v>14</v>
      </c>
      <c r="W56" s="91">
        <v>14</v>
      </c>
      <c r="X56" s="91">
        <v>14</v>
      </c>
      <c r="Y56" s="91">
        <v>1</v>
      </c>
      <c r="Z56" s="91">
        <v>14</v>
      </c>
      <c r="AA56" s="91">
        <v>14</v>
      </c>
      <c r="AB56" s="91">
        <v>14</v>
      </c>
      <c r="AC56" s="91">
        <v>14</v>
      </c>
      <c r="AD56" s="91">
        <v>14</v>
      </c>
      <c r="AE56" s="91">
        <v>14</v>
      </c>
      <c r="AF56" s="91">
        <v>14</v>
      </c>
      <c r="AG56" s="91">
        <v>14</v>
      </c>
      <c r="AH56" s="91">
        <v>14</v>
      </c>
      <c r="AI56" s="91">
        <v>14</v>
      </c>
      <c r="AJ56" s="91">
        <v>14</v>
      </c>
      <c r="AK56" s="91">
        <v>14</v>
      </c>
      <c r="AL56" s="91">
        <v>14</v>
      </c>
      <c r="AM56" s="91">
        <v>14</v>
      </c>
      <c r="AN56" s="91">
        <v>14</v>
      </c>
      <c r="AO56" s="91">
        <v>14</v>
      </c>
      <c r="AP56" s="91">
        <v>14</v>
      </c>
      <c r="AQ56" s="91">
        <v>14</v>
      </c>
      <c r="AR56" s="91">
        <v>14</v>
      </c>
      <c r="AS56" s="91">
        <v>14</v>
      </c>
      <c r="AT56" s="91">
        <v>14</v>
      </c>
      <c r="AU56" s="91">
        <v>14</v>
      </c>
      <c r="AV56" s="91">
        <v>14</v>
      </c>
      <c r="AW56" s="91">
        <v>14</v>
      </c>
      <c r="AX56" s="91">
        <v>14</v>
      </c>
      <c r="AY56" s="91"/>
      <c r="AZ56" s="91">
        <v>14</v>
      </c>
      <c r="BA56" s="91">
        <v>14</v>
      </c>
      <c r="BB56" s="91">
        <v>14</v>
      </c>
      <c r="BC56" s="91">
        <v>14</v>
      </c>
      <c r="BD56" s="91">
        <v>14</v>
      </c>
      <c r="BE56" s="91">
        <v>14</v>
      </c>
      <c r="BF56" s="91">
        <v>28</v>
      </c>
      <c r="BG56" s="91">
        <v>24</v>
      </c>
      <c r="BH56" s="91"/>
    </row>
    <row r="57" spans="1:60" x14ac:dyDescent="0.25">
      <c r="A57" s="91" t="s">
        <v>596</v>
      </c>
      <c r="B57" s="129">
        <f t="shared" si="2"/>
        <v>717</v>
      </c>
      <c r="C57" s="91">
        <f t="shared" si="3"/>
        <v>49</v>
      </c>
      <c r="D57" s="130">
        <f t="shared" si="4"/>
        <v>0.98</v>
      </c>
      <c r="E57" s="131">
        <v>46238</v>
      </c>
      <c r="F57" s="131">
        <v>46302</v>
      </c>
      <c r="G57" s="91">
        <f t="shared" si="5"/>
        <v>64</v>
      </c>
      <c r="H57" s="91">
        <v>11</v>
      </c>
      <c r="I57" s="91">
        <v>11</v>
      </c>
      <c r="J57" s="91">
        <v>15</v>
      </c>
      <c r="K57" s="91">
        <v>19</v>
      </c>
      <c r="L57" s="91">
        <v>19</v>
      </c>
      <c r="M57" s="91">
        <v>5</v>
      </c>
      <c r="N57" s="91">
        <v>22</v>
      </c>
      <c r="O57" s="91">
        <v>22</v>
      </c>
      <c r="P57" s="91">
        <v>16</v>
      </c>
      <c r="Q57" s="91">
        <v>15</v>
      </c>
      <c r="R57" s="91">
        <v>21</v>
      </c>
      <c r="S57" s="91">
        <v>9</v>
      </c>
      <c r="T57" s="91">
        <v>18</v>
      </c>
      <c r="U57" s="91">
        <v>9</v>
      </c>
      <c r="V57" s="91">
        <v>15</v>
      </c>
      <c r="W57" s="91">
        <v>15</v>
      </c>
      <c r="X57" s="91">
        <v>19</v>
      </c>
      <c r="Y57" s="91">
        <v>20</v>
      </c>
      <c r="Z57" s="91">
        <v>15</v>
      </c>
      <c r="AA57" s="91">
        <v>9</v>
      </c>
      <c r="AB57" s="91">
        <v>21</v>
      </c>
      <c r="AC57" s="91">
        <v>19</v>
      </c>
      <c r="AD57" s="91">
        <v>23</v>
      </c>
      <c r="AE57" s="91">
        <v>15</v>
      </c>
      <c r="AF57" s="91">
        <v>15</v>
      </c>
      <c r="AG57" s="91">
        <v>17</v>
      </c>
      <c r="AH57" s="91">
        <v>15</v>
      </c>
      <c r="AI57" s="91">
        <v>9</v>
      </c>
      <c r="AJ57" s="91">
        <v>19</v>
      </c>
      <c r="AK57" s="91">
        <v>9</v>
      </c>
      <c r="AL57" s="91">
        <v>15</v>
      </c>
      <c r="AM57" s="91">
        <v>9</v>
      </c>
      <c r="AN57" s="91">
        <v>18</v>
      </c>
      <c r="AO57" s="91">
        <v>15</v>
      </c>
      <c r="AP57" s="91">
        <v>9</v>
      </c>
      <c r="AQ57" s="91">
        <v>19</v>
      </c>
      <c r="AR57" s="91">
        <v>9</v>
      </c>
      <c r="AS57" s="91">
        <v>8</v>
      </c>
      <c r="AT57" s="91">
        <v>9</v>
      </c>
      <c r="AU57" s="91">
        <v>19</v>
      </c>
      <c r="AV57" s="91">
        <v>6</v>
      </c>
      <c r="AW57" s="91">
        <v>9</v>
      </c>
      <c r="AX57" s="91">
        <v>15</v>
      </c>
      <c r="AY57" s="91"/>
      <c r="AZ57" s="91">
        <v>9</v>
      </c>
      <c r="BA57" s="91">
        <v>15</v>
      </c>
      <c r="BB57" s="91">
        <v>15</v>
      </c>
      <c r="BC57" s="91">
        <v>9</v>
      </c>
      <c r="BD57" s="91">
        <v>8</v>
      </c>
      <c r="BE57" s="91">
        <v>6</v>
      </c>
      <c r="BF57" s="91">
        <v>15</v>
      </c>
      <c r="BG57" s="91">
        <v>13</v>
      </c>
      <c r="BH57" s="91"/>
    </row>
    <row r="58" spans="1:60" x14ac:dyDescent="0.25">
      <c r="A58" s="91" t="s">
        <v>213</v>
      </c>
      <c r="B58" s="129">
        <f t="shared" si="2"/>
        <v>714</v>
      </c>
      <c r="C58" s="91">
        <f t="shared" si="3"/>
        <v>47</v>
      </c>
      <c r="D58" s="130">
        <f t="shared" si="4"/>
        <v>0.94</v>
      </c>
      <c r="E58" s="131">
        <v>46282</v>
      </c>
      <c r="F58" s="131">
        <v>46315</v>
      </c>
      <c r="G58" s="91">
        <f t="shared" si="5"/>
        <v>33</v>
      </c>
      <c r="H58" s="91">
        <v>14</v>
      </c>
      <c r="I58" s="91">
        <v>14</v>
      </c>
      <c r="J58" s="91">
        <v>14</v>
      </c>
      <c r="K58" s="91">
        <v>14</v>
      </c>
      <c r="L58" s="91">
        <v>14</v>
      </c>
      <c r="M58" s="91"/>
      <c r="N58" s="91">
        <v>14</v>
      </c>
      <c r="O58" s="91">
        <v>14</v>
      </c>
      <c r="P58" s="91">
        <v>14</v>
      </c>
      <c r="Q58" s="91">
        <v>14</v>
      </c>
      <c r="R58" s="91">
        <v>14</v>
      </c>
      <c r="S58" s="91">
        <v>14</v>
      </c>
      <c r="T58" s="91">
        <v>14</v>
      </c>
      <c r="U58" s="91">
        <v>14</v>
      </c>
      <c r="V58" s="91">
        <v>14</v>
      </c>
      <c r="W58" s="91">
        <v>14</v>
      </c>
      <c r="X58" s="91">
        <v>14</v>
      </c>
      <c r="Y58" s="91"/>
      <c r="Z58" s="91">
        <v>14</v>
      </c>
      <c r="AA58" s="91">
        <v>14</v>
      </c>
      <c r="AB58" s="91">
        <v>14</v>
      </c>
      <c r="AC58" s="91">
        <v>14</v>
      </c>
      <c r="AD58" s="91">
        <v>14</v>
      </c>
      <c r="AE58" s="91">
        <v>14</v>
      </c>
      <c r="AF58" s="91">
        <v>14</v>
      </c>
      <c r="AG58" s="91">
        <v>14</v>
      </c>
      <c r="AH58" s="91">
        <v>14</v>
      </c>
      <c r="AI58" s="91">
        <v>14</v>
      </c>
      <c r="AJ58" s="91">
        <v>14</v>
      </c>
      <c r="AK58" s="91">
        <v>14</v>
      </c>
      <c r="AL58" s="91">
        <v>14</v>
      </c>
      <c r="AM58" s="91">
        <v>14</v>
      </c>
      <c r="AN58" s="91">
        <v>14</v>
      </c>
      <c r="AO58" s="91">
        <v>14</v>
      </c>
      <c r="AP58" s="91">
        <v>14</v>
      </c>
      <c r="AQ58" s="91">
        <v>14</v>
      </c>
      <c r="AR58" s="91">
        <v>14</v>
      </c>
      <c r="AS58" s="91">
        <v>14</v>
      </c>
      <c r="AT58" s="91">
        <v>14</v>
      </c>
      <c r="AU58" s="91">
        <v>14</v>
      </c>
      <c r="AV58" s="91">
        <v>14</v>
      </c>
      <c r="AW58" s="91">
        <v>14</v>
      </c>
      <c r="AX58" s="91">
        <v>14</v>
      </c>
      <c r="AY58" s="91"/>
      <c r="AZ58" s="91">
        <v>14</v>
      </c>
      <c r="BA58" s="91">
        <v>14</v>
      </c>
      <c r="BB58" s="91">
        <v>14</v>
      </c>
      <c r="BC58" s="91">
        <v>14</v>
      </c>
      <c r="BD58" s="91">
        <v>14</v>
      </c>
      <c r="BE58" s="91">
        <v>14</v>
      </c>
      <c r="BF58" s="91">
        <v>28</v>
      </c>
      <c r="BG58" s="91">
        <v>28</v>
      </c>
      <c r="BH58" s="91"/>
    </row>
    <row r="59" spans="1:60" x14ac:dyDescent="0.25">
      <c r="A59" s="91" t="s">
        <v>317</v>
      </c>
      <c r="B59" s="129">
        <f t="shared" si="2"/>
        <v>711</v>
      </c>
      <c r="C59" s="91">
        <f t="shared" si="3"/>
        <v>48</v>
      </c>
      <c r="D59" s="130">
        <f t="shared" si="4"/>
        <v>0.96</v>
      </c>
      <c r="E59" s="131">
        <v>46234</v>
      </c>
      <c r="F59" s="131">
        <v>46262</v>
      </c>
      <c r="G59" s="91">
        <f t="shared" si="5"/>
        <v>28</v>
      </c>
      <c r="H59" s="91">
        <v>6</v>
      </c>
      <c r="I59" s="91">
        <v>6</v>
      </c>
      <c r="J59" s="91">
        <v>16</v>
      </c>
      <c r="K59" s="91">
        <v>18</v>
      </c>
      <c r="L59" s="91">
        <v>16</v>
      </c>
      <c r="M59" s="91"/>
      <c r="N59" s="91">
        <v>24</v>
      </c>
      <c r="O59" s="91">
        <v>15</v>
      </c>
      <c r="P59" s="91">
        <v>14</v>
      </c>
      <c r="Q59" s="91">
        <v>16</v>
      </c>
      <c r="R59" s="91">
        <v>14</v>
      </c>
      <c r="S59" s="91">
        <v>16</v>
      </c>
      <c r="T59" s="91">
        <v>19</v>
      </c>
      <c r="U59" s="91">
        <v>8</v>
      </c>
      <c r="V59" s="91">
        <v>16</v>
      </c>
      <c r="W59" s="91">
        <v>13</v>
      </c>
      <c r="X59" s="91">
        <v>16</v>
      </c>
      <c r="Y59" s="91">
        <v>15</v>
      </c>
      <c r="Z59" s="91">
        <v>21</v>
      </c>
      <c r="AA59" s="91">
        <v>16</v>
      </c>
      <c r="AB59" s="91">
        <v>16</v>
      </c>
      <c r="AC59" s="91">
        <v>32</v>
      </c>
      <c r="AD59" s="91">
        <v>28</v>
      </c>
      <c r="AE59" s="91">
        <v>13</v>
      </c>
      <c r="AF59" s="91">
        <v>13</v>
      </c>
      <c r="AG59" s="91">
        <v>13</v>
      </c>
      <c r="AH59" s="91">
        <v>13</v>
      </c>
      <c r="AI59" s="91">
        <v>7</v>
      </c>
      <c r="AJ59" s="91">
        <v>15</v>
      </c>
      <c r="AK59" s="91">
        <v>16</v>
      </c>
      <c r="AL59" s="91">
        <v>13</v>
      </c>
      <c r="AM59" s="91">
        <v>8</v>
      </c>
      <c r="AN59" s="91">
        <v>13</v>
      </c>
      <c r="AO59" s="91">
        <v>22</v>
      </c>
      <c r="AP59" s="91">
        <v>8</v>
      </c>
      <c r="AQ59" s="91">
        <v>15</v>
      </c>
      <c r="AR59" s="91">
        <v>8</v>
      </c>
      <c r="AS59" s="91">
        <v>8</v>
      </c>
      <c r="AT59" s="91">
        <v>8</v>
      </c>
      <c r="AU59" s="91">
        <v>14</v>
      </c>
      <c r="AV59" s="91">
        <v>6</v>
      </c>
      <c r="AW59" s="91">
        <v>8</v>
      </c>
      <c r="AX59" s="91">
        <v>13</v>
      </c>
      <c r="AY59" s="91"/>
      <c r="AZ59" s="91">
        <v>8</v>
      </c>
      <c r="BA59" s="91">
        <v>21</v>
      </c>
      <c r="BB59" s="91">
        <v>38</v>
      </c>
      <c r="BC59" s="91">
        <v>16</v>
      </c>
      <c r="BD59" s="91">
        <v>6</v>
      </c>
      <c r="BE59" s="91">
        <v>5</v>
      </c>
      <c r="BF59" s="91">
        <v>2</v>
      </c>
      <c r="BG59" s="91">
        <v>20</v>
      </c>
      <c r="BH59" s="91"/>
    </row>
    <row r="60" spans="1:60" x14ac:dyDescent="0.25">
      <c r="A60" s="91" t="s">
        <v>359</v>
      </c>
      <c r="B60" s="129">
        <f t="shared" si="2"/>
        <v>705</v>
      </c>
      <c r="C60" s="91">
        <f t="shared" si="3"/>
        <v>49</v>
      </c>
      <c r="D60" s="130">
        <f t="shared" si="4"/>
        <v>0.98</v>
      </c>
      <c r="E60" s="131">
        <v>46248</v>
      </c>
      <c r="F60" s="131">
        <v>46310</v>
      </c>
      <c r="G60" s="91">
        <f t="shared" si="5"/>
        <v>62</v>
      </c>
      <c r="H60" s="91">
        <v>16</v>
      </c>
      <c r="I60" s="91">
        <v>12</v>
      </c>
      <c r="J60" s="91">
        <v>14</v>
      </c>
      <c r="K60" s="91">
        <v>14</v>
      </c>
      <c r="L60" s="91">
        <v>16</v>
      </c>
      <c r="M60" s="91">
        <v>6</v>
      </c>
      <c r="N60" s="91">
        <v>14</v>
      </c>
      <c r="O60" s="91">
        <v>14</v>
      </c>
      <c r="P60" s="91">
        <v>12</v>
      </c>
      <c r="Q60" s="91">
        <v>16</v>
      </c>
      <c r="R60" s="91">
        <v>14</v>
      </c>
      <c r="S60" s="91">
        <v>12</v>
      </c>
      <c r="T60" s="91">
        <v>16</v>
      </c>
      <c r="U60" s="91">
        <v>14</v>
      </c>
      <c r="V60" s="91">
        <v>14</v>
      </c>
      <c r="W60" s="91">
        <v>8</v>
      </c>
      <c r="X60" s="91">
        <v>14</v>
      </c>
      <c r="Y60" s="91">
        <v>3</v>
      </c>
      <c r="Z60" s="91">
        <v>14</v>
      </c>
      <c r="AA60" s="91">
        <v>16</v>
      </c>
      <c r="AB60" s="91">
        <v>16</v>
      </c>
      <c r="AC60" s="91">
        <v>12</v>
      </c>
      <c r="AD60" s="91">
        <v>16</v>
      </c>
      <c r="AE60" s="91">
        <v>14</v>
      </c>
      <c r="AF60" s="91">
        <v>16</v>
      </c>
      <c r="AG60" s="91">
        <v>14</v>
      </c>
      <c r="AH60" s="91">
        <v>12</v>
      </c>
      <c r="AI60" s="91">
        <v>14</v>
      </c>
      <c r="AJ60" s="91">
        <v>14</v>
      </c>
      <c r="AK60" s="91">
        <v>12</v>
      </c>
      <c r="AL60" s="91">
        <v>15</v>
      </c>
      <c r="AM60" s="91">
        <v>12</v>
      </c>
      <c r="AN60" s="91">
        <v>12</v>
      </c>
      <c r="AO60" s="91">
        <v>16</v>
      </c>
      <c r="AP60" s="91">
        <v>12</v>
      </c>
      <c r="AQ60" s="91">
        <v>16</v>
      </c>
      <c r="AR60" s="91">
        <v>14</v>
      </c>
      <c r="AS60" s="91">
        <v>15</v>
      </c>
      <c r="AT60" s="91">
        <v>16</v>
      </c>
      <c r="AU60" s="91">
        <v>14</v>
      </c>
      <c r="AV60" s="91">
        <v>16</v>
      </c>
      <c r="AW60" s="91">
        <v>16</v>
      </c>
      <c r="AX60" s="91">
        <v>14</v>
      </c>
      <c r="AY60" s="91"/>
      <c r="AZ60" s="91">
        <v>16</v>
      </c>
      <c r="BA60" s="91">
        <v>16</v>
      </c>
      <c r="BB60" s="91">
        <v>16</v>
      </c>
      <c r="BC60" s="91">
        <v>10</v>
      </c>
      <c r="BD60" s="91">
        <v>16</v>
      </c>
      <c r="BE60" s="91">
        <v>14</v>
      </c>
      <c r="BF60" s="91">
        <v>16</v>
      </c>
      <c r="BG60" s="91">
        <v>14</v>
      </c>
      <c r="BH60" s="91"/>
    </row>
    <row r="61" spans="1:60" x14ac:dyDescent="0.25">
      <c r="A61" s="91" t="s">
        <v>310</v>
      </c>
      <c r="B61" s="129">
        <f t="shared" si="2"/>
        <v>698</v>
      </c>
      <c r="C61" s="91">
        <f t="shared" si="3"/>
        <v>48</v>
      </c>
      <c r="D61" s="130">
        <f t="shared" si="4"/>
        <v>0.96</v>
      </c>
      <c r="E61" s="131">
        <v>46238</v>
      </c>
      <c r="F61" s="131">
        <v>46258</v>
      </c>
      <c r="G61" s="91">
        <f t="shared" si="5"/>
        <v>20</v>
      </c>
      <c r="H61" s="91">
        <v>5</v>
      </c>
      <c r="I61" s="91">
        <v>5</v>
      </c>
      <c r="J61" s="91">
        <v>14</v>
      </c>
      <c r="K61" s="91">
        <v>14</v>
      </c>
      <c r="L61" s="91">
        <v>22</v>
      </c>
      <c r="M61" s="91"/>
      <c r="N61" s="91">
        <v>14</v>
      </c>
      <c r="O61" s="91">
        <v>14</v>
      </c>
      <c r="P61" s="91">
        <v>14</v>
      </c>
      <c r="Q61" s="91">
        <v>20</v>
      </c>
      <c r="R61" s="91">
        <v>14</v>
      </c>
      <c r="S61" s="91">
        <v>16</v>
      </c>
      <c r="T61" s="91">
        <v>14</v>
      </c>
      <c r="U61" s="91">
        <v>8</v>
      </c>
      <c r="V61" s="91">
        <v>13</v>
      </c>
      <c r="W61" s="91">
        <v>12</v>
      </c>
      <c r="X61" s="91">
        <v>22</v>
      </c>
      <c r="Y61" s="91">
        <v>13</v>
      </c>
      <c r="Z61" s="91">
        <v>20</v>
      </c>
      <c r="AA61" s="91">
        <v>16</v>
      </c>
      <c r="AB61" s="91">
        <v>21</v>
      </c>
      <c r="AC61" s="91">
        <v>22</v>
      </c>
      <c r="AD61" s="91">
        <v>22</v>
      </c>
      <c r="AE61" s="91">
        <v>12</v>
      </c>
      <c r="AF61" s="91">
        <v>12</v>
      </c>
      <c r="AG61" s="91">
        <v>13</v>
      </c>
      <c r="AH61" s="91">
        <v>12</v>
      </c>
      <c r="AI61" s="91">
        <v>6</v>
      </c>
      <c r="AJ61" s="91">
        <v>13</v>
      </c>
      <c r="AK61" s="91">
        <v>16</v>
      </c>
      <c r="AL61" s="91">
        <v>12</v>
      </c>
      <c r="AM61" s="91">
        <v>8</v>
      </c>
      <c r="AN61" s="91">
        <v>13</v>
      </c>
      <c r="AO61" s="91">
        <v>22</v>
      </c>
      <c r="AP61" s="91">
        <v>8</v>
      </c>
      <c r="AQ61" s="91">
        <v>13</v>
      </c>
      <c r="AR61" s="91">
        <v>8</v>
      </c>
      <c r="AS61" s="91">
        <v>14</v>
      </c>
      <c r="AT61" s="91">
        <v>8</v>
      </c>
      <c r="AU61" s="91">
        <v>14</v>
      </c>
      <c r="AV61" s="91">
        <v>6</v>
      </c>
      <c r="AW61" s="91">
        <v>8</v>
      </c>
      <c r="AX61" s="91">
        <v>12</v>
      </c>
      <c r="AY61" s="91"/>
      <c r="AZ61" s="91">
        <v>8</v>
      </c>
      <c r="BA61" s="91">
        <v>20</v>
      </c>
      <c r="BB61" s="91">
        <v>22</v>
      </c>
      <c r="BC61" s="91">
        <v>16</v>
      </c>
      <c r="BD61" s="91">
        <v>6</v>
      </c>
      <c r="BE61" s="91">
        <v>5</v>
      </c>
      <c r="BF61" s="91">
        <v>28</v>
      </c>
      <c r="BG61" s="91">
        <v>28</v>
      </c>
      <c r="BH61" s="91"/>
    </row>
    <row r="62" spans="1:60" x14ac:dyDescent="0.25">
      <c r="A62" s="91" t="s">
        <v>312</v>
      </c>
      <c r="B62" s="129">
        <f t="shared" si="2"/>
        <v>696</v>
      </c>
      <c r="C62" s="91">
        <f t="shared" si="3"/>
        <v>40</v>
      </c>
      <c r="D62" s="130">
        <f t="shared" si="4"/>
        <v>0.8</v>
      </c>
      <c r="E62" s="131">
        <v>46287</v>
      </c>
      <c r="F62" s="131">
        <v>46288</v>
      </c>
      <c r="G62" s="91">
        <f t="shared" si="5"/>
        <v>1</v>
      </c>
      <c r="H62" s="91">
        <v>16</v>
      </c>
      <c r="I62" s="91">
        <v>16</v>
      </c>
      <c r="J62" s="91">
        <v>16</v>
      </c>
      <c r="K62" s="91">
        <v>16</v>
      </c>
      <c r="L62" s="91">
        <v>16</v>
      </c>
      <c r="M62" s="91"/>
      <c r="N62" s="91">
        <v>16</v>
      </c>
      <c r="O62" s="91">
        <v>16</v>
      </c>
      <c r="P62" s="91">
        <v>16</v>
      </c>
      <c r="Q62" s="91">
        <v>16</v>
      </c>
      <c r="R62" s="91">
        <v>16</v>
      </c>
      <c r="S62" s="91">
        <v>16</v>
      </c>
      <c r="T62" s="91">
        <v>16</v>
      </c>
      <c r="U62" s="91"/>
      <c r="V62" s="91">
        <v>16</v>
      </c>
      <c r="W62" s="91">
        <v>16</v>
      </c>
      <c r="X62" s="91">
        <v>16</v>
      </c>
      <c r="Y62" s="91"/>
      <c r="Z62" s="91">
        <v>16</v>
      </c>
      <c r="AA62" s="91">
        <v>16</v>
      </c>
      <c r="AB62" s="91">
        <v>16</v>
      </c>
      <c r="AC62" s="91">
        <v>16</v>
      </c>
      <c r="AD62" s="91">
        <v>16</v>
      </c>
      <c r="AE62" s="91"/>
      <c r="AF62" s="91">
        <v>16</v>
      </c>
      <c r="AG62" s="91">
        <v>16</v>
      </c>
      <c r="AH62" s="91">
        <v>16</v>
      </c>
      <c r="AI62" s="91">
        <v>16</v>
      </c>
      <c r="AJ62" s="91">
        <v>16</v>
      </c>
      <c r="AK62" s="91">
        <v>16</v>
      </c>
      <c r="AL62" s="91"/>
      <c r="AM62" s="91">
        <v>16</v>
      </c>
      <c r="AN62" s="91">
        <v>16</v>
      </c>
      <c r="AO62" s="91">
        <v>16</v>
      </c>
      <c r="AP62" s="91">
        <v>16</v>
      </c>
      <c r="AQ62" s="91">
        <v>16</v>
      </c>
      <c r="AR62" s="91">
        <v>16</v>
      </c>
      <c r="AS62" s="91">
        <v>16</v>
      </c>
      <c r="AT62" s="91">
        <v>16</v>
      </c>
      <c r="AU62" s="91">
        <v>16</v>
      </c>
      <c r="AV62" s="91"/>
      <c r="AW62" s="91">
        <v>16</v>
      </c>
      <c r="AX62" s="91">
        <v>16</v>
      </c>
      <c r="AY62" s="91"/>
      <c r="AZ62" s="91">
        <v>16</v>
      </c>
      <c r="BA62" s="91">
        <v>16</v>
      </c>
      <c r="BB62" s="91"/>
      <c r="BC62" s="91"/>
      <c r="BD62" s="91"/>
      <c r="BE62" s="91">
        <v>16</v>
      </c>
      <c r="BF62" s="91">
        <v>28</v>
      </c>
      <c r="BG62" s="91">
        <v>28</v>
      </c>
      <c r="BH62" s="91"/>
    </row>
    <row r="63" spans="1:60" x14ac:dyDescent="0.25">
      <c r="A63" s="91" t="s">
        <v>129</v>
      </c>
      <c r="B63" s="129">
        <f t="shared" si="2"/>
        <v>692</v>
      </c>
      <c r="C63" s="91">
        <f t="shared" si="3"/>
        <v>48</v>
      </c>
      <c r="D63" s="130">
        <f t="shared" si="4"/>
        <v>0.96</v>
      </c>
      <c r="E63" s="131">
        <v>46219</v>
      </c>
      <c r="F63" s="131">
        <v>46280</v>
      </c>
      <c r="G63" s="91">
        <f t="shared" si="5"/>
        <v>61</v>
      </c>
      <c r="H63" s="91">
        <v>10</v>
      </c>
      <c r="I63" s="91">
        <v>12</v>
      </c>
      <c r="J63" s="91">
        <v>15</v>
      </c>
      <c r="K63" s="91">
        <v>19</v>
      </c>
      <c r="L63" s="91">
        <v>19</v>
      </c>
      <c r="M63" s="91"/>
      <c r="N63" s="91">
        <v>18</v>
      </c>
      <c r="O63" s="91">
        <v>18</v>
      </c>
      <c r="P63" s="91">
        <v>17</v>
      </c>
      <c r="Q63" s="91">
        <v>15</v>
      </c>
      <c r="R63" s="91">
        <v>20</v>
      </c>
      <c r="S63" s="91">
        <v>9</v>
      </c>
      <c r="T63" s="91">
        <v>21</v>
      </c>
      <c r="U63" s="91">
        <v>9</v>
      </c>
      <c r="V63" s="91">
        <v>15</v>
      </c>
      <c r="W63" s="91">
        <v>15</v>
      </c>
      <c r="X63" s="91">
        <v>19</v>
      </c>
      <c r="Y63" s="91">
        <v>19</v>
      </c>
      <c r="Z63" s="91">
        <v>15</v>
      </c>
      <c r="AA63" s="91">
        <v>9</v>
      </c>
      <c r="AB63" s="91">
        <v>19</v>
      </c>
      <c r="AC63" s="91">
        <v>17</v>
      </c>
      <c r="AD63" s="91">
        <v>22</v>
      </c>
      <c r="AE63" s="91">
        <v>15</v>
      </c>
      <c r="AF63" s="91">
        <v>15</v>
      </c>
      <c r="AG63" s="91">
        <v>18</v>
      </c>
      <c r="AH63" s="91">
        <v>15</v>
      </c>
      <c r="AI63" s="91">
        <v>9</v>
      </c>
      <c r="AJ63" s="91">
        <v>19</v>
      </c>
      <c r="AK63" s="91">
        <v>9</v>
      </c>
      <c r="AL63" s="91">
        <v>15</v>
      </c>
      <c r="AM63" s="91">
        <v>9</v>
      </c>
      <c r="AN63" s="91">
        <v>18</v>
      </c>
      <c r="AO63" s="91">
        <v>9</v>
      </c>
      <c r="AP63" s="91">
        <v>9</v>
      </c>
      <c r="AQ63" s="91">
        <v>20</v>
      </c>
      <c r="AR63" s="91">
        <v>9</v>
      </c>
      <c r="AS63" s="91">
        <v>8</v>
      </c>
      <c r="AT63" s="91">
        <v>9</v>
      </c>
      <c r="AU63" s="91">
        <v>19</v>
      </c>
      <c r="AV63" s="91">
        <v>6</v>
      </c>
      <c r="AW63" s="91">
        <v>9</v>
      </c>
      <c r="AX63" s="91">
        <v>19</v>
      </c>
      <c r="AY63" s="91"/>
      <c r="AZ63" s="91">
        <v>9</v>
      </c>
      <c r="BA63" s="91">
        <v>15</v>
      </c>
      <c r="BB63" s="91">
        <v>15</v>
      </c>
      <c r="BC63" s="91">
        <v>9</v>
      </c>
      <c r="BD63" s="91">
        <v>9</v>
      </c>
      <c r="BE63" s="91">
        <v>10</v>
      </c>
      <c r="BF63" s="91">
        <v>4</v>
      </c>
      <c r="BG63" s="91">
        <v>10</v>
      </c>
      <c r="BH63" s="91"/>
    </row>
    <row r="64" spans="1:60" x14ac:dyDescent="0.25">
      <c r="A64" s="91" t="s">
        <v>235</v>
      </c>
      <c r="B64" s="129">
        <f t="shared" si="2"/>
        <v>683</v>
      </c>
      <c r="C64" s="91">
        <f t="shared" si="3"/>
        <v>47</v>
      </c>
      <c r="D64" s="130">
        <f t="shared" si="4"/>
        <v>0.94</v>
      </c>
      <c r="E64" s="131">
        <v>46282</v>
      </c>
      <c r="F64" s="131">
        <v>46309</v>
      </c>
      <c r="G64" s="91">
        <f t="shared" si="5"/>
        <v>27</v>
      </c>
      <c r="H64" s="91">
        <v>14</v>
      </c>
      <c r="I64" s="91">
        <v>14</v>
      </c>
      <c r="J64" s="91">
        <v>14</v>
      </c>
      <c r="K64" s="91">
        <v>14</v>
      </c>
      <c r="L64" s="91">
        <v>14</v>
      </c>
      <c r="M64" s="91"/>
      <c r="N64" s="91">
        <v>14</v>
      </c>
      <c r="O64" s="91">
        <v>14</v>
      </c>
      <c r="P64" s="91">
        <v>14</v>
      </c>
      <c r="Q64" s="91">
        <v>14</v>
      </c>
      <c r="R64" s="91">
        <v>14</v>
      </c>
      <c r="S64" s="91">
        <v>14</v>
      </c>
      <c r="T64" s="91">
        <v>14</v>
      </c>
      <c r="U64" s="91">
        <v>14</v>
      </c>
      <c r="V64" s="91">
        <v>14</v>
      </c>
      <c r="W64" s="91">
        <v>14</v>
      </c>
      <c r="X64" s="91">
        <v>14</v>
      </c>
      <c r="Y64" s="91"/>
      <c r="Z64" s="91">
        <v>14</v>
      </c>
      <c r="AA64" s="91">
        <v>14</v>
      </c>
      <c r="AB64" s="91">
        <v>14</v>
      </c>
      <c r="AC64" s="91">
        <v>14</v>
      </c>
      <c r="AD64" s="91">
        <v>14</v>
      </c>
      <c r="AE64" s="91">
        <v>14</v>
      </c>
      <c r="AF64" s="91">
        <v>14</v>
      </c>
      <c r="AG64" s="91">
        <v>14</v>
      </c>
      <c r="AH64" s="91">
        <v>14</v>
      </c>
      <c r="AI64" s="91">
        <v>14</v>
      </c>
      <c r="AJ64" s="91">
        <v>14</v>
      </c>
      <c r="AK64" s="91">
        <v>14</v>
      </c>
      <c r="AL64" s="91">
        <v>14</v>
      </c>
      <c r="AM64" s="91">
        <v>14</v>
      </c>
      <c r="AN64" s="91">
        <v>14</v>
      </c>
      <c r="AO64" s="91">
        <v>14</v>
      </c>
      <c r="AP64" s="91">
        <v>14</v>
      </c>
      <c r="AQ64" s="91">
        <v>14</v>
      </c>
      <c r="AR64" s="91">
        <v>14</v>
      </c>
      <c r="AS64" s="91">
        <v>14</v>
      </c>
      <c r="AT64" s="91">
        <v>14</v>
      </c>
      <c r="AU64" s="91">
        <v>14</v>
      </c>
      <c r="AV64" s="91">
        <v>14</v>
      </c>
      <c r="AW64" s="91">
        <v>14</v>
      </c>
      <c r="AX64" s="91">
        <v>14</v>
      </c>
      <c r="AY64" s="91"/>
      <c r="AZ64" s="91">
        <v>14</v>
      </c>
      <c r="BA64" s="91">
        <v>14</v>
      </c>
      <c r="BB64" s="91">
        <v>14</v>
      </c>
      <c r="BC64" s="91">
        <v>14</v>
      </c>
      <c r="BD64" s="91">
        <v>14</v>
      </c>
      <c r="BE64" s="91">
        <v>14</v>
      </c>
      <c r="BF64" s="91">
        <v>1</v>
      </c>
      <c r="BG64" s="91">
        <v>24</v>
      </c>
      <c r="BH64" s="91"/>
    </row>
    <row r="65" spans="1:60" x14ac:dyDescent="0.25">
      <c r="A65" s="91" t="s">
        <v>224</v>
      </c>
      <c r="B65" s="129">
        <f t="shared" si="2"/>
        <v>672</v>
      </c>
      <c r="C65" s="91">
        <f t="shared" si="3"/>
        <v>44</v>
      </c>
      <c r="D65" s="130">
        <f t="shared" si="4"/>
        <v>0.88</v>
      </c>
      <c r="E65" s="131">
        <v>46282</v>
      </c>
      <c r="F65" s="131">
        <v>46287</v>
      </c>
      <c r="G65" s="91">
        <f t="shared" si="5"/>
        <v>5</v>
      </c>
      <c r="H65" s="91">
        <v>14</v>
      </c>
      <c r="I65" s="91">
        <v>14</v>
      </c>
      <c r="J65" s="91">
        <v>14</v>
      </c>
      <c r="K65" s="91">
        <v>14</v>
      </c>
      <c r="L65" s="91">
        <v>14</v>
      </c>
      <c r="M65" s="91"/>
      <c r="N65" s="91">
        <v>14</v>
      </c>
      <c r="O65" s="91">
        <v>14</v>
      </c>
      <c r="P65" s="91">
        <v>14</v>
      </c>
      <c r="Q65" s="91">
        <v>14</v>
      </c>
      <c r="R65" s="91">
        <v>14</v>
      </c>
      <c r="S65" s="91">
        <v>14</v>
      </c>
      <c r="T65" s="91">
        <v>14</v>
      </c>
      <c r="U65" s="91">
        <v>14</v>
      </c>
      <c r="V65" s="91">
        <v>14</v>
      </c>
      <c r="W65" s="91">
        <v>14</v>
      </c>
      <c r="X65" s="91">
        <v>14</v>
      </c>
      <c r="Y65" s="91">
        <v>14</v>
      </c>
      <c r="Z65" s="91">
        <v>14</v>
      </c>
      <c r="AA65" s="91">
        <v>14</v>
      </c>
      <c r="AB65" s="91">
        <v>14</v>
      </c>
      <c r="AC65" s="91">
        <v>14</v>
      </c>
      <c r="AD65" s="91">
        <v>14</v>
      </c>
      <c r="AE65" s="91">
        <v>14</v>
      </c>
      <c r="AF65" s="91">
        <v>14</v>
      </c>
      <c r="AG65" s="91">
        <v>14</v>
      </c>
      <c r="AH65" s="91">
        <v>14</v>
      </c>
      <c r="AI65" s="91">
        <v>14</v>
      </c>
      <c r="AJ65" s="91">
        <v>14</v>
      </c>
      <c r="AK65" s="91">
        <v>14</v>
      </c>
      <c r="AL65" s="91">
        <v>14</v>
      </c>
      <c r="AM65" s="91">
        <v>14</v>
      </c>
      <c r="AN65" s="91">
        <v>14</v>
      </c>
      <c r="AO65" s="91">
        <v>14</v>
      </c>
      <c r="AP65" s="91">
        <v>14</v>
      </c>
      <c r="AQ65" s="91">
        <v>14</v>
      </c>
      <c r="AR65" s="91">
        <v>14</v>
      </c>
      <c r="AS65" s="91">
        <v>14</v>
      </c>
      <c r="AT65" s="91">
        <v>14</v>
      </c>
      <c r="AU65" s="91">
        <v>14</v>
      </c>
      <c r="AV65" s="91"/>
      <c r="AW65" s="91">
        <v>14</v>
      </c>
      <c r="AX65" s="91">
        <v>14</v>
      </c>
      <c r="AY65" s="91"/>
      <c r="AZ65" s="91">
        <v>14</v>
      </c>
      <c r="BA65" s="91">
        <v>14</v>
      </c>
      <c r="BB65" s="91"/>
      <c r="BC65" s="91"/>
      <c r="BD65" s="91"/>
      <c r="BE65" s="91">
        <v>14</v>
      </c>
      <c r="BF65" s="91">
        <v>28</v>
      </c>
      <c r="BG65" s="91">
        <v>28</v>
      </c>
      <c r="BH65" s="91"/>
    </row>
    <row r="66" spans="1:60" x14ac:dyDescent="0.25">
      <c r="A66" s="91" t="s">
        <v>299</v>
      </c>
      <c r="B66" s="129">
        <f t="shared" si="2"/>
        <v>668</v>
      </c>
      <c r="C66" s="91">
        <f t="shared" si="3"/>
        <v>39</v>
      </c>
      <c r="D66" s="130">
        <f t="shared" si="4"/>
        <v>0.78</v>
      </c>
      <c r="E66" s="131">
        <v>46287</v>
      </c>
      <c r="F66" s="131">
        <v>46288</v>
      </c>
      <c r="G66" s="91">
        <f t="shared" si="5"/>
        <v>1</v>
      </c>
      <c r="H66" s="91">
        <v>16</v>
      </c>
      <c r="I66" s="91">
        <v>16</v>
      </c>
      <c r="J66" s="91">
        <v>16</v>
      </c>
      <c r="K66" s="91">
        <v>16</v>
      </c>
      <c r="L66" s="91">
        <v>16</v>
      </c>
      <c r="M66" s="91"/>
      <c r="N66" s="91">
        <v>16</v>
      </c>
      <c r="O66" s="91">
        <v>16</v>
      </c>
      <c r="P66" s="91">
        <v>16</v>
      </c>
      <c r="Q66" s="91">
        <v>16</v>
      </c>
      <c r="R66" s="91">
        <v>16</v>
      </c>
      <c r="S66" s="91">
        <v>16</v>
      </c>
      <c r="T66" s="91">
        <v>16</v>
      </c>
      <c r="U66" s="91"/>
      <c r="V66" s="91">
        <v>16</v>
      </c>
      <c r="W66" s="91">
        <v>16</v>
      </c>
      <c r="X66" s="91">
        <v>16</v>
      </c>
      <c r="Y66" s="91"/>
      <c r="Z66" s="91">
        <v>16</v>
      </c>
      <c r="AA66" s="91"/>
      <c r="AB66" s="91">
        <v>16</v>
      </c>
      <c r="AC66" s="91">
        <v>16</v>
      </c>
      <c r="AD66" s="91">
        <v>16</v>
      </c>
      <c r="AE66" s="91"/>
      <c r="AF66" s="91">
        <v>16</v>
      </c>
      <c r="AG66" s="91">
        <v>16</v>
      </c>
      <c r="AH66" s="91">
        <v>16</v>
      </c>
      <c r="AI66" s="91">
        <v>16</v>
      </c>
      <c r="AJ66" s="91">
        <v>16</v>
      </c>
      <c r="AK66" s="91">
        <v>16</v>
      </c>
      <c r="AL66" s="91">
        <v>16</v>
      </c>
      <c r="AM66" s="91">
        <v>16</v>
      </c>
      <c r="AN66" s="91">
        <v>16</v>
      </c>
      <c r="AO66" s="91">
        <v>16</v>
      </c>
      <c r="AP66" s="91">
        <v>16</v>
      </c>
      <c r="AQ66" s="91">
        <v>16</v>
      </c>
      <c r="AR66" s="91">
        <v>16</v>
      </c>
      <c r="AS66" s="91">
        <v>16</v>
      </c>
      <c r="AT66" s="91">
        <v>16</v>
      </c>
      <c r="AU66" s="91"/>
      <c r="AV66" s="91"/>
      <c r="AW66" s="91">
        <v>16</v>
      </c>
      <c r="AX66" s="91">
        <v>16</v>
      </c>
      <c r="AY66" s="91"/>
      <c r="AZ66" s="91">
        <v>16</v>
      </c>
      <c r="BA66" s="91">
        <v>16</v>
      </c>
      <c r="BB66" s="91"/>
      <c r="BC66" s="91"/>
      <c r="BD66" s="91"/>
      <c r="BE66" s="91">
        <v>16</v>
      </c>
      <c r="BF66" s="91">
        <v>15</v>
      </c>
      <c r="BG66" s="91">
        <v>29</v>
      </c>
      <c r="BH66" s="91"/>
    </row>
    <row r="67" spans="1:60" x14ac:dyDescent="0.25">
      <c r="A67" s="91" t="s">
        <v>277</v>
      </c>
      <c r="B67" s="129">
        <f t="shared" si="2"/>
        <v>667</v>
      </c>
      <c r="C67" s="91">
        <f t="shared" si="3"/>
        <v>49</v>
      </c>
      <c r="D67" s="130">
        <f t="shared" si="4"/>
        <v>0.98</v>
      </c>
      <c r="E67" s="131">
        <v>46225</v>
      </c>
      <c r="F67" s="131">
        <v>46302</v>
      </c>
      <c r="G67" s="91">
        <f t="shared" si="5"/>
        <v>77</v>
      </c>
      <c r="H67" s="91">
        <v>9</v>
      </c>
      <c r="I67" s="91">
        <v>9</v>
      </c>
      <c r="J67" s="91">
        <v>9</v>
      </c>
      <c r="K67" s="91">
        <v>18</v>
      </c>
      <c r="L67" s="91">
        <v>18</v>
      </c>
      <c r="M67" s="91">
        <v>5</v>
      </c>
      <c r="N67" s="91">
        <v>15</v>
      </c>
      <c r="O67" s="91">
        <v>20</v>
      </c>
      <c r="P67" s="91">
        <v>15</v>
      </c>
      <c r="Q67" s="91">
        <v>15</v>
      </c>
      <c r="R67" s="91">
        <v>18</v>
      </c>
      <c r="S67" s="91">
        <v>9</v>
      </c>
      <c r="T67" s="91">
        <v>9</v>
      </c>
      <c r="U67" s="91">
        <v>9</v>
      </c>
      <c r="V67" s="91">
        <v>15</v>
      </c>
      <c r="W67" s="91">
        <v>15</v>
      </c>
      <c r="X67" s="91">
        <v>16</v>
      </c>
      <c r="Y67" s="91">
        <v>19</v>
      </c>
      <c r="Z67" s="91">
        <v>15</v>
      </c>
      <c r="AA67" s="91">
        <v>9</v>
      </c>
      <c r="AB67" s="91">
        <v>20</v>
      </c>
      <c r="AC67" s="91">
        <v>19</v>
      </c>
      <c r="AD67" s="91">
        <v>21</v>
      </c>
      <c r="AE67" s="91">
        <v>15</v>
      </c>
      <c r="AF67" s="91">
        <v>9</v>
      </c>
      <c r="AG67" s="91">
        <v>16</v>
      </c>
      <c r="AH67" s="91">
        <v>15</v>
      </c>
      <c r="AI67" s="91">
        <v>9</v>
      </c>
      <c r="AJ67" s="91">
        <v>17</v>
      </c>
      <c r="AK67" s="91">
        <v>9</v>
      </c>
      <c r="AL67" s="91">
        <v>15</v>
      </c>
      <c r="AM67" s="91">
        <v>9</v>
      </c>
      <c r="AN67" s="91">
        <v>21</v>
      </c>
      <c r="AO67" s="91">
        <v>9</v>
      </c>
      <c r="AP67" s="91">
        <v>9</v>
      </c>
      <c r="AQ67" s="91">
        <v>19</v>
      </c>
      <c r="AR67" s="91">
        <v>9</v>
      </c>
      <c r="AS67" s="91">
        <v>9</v>
      </c>
      <c r="AT67" s="91">
        <v>9</v>
      </c>
      <c r="AU67" s="91">
        <v>18</v>
      </c>
      <c r="AV67" s="91">
        <v>6</v>
      </c>
      <c r="AW67" s="91">
        <v>9</v>
      </c>
      <c r="AX67" s="91">
        <v>15</v>
      </c>
      <c r="AY67" s="91"/>
      <c r="AZ67" s="91">
        <v>9</v>
      </c>
      <c r="BA67" s="91">
        <v>15</v>
      </c>
      <c r="BB67" s="91">
        <v>15</v>
      </c>
      <c r="BC67" s="91">
        <v>9</v>
      </c>
      <c r="BD67" s="91">
        <v>9</v>
      </c>
      <c r="BE67" s="91">
        <v>8</v>
      </c>
      <c r="BF67" s="91">
        <v>16</v>
      </c>
      <c r="BG67" s="91">
        <v>12</v>
      </c>
      <c r="BH67" s="91"/>
    </row>
    <row r="68" spans="1:60" x14ac:dyDescent="0.25">
      <c r="A68" s="91" t="s">
        <v>152</v>
      </c>
      <c r="B68" s="129">
        <f t="shared" si="2"/>
        <v>642</v>
      </c>
      <c r="C68" s="91">
        <f t="shared" si="3"/>
        <v>48</v>
      </c>
      <c r="D68" s="130">
        <f t="shared" si="4"/>
        <v>0.96</v>
      </c>
      <c r="E68" s="131">
        <v>46282</v>
      </c>
      <c r="F68" s="131">
        <v>46301</v>
      </c>
      <c r="G68" s="91">
        <f t="shared" si="5"/>
        <v>19</v>
      </c>
      <c r="H68" s="91">
        <v>9</v>
      </c>
      <c r="I68" s="91">
        <v>18</v>
      </c>
      <c r="J68" s="91">
        <v>18</v>
      </c>
      <c r="K68" s="91">
        <v>18</v>
      </c>
      <c r="L68" s="91">
        <v>18</v>
      </c>
      <c r="M68" s="91"/>
      <c r="N68" s="91">
        <v>18</v>
      </c>
      <c r="O68" s="91">
        <v>18</v>
      </c>
      <c r="P68" s="91">
        <v>9</v>
      </c>
      <c r="Q68" s="91">
        <v>9</v>
      </c>
      <c r="R68" s="91">
        <v>18</v>
      </c>
      <c r="S68" s="91">
        <v>18</v>
      </c>
      <c r="T68" s="91">
        <v>18</v>
      </c>
      <c r="U68" s="91">
        <v>9</v>
      </c>
      <c r="V68" s="91">
        <v>9</v>
      </c>
      <c r="W68" s="91">
        <v>9</v>
      </c>
      <c r="X68" s="91">
        <v>18</v>
      </c>
      <c r="Y68" s="91">
        <v>1</v>
      </c>
      <c r="Z68" s="91">
        <v>9</v>
      </c>
      <c r="AA68" s="91">
        <v>9</v>
      </c>
      <c r="AB68" s="91">
        <v>18</v>
      </c>
      <c r="AC68" s="91">
        <v>18</v>
      </c>
      <c r="AD68" s="91">
        <v>18</v>
      </c>
      <c r="AE68" s="91">
        <v>9</v>
      </c>
      <c r="AF68" s="91">
        <v>9</v>
      </c>
      <c r="AG68" s="91">
        <v>9</v>
      </c>
      <c r="AH68" s="91">
        <v>9</v>
      </c>
      <c r="AI68" s="91">
        <v>9</v>
      </c>
      <c r="AJ68" s="91">
        <v>9</v>
      </c>
      <c r="AK68" s="91">
        <v>9</v>
      </c>
      <c r="AL68" s="91">
        <v>9</v>
      </c>
      <c r="AM68" s="91">
        <v>9</v>
      </c>
      <c r="AN68" s="91">
        <v>9</v>
      </c>
      <c r="AO68" s="91">
        <v>18</v>
      </c>
      <c r="AP68" s="91">
        <v>9</v>
      </c>
      <c r="AQ68" s="91">
        <v>9</v>
      </c>
      <c r="AR68" s="91">
        <v>9</v>
      </c>
      <c r="AS68" s="91">
        <v>18</v>
      </c>
      <c r="AT68" s="91">
        <v>9</v>
      </c>
      <c r="AU68" s="91">
        <v>9</v>
      </c>
      <c r="AV68" s="91">
        <v>9</v>
      </c>
      <c r="AW68" s="91">
        <v>18</v>
      </c>
      <c r="AX68" s="91">
        <v>18</v>
      </c>
      <c r="AY68" s="91"/>
      <c r="AZ68" s="91">
        <v>9</v>
      </c>
      <c r="BA68" s="91">
        <v>9</v>
      </c>
      <c r="BB68" s="91">
        <v>18</v>
      </c>
      <c r="BC68" s="91">
        <v>9</v>
      </c>
      <c r="BD68" s="91">
        <v>18</v>
      </c>
      <c r="BE68" s="91">
        <v>9</v>
      </c>
      <c r="BF68" s="91">
        <v>32</v>
      </c>
      <c r="BG68" s="91">
        <v>15</v>
      </c>
      <c r="BH68" s="91"/>
    </row>
    <row r="69" spans="1:60" x14ac:dyDescent="0.25">
      <c r="A69" s="91" t="s">
        <v>238</v>
      </c>
      <c r="B69" s="129">
        <f t="shared" si="2"/>
        <v>634</v>
      </c>
      <c r="C69" s="91">
        <f t="shared" si="3"/>
        <v>48</v>
      </c>
      <c r="D69" s="130">
        <f t="shared" si="4"/>
        <v>0.96</v>
      </c>
      <c r="E69" s="131">
        <v>46316</v>
      </c>
      <c r="F69" s="131">
        <v>46318</v>
      </c>
      <c r="G69" s="91">
        <f t="shared" si="5"/>
        <v>2</v>
      </c>
      <c r="H69" s="91">
        <v>10</v>
      </c>
      <c r="I69" s="91">
        <v>10</v>
      </c>
      <c r="J69" s="91">
        <v>14</v>
      </c>
      <c r="K69" s="91">
        <v>12</v>
      </c>
      <c r="L69" s="91">
        <v>14</v>
      </c>
      <c r="M69" s="91"/>
      <c r="N69" s="91">
        <v>14</v>
      </c>
      <c r="O69" s="91">
        <v>12</v>
      </c>
      <c r="P69" s="91">
        <v>14</v>
      </c>
      <c r="Q69" s="91">
        <v>12</v>
      </c>
      <c r="R69" s="91">
        <v>13</v>
      </c>
      <c r="S69" s="91">
        <v>14</v>
      </c>
      <c r="T69" s="91">
        <v>14</v>
      </c>
      <c r="U69" s="91">
        <v>10</v>
      </c>
      <c r="V69" s="91">
        <v>12</v>
      </c>
      <c r="W69" s="91">
        <v>14</v>
      </c>
      <c r="X69" s="91">
        <v>14</v>
      </c>
      <c r="Y69" s="91">
        <v>12</v>
      </c>
      <c r="Z69" s="91">
        <v>10</v>
      </c>
      <c r="AA69" s="91">
        <v>10</v>
      </c>
      <c r="AB69" s="91">
        <v>14</v>
      </c>
      <c r="AC69" s="91">
        <v>14</v>
      </c>
      <c r="AD69" s="91">
        <v>14</v>
      </c>
      <c r="AE69" s="91">
        <v>10</v>
      </c>
      <c r="AF69" s="91">
        <v>14</v>
      </c>
      <c r="AG69" s="91">
        <v>14</v>
      </c>
      <c r="AH69" s="91">
        <v>14</v>
      </c>
      <c r="AI69" s="91">
        <v>14</v>
      </c>
      <c r="AJ69" s="91">
        <v>14</v>
      </c>
      <c r="AK69" s="91">
        <v>10</v>
      </c>
      <c r="AL69" s="91">
        <v>14</v>
      </c>
      <c r="AM69" s="91">
        <v>12</v>
      </c>
      <c r="AN69" s="91">
        <v>12</v>
      </c>
      <c r="AO69" s="91">
        <v>14</v>
      </c>
      <c r="AP69" s="91">
        <v>14</v>
      </c>
      <c r="AQ69" s="91">
        <v>10</v>
      </c>
      <c r="AR69" s="91">
        <v>10</v>
      </c>
      <c r="AS69" s="91">
        <v>14</v>
      </c>
      <c r="AT69" s="91">
        <v>14</v>
      </c>
      <c r="AU69" s="91">
        <v>12</v>
      </c>
      <c r="AV69" s="91">
        <v>16</v>
      </c>
      <c r="AW69" s="91">
        <v>13</v>
      </c>
      <c r="AX69" s="91">
        <v>10</v>
      </c>
      <c r="AY69" s="91"/>
      <c r="AZ69" s="91">
        <v>10</v>
      </c>
      <c r="BA69" s="91">
        <v>10</v>
      </c>
      <c r="BB69" s="91">
        <v>14</v>
      </c>
      <c r="BC69" s="91">
        <v>14</v>
      </c>
      <c r="BD69" s="91">
        <v>14</v>
      </c>
      <c r="BE69" s="91">
        <v>13</v>
      </c>
      <c r="BF69" s="91">
        <v>27</v>
      </c>
      <c r="BG69" s="91"/>
      <c r="BH69" s="91"/>
    </row>
    <row r="70" spans="1:60" x14ac:dyDescent="0.25">
      <c r="A70" s="91" t="s">
        <v>149</v>
      </c>
      <c r="B70" s="129">
        <f t="shared" si="2"/>
        <v>619</v>
      </c>
      <c r="C70" s="91">
        <f t="shared" si="3"/>
        <v>49</v>
      </c>
      <c r="D70" s="130">
        <f t="shared" si="4"/>
        <v>0.98</v>
      </c>
      <c r="E70" s="131">
        <v>46266</v>
      </c>
      <c r="F70" s="131">
        <v>46310</v>
      </c>
      <c r="G70" s="91">
        <f t="shared" si="5"/>
        <v>44</v>
      </c>
      <c r="H70" s="91">
        <v>7</v>
      </c>
      <c r="I70" s="91">
        <v>14</v>
      </c>
      <c r="J70" s="91">
        <v>14</v>
      </c>
      <c r="K70" s="91">
        <v>14</v>
      </c>
      <c r="L70" s="91">
        <v>14</v>
      </c>
      <c r="M70" s="91">
        <v>10</v>
      </c>
      <c r="N70" s="91">
        <v>14</v>
      </c>
      <c r="O70" s="91">
        <v>14</v>
      </c>
      <c r="P70" s="91">
        <v>7</v>
      </c>
      <c r="Q70" s="91">
        <v>14</v>
      </c>
      <c r="R70" s="91">
        <v>14</v>
      </c>
      <c r="S70" s="91">
        <v>14</v>
      </c>
      <c r="T70" s="91">
        <v>14</v>
      </c>
      <c r="U70" s="91">
        <v>14</v>
      </c>
      <c r="V70" s="91">
        <v>14</v>
      </c>
      <c r="W70" s="91">
        <v>14</v>
      </c>
      <c r="X70" s="91">
        <v>14</v>
      </c>
      <c r="Y70" s="91">
        <v>2</v>
      </c>
      <c r="Z70" s="91">
        <v>14</v>
      </c>
      <c r="AA70" s="91">
        <v>7</v>
      </c>
      <c r="AB70" s="91">
        <v>14</v>
      </c>
      <c r="AC70" s="91">
        <v>14</v>
      </c>
      <c r="AD70" s="91">
        <v>14</v>
      </c>
      <c r="AE70" s="91">
        <v>14</v>
      </c>
      <c r="AF70" s="91">
        <v>14</v>
      </c>
      <c r="AG70" s="91">
        <v>7</v>
      </c>
      <c r="AH70" s="91">
        <v>14</v>
      </c>
      <c r="AI70" s="91">
        <v>14</v>
      </c>
      <c r="AJ70" s="91">
        <v>7</v>
      </c>
      <c r="AK70" s="91">
        <v>14</v>
      </c>
      <c r="AL70" s="91">
        <v>14</v>
      </c>
      <c r="AM70" s="91">
        <v>14</v>
      </c>
      <c r="AN70" s="91">
        <v>14</v>
      </c>
      <c r="AO70" s="91">
        <v>14</v>
      </c>
      <c r="AP70" s="91">
        <v>14</v>
      </c>
      <c r="AQ70" s="91">
        <v>7</v>
      </c>
      <c r="AR70" s="91">
        <v>14</v>
      </c>
      <c r="AS70" s="91">
        <v>7</v>
      </c>
      <c r="AT70" s="91">
        <v>14</v>
      </c>
      <c r="AU70" s="91">
        <v>14</v>
      </c>
      <c r="AV70" s="91">
        <v>7</v>
      </c>
      <c r="AW70" s="91">
        <v>14</v>
      </c>
      <c r="AX70" s="91">
        <v>14</v>
      </c>
      <c r="AY70" s="91"/>
      <c r="AZ70" s="91">
        <v>14</v>
      </c>
      <c r="BA70" s="91">
        <v>14</v>
      </c>
      <c r="BB70" s="91">
        <v>7</v>
      </c>
      <c r="BC70" s="91">
        <v>7</v>
      </c>
      <c r="BD70" s="91">
        <v>7</v>
      </c>
      <c r="BE70" s="91">
        <v>14</v>
      </c>
      <c r="BF70" s="91">
        <v>14</v>
      </c>
      <c r="BG70" s="91">
        <v>12</v>
      </c>
      <c r="BH70" s="91"/>
    </row>
    <row r="71" spans="1:60" x14ac:dyDescent="0.25">
      <c r="A71" s="91" t="s">
        <v>95</v>
      </c>
      <c r="B71" s="129">
        <f t="shared" si="2"/>
        <v>615</v>
      </c>
      <c r="C71" s="91">
        <f t="shared" si="3"/>
        <v>49</v>
      </c>
      <c r="D71" s="130">
        <f t="shared" si="4"/>
        <v>0.98</v>
      </c>
      <c r="E71" s="131">
        <v>46234</v>
      </c>
      <c r="F71" s="131">
        <v>46282</v>
      </c>
      <c r="G71" s="91">
        <f t="shared" si="5"/>
        <v>48</v>
      </c>
      <c r="H71" s="91">
        <v>9</v>
      </c>
      <c r="I71" s="91">
        <v>9</v>
      </c>
      <c r="J71" s="91">
        <v>8</v>
      </c>
      <c r="K71" s="91">
        <v>20</v>
      </c>
      <c r="L71" s="91">
        <v>8</v>
      </c>
      <c r="M71" s="91">
        <v>8</v>
      </c>
      <c r="N71" s="91">
        <v>16</v>
      </c>
      <c r="O71" s="91">
        <v>20</v>
      </c>
      <c r="P71" s="91">
        <v>16</v>
      </c>
      <c r="Q71" s="91">
        <v>8</v>
      </c>
      <c r="R71" s="91">
        <v>18</v>
      </c>
      <c r="S71" s="91">
        <v>8</v>
      </c>
      <c r="T71" s="91">
        <v>20</v>
      </c>
      <c r="U71" s="91">
        <v>8</v>
      </c>
      <c r="V71" s="91">
        <v>8</v>
      </c>
      <c r="W71" s="91">
        <v>14</v>
      </c>
      <c r="X71" s="91">
        <v>8</v>
      </c>
      <c r="Y71" s="91">
        <v>20</v>
      </c>
      <c r="Z71" s="91">
        <v>14</v>
      </c>
      <c r="AA71" s="91">
        <v>8</v>
      </c>
      <c r="AB71" s="91">
        <v>8</v>
      </c>
      <c r="AC71" s="91">
        <v>16</v>
      </c>
      <c r="AD71" s="91">
        <v>20</v>
      </c>
      <c r="AE71" s="91">
        <v>14</v>
      </c>
      <c r="AF71" s="91">
        <v>14</v>
      </c>
      <c r="AG71" s="91">
        <v>15</v>
      </c>
      <c r="AH71" s="91">
        <v>14</v>
      </c>
      <c r="AI71" s="91">
        <v>8</v>
      </c>
      <c r="AJ71" s="91">
        <v>20</v>
      </c>
      <c r="AK71" s="91">
        <v>8</v>
      </c>
      <c r="AL71" s="91">
        <v>14</v>
      </c>
      <c r="AM71" s="91">
        <v>8</v>
      </c>
      <c r="AN71" s="91">
        <v>18</v>
      </c>
      <c r="AO71" s="91">
        <v>14</v>
      </c>
      <c r="AP71" s="91">
        <v>8</v>
      </c>
      <c r="AQ71" s="91">
        <v>18</v>
      </c>
      <c r="AR71" s="91">
        <v>8</v>
      </c>
      <c r="AS71" s="91">
        <v>8</v>
      </c>
      <c r="AT71" s="91">
        <v>8</v>
      </c>
      <c r="AU71" s="91">
        <v>16</v>
      </c>
      <c r="AV71" s="91">
        <v>6</v>
      </c>
      <c r="AW71" s="91">
        <v>8</v>
      </c>
      <c r="AX71" s="91">
        <v>18</v>
      </c>
      <c r="AY71" s="91"/>
      <c r="AZ71" s="91">
        <v>8</v>
      </c>
      <c r="BA71" s="91">
        <v>14</v>
      </c>
      <c r="BB71" s="91">
        <v>17</v>
      </c>
      <c r="BC71" s="91">
        <v>8</v>
      </c>
      <c r="BD71" s="91">
        <v>8</v>
      </c>
      <c r="BE71" s="91">
        <v>8</v>
      </c>
      <c r="BF71" s="91">
        <v>3</v>
      </c>
      <c r="BG71" s="91">
        <v>12</v>
      </c>
      <c r="BH71" s="91"/>
    </row>
    <row r="72" spans="1:60" x14ac:dyDescent="0.25">
      <c r="A72" s="91" t="s">
        <v>144</v>
      </c>
      <c r="B72" s="129">
        <f t="shared" ref="B72:B135" si="6">SUM(H72:BH72)</f>
        <v>613</v>
      </c>
      <c r="C72" s="91">
        <f t="shared" ref="C72:C135" si="7">COUNTIF(H72:BE72,"&gt;0")</f>
        <v>49</v>
      </c>
      <c r="D72" s="130">
        <f t="shared" ref="D72:D135" si="8">IFERROR(C72/TIENDAS,0)</f>
        <v>0.98</v>
      </c>
      <c r="E72" s="131">
        <v>46220</v>
      </c>
      <c r="F72" s="131">
        <v>46280</v>
      </c>
      <c r="G72" s="91">
        <f t="shared" ref="G72:G135" si="9">F72-E72</f>
        <v>60</v>
      </c>
      <c r="H72" s="91">
        <v>6</v>
      </c>
      <c r="I72" s="91">
        <v>6</v>
      </c>
      <c r="J72" s="91">
        <v>15</v>
      </c>
      <c r="K72" s="91">
        <v>15</v>
      </c>
      <c r="L72" s="91">
        <v>15</v>
      </c>
      <c r="M72" s="91">
        <v>7</v>
      </c>
      <c r="N72" s="91">
        <v>15</v>
      </c>
      <c r="O72" s="91">
        <v>15</v>
      </c>
      <c r="P72" s="91">
        <v>15</v>
      </c>
      <c r="Q72" s="91">
        <v>15</v>
      </c>
      <c r="R72" s="91">
        <v>15</v>
      </c>
      <c r="S72" s="91">
        <v>9</v>
      </c>
      <c r="T72" s="91">
        <v>15</v>
      </c>
      <c r="U72" s="91">
        <v>9</v>
      </c>
      <c r="V72" s="91">
        <v>15</v>
      </c>
      <c r="W72" s="91">
        <v>15</v>
      </c>
      <c r="X72" s="91">
        <v>15</v>
      </c>
      <c r="Y72" s="91">
        <v>15</v>
      </c>
      <c r="Z72" s="91">
        <v>15</v>
      </c>
      <c r="AA72" s="91">
        <v>9</v>
      </c>
      <c r="AB72" s="91">
        <v>15</v>
      </c>
      <c r="AC72" s="91">
        <v>15</v>
      </c>
      <c r="AD72" s="91">
        <v>15</v>
      </c>
      <c r="AE72" s="91">
        <v>15</v>
      </c>
      <c r="AF72" s="91">
        <v>15</v>
      </c>
      <c r="AG72" s="91">
        <v>15</v>
      </c>
      <c r="AH72" s="91">
        <v>15</v>
      </c>
      <c r="AI72" s="91">
        <v>9</v>
      </c>
      <c r="AJ72" s="91">
        <v>15</v>
      </c>
      <c r="AK72" s="91">
        <v>9</v>
      </c>
      <c r="AL72" s="91">
        <v>15</v>
      </c>
      <c r="AM72" s="91">
        <v>9</v>
      </c>
      <c r="AN72" s="91">
        <v>15</v>
      </c>
      <c r="AO72" s="91">
        <v>9</v>
      </c>
      <c r="AP72" s="91">
        <v>9</v>
      </c>
      <c r="AQ72" s="91">
        <v>15</v>
      </c>
      <c r="AR72" s="91">
        <v>9</v>
      </c>
      <c r="AS72" s="91">
        <v>8</v>
      </c>
      <c r="AT72" s="91">
        <v>9</v>
      </c>
      <c r="AU72" s="91">
        <v>15</v>
      </c>
      <c r="AV72" s="91">
        <v>6</v>
      </c>
      <c r="AW72" s="91">
        <v>9</v>
      </c>
      <c r="AX72" s="91">
        <v>15</v>
      </c>
      <c r="AY72" s="91"/>
      <c r="AZ72" s="91">
        <v>9</v>
      </c>
      <c r="BA72" s="91">
        <v>15</v>
      </c>
      <c r="BB72" s="91">
        <v>15</v>
      </c>
      <c r="BC72" s="91">
        <v>9</v>
      </c>
      <c r="BD72" s="91">
        <v>9</v>
      </c>
      <c r="BE72" s="91">
        <v>6</v>
      </c>
      <c r="BF72" s="91">
        <v>3</v>
      </c>
      <c r="BG72" s="91">
        <v>10</v>
      </c>
      <c r="BH72" s="91"/>
    </row>
    <row r="73" spans="1:60" x14ac:dyDescent="0.25">
      <c r="A73" s="91" t="s">
        <v>86</v>
      </c>
      <c r="B73" s="129">
        <f t="shared" si="6"/>
        <v>607</v>
      </c>
      <c r="C73" s="91">
        <f t="shared" si="7"/>
        <v>44</v>
      </c>
      <c r="D73" s="130">
        <f t="shared" si="8"/>
        <v>0.88</v>
      </c>
      <c r="E73" s="131">
        <v>46266</v>
      </c>
      <c r="F73" s="131">
        <v>46302</v>
      </c>
      <c r="G73" s="91">
        <f t="shared" si="9"/>
        <v>36</v>
      </c>
      <c r="H73" s="91">
        <v>14</v>
      </c>
      <c r="I73" s="91">
        <v>14</v>
      </c>
      <c r="J73" s="91">
        <v>14</v>
      </c>
      <c r="K73" s="91">
        <v>14</v>
      </c>
      <c r="L73" s="91">
        <v>14</v>
      </c>
      <c r="M73" s="91">
        <v>10</v>
      </c>
      <c r="N73" s="91">
        <v>14</v>
      </c>
      <c r="O73" s="91">
        <v>14</v>
      </c>
      <c r="P73" s="91">
        <v>14</v>
      </c>
      <c r="Q73" s="91">
        <v>14</v>
      </c>
      <c r="R73" s="91">
        <v>14</v>
      </c>
      <c r="S73" s="91">
        <v>14</v>
      </c>
      <c r="T73" s="91">
        <v>14</v>
      </c>
      <c r="U73" s="91">
        <v>14</v>
      </c>
      <c r="V73" s="91">
        <v>14</v>
      </c>
      <c r="W73" s="91">
        <v>14</v>
      </c>
      <c r="X73" s="91">
        <v>7</v>
      </c>
      <c r="Y73" s="91">
        <v>5</v>
      </c>
      <c r="Z73" s="91">
        <v>14</v>
      </c>
      <c r="AA73" s="91">
        <v>14</v>
      </c>
      <c r="AB73" s="91">
        <v>14</v>
      </c>
      <c r="AC73" s="91">
        <v>14</v>
      </c>
      <c r="AD73" s="91">
        <v>14</v>
      </c>
      <c r="AE73" s="91">
        <v>14</v>
      </c>
      <c r="AF73" s="91">
        <v>14</v>
      </c>
      <c r="AG73" s="91">
        <v>14</v>
      </c>
      <c r="AH73" s="91"/>
      <c r="AI73" s="91">
        <v>14</v>
      </c>
      <c r="AJ73" s="91">
        <v>14</v>
      </c>
      <c r="AK73" s="91">
        <v>14</v>
      </c>
      <c r="AL73" s="91">
        <v>14</v>
      </c>
      <c r="AM73" s="91">
        <v>14</v>
      </c>
      <c r="AN73" s="91">
        <v>14</v>
      </c>
      <c r="AO73" s="91">
        <v>14</v>
      </c>
      <c r="AP73" s="91">
        <v>14</v>
      </c>
      <c r="AQ73" s="91">
        <v>14</v>
      </c>
      <c r="AR73" s="91"/>
      <c r="AS73" s="91">
        <v>7</v>
      </c>
      <c r="AT73" s="91">
        <v>14</v>
      </c>
      <c r="AU73" s="91">
        <v>14</v>
      </c>
      <c r="AV73" s="91"/>
      <c r="AW73" s="91">
        <v>14</v>
      </c>
      <c r="AX73" s="91">
        <v>14</v>
      </c>
      <c r="AY73" s="91"/>
      <c r="AZ73" s="91">
        <v>14</v>
      </c>
      <c r="BA73" s="91">
        <v>14</v>
      </c>
      <c r="BB73" s="91">
        <v>7</v>
      </c>
      <c r="BC73" s="91"/>
      <c r="BD73" s="91"/>
      <c r="BE73" s="91">
        <v>14</v>
      </c>
      <c r="BF73" s="91">
        <v>1</v>
      </c>
      <c r="BG73" s="91">
        <v>24</v>
      </c>
      <c r="BH73" s="91"/>
    </row>
    <row r="74" spans="1:60" x14ac:dyDescent="0.25">
      <c r="A74" s="91" t="s">
        <v>591</v>
      </c>
      <c r="B74" s="129">
        <f t="shared" si="6"/>
        <v>605</v>
      </c>
      <c r="C74" s="91">
        <f t="shared" si="7"/>
        <v>48</v>
      </c>
      <c r="D74" s="130">
        <f t="shared" si="8"/>
        <v>0.96</v>
      </c>
      <c r="E74" s="131">
        <v>46238</v>
      </c>
      <c r="F74" s="131">
        <v>46266</v>
      </c>
      <c r="G74" s="91">
        <f t="shared" si="9"/>
        <v>28</v>
      </c>
      <c r="H74" s="91">
        <v>8</v>
      </c>
      <c r="I74" s="91">
        <v>9</v>
      </c>
      <c r="J74" s="91">
        <v>13</v>
      </c>
      <c r="K74" s="91">
        <v>16</v>
      </c>
      <c r="L74" s="91">
        <v>19</v>
      </c>
      <c r="M74" s="91"/>
      <c r="N74" s="91">
        <v>20</v>
      </c>
      <c r="O74" s="91">
        <v>17</v>
      </c>
      <c r="P74" s="91">
        <v>15</v>
      </c>
      <c r="Q74" s="91">
        <v>13</v>
      </c>
      <c r="R74" s="91">
        <v>15</v>
      </c>
      <c r="S74" s="91">
        <v>8</v>
      </c>
      <c r="T74" s="91">
        <v>15</v>
      </c>
      <c r="U74" s="91">
        <v>7</v>
      </c>
      <c r="V74" s="91">
        <v>13</v>
      </c>
      <c r="W74" s="91">
        <v>13</v>
      </c>
      <c r="X74" s="91">
        <v>17</v>
      </c>
      <c r="Y74" s="91">
        <v>17</v>
      </c>
      <c r="Z74" s="91">
        <v>13</v>
      </c>
      <c r="AA74" s="91">
        <v>8</v>
      </c>
      <c r="AB74" s="91">
        <v>17</v>
      </c>
      <c r="AC74" s="91">
        <v>17</v>
      </c>
      <c r="AD74" s="91">
        <v>19</v>
      </c>
      <c r="AE74" s="91">
        <v>12</v>
      </c>
      <c r="AF74" s="91">
        <v>13</v>
      </c>
      <c r="AG74" s="91">
        <v>15</v>
      </c>
      <c r="AH74" s="91">
        <v>13</v>
      </c>
      <c r="AI74" s="91">
        <v>7</v>
      </c>
      <c r="AJ74" s="91">
        <v>17</v>
      </c>
      <c r="AK74" s="91">
        <v>8</v>
      </c>
      <c r="AL74" s="91">
        <v>13</v>
      </c>
      <c r="AM74" s="91">
        <v>8</v>
      </c>
      <c r="AN74" s="91">
        <v>15</v>
      </c>
      <c r="AO74" s="91">
        <v>14</v>
      </c>
      <c r="AP74" s="91">
        <v>8</v>
      </c>
      <c r="AQ74" s="91">
        <v>17</v>
      </c>
      <c r="AR74" s="91">
        <v>7</v>
      </c>
      <c r="AS74" s="91">
        <v>7</v>
      </c>
      <c r="AT74" s="91">
        <v>7</v>
      </c>
      <c r="AU74" s="91">
        <v>15</v>
      </c>
      <c r="AV74" s="91">
        <v>5</v>
      </c>
      <c r="AW74" s="91">
        <v>8</v>
      </c>
      <c r="AX74" s="91">
        <v>17</v>
      </c>
      <c r="AY74" s="91"/>
      <c r="AZ74" s="91">
        <v>7</v>
      </c>
      <c r="BA74" s="91">
        <v>13</v>
      </c>
      <c r="BB74" s="91">
        <v>13</v>
      </c>
      <c r="BC74" s="91">
        <v>8</v>
      </c>
      <c r="BD74" s="91">
        <v>7</v>
      </c>
      <c r="BE74" s="91">
        <v>9</v>
      </c>
      <c r="BF74" s="91"/>
      <c r="BG74" s="91">
        <v>12</v>
      </c>
      <c r="BH74" s="91">
        <v>1</v>
      </c>
    </row>
    <row r="75" spans="1:60" x14ac:dyDescent="0.25">
      <c r="A75" s="91" t="s">
        <v>361</v>
      </c>
      <c r="B75" s="129">
        <f t="shared" si="6"/>
        <v>601</v>
      </c>
      <c r="C75" s="91">
        <f t="shared" si="7"/>
        <v>48</v>
      </c>
      <c r="D75" s="130">
        <f t="shared" si="8"/>
        <v>0.96</v>
      </c>
      <c r="E75" s="131">
        <v>46238</v>
      </c>
      <c r="F75" s="131">
        <v>46262</v>
      </c>
      <c r="G75" s="91">
        <f t="shared" si="9"/>
        <v>24</v>
      </c>
      <c r="H75" s="91">
        <v>6</v>
      </c>
      <c r="I75" s="91">
        <v>6</v>
      </c>
      <c r="J75" s="91">
        <v>15</v>
      </c>
      <c r="K75" s="91">
        <v>15</v>
      </c>
      <c r="L75" s="91">
        <v>15</v>
      </c>
      <c r="M75" s="91"/>
      <c r="N75" s="91">
        <v>15</v>
      </c>
      <c r="O75" s="91">
        <v>15</v>
      </c>
      <c r="P75" s="91">
        <v>15</v>
      </c>
      <c r="Q75" s="91">
        <v>13</v>
      </c>
      <c r="R75" s="91">
        <v>15</v>
      </c>
      <c r="S75" s="91">
        <v>9</v>
      </c>
      <c r="T75" s="91">
        <v>15</v>
      </c>
      <c r="U75" s="91">
        <v>9</v>
      </c>
      <c r="V75" s="91">
        <v>15</v>
      </c>
      <c r="W75" s="91">
        <v>14</v>
      </c>
      <c r="X75" s="91">
        <v>15</v>
      </c>
      <c r="Y75" s="91">
        <v>14</v>
      </c>
      <c r="Z75" s="91">
        <v>13</v>
      </c>
      <c r="AA75" s="91">
        <v>9</v>
      </c>
      <c r="AB75" s="91">
        <v>15</v>
      </c>
      <c r="AC75" s="91">
        <v>15</v>
      </c>
      <c r="AD75" s="91">
        <v>15</v>
      </c>
      <c r="AE75" s="91">
        <v>13</v>
      </c>
      <c r="AF75" s="91">
        <v>13</v>
      </c>
      <c r="AG75" s="91">
        <v>15</v>
      </c>
      <c r="AH75" s="91">
        <v>13</v>
      </c>
      <c r="AI75" s="91">
        <v>7</v>
      </c>
      <c r="AJ75" s="91">
        <v>15</v>
      </c>
      <c r="AK75" s="91">
        <v>9</v>
      </c>
      <c r="AL75" s="91">
        <v>14</v>
      </c>
      <c r="AM75" s="91">
        <v>9</v>
      </c>
      <c r="AN75" s="91">
        <v>14</v>
      </c>
      <c r="AO75" s="91">
        <v>15</v>
      </c>
      <c r="AP75" s="91">
        <v>9</v>
      </c>
      <c r="AQ75" s="91">
        <v>14</v>
      </c>
      <c r="AR75" s="91">
        <v>9</v>
      </c>
      <c r="AS75" s="91">
        <v>8</v>
      </c>
      <c r="AT75" s="91">
        <v>9</v>
      </c>
      <c r="AU75" s="91">
        <v>15</v>
      </c>
      <c r="AV75" s="91">
        <v>6</v>
      </c>
      <c r="AW75" s="91">
        <v>9</v>
      </c>
      <c r="AX75" s="91">
        <v>13</v>
      </c>
      <c r="AY75" s="91"/>
      <c r="AZ75" s="91">
        <v>9</v>
      </c>
      <c r="BA75" s="91">
        <v>13</v>
      </c>
      <c r="BB75" s="91">
        <v>15</v>
      </c>
      <c r="BC75" s="91">
        <v>9</v>
      </c>
      <c r="BD75" s="91">
        <v>7</v>
      </c>
      <c r="BE75" s="91">
        <v>6</v>
      </c>
      <c r="BF75" s="91">
        <v>12</v>
      </c>
      <c r="BG75" s="91">
        <v>13</v>
      </c>
      <c r="BH75" s="91"/>
    </row>
    <row r="76" spans="1:60" x14ac:dyDescent="0.25">
      <c r="A76" s="91" t="s">
        <v>467</v>
      </c>
      <c r="B76" s="129">
        <f t="shared" si="6"/>
        <v>601</v>
      </c>
      <c r="C76" s="91">
        <f t="shared" si="7"/>
        <v>49</v>
      </c>
      <c r="D76" s="130">
        <f t="shared" si="8"/>
        <v>0.98</v>
      </c>
      <c r="E76" s="131">
        <v>46238</v>
      </c>
      <c r="F76" s="131">
        <v>46254</v>
      </c>
      <c r="G76" s="91">
        <f t="shared" si="9"/>
        <v>16</v>
      </c>
      <c r="H76" s="91">
        <v>6</v>
      </c>
      <c r="I76" s="91">
        <v>6</v>
      </c>
      <c r="J76" s="91">
        <v>15</v>
      </c>
      <c r="K76" s="91">
        <v>15</v>
      </c>
      <c r="L76" s="91">
        <v>15</v>
      </c>
      <c r="M76" s="91">
        <v>6</v>
      </c>
      <c r="N76" s="91">
        <v>15</v>
      </c>
      <c r="O76" s="91">
        <v>15</v>
      </c>
      <c r="P76" s="91">
        <v>15</v>
      </c>
      <c r="Q76" s="91">
        <v>14</v>
      </c>
      <c r="R76" s="91">
        <v>15</v>
      </c>
      <c r="S76" s="91">
        <v>9</v>
      </c>
      <c r="T76" s="91">
        <v>15</v>
      </c>
      <c r="U76" s="91">
        <v>9</v>
      </c>
      <c r="V76" s="91">
        <v>15</v>
      </c>
      <c r="W76" s="91">
        <v>14</v>
      </c>
      <c r="X76" s="91">
        <v>15</v>
      </c>
      <c r="Y76" s="91">
        <v>15</v>
      </c>
      <c r="Z76" s="91">
        <v>14</v>
      </c>
      <c r="AA76" s="91">
        <v>9</v>
      </c>
      <c r="AB76" s="91">
        <v>15</v>
      </c>
      <c r="AC76" s="91">
        <v>15</v>
      </c>
      <c r="AD76" s="91">
        <v>15</v>
      </c>
      <c r="AE76" s="91">
        <v>13</v>
      </c>
      <c r="AF76" s="91">
        <v>14</v>
      </c>
      <c r="AG76" s="91">
        <v>15</v>
      </c>
      <c r="AH76" s="91">
        <v>14</v>
      </c>
      <c r="AI76" s="91">
        <v>7</v>
      </c>
      <c r="AJ76" s="91">
        <v>15</v>
      </c>
      <c r="AK76" s="91">
        <v>9</v>
      </c>
      <c r="AL76" s="91">
        <v>14</v>
      </c>
      <c r="AM76" s="91">
        <v>9</v>
      </c>
      <c r="AN76" s="91">
        <v>15</v>
      </c>
      <c r="AO76" s="91">
        <v>15</v>
      </c>
      <c r="AP76" s="91">
        <v>9</v>
      </c>
      <c r="AQ76" s="91">
        <v>15</v>
      </c>
      <c r="AR76" s="91">
        <v>9</v>
      </c>
      <c r="AS76" s="91">
        <v>7</v>
      </c>
      <c r="AT76" s="91">
        <v>9</v>
      </c>
      <c r="AU76" s="91">
        <v>15</v>
      </c>
      <c r="AV76" s="91">
        <v>6</v>
      </c>
      <c r="AW76" s="91">
        <v>9</v>
      </c>
      <c r="AX76" s="91">
        <v>14</v>
      </c>
      <c r="AY76" s="91"/>
      <c r="AZ76" s="91">
        <v>9</v>
      </c>
      <c r="BA76" s="91">
        <v>13</v>
      </c>
      <c r="BB76" s="91">
        <v>15</v>
      </c>
      <c r="BC76" s="91">
        <v>9</v>
      </c>
      <c r="BD76" s="91">
        <v>7</v>
      </c>
      <c r="BE76" s="91">
        <v>6</v>
      </c>
      <c r="BF76" s="91">
        <v>1</v>
      </c>
      <c r="BG76" s="91">
        <v>11</v>
      </c>
      <c r="BH76" s="91"/>
    </row>
    <row r="77" spans="1:60" x14ac:dyDescent="0.25">
      <c r="A77" s="91" t="s">
        <v>385</v>
      </c>
      <c r="B77" s="129">
        <f t="shared" si="6"/>
        <v>597</v>
      </c>
      <c r="C77" s="91">
        <f t="shared" si="7"/>
        <v>48</v>
      </c>
      <c r="D77" s="130">
        <f t="shared" si="8"/>
        <v>0.96</v>
      </c>
      <c r="E77" s="131">
        <v>46238</v>
      </c>
      <c r="F77" s="131">
        <v>46262</v>
      </c>
      <c r="G77" s="91">
        <f t="shared" si="9"/>
        <v>24</v>
      </c>
      <c r="H77" s="91">
        <v>6</v>
      </c>
      <c r="I77" s="91">
        <v>6</v>
      </c>
      <c r="J77" s="91">
        <v>15</v>
      </c>
      <c r="K77" s="91">
        <v>15</v>
      </c>
      <c r="L77" s="91">
        <v>15</v>
      </c>
      <c r="M77" s="91"/>
      <c r="N77" s="91">
        <v>15</v>
      </c>
      <c r="O77" s="91">
        <v>15</v>
      </c>
      <c r="P77" s="91">
        <v>15</v>
      </c>
      <c r="Q77" s="91">
        <v>14</v>
      </c>
      <c r="R77" s="91">
        <v>15</v>
      </c>
      <c r="S77" s="91">
        <v>9</v>
      </c>
      <c r="T77" s="91">
        <v>15</v>
      </c>
      <c r="U77" s="91">
        <v>9</v>
      </c>
      <c r="V77" s="91">
        <v>15</v>
      </c>
      <c r="W77" s="91">
        <v>14</v>
      </c>
      <c r="X77" s="91">
        <v>15</v>
      </c>
      <c r="Y77" s="91">
        <v>14</v>
      </c>
      <c r="Z77" s="91">
        <v>14</v>
      </c>
      <c r="AA77" s="91">
        <v>9</v>
      </c>
      <c r="AB77" s="91">
        <v>15</v>
      </c>
      <c r="AC77" s="91">
        <v>15</v>
      </c>
      <c r="AD77" s="91">
        <v>15</v>
      </c>
      <c r="AE77" s="91">
        <v>14</v>
      </c>
      <c r="AF77" s="91">
        <v>14</v>
      </c>
      <c r="AG77" s="91">
        <v>15</v>
      </c>
      <c r="AH77" s="91">
        <v>14</v>
      </c>
      <c r="AI77" s="91">
        <v>8</v>
      </c>
      <c r="AJ77" s="91">
        <v>15</v>
      </c>
      <c r="AK77" s="91">
        <v>9</v>
      </c>
      <c r="AL77" s="91">
        <v>14</v>
      </c>
      <c r="AM77" s="91">
        <v>9</v>
      </c>
      <c r="AN77" s="91">
        <v>14</v>
      </c>
      <c r="AO77" s="91">
        <v>15</v>
      </c>
      <c r="AP77" s="91">
        <v>9</v>
      </c>
      <c r="AQ77" s="91">
        <v>14</v>
      </c>
      <c r="AR77" s="91">
        <v>9</v>
      </c>
      <c r="AS77" s="91">
        <v>7</v>
      </c>
      <c r="AT77" s="91">
        <v>9</v>
      </c>
      <c r="AU77" s="91">
        <v>15</v>
      </c>
      <c r="AV77" s="91">
        <v>6</v>
      </c>
      <c r="AW77" s="91">
        <v>9</v>
      </c>
      <c r="AX77" s="91">
        <v>14</v>
      </c>
      <c r="AY77" s="91"/>
      <c r="AZ77" s="91">
        <v>9</v>
      </c>
      <c r="BA77" s="91">
        <v>14</v>
      </c>
      <c r="BB77" s="91">
        <v>15</v>
      </c>
      <c r="BC77" s="91">
        <v>9</v>
      </c>
      <c r="BD77" s="91">
        <v>8</v>
      </c>
      <c r="BE77" s="91">
        <v>6</v>
      </c>
      <c r="BF77" s="91">
        <v>2</v>
      </c>
      <c r="BG77" s="91">
        <v>11</v>
      </c>
      <c r="BH77" s="91"/>
    </row>
    <row r="78" spans="1:60" x14ac:dyDescent="0.25">
      <c r="A78" s="91" t="s">
        <v>495</v>
      </c>
      <c r="B78" s="129">
        <f t="shared" si="6"/>
        <v>597</v>
      </c>
      <c r="C78" s="91">
        <f t="shared" si="7"/>
        <v>47</v>
      </c>
      <c r="D78" s="130">
        <f t="shared" si="8"/>
        <v>0.94</v>
      </c>
      <c r="E78" s="131">
        <v>46280</v>
      </c>
      <c r="F78" s="131">
        <v>46281</v>
      </c>
      <c r="G78" s="91">
        <f t="shared" si="9"/>
        <v>1</v>
      </c>
      <c r="H78" s="91">
        <v>9</v>
      </c>
      <c r="I78" s="91">
        <v>9</v>
      </c>
      <c r="J78" s="91">
        <v>17</v>
      </c>
      <c r="K78" s="91">
        <v>9</v>
      </c>
      <c r="L78" s="91">
        <v>17</v>
      </c>
      <c r="M78" s="91"/>
      <c r="N78" s="91">
        <v>9</v>
      </c>
      <c r="O78" s="91">
        <v>17</v>
      </c>
      <c r="P78" s="91">
        <v>17</v>
      </c>
      <c r="Q78" s="91">
        <v>9</v>
      </c>
      <c r="R78" s="91">
        <v>17</v>
      </c>
      <c r="S78" s="91">
        <v>17</v>
      </c>
      <c r="T78" s="91">
        <v>9</v>
      </c>
      <c r="U78" s="91">
        <v>9</v>
      </c>
      <c r="V78" s="91">
        <v>9</v>
      </c>
      <c r="W78" s="91">
        <v>17</v>
      </c>
      <c r="X78" s="91">
        <v>17</v>
      </c>
      <c r="Y78" s="91"/>
      <c r="Z78" s="91">
        <v>9</v>
      </c>
      <c r="AA78" s="91">
        <v>9</v>
      </c>
      <c r="AB78" s="91">
        <v>9</v>
      </c>
      <c r="AC78" s="91">
        <v>17</v>
      </c>
      <c r="AD78" s="91">
        <v>17</v>
      </c>
      <c r="AE78" s="91">
        <v>9</v>
      </c>
      <c r="AF78" s="91">
        <v>9</v>
      </c>
      <c r="AG78" s="91">
        <v>17</v>
      </c>
      <c r="AH78" s="91">
        <v>9</v>
      </c>
      <c r="AI78" s="91">
        <v>18</v>
      </c>
      <c r="AJ78" s="91">
        <v>18</v>
      </c>
      <c r="AK78" s="91">
        <v>9</v>
      </c>
      <c r="AL78" s="91">
        <v>9</v>
      </c>
      <c r="AM78" s="91">
        <v>9</v>
      </c>
      <c r="AN78" s="91">
        <v>9</v>
      </c>
      <c r="AO78" s="91">
        <v>18</v>
      </c>
      <c r="AP78" s="91">
        <v>9</v>
      </c>
      <c r="AQ78" s="91">
        <v>9</v>
      </c>
      <c r="AR78" s="91">
        <v>9</v>
      </c>
      <c r="AS78" s="91">
        <v>18</v>
      </c>
      <c r="AT78" s="91">
        <v>9</v>
      </c>
      <c r="AU78" s="91">
        <v>18</v>
      </c>
      <c r="AV78" s="91">
        <v>9</v>
      </c>
      <c r="AW78" s="91">
        <v>9</v>
      </c>
      <c r="AX78" s="91">
        <v>18</v>
      </c>
      <c r="AY78" s="91"/>
      <c r="AZ78" s="91">
        <v>9</v>
      </c>
      <c r="BA78" s="91">
        <v>9</v>
      </c>
      <c r="BB78" s="91">
        <v>9</v>
      </c>
      <c r="BC78" s="91">
        <v>9</v>
      </c>
      <c r="BD78" s="91">
        <v>18</v>
      </c>
      <c r="BE78" s="91">
        <v>18</v>
      </c>
      <c r="BF78" s="91">
        <v>1</v>
      </c>
      <c r="BG78" s="91">
        <v>13</v>
      </c>
      <c r="BH78" s="91"/>
    </row>
    <row r="79" spans="1:60" x14ac:dyDescent="0.25">
      <c r="A79" s="91" t="s">
        <v>466</v>
      </c>
      <c r="B79" s="129">
        <f t="shared" si="6"/>
        <v>596</v>
      </c>
      <c r="C79" s="91">
        <f t="shared" si="7"/>
        <v>48</v>
      </c>
      <c r="D79" s="130">
        <f t="shared" si="8"/>
        <v>0.96</v>
      </c>
      <c r="E79" s="131">
        <v>46238</v>
      </c>
      <c r="F79" s="131">
        <v>46262</v>
      </c>
      <c r="G79" s="91">
        <f t="shared" si="9"/>
        <v>24</v>
      </c>
      <c r="H79" s="91">
        <v>6</v>
      </c>
      <c r="I79" s="91">
        <v>6</v>
      </c>
      <c r="J79" s="91">
        <v>15</v>
      </c>
      <c r="K79" s="91">
        <v>15</v>
      </c>
      <c r="L79" s="91">
        <v>15</v>
      </c>
      <c r="M79" s="91"/>
      <c r="N79" s="91">
        <v>15</v>
      </c>
      <c r="O79" s="91">
        <v>15</v>
      </c>
      <c r="P79" s="91">
        <v>15</v>
      </c>
      <c r="Q79" s="91">
        <v>13</v>
      </c>
      <c r="R79" s="91">
        <v>15</v>
      </c>
      <c r="S79" s="91">
        <v>9</v>
      </c>
      <c r="T79" s="91">
        <v>15</v>
      </c>
      <c r="U79" s="91">
        <v>9</v>
      </c>
      <c r="V79" s="91">
        <v>15</v>
      </c>
      <c r="W79" s="91">
        <v>15</v>
      </c>
      <c r="X79" s="91">
        <v>15</v>
      </c>
      <c r="Y79" s="91">
        <v>15</v>
      </c>
      <c r="Z79" s="91">
        <v>14</v>
      </c>
      <c r="AA79" s="91">
        <v>9</v>
      </c>
      <c r="AB79" s="91">
        <v>15</v>
      </c>
      <c r="AC79" s="91">
        <v>15</v>
      </c>
      <c r="AD79" s="91">
        <v>15</v>
      </c>
      <c r="AE79" s="91">
        <v>13</v>
      </c>
      <c r="AF79" s="91">
        <v>14</v>
      </c>
      <c r="AG79" s="91">
        <v>15</v>
      </c>
      <c r="AH79" s="91">
        <v>14</v>
      </c>
      <c r="AI79" s="91">
        <v>7</v>
      </c>
      <c r="AJ79" s="91">
        <v>15</v>
      </c>
      <c r="AK79" s="91">
        <v>9</v>
      </c>
      <c r="AL79" s="91">
        <v>14</v>
      </c>
      <c r="AM79" s="91">
        <v>9</v>
      </c>
      <c r="AN79" s="91">
        <v>15</v>
      </c>
      <c r="AO79" s="91">
        <v>15</v>
      </c>
      <c r="AP79" s="91">
        <v>9</v>
      </c>
      <c r="AQ79" s="91">
        <v>15</v>
      </c>
      <c r="AR79" s="91">
        <v>9</v>
      </c>
      <c r="AS79" s="91">
        <v>8</v>
      </c>
      <c r="AT79" s="91">
        <v>9</v>
      </c>
      <c r="AU79" s="91">
        <v>15</v>
      </c>
      <c r="AV79" s="91">
        <v>6</v>
      </c>
      <c r="AW79" s="91">
        <v>9</v>
      </c>
      <c r="AX79" s="91">
        <v>14</v>
      </c>
      <c r="AY79" s="91"/>
      <c r="AZ79" s="91">
        <v>9</v>
      </c>
      <c r="BA79" s="91">
        <v>13</v>
      </c>
      <c r="BB79" s="91">
        <v>15</v>
      </c>
      <c r="BC79" s="91">
        <v>9</v>
      </c>
      <c r="BD79" s="91">
        <v>7</v>
      </c>
      <c r="BE79" s="91">
        <v>6</v>
      </c>
      <c r="BF79" s="91">
        <v>1</v>
      </c>
      <c r="BG79" s="91">
        <v>11</v>
      </c>
      <c r="BH79" s="91"/>
    </row>
    <row r="80" spans="1:60" x14ac:dyDescent="0.25">
      <c r="A80" s="91" t="s">
        <v>496</v>
      </c>
      <c r="B80" s="129">
        <f t="shared" si="6"/>
        <v>586</v>
      </c>
      <c r="C80" s="91">
        <f t="shared" si="7"/>
        <v>48</v>
      </c>
      <c r="D80" s="130">
        <f t="shared" si="8"/>
        <v>0.96</v>
      </c>
      <c r="E80" s="131">
        <v>46262</v>
      </c>
      <c r="F80" s="131">
        <v>46310</v>
      </c>
      <c r="G80" s="91">
        <f t="shared" si="9"/>
        <v>48</v>
      </c>
      <c r="H80" s="91">
        <v>9</v>
      </c>
      <c r="I80" s="91">
        <v>7</v>
      </c>
      <c r="J80" s="91">
        <v>16</v>
      </c>
      <c r="K80" s="91">
        <v>7</v>
      </c>
      <c r="L80" s="91">
        <v>16</v>
      </c>
      <c r="M80" s="91"/>
      <c r="N80" s="91">
        <v>9</v>
      </c>
      <c r="O80" s="91">
        <v>18</v>
      </c>
      <c r="P80" s="91">
        <v>18</v>
      </c>
      <c r="Q80" s="91">
        <v>9</v>
      </c>
      <c r="R80" s="91">
        <v>18</v>
      </c>
      <c r="S80" s="91">
        <v>18</v>
      </c>
      <c r="T80" s="91">
        <v>9</v>
      </c>
      <c r="U80" s="91">
        <v>9</v>
      </c>
      <c r="V80" s="91">
        <v>9</v>
      </c>
      <c r="W80" s="91">
        <v>9</v>
      </c>
      <c r="X80" s="91">
        <v>18</v>
      </c>
      <c r="Y80" s="91">
        <v>2</v>
      </c>
      <c r="Z80" s="91">
        <v>9</v>
      </c>
      <c r="AA80" s="91">
        <v>9</v>
      </c>
      <c r="AB80" s="91">
        <v>9</v>
      </c>
      <c r="AC80" s="91">
        <v>18</v>
      </c>
      <c r="AD80" s="91">
        <v>18</v>
      </c>
      <c r="AE80" s="91">
        <v>9</v>
      </c>
      <c r="AF80" s="91">
        <v>9</v>
      </c>
      <c r="AG80" s="91">
        <v>18</v>
      </c>
      <c r="AH80" s="91">
        <v>9</v>
      </c>
      <c r="AI80" s="91">
        <v>18</v>
      </c>
      <c r="AJ80" s="91">
        <v>18</v>
      </c>
      <c r="AK80" s="91">
        <v>9</v>
      </c>
      <c r="AL80" s="91">
        <v>9</v>
      </c>
      <c r="AM80" s="91">
        <v>9</v>
      </c>
      <c r="AN80" s="91">
        <v>9</v>
      </c>
      <c r="AO80" s="91">
        <v>19</v>
      </c>
      <c r="AP80" s="91">
        <v>9</v>
      </c>
      <c r="AQ80" s="91">
        <v>9</v>
      </c>
      <c r="AR80" s="91">
        <v>9</v>
      </c>
      <c r="AS80" s="91">
        <v>17</v>
      </c>
      <c r="AT80" s="91">
        <v>9</v>
      </c>
      <c r="AU80" s="91">
        <v>18</v>
      </c>
      <c r="AV80" s="91">
        <v>9</v>
      </c>
      <c r="AW80" s="91">
        <v>9</v>
      </c>
      <c r="AX80" s="91">
        <v>18</v>
      </c>
      <c r="AY80" s="91"/>
      <c r="AZ80" s="91">
        <v>9</v>
      </c>
      <c r="BA80" s="91">
        <v>9</v>
      </c>
      <c r="BB80" s="91">
        <v>8</v>
      </c>
      <c r="BC80" s="91">
        <v>9</v>
      </c>
      <c r="BD80" s="91">
        <v>10</v>
      </c>
      <c r="BE80" s="91">
        <v>18</v>
      </c>
      <c r="BF80" s="91">
        <v>2</v>
      </c>
      <c r="BG80" s="91">
        <v>14</v>
      </c>
      <c r="BH80" s="91"/>
    </row>
    <row r="81" spans="1:60" x14ac:dyDescent="0.25">
      <c r="A81" s="91" t="s">
        <v>488</v>
      </c>
      <c r="B81" s="129">
        <f t="shared" si="6"/>
        <v>584</v>
      </c>
      <c r="C81" s="91">
        <f t="shared" si="7"/>
        <v>48</v>
      </c>
      <c r="D81" s="130">
        <f t="shared" si="8"/>
        <v>0.96</v>
      </c>
      <c r="E81" s="131">
        <v>46238</v>
      </c>
      <c r="F81" s="131">
        <v>46262</v>
      </c>
      <c r="G81" s="91">
        <f t="shared" si="9"/>
        <v>24</v>
      </c>
      <c r="H81" s="91">
        <v>5</v>
      </c>
      <c r="I81" s="91">
        <v>5</v>
      </c>
      <c r="J81" s="91">
        <v>15</v>
      </c>
      <c r="K81" s="91">
        <v>15</v>
      </c>
      <c r="L81" s="91">
        <v>15</v>
      </c>
      <c r="M81" s="91"/>
      <c r="N81" s="91">
        <v>15</v>
      </c>
      <c r="O81" s="91">
        <v>15</v>
      </c>
      <c r="P81" s="91">
        <v>15</v>
      </c>
      <c r="Q81" s="91">
        <v>13</v>
      </c>
      <c r="R81" s="91">
        <v>15</v>
      </c>
      <c r="S81" s="91">
        <v>9</v>
      </c>
      <c r="T81" s="91">
        <v>15</v>
      </c>
      <c r="U81" s="91">
        <v>9</v>
      </c>
      <c r="V81" s="91">
        <v>15</v>
      </c>
      <c r="W81" s="91">
        <v>14</v>
      </c>
      <c r="X81" s="91">
        <v>15</v>
      </c>
      <c r="Y81" s="91">
        <v>14</v>
      </c>
      <c r="Z81" s="91">
        <v>13</v>
      </c>
      <c r="AA81" s="91">
        <v>9</v>
      </c>
      <c r="AB81" s="91">
        <v>14</v>
      </c>
      <c r="AC81" s="91">
        <v>15</v>
      </c>
      <c r="AD81" s="91">
        <v>15</v>
      </c>
      <c r="AE81" s="91">
        <v>13</v>
      </c>
      <c r="AF81" s="91">
        <v>14</v>
      </c>
      <c r="AG81" s="91">
        <v>15</v>
      </c>
      <c r="AH81" s="91">
        <v>14</v>
      </c>
      <c r="AI81" s="91">
        <v>7</v>
      </c>
      <c r="AJ81" s="91">
        <v>15</v>
      </c>
      <c r="AK81" s="91">
        <v>9</v>
      </c>
      <c r="AL81" s="91">
        <v>14</v>
      </c>
      <c r="AM81" s="91">
        <v>9</v>
      </c>
      <c r="AN81" s="91">
        <v>14</v>
      </c>
      <c r="AO81" s="91">
        <v>15</v>
      </c>
      <c r="AP81" s="91">
        <v>9</v>
      </c>
      <c r="AQ81" s="91">
        <v>14</v>
      </c>
      <c r="AR81" s="91">
        <v>9</v>
      </c>
      <c r="AS81" s="91">
        <v>6</v>
      </c>
      <c r="AT81" s="91">
        <v>9</v>
      </c>
      <c r="AU81" s="91">
        <v>15</v>
      </c>
      <c r="AV81" s="91">
        <v>6</v>
      </c>
      <c r="AW81" s="91">
        <v>9</v>
      </c>
      <c r="AX81" s="91">
        <v>13</v>
      </c>
      <c r="AY81" s="91"/>
      <c r="AZ81" s="91">
        <v>9</v>
      </c>
      <c r="BA81" s="91">
        <v>13</v>
      </c>
      <c r="BB81" s="91">
        <v>15</v>
      </c>
      <c r="BC81" s="91">
        <v>9</v>
      </c>
      <c r="BD81" s="91">
        <v>7</v>
      </c>
      <c r="BE81" s="91">
        <v>5</v>
      </c>
      <c r="BF81" s="91">
        <v>2</v>
      </c>
      <c r="BG81" s="91">
        <v>10</v>
      </c>
      <c r="BH81" s="91"/>
    </row>
    <row r="82" spans="1:60" x14ac:dyDescent="0.25">
      <c r="A82" s="91" t="s">
        <v>501</v>
      </c>
      <c r="B82" s="129">
        <f t="shared" si="6"/>
        <v>584</v>
      </c>
      <c r="C82" s="91">
        <f t="shared" si="7"/>
        <v>48</v>
      </c>
      <c r="D82" s="130">
        <f t="shared" si="8"/>
        <v>0.96</v>
      </c>
      <c r="E82" s="131">
        <v>46255</v>
      </c>
      <c r="F82" s="131">
        <v>46310</v>
      </c>
      <c r="G82" s="91">
        <f t="shared" si="9"/>
        <v>55</v>
      </c>
      <c r="H82" s="91">
        <v>9</v>
      </c>
      <c r="I82" s="91">
        <v>9</v>
      </c>
      <c r="J82" s="91">
        <v>16</v>
      </c>
      <c r="K82" s="91">
        <v>9</v>
      </c>
      <c r="L82" s="91">
        <v>9</v>
      </c>
      <c r="M82" s="91"/>
      <c r="N82" s="91">
        <v>9</v>
      </c>
      <c r="O82" s="91">
        <v>16</v>
      </c>
      <c r="P82" s="91">
        <v>16</v>
      </c>
      <c r="Q82" s="91">
        <v>9</v>
      </c>
      <c r="R82" s="91">
        <v>16</v>
      </c>
      <c r="S82" s="91">
        <v>17</v>
      </c>
      <c r="T82" s="91">
        <v>9</v>
      </c>
      <c r="U82" s="91">
        <v>9</v>
      </c>
      <c r="V82" s="91">
        <v>9</v>
      </c>
      <c r="W82" s="91">
        <v>17</v>
      </c>
      <c r="X82" s="91">
        <v>18</v>
      </c>
      <c r="Y82" s="91">
        <v>1</v>
      </c>
      <c r="Z82" s="91">
        <v>9</v>
      </c>
      <c r="AA82" s="91">
        <v>9</v>
      </c>
      <c r="AB82" s="91">
        <v>9</v>
      </c>
      <c r="AC82" s="91">
        <v>9</v>
      </c>
      <c r="AD82" s="91">
        <v>18</v>
      </c>
      <c r="AE82" s="91">
        <v>9</v>
      </c>
      <c r="AF82" s="91">
        <v>9</v>
      </c>
      <c r="AG82" s="91">
        <v>18</v>
      </c>
      <c r="AH82" s="91">
        <v>9</v>
      </c>
      <c r="AI82" s="91">
        <v>18</v>
      </c>
      <c r="AJ82" s="91">
        <v>18</v>
      </c>
      <c r="AK82" s="91">
        <v>9</v>
      </c>
      <c r="AL82" s="91">
        <v>9</v>
      </c>
      <c r="AM82" s="91">
        <v>9</v>
      </c>
      <c r="AN82" s="91">
        <v>9</v>
      </c>
      <c r="AO82" s="91">
        <v>18</v>
      </c>
      <c r="AP82" s="91">
        <v>9</v>
      </c>
      <c r="AQ82" s="91">
        <v>9</v>
      </c>
      <c r="AR82" s="91">
        <v>9</v>
      </c>
      <c r="AS82" s="91">
        <v>18</v>
      </c>
      <c r="AT82" s="91">
        <v>9</v>
      </c>
      <c r="AU82" s="91">
        <v>18</v>
      </c>
      <c r="AV82" s="91">
        <v>9</v>
      </c>
      <c r="AW82" s="91">
        <v>9</v>
      </c>
      <c r="AX82" s="91">
        <v>18</v>
      </c>
      <c r="AY82" s="91"/>
      <c r="AZ82" s="91">
        <v>9</v>
      </c>
      <c r="BA82" s="91">
        <v>9</v>
      </c>
      <c r="BB82" s="91">
        <v>9</v>
      </c>
      <c r="BC82" s="91">
        <v>10</v>
      </c>
      <c r="BD82" s="91">
        <v>18</v>
      </c>
      <c r="BE82" s="91">
        <v>18</v>
      </c>
      <c r="BF82" s="91">
        <v>3</v>
      </c>
      <c r="BG82" s="91">
        <v>13</v>
      </c>
      <c r="BH82" s="91"/>
    </row>
    <row r="83" spans="1:60" x14ac:dyDescent="0.25">
      <c r="A83" s="91" t="s">
        <v>77</v>
      </c>
      <c r="B83" s="129">
        <f t="shared" si="6"/>
        <v>584</v>
      </c>
      <c r="C83" s="91">
        <f t="shared" si="7"/>
        <v>30</v>
      </c>
      <c r="D83" s="130">
        <f t="shared" si="8"/>
        <v>0.6</v>
      </c>
      <c r="E83" s="131">
        <v>46316</v>
      </c>
      <c r="F83" s="131">
        <v>46317</v>
      </c>
      <c r="G83" s="91">
        <f t="shared" si="9"/>
        <v>1</v>
      </c>
      <c r="H83" s="91"/>
      <c r="I83" s="91"/>
      <c r="J83" s="91">
        <v>18</v>
      </c>
      <c r="K83" s="91">
        <v>14</v>
      </c>
      <c r="L83" s="91">
        <v>18</v>
      </c>
      <c r="M83" s="91"/>
      <c r="N83" s="91">
        <v>18</v>
      </c>
      <c r="O83" s="91">
        <v>12</v>
      </c>
      <c r="P83" s="91">
        <v>18</v>
      </c>
      <c r="Q83" s="91">
        <v>14</v>
      </c>
      <c r="R83" s="91">
        <v>12</v>
      </c>
      <c r="S83" s="91">
        <v>19</v>
      </c>
      <c r="T83" s="91">
        <v>18</v>
      </c>
      <c r="U83" s="91"/>
      <c r="V83" s="91">
        <v>14</v>
      </c>
      <c r="W83" s="91">
        <v>19</v>
      </c>
      <c r="X83" s="91">
        <v>18</v>
      </c>
      <c r="Y83" s="91">
        <v>12</v>
      </c>
      <c r="Z83" s="91"/>
      <c r="AA83" s="91"/>
      <c r="AB83" s="91">
        <v>18</v>
      </c>
      <c r="AC83" s="91">
        <v>18</v>
      </c>
      <c r="AD83" s="91">
        <v>18</v>
      </c>
      <c r="AE83" s="91"/>
      <c r="AF83" s="91">
        <v>18</v>
      </c>
      <c r="AG83" s="91">
        <v>18</v>
      </c>
      <c r="AH83" s="91">
        <v>18</v>
      </c>
      <c r="AI83" s="91">
        <v>18</v>
      </c>
      <c r="AJ83" s="91">
        <v>18</v>
      </c>
      <c r="AK83" s="91"/>
      <c r="AL83" s="91">
        <v>18</v>
      </c>
      <c r="AM83" s="91"/>
      <c r="AN83" s="91"/>
      <c r="AO83" s="91">
        <v>18</v>
      </c>
      <c r="AP83" s="91">
        <v>18</v>
      </c>
      <c r="AQ83" s="91"/>
      <c r="AR83" s="91"/>
      <c r="AS83" s="91">
        <v>18</v>
      </c>
      <c r="AT83" s="91">
        <v>18</v>
      </c>
      <c r="AU83" s="91"/>
      <c r="AV83" s="91"/>
      <c r="AW83" s="91"/>
      <c r="AX83" s="91"/>
      <c r="AY83" s="91"/>
      <c r="AZ83" s="91"/>
      <c r="BA83" s="91"/>
      <c r="BB83" s="91">
        <v>18</v>
      </c>
      <c r="BC83" s="91">
        <v>18</v>
      </c>
      <c r="BD83" s="91">
        <v>18</v>
      </c>
      <c r="BE83" s="91"/>
      <c r="BF83" s="91">
        <v>36</v>
      </c>
      <c r="BG83" s="91">
        <v>36</v>
      </c>
      <c r="BH83" s="91"/>
    </row>
    <row r="84" spans="1:60" x14ac:dyDescent="0.25">
      <c r="A84" s="91" t="s">
        <v>215</v>
      </c>
      <c r="B84" s="129">
        <f t="shared" si="6"/>
        <v>579</v>
      </c>
      <c r="C84" s="91">
        <f t="shared" si="7"/>
        <v>42</v>
      </c>
      <c r="D84" s="130">
        <f t="shared" si="8"/>
        <v>0.84</v>
      </c>
      <c r="E84" s="131">
        <v>46302</v>
      </c>
      <c r="F84" s="131">
        <v>46319</v>
      </c>
      <c r="G84" s="91">
        <f t="shared" si="9"/>
        <v>17</v>
      </c>
      <c r="H84" s="91">
        <v>10</v>
      </c>
      <c r="I84" s="91">
        <v>10</v>
      </c>
      <c r="J84" s="91">
        <v>14</v>
      </c>
      <c r="K84" s="91">
        <v>14</v>
      </c>
      <c r="L84" s="91">
        <v>14</v>
      </c>
      <c r="M84" s="91"/>
      <c r="N84" s="91">
        <v>14</v>
      </c>
      <c r="O84" s="91">
        <v>14</v>
      </c>
      <c r="P84" s="91">
        <v>14</v>
      </c>
      <c r="Q84" s="91">
        <v>14</v>
      </c>
      <c r="R84" s="91"/>
      <c r="S84" s="91">
        <v>14</v>
      </c>
      <c r="T84" s="91">
        <v>14</v>
      </c>
      <c r="U84" s="91">
        <v>10</v>
      </c>
      <c r="V84" s="91">
        <v>14</v>
      </c>
      <c r="W84" s="91">
        <v>14</v>
      </c>
      <c r="X84" s="91">
        <v>14</v>
      </c>
      <c r="Y84" s="91">
        <v>14</v>
      </c>
      <c r="Z84" s="91">
        <v>10</v>
      </c>
      <c r="AA84" s="91">
        <v>10</v>
      </c>
      <c r="AB84" s="91">
        <v>14</v>
      </c>
      <c r="AC84" s="91">
        <v>14</v>
      </c>
      <c r="AD84" s="91">
        <v>14</v>
      </c>
      <c r="AE84" s="91">
        <v>10</v>
      </c>
      <c r="AF84" s="91">
        <v>14</v>
      </c>
      <c r="AG84" s="91">
        <v>1</v>
      </c>
      <c r="AH84" s="91">
        <v>14</v>
      </c>
      <c r="AI84" s="91">
        <v>14</v>
      </c>
      <c r="AJ84" s="91"/>
      <c r="AK84" s="91">
        <v>10</v>
      </c>
      <c r="AL84" s="91"/>
      <c r="AM84" s="91">
        <v>14</v>
      </c>
      <c r="AN84" s="91">
        <v>14</v>
      </c>
      <c r="AO84" s="91">
        <v>14</v>
      </c>
      <c r="AP84" s="91"/>
      <c r="AQ84" s="91">
        <v>10</v>
      </c>
      <c r="AR84" s="91">
        <v>10</v>
      </c>
      <c r="AS84" s="91">
        <v>14</v>
      </c>
      <c r="AT84" s="91">
        <v>14</v>
      </c>
      <c r="AU84" s="91"/>
      <c r="AV84" s="91">
        <v>14</v>
      </c>
      <c r="AW84" s="91">
        <v>14</v>
      </c>
      <c r="AX84" s="91">
        <v>10</v>
      </c>
      <c r="AY84" s="91"/>
      <c r="AZ84" s="91">
        <v>10</v>
      </c>
      <c r="BA84" s="91">
        <v>10</v>
      </c>
      <c r="BB84" s="91">
        <v>14</v>
      </c>
      <c r="BC84" s="91">
        <v>14</v>
      </c>
      <c r="BD84" s="91"/>
      <c r="BE84" s="91">
        <v>14</v>
      </c>
      <c r="BF84" s="91">
        <v>26</v>
      </c>
      <c r="BG84" s="91">
        <v>26</v>
      </c>
      <c r="BH84" s="91"/>
    </row>
    <row r="85" spans="1:60" x14ac:dyDescent="0.25">
      <c r="A85" s="91" t="s">
        <v>313</v>
      </c>
      <c r="B85" s="129">
        <f t="shared" si="6"/>
        <v>578</v>
      </c>
      <c r="C85" s="91">
        <f t="shared" si="7"/>
        <v>47</v>
      </c>
      <c r="D85" s="130">
        <f t="shared" si="8"/>
        <v>0.94</v>
      </c>
      <c r="E85" s="131">
        <v>46220</v>
      </c>
      <c r="F85" s="131">
        <v>46245</v>
      </c>
      <c r="G85" s="91">
        <f t="shared" si="9"/>
        <v>25</v>
      </c>
      <c r="H85" s="91">
        <v>7</v>
      </c>
      <c r="I85" s="91">
        <v>6</v>
      </c>
      <c r="J85" s="91">
        <v>13</v>
      </c>
      <c r="K85" s="91">
        <v>20</v>
      </c>
      <c r="L85" s="91">
        <v>19</v>
      </c>
      <c r="M85" s="91"/>
      <c r="N85" s="91">
        <v>19</v>
      </c>
      <c r="O85" s="91">
        <v>17</v>
      </c>
      <c r="P85" s="91">
        <v>13</v>
      </c>
      <c r="Q85" s="91">
        <v>13</v>
      </c>
      <c r="R85" s="91">
        <v>16</v>
      </c>
      <c r="S85" s="91">
        <v>8</v>
      </c>
      <c r="T85" s="91">
        <v>16</v>
      </c>
      <c r="U85" s="91">
        <v>8</v>
      </c>
      <c r="V85" s="91">
        <v>13</v>
      </c>
      <c r="W85" s="91">
        <v>13</v>
      </c>
      <c r="X85" s="91">
        <v>19</v>
      </c>
      <c r="Y85" s="91">
        <v>17</v>
      </c>
      <c r="Z85" s="91">
        <v>13</v>
      </c>
      <c r="AA85" s="91">
        <v>8</v>
      </c>
      <c r="AB85" s="91">
        <v>14</v>
      </c>
      <c r="AC85" s="91">
        <v>15</v>
      </c>
      <c r="AD85" s="91">
        <v>20</v>
      </c>
      <c r="AE85" s="91">
        <v>12</v>
      </c>
      <c r="AF85" s="91">
        <v>13</v>
      </c>
      <c r="AG85" s="91">
        <v>15</v>
      </c>
      <c r="AH85" s="91">
        <v>13</v>
      </c>
      <c r="AI85" s="91">
        <v>4</v>
      </c>
      <c r="AJ85" s="91">
        <v>17</v>
      </c>
      <c r="AK85" s="91">
        <v>8</v>
      </c>
      <c r="AL85" s="91">
        <v>13</v>
      </c>
      <c r="AM85" s="91">
        <v>8</v>
      </c>
      <c r="AN85" s="91">
        <v>13</v>
      </c>
      <c r="AO85" s="91">
        <v>8</v>
      </c>
      <c r="AP85" s="91">
        <v>8</v>
      </c>
      <c r="AQ85" s="91">
        <v>16</v>
      </c>
      <c r="AR85" s="91">
        <v>8</v>
      </c>
      <c r="AS85" s="91"/>
      <c r="AT85" s="91">
        <v>8</v>
      </c>
      <c r="AU85" s="91">
        <v>14</v>
      </c>
      <c r="AV85" s="91">
        <v>6</v>
      </c>
      <c r="AW85" s="91">
        <v>8</v>
      </c>
      <c r="AX85" s="91">
        <v>13</v>
      </c>
      <c r="AY85" s="91"/>
      <c r="AZ85" s="91">
        <v>8</v>
      </c>
      <c r="BA85" s="91">
        <v>12</v>
      </c>
      <c r="BB85" s="91">
        <v>14</v>
      </c>
      <c r="BC85" s="91">
        <v>8</v>
      </c>
      <c r="BD85" s="91">
        <v>4</v>
      </c>
      <c r="BE85" s="91">
        <v>5</v>
      </c>
      <c r="BF85" s="91">
        <v>3</v>
      </c>
      <c r="BG85" s="91">
        <v>12</v>
      </c>
      <c r="BH85" s="91"/>
    </row>
    <row r="86" spans="1:60" x14ac:dyDescent="0.25">
      <c r="A86" s="91" t="s">
        <v>90</v>
      </c>
      <c r="B86" s="129">
        <f t="shared" si="6"/>
        <v>576</v>
      </c>
      <c r="C86" s="91">
        <f t="shared" si="7"/>
        <v>48</v>
      </c>
      <c r="D86" s="130">
        <f t="shared" si="8"/>
        <v>0.96</v>
      </c>
      <c r="E86" s="131">
        <v>46275</v>
      </c>
      <c r="F86" s="131">
        <v>46287</v>
      </c>
      <c r="G86" s="91">
        <f t="shared" si="9"/>
        <v>12</v>
      </c>
      <c r="H86" s="91">
        <v>9</v>
      </c>
      <c r="I86" s="91">
        <v>18</v>
      </c>
      <c r="J86" s="91">
        <v>18</v>
      </c>
      <c r="K86" s="91">
        <v>18</v>
      </c>
      <c r="L86" s="91">
        <v>9</v>
      </c>
      <c r="M86" s="91"/>
      <c r="N86" s="91">
        <v>9</v>
      </c>
      <c r="O86" s="91">
        <v>9</v>
      </c>
      <c r="P86" s="91">
        <v>9</v>
      </c>
      <c r="Q86" s="91">
        <v>9</v>
      </c>
      <c r="R86" s="91">
        <v>9</v>
      </c>
      <c r="S86" s="91">
        <v>9</v>
      </c>
      <c r="T86" s="91">
        <v>18</v>
      </c>
      <c r="U86" s="91">
        <v>9</v>
      </c>
      <c r="V86" s="91">
        <v>19</v>
      </c>
      <c r="W86" s="91">
        <v>18</v>
      </c>
      <c r="X86" s="91">
        <v>9</v>
      </c>
      <c r="Y86" s="91">
        <v>9</v>
      </c>
      <c r="Z86" s="91">
        <v>9</v>
      </c>
      <c r="AA86" s="91">
        <v>9</v>
      </c>
      <c r="AB86" s="91">
        <v>18</v>
      </c>
      <c r="AC86" s="91">
        <v>9</v>
      </c>
      <c r="AD86" s="91">
        <v>9</v>
      </c>
      <c r="AE86" s="91">
        <v>9</v>
      </c>
      <c r="AF86" s="91">
        <v>9</v>
      </c>
      <c r="AG86" s="91">
        <v>9</v>
      </c>
      <c r="AH86" s="91">
        <v>18</v>
      </c>
      <c r="AI86" s="91">
        <v>9</v>
      </c>
      <c r="AJ86" s="91">
        <v>9</v>
      </c>
      <c r="AK86" s="91">
        <v>9</v>
      </c>
      <c r="AL86" s="91">
        <v>18</v>
      </c>
      <c r="AM86" s="91">
        <v>9</v>
      </c>
      <c r="AN86" s="91">
        <v>9</v>
      </c>
      <c r="AO86" s="91">
        <v>18</v>
      </c>
      <c r="AP86" s="91">
        <v>9</v>
      </c>
      <c r="AQ86" s="91">
        <v>9</v>
      </c>
      <c r="AR86" s="91">
        <v>9</v>
      </c>
      <c r="AS86" s="91">
        <v>9</v>
      </c>
      <c r="AT86" s="91">
        <v>9</v>
      </c>
      <c r="AU86" s="91">
        <v>9</v>
      </c>
      <c r="AV86" s="91">
        <v>9</v>
      </c>
      <c r="AW86" s="91">
        <v>9</v>
      </c>
      <c r="AX86" s="91">
        <v>9</v>
      </c>
      <c r="AY86" s="91"/>
      <c r="AZ86" s="91">
        <v>9</v>
      </c>
      <c r="BA86" s="91">
        <v>9</v>
      </c>
      <c r="BB86" s="91">
        <v>18</v>
      </c>
      <c r="BC86" s="91">
        <v>9</v>
      </c>
      <c r="BD86" s="91">
        <v>9</v>
      </c>
      <c r="BE86" s="91">
        <v>18</v>
      </c>
      <c r="BF86" s="91">
        <v>17</v>
      </c>
      <c r="BG86" s="91">
        <v>18</v>
      </c>
      <c r="BH86" s="91"/>
    </row>
    <row r="87" spans="1:60" x14ac:dyDescent="0.25">
      <c r="A87" s="91" t="s">
        <v>588</v>
      </c>
      <c r="B87" s="129">
        <f t="shared" si="6"/>
        <v>574</v>
      </c>
      <c r="C87" s="91">
        <f t="shared" si="7"/>
        <v>48</v>
      </c>
      <c r="D87" s="130">
        <f t="shared" si="8"/>
        <v>0.96</v>
      </c>
      <c r="E87" s="131">
        <v>46238</v>
      </c>
      <c r="F87" s="131">
        <v>46254</v>
      </c>
      <c r="G87" s="91">
        <f t="shared" si="9"/>
        <v>16</v>
      </c>
      <c r="H87" s="91">
        <v>6</v>
      </c>
      <c r="I87" s="91">
        <v>6</v>
      </c>
      <c r="J87" s="91">
        <v>14</v>
      </c>
      <c r="K87" s="91">
        <v>14</v>
      </c>
      <c r="L87" s="91">
        <v>14</v>
      </c>
      <c r="M87" s="91">
        <v>6</v>
      </c>
      <c r="N87" s="91">
        <v>14</v>
      </c>
      <c r="O87" s="91">
        <v>14</v>
      </c>
      <c r="P87" s="91">
        <v>14</v>
      </c>
      <c r="Q87" s="91">
        <v>13</v>
      </c>
      <c r="R87" s="91">
        <v>14</v>
      </c>
      <c r="S87" s="91">
        <v>8</v>
      </c>
      <c r="T87" s="91">
        <v>14</v>
      </c>
      <c r="U87" s="91">
        <v>8</v>
      </c>
      <c r="V87" s="91">
        <v>14</v>
      </c>
      <c r="W87" s="91">
        <v>14</v>
      </c>
      <c r="X87" s="91">
        <v>14</v>
      </c>
      <c r="Y87" s="91">
        <v>14</v>
      </c>
      <c r="Z87" s="91">
        <v>13</v>
      </c>
      <c r="AA87" s="91">
        <v>8</v>
      </c>
      <c r="AB87" s="91">
        <v>14</v>
      </c>
      <c r="AC87" s="91">
        <v>14</v>
      </c>
      <c r="AD87" s="91">
        <v>14</v>
      </c>
      <c r="AE87" s="91">
        <v>13</v>
      </c>
      <c r="AF87" s="91">
        <v>14</v>
      </c>
      <c r="AG87" s="91">
        <v>14</v>
      </c>
      <c r="AH87" s="91">
        <v>13</v>
      </c>
      <c r="AI87" s="91">
        <v>7</v>
      </c>
      <c r="AJ87" s="91">
        <v>14</v>
      </c>
      <c r="AK87" s="91">
        <v>8</v>
      </c>
      <c r="AL87" s="91">
        <v>14</v>
      </c>
      <c r="AM87" s="91">
        <v>8</v>
      </c>
      <c r="AN87" s="91">
        <v>14</v>
      </c>
      <c r="AO87" s="91">
        <v>14</v>
      </c>
      <c r="AP87" s="91">
        <v>8</v>
      </c>
      <c r="AQ87" s="91">
        <v>14</v>
      </c>
      <c r="AR87" s="91">
        <v>8</v>
      </c>
      <c r="AS87" s="91"/>
      <c r="AT87" s="91">
        <v>8</v>
      </c>
      <c r="AU87" s="91">
        <v>14</v>
      </c>
      <c r="AV87" s="91">
        <v>6</v>
      </c>
      <c r="AW87" s="91">
        <v>8</v>
      </c>
      <c r="AX87" s="91">
        <v>13</v>
      </c>
      <c r="AY87" s="91"/>
      <c r="AZ87" s="91">
        <v>8</v>
      </c>
      <c r="BA87" s="91">
        <v>13</v>
      </c>
      <c r="BB87" s="91">
        <v>14</v>
      </c>
      <c r="BC87" s="91">
        <v>8</v>
      </c>
      <c r="BD87" s="91">
        <v>7</v>
      </c>
      <c r="BE87" s="91">
        <v>6</v>
      </c>
      <c r="BF87" s="91">
        <v>13</v>
      </c>
      <c r="BG87" s="91">
        <v>14</v>
      </c>
      <c r="BH87" s="91">
        <v>1</v>
      </c>
    </row>
    <row r="88" spans="1:60" x14ac:dyDescent="0.25">
      <c r="A88" s="91" t="s">
        <v>126</v>
      </c>
      <c r="B88" s="129">
        <f t="shared" si="6"/>
        <v>573</v>
      </c>
      <c r="C88" s="91">
        <f t="shared" si="7"/>
        <v>49</v>
      </c>
      <c r="D88" s="130">
        <f t="shared" si="8"/>
        <v>0.98</v>
      </c>
      <c r="E88" s="131">
        <v>46258</v>
      </c>
      <c r="F88" s="131">
        <v>46302</v>
      </c>
      <c r="G88" s="91">
        <f t="shared" si="9"/>
        <v>44</v>
      </c>
      <c r="H88" s="91">
        <v>7</v>
      </c>
      <c r="I88" s="91">
        <v>7</v>
      </c>
      <c r="J88" s="91">
        <v>7</v>
      </c>
      <c r="K88" s="91">
        <v>7</v>
      </c>
      <c r="L88" s="91">
        <v>7</v>
      </c>
      <c r="M88" s="91">
        <v>15</v>
      </c>
      <c r="N88" s="91">
        <v>7</v>
      </c>
      <c r="O88" s="91">
        <v>7</v>
      </c>
      <c r="P88" s="91">
        <v>7</v>
      </c>
      <c r="Q88" s="91">
        <v>7</v>
      </c>
      <c r="R88" s="91">
        <v>14</v>
      </c>
      <c r="S88" s="91">
        <v>7</v>
      </c>
      <c r="T88" s="91">
        <v>7</v>
      </c>
      <c r="U88" s="91">
        <v>21</v>
      </c>
      <c r="V88" s="91">
        <v>7</v>
      </c>
      <c r="W88" s="91">
        <v>7</v>
      </c>
      <c r="X88" s="91">
        <v>7</v>
      </c>
      <c r="Y88" s="91">
        <v>2</v>
      </c>
      <c r="Z88" s="91">
        <v>21</v>
      </c>
      <c r="AA88" s="91">
        <v>14</v>
      </c>
      <c r="AB88" s="91">
        <v>7</v>
      </c>
      <c r="AC88" s="91">
        <v>7</v>
      </c>
      <c r="AD88" s="91">
        <v>14</v>
      </c>
      <c r="AE88" s="91">
        <v>21</v>
      </c>
      <c r="AF88" s="91">
        <v>7</v>
      </c>
      <c r="AG88" s="91">
        <v>14</v>
      </c>
      <c r="AH88" s="91">
        <v>7</v>
      </c>
      <c r="AI88" s="91">
        <v>7</v>
      </c>
      <c r="AJ88" s="91">
        <v>14</v>
      </c>
      <c r="AK88" s="91">
        <v>21</v>
      </c>
      <c r="AL88" s="91">
        <v>14</v>
      </c>
      <c r="AM88" s="91">
        <v>7</v>
      </c>
      <c r="AN88" s="91">
        <v>7</v>
      </c>
      <c r="AO88" s="91">
        <v>7</v>
      </c>
      <c r="AP88" s="91">
        <v>14</v>
      </c>
      <c r="AQ88" s="91">
        <v>14</v>
      </c>
      <c r="AR88" s="91">
        <v>14</v>
      </c>
      <c r="AS88" s="91">
        <v>7</v>
      </c>
      <c r="AT88" s="91">
        <v>7</v>
      </c>
      <c r="AU88" s="91">
        <v>14</v>
      </c>
      <c r="AV88" s="91">
        <v>7</v>
      </c>
      <c r="AW88" s="91">
        <v>21</v>
      </c>
      <c r="AX88" s="91">
        <v>21</v>
      </c>
      <c r="AY88" s="91"/>
      <c r="AZ88" s="91">
        <v>14</v>
      </c>
      <c r="BA88" s="91">
        <v>14</v>
      </c>
      <c r="BB88" s="91">
        <v>7</v>
      </c>
      <c r="BC88" s="91">
        <v>7</v>
      </c>
      <c r="BD88" s="91">
        <v>14</v>
      </c>
      <c r="BE88" s="91">
        <v>7</v>
      </c>
      <c r="BF88" s="91">
        <v>28</v>
      </c>
      <c r="BG88" s="91">
        <v>24</v>
      </c>
      <c r="BH88" s="91"/>
    </row>
    <row r="89" spans="1:60" x14ac:dyDescent="0.25">
      <c r="A89" s="91" t="s">
        <v>79</v>
      </c>
      <c r="B89" s="129">
        <f t="shared" si="6"/>
        <v>573</v>
      </c>
      <c r="C89" s="91">
        <f t="shared" si="7"/>
        <v>37</v>
      </c>
      <c r="D89" s="130">
        <f t="shared" si="8"/>
        <v>0.74</v>
      </c>
      <c r="E89" s="131">
        <v>46316</v>
      </c>
      <c r="F89" s="131">
        <v>46317</v>
      </c>
      <c r="G89" s="91">
        <f t="shared" si="9"/>
        <v>1</v>
      </c>
      <c r="H89" s="91">
        <v>8</v>
      </c>
      <c r="I89" s="91"/>
      <c r="J89" s="91">
        <v>16</v>
      </c>
      <c r="K89" s="91">
        <v>15</v>
      </c>
      <c r="L89" s="91">
        <v>16</v>
      </c>
      <c r="M89" s="91"/>
      <c r="N89" s="91">
        <v>16</v>
      </c>
      <c r="O89" s="91">
        <v>14</v>
      </c>
      <c r="P89" s="91">
        <v>16</v>
      </c>
      <c r="Q89" s="91">
        <v>15</v>
      </c>
      <c r="R89" s="91">
        <v>15</v>
      </c>
      <c r="S89" s="91">
        <v>16</v>
      </c>
      <c r="T89" s="91">
        <v>16</v>
      </c>
      <c r="U89" s="91"/>
      <c r="V89" s="91">
        <v>15</v>
      </c>
      <c r="W89" s="91">
        <v>16</v>
      </c>
      <c r="X89" s="91">
        <v>16</v>
      </c>
      <c r="Y89" s="91">
        <v>14</v>
      </c>
      <c r="Z89" s="91"/>
      <c r="AA89" s="91"/>
      <c r="AB89" s="91">
        <v>16</v>
      </c>
      <c r="AC89" s="91">
        <v>16</v>
      </c>
      <c r="AD89" s="91">
        <v>16</v>
      </c>
      <c r="AE89" s="91"/>
      <c r="AF89" s="91">
        <v>16</v>
      </c>
      <c r="AG89" s="91">
        <v>16</v>
      </c>
      <c r="AH89" s="91">
        <v>16</v>
      </c>
      <c r="AI89" s="91">
        <v>16</v>
      </c>
      <c r="AJ89" s="91">
        <v>16</v>
      </c>
      <c r="AK89" s="91"/>
      <c r="AL89" s="91">
        <v>16</v>
      </c>
      <c r="AM89" s="91">
        <v>8</v>
      </c>
      <c r="AN89" s="91">
        <v>8</v>
      </c>
      <c r="AO89" s="91">
        <v>16</v>
      </c>
      <c r="AP89" s="91">
        <v>16</v>
      </c>
      <c r="AQ89" s="91"/>
      <c r="AR89" s="91"/>
      <c r="AS89" s="91">
        <v>16</v>
      </c>
      <c r="AT89" s="91">
        <v>16</v>
      </c>
      <c r="AU89" s="91">
        <v>8</v>
      </c>
      <c r="AV89" s="91">
        <v>8</v>
      </c>
      <c r="AW89" s="91">
        <v>8</v>
      </c>
      <c r="AX89" s="91"/>
      <c r="AY89" s="91"/>
      <c r="AZ89" s="91"/>
      <c r="BA89" s="91"/>
      <c r="BB89" s="91">
        <v>16</v>
      </c>
      <c r="BC89" s="91">
        <v>16</v>
      </c>
      <c r="BD89" s="91">
        <v>16</v>
      </c>
      <c r="BE89" s="91">
        <v>8</v>
      </c>
      <c r="BF89" s="91">
        <v>15</v>
      </c>
      <c r="BG89" s="91">
        <v>30</v>
      </c>
      <c r="BH89" s="91"/>
    </row>
    <row r="90" spans="1:60" x14ac:dyDescent="0.25">
      <c r="A90" s="91" t="s">
        <v>209</v>
      </c>
      <c r="B90" s="129">
        <f t="shared" si="6"/>
        <v>572</v>
      </c>
      <c r="C90" s="91">
        <f t="shared" si="7"/>
        <v>48</v>
      </c>
      <c r="D90" s="130">
        <f t="shared" si="8"/>
        <v>0.96</v>
      </c>
      <c r="E90" s="131">
        <v>46275</v>
      </c>
      <c r="F90" s="131">
        <v>46287</v>
      </c>
      <c r="G90" s="91">
        <f t="shared" si="9"/>
        <v>12</v>
      </c>
      <c r="H90" s="91">
        <v>9</v>
      </c>
      <c r="I90" s="91">
        <v>17</v>
      </c>
      <c r="J90" s="91">
        <v>18</v>
      </c>
      <c r="K90" s="91">
        <v>18</v>
      </c>
      <c r="L90" s="91">
        <v>9</v>
      </c>
      <c r="M90" s="91"/>
      <c r="N90" s="91">
        <v>9</v>
      </c>
      <c r="O90" s="91">
        <v>9</v>
      </c>
      <c r="P90" s="91">
        <v>9</v>
      </c>
      <c r="Q90" s="91">
        <v>9</v>
      </c>
      <c r="R90" s="91">
        <v>9</v>
      </c>
      <c r="S90" s="91">
        <v>9</v>
      </c>
      <c r="T90" s="91">
        <v>18</v>
      </c>
      <c r="U90" s="91">
        <v>9</v>
      </c>
      <c r="V90" s="91">
        <v>18</v>
      </c>
      <c r="W90" s="91">
        <v>18</v>
      </c>
      <c r="X90" s="91">
        <v>9</v>
      </c>
      <c r="Y90" s="91">
        <v>8</v>
      </c>
      <c r="Z90" s="91">
        <v>9</v>
      </c>
      <c r="AA90" s="91">
        <v>9</v>
      </c>
      <c r="AB90" s="91">
        <v>18</v>
      </c>
      <c r="AC90" s="91">
        <v>9</v>
      </c>
      <c r="AD90" s="91">
        <v>9</v>
      </c>
      <c r="AE90" s="91">
        <v>9</v>
      </c>
      <c r="AF90" s="91">
        <v>9</v>
      </c>
      <c r="AG90" s="91">
        <v>9</v>
      </c>
      <c r="AH90" s="91">
        <v>18</v>
      </c>
      <c r="AI90" s="91">
        <v>9</v>
      </c>
      <c r="AJ90" s="91">
        <v>9</v>
      </c>
      <c r="AK90" s="91">
        <v>9</v>
      </c>
      <c r="AL90" s="91">
        <v>18</v>
      </c>
      <c r="AM90" s="91">
        <v>9</v>
      </c>
      <c r="AN90" s="91">
        <v>9</v>
      </c>
      <c r="AO90" s="91">
        <v>18</v>
      </c>
      <c r="AP90" s="91">
        <v>9</v>
      </c>
      <c r="AQ90" s="91">
        <v>9</v>
      </c>
      <c r="AR90" s="91">
        <v>9</v>
      </c>
      <c r="AS90" s="91">
        <v>9</v>
      </c>
      <c r="AT90" s="91">
        <v>9</v>
      </c>
      <c r="AU90" s="91">
        <v>9</v>
      </c>
      <c r="AV90" s="91">
        <v>9</v>
      </c>
      <c r="AW90" s="91">
        <v>9</v>
      </c>
      <c r="AX90" s="91">
        <v>9</v>
      </c>
      <c r="AY90" s="91"/>
      <c r="AZ90" s="91">
        <v>9</v>
      </c>
      <c r="BA90" s="91">
        <v>9</v>
      </c>
      <c r="BB90" s="91">
        <v>18</v>
      </c>
      <c r="BC90" s="91">
        <v>9</v>
      </c>
      <c r="BD90" s="91">
        <v>9</v>
      </c>
      <c r="BE90" s="91">
        <v>18</v>
      </c>
      <c r="BF90" s="91">
        <v>17</v>
      </c>
      <c r="BG90" s="91">
        <v>17</v>
      </c>
      <c r="BH90" s="91"/>
    </row>
    <row r="91" spans="1:60" x14ac:dyDescent="0.25">
      <c r="A91" s="91" t="s">
        <v>170</v>
      </c>
      <c r="B91" s="129">
        <f t="shared" si="6"/>
        <v>572</v>
      </c>
      <c r="C91" s="91">
        <f t="shared" si="7"/>
        <v>48</v>
      </c>
      <c r="D91" s="130">
        <f t="shared" si="8"/>
        <v>0.96</v>
      </c>
      <c r="E91" s="131">
        <v>46275</v>
      </c>
      <c r="F91" s="131">
        <v>46287</v>
      </c>
      <c r="G91" s="91">
        <f t="shared" si="9"/>
        <v>12</v>
      </c>
      <c r="H91" s="91">
        <v>9</v>
      </c>
      <c r="I91" s="91">
        <v>17</v>
      </c>
      <c r="J91" s="91">
        <v>18</v>
      </c>
      <c r="K91" s="91">
        <v>18</v>
      </c>
      <c r="L91" s="91">
        <v>9</v>
      </c>
      <c r="M91" s="91"/>
      <c r="N91" s="91">
        <v>9</v>
      </c>
      <c r="O91" s="91">
        <v>9</v>
      </c>
      <c r="P91" s="91">
        <v>9</v>
      </c>
      <c r="Q91" s="91">
        <v>9</v>
      </c>
      <c r="R91" s="91">
        <v>9</v>
      </c>
      <c r="S91" s="91">
        <v>9</v>
      </c>
      <c r="T91" s="91">
        <v>18</v>
      </c>
      <c r="U91" s="91">
        <v>9</v>
      </c>
      <c r="V91" s="91">
        <v>18</v>
      </c>
      <c r="W91" s="91">
        <v>18</v>
      </c>
      <c r="X91" s="91">
        <v>9</v>
      </c>
      <c r="Y91" s="91">
        <v>8</v>
      </c>
      <c r="Z91" s="91">
        <v>9</v>
      </c>
      <c r="AA91" s="91">
        <v>9</v>
      </c>
      <c r="AB91" s="91">
        <v>18</v>
      </c>
      <c r="AC91" s="91">
        <v>9</v>
      </c>
      <c r="AD91" s="91">
        <v>9</v>
      </c>
      <c r="AE91" s="91">
        <v>9</v>
      </c>
      <c r="AF91" s="91">
        <v>9</v>
      </c>
      <c r="AG91" s="91">
        <v>9</v>
      </c>
      <c r="AH91" s="91">
        <v>18</v>
      </c>
      <c r="AI91" s="91">
        <v>9</v>
      </c>
      <c r="AJ91" s="91">
        <v>9</v>
      </c>
      <c r="AK91" s="91">
        <v>9</v>
      </c>
      <c r="AL91" s="91">
        <v>18</v>
      </c>
      <c r="AM91" s="91">
        <v>9</v>
      </c>
      <c r="AN91" s="91">
        <v>9</v>
      </c>
      <c r="AO91" s="91">
        <v>18</v>
      </c>
      <c r="AP91" s="91">
        <v>9</v>
      </c>
      <c r="AQ91" s="91">
        <v>9</v>
      </c>
      <c r="AR91" s="91">
        <v>9</v>
      </c>
      <c r="AS91" s="91">
        <v>9</v>
      </c>
      <c r="AT91" s="91">
        <v>9</v>
      </c>
      <c r="AU91" s="91">
        <v>9</v>
      </c>
      <c r="AV91" s="91">
        <v>9</v>
      </c>
      <c r="AW91" s="91">
        <v>9</v>
      </c>
      <c r="AX91" s="91">
        <v>9</v>
      </c>
      <c r="AY91" s="91"/>
      <c r="AZ91" s="91">
        <v>9</v>
      </c>
      <c r="BA91" s="91">
        <v>9</v>
      </c>
      <c r="BB91" s="91">
        <v>18</v>
      </c>
      <c r="BC91" s="91">
        <v>9</v>
      </c>
      <c r="BD91" s="91">
        <v>9</v>
      </c>
      <c r="BE91" s="91">
        <v>18</v>
      </c>
      <c r="BF91" s="91">
        <v>17</v>
      </c>
      <c r="BG91" s="91">
        <v>17</v>
      </c>
      <c r="BH91" s="91"/>
    </row>
    <row r="92" spans="1:60" x14ac:dyDescent="0.25">
      <c r="A92" s="91" t="s">
        <v>189</v>
      </c>
      <c r="B92" s="129">
        <f t="shared" si="6"/>
        <v>562</v>
      </c>
      <c r="C92" s="91">
        <f t="shared" si="7"/>
        <v>47</v>
      </c>
      <c r="D92" s="130">
        <f t="shared" si="8"/>
        <v>0.94</v>
      </c>
      <c r="E92" s="131">
        <v>46234</v>
      </c>
      <c r="F92" s="131">
        <v>46245</v>
      </c>
      <c r="G92" s="91">
        <f t="shared" si="9"/>
        <v>11</v>
      </c>
      <c r="H92" s="91">
        <v>7</v>
      </c>
      <c r="I92" s="91">
        <v>8</v>
      </c>
      <c r="J92" s="91">
        <v>8</v>
      </c>
      <c r="K92" s="91">
        <v>15</v>
      </c>
      <c r="L92" s="91">
        <v>8</v>
      </c>
      <c r="M92" s="91"/>
      <c r="N92" s="91">
        <v>16</v>
      </c>
      <c r="O92" s="91">
        <v>17</v>
      </c>
      <c r="P92" s="91">
        <v>16</v>
      </c>
      <c r="Q92" s="91">
        <v>8</v>
      </c>
      <c r="R92" s="91">
        <v>15</v>
      </c>
      <c r="S92" s="91">
        <v>8</v>
      </c>
      <c r="T92" s="91">
        <v>16</v>
      </c>
      <c r="U92" s="91">
        <v>8</v>
      </c>
      <c r="V92" s="91">
        <v>8</v>
      </c>
      <c r="W92" s="91">
        <v>14</v>
      </c>
      <c r="X92" s="91">
        <v>8</v>
      </c>
      <c r="Y92" s="91">
        <v>16</v>
      </c>
      <c r="Z92" s="91">
        <v>14</v>
      </c>
      <c r="AA92" s="91">
        <v>8</v>
      </c>
      <c r="AB92" s="91">
        <v>8</v>
      </c>
      <c r="AC92" s="91">
        <v>16</v>
      </c>
      <c r="AD92" s="91">
        <v>16</v>
      </c>
      <c r="AE92" s="91">
        <v>14</v>
      </c>
      <c r="AF92" s="91">
        <v>14</v>
      </c>
      <c r="AG92" s="91">
        <v>14</v>
      </c>
      <c r="AH92" s="91">
        <v>14</v>
      </c>
      <c r="AI92" s="91">
        <v>8</v>
      </c>
      <c r="AJ92" s="91">
        <v>16</v>
      </c>
      <c r="AK92" s="91">
        <v>8</v>
      </c>
      <c r="AL92" s="91">
        <v>14</v>
      </c>
      <c r="AM92" s="91">
        <v>8</v>
      </c>
      <c r="AN92" s="91">
        <v>14</v>
      </c>
      <c r="AO92" s="91">
        <v>14</v>
      </c>
      <c r="AP92" s="91">
        <v>8</v>
      </c>
      <c r="AQ92" s="91">
        <v>14</v>
      </c>
      <c r="AR92" s="91">
        <v>8</v>
      </c>
      <c r="AS92" s="91"/>
      <c r="AT92" s="91">
        <v>8</v>
      </c>
      <c r="AU92" s="91">
        <v>16</v>
      </c>
      <c r="AV92" s="91">
        <v>6</v>
      </c>
      <c r="AW92" s="91">
        <v>8</v>
      </c>
      <c r="AX92" s="91">
        <v>14</v>
      </c>
      <c r="AY92" s="91"/>
      <c r="AZ92" s="91">
        <v>8</v>
      </c>
      <c r="BA92" s="91">
        <v>14</v>
      </c>
      <c r="BB92" s="91">
        <v>22</v>
      </c>
      <c r="BC92" s="91">
        <v>8</v>
      </c>
      <c r="BD92" s="91">
        <v>8</v>
      </c>
      <c r="BE92" s="91">
        <v>8</v>
      </c>
      <c r="BF92" s="91">
        <v>4</v>
      </c>
      <c r="BG92" s="91">
        <v>12</v>
      </c>
      <c r="BH92" s="91"/>
    </row>
    <row r="93" spans="1:60" x14ac:dyDescent="0.25">
      <c r="A93" s="91" t="s">
        <v>276</v>
      </c>
      <c r="B93" s="129">
        <f t="shared" si="6"/>
        <v>556</v>
      </c>
      <c r="C93" s="91">
        <f t="shared" si="7"/>
        <v>48</v>
      </c>
      <c r="D93" s="130">
        <f t="shared" si="8"/>
        <v>0.96</v>
      </c>
      <c r="E93" s="131">
        <v>46219</v>
      </c>
      <c r="F93" s="131">
        <v>46301</v>
      </c>
      <c r="G93" s="91">
        <f t="shared" si="9"/>
        <v>82</v>
      </c>
      <c r="H93" s="91">
        <v>9</v>
      </c>
      <c r="I93" s="91">
        <v>9</v>
      </c>
      <c r="J93" s="91">
        <v>9</v>
      </c>
      <c r="K93" s="91">
        <v>9</v>
      </c>
      <c r="L93" s="91">
        <v>9</v>
      </c>
      <c r="M93" s="91"/>
      <c r="N93" s="91">
        <v>9</v>
      </c>
      <c r="O93" s="91">
        <v>9</v>
      </c>
      <c r="P93" s="91">
        <v>9</v>
      </c>
      <c r="Q93" s="91">
        <v>9</v>
      </c>
      <c r="R93" s="91">
        <v>10</v>
      </c>
      <c r="S93" s="91">
        <v>9</v>
      </c>
      <c r="T93" s="91">
        <v>9</v>
      </c>
      <c r="U93" s="91">
        <v>9</v>
      </c>
      <c r="V93" s="91">
        <v>9</v>
      </c>
      <c r="W93" s="91">
        <v>9</v>
      </c>
      <c r="X93" s="91">
        <v>9</v>
      </c>
      <c r="Y93" s="91">
        <v>2</v>
      </c>
      <c r="Z93" s="91">
        <v>9</v>
      </c>
      <c r="AA93" s="91">
        <v>9</v>
      </c>
      <c r="AB93" s="91">
        <v>9</v>
      </c>
      <c r="AC93" s="91">
        <v>9</v>
      </c>
      <c r="AD93" s="91">
        <v>9</v>
      </c>
      <c r="AE93" s="91">
        <v>9</v>
      </c>
      <c r="AF93" s="91">
        <v>9</v>
      </c>
      <c r="AG93" s="91">
        <v>50</v>
      </c>
      <c r="AH93" s="91">
        <v>9</v>
      </c>
      <c r="AI93" s="91">
        <v>9</v>
      </c>
      <c r="AJ93" s="91">
        <v>20</v>
      </c>
      <c r="AK93" s="91">
        <v>9</v>
      </c>
      <c r="AL93" s="91">
        <v>9</v>
      </c>
      <c r="AM93" s="91">
        <v>9</v>
      </c>
      <c r="AN93" s="91">
        <v>9</v>
      </c>
      <c r="AO93" s="91">
        <v>45</v>
      </c>
      <c r="AP93" s="91">
        <v>9</v>
      </c>
      <c r="AQ93" s="91">
        <v>9</v>
      </c>
      <c r="AR93" s="91">
        <v>9</v>
      </c>
      <c r="AS93" s="91">
        <v>9</v>
      </c>
      <c r="AT93" s="91">
        <v>9</v>
      </c>
      <c r="AU93" s="91">
        <v>9</v>
      </c>
      <c r="AV93" s="91">
        <v>9</v>
      </c>
      <c r="AW93" s="91">
        <v>9</v>
      </c>
      <c r="AX93" s="91">
        <v>9</v>
      </c>
      <c r="AY93" s="91"/>
      <c r="AZ93" s="91">
        <v>9</v>
      </c>
      <c r="BA93" s="91">
        <v>9</v>
      </c>
      <c r="BB93" s="91">
        <v>9</v>
      </c>
      <c r="BC93" s="91">
        <v>9</v>
      </c>
      <c r="BD93" s="91">
        <v>9</v>
      </c>
      <c r="BE93" s="91">
        <v>9</v>
      </c>
      <c r="BF93" s="91">
        <v>12</v>
      </c>
      <c r="BG93" s="91">
        <v>30</v>
      </c>
      <c r="BH93" s="91"/>
    </row>
    <row r="94" spans="1:60" x14ac:dyDescent="0.25">
      <c r="A94" s="91" t="s">
        <v>214</v>
      </c>
      <c r="B94" s="129">
        <f t="shared" si="6"/>
        <v>556</v>
      </c>
      <c r="C94" s="91">
        <f t="shared" si="7"/>
        <v>38</v>
      </c>
      <c r="D94" s="130">
        <f t="shared" si="8"/>
        <v>0.76</v>
      </c>
      <c r="E94" s="131">
        <v>46316</v>
      </c>
      <c r="F94" s="131">
        <v>46317</v>
      </c>
      <c r="G94" s="91">
        <f t="shared" si="9"/>
        <v>1</v>
      </c>
      <c r="H94" s="91"/>
      <c r="I94" s="91"/>
      <c r="J94" s="91">
        <v>14</v>
      </c>
      <c r="K94" s="91">
        <v>12</v>
      </c>
      <c r="L94" s="91">
        <v>14</v>
      </c>
      <c r="M94" s="91"/>
      <c r="N94" s="91">
        <v>14</v>
      </c>
      <c r="O94" s="91">
        <v>12</v>
      </c>
      <c r="P94" s="91">
        <v>14</v>
      </c>
      <c r="Q94" s="91">
        <v>12</v>
      </c>
      <c r="R94" s="91">
        <v>13</v>
      </c>
      <c r="S94" s="91">
        <v>14</v>
      </c>
      <c r="T94" s="91">
        <v>14</v>
      </c>
      <c r="U94" s="91"/>
      <c r="V94" s="91">
        <v>12</v>
      </c>
      <c r="W94" s="91">
        <v>14</v>
      </c>
      <c r="X94" s="91">
        <v>14</v>
      </c>
      <c r="Y94" s="91">
        <v>12</v>
      </c>
      <c r="Z94" s="91">
        <v>10</v>
      </c>
      <c r="AA94" s="91"/>
      <c r="AB94" s="91">
        <v>14</v>
      </c>
      <c r="AC94" s="91">
        <v>14</v>
      </c>
      <c r="AD94" s="91">
        <v>14</v>
      </c>
      <c r="AE94" s="91"/>
      <c r="AF94" s="91">
        <v>14</v>
      </c>
      <c r="AG94" s="91">
        <v>14</v>
      </c>
      <c r="AH94" s="91">
        <v>14</v>
      </c>
      <c r="AI94" s="91">
        <v>14</v>
      </c>
      <c r="AJ94" s="91">
        <v>14</v>
      </c>
      <c r="AK94" s="91"/>
      <c r="AL94" s="91">
        <v>14</v>
      </c>
      <c r="AM94" s="91">
        <v>12</v>
      </c>
      <c r="AN94" s="91">
        <v>12</v>
      </c>
      <c r="AO94" s="91">
        <v>15</v>
      </c>
      <c r="AP94" s="91">
        <v>14</v>
      </c>
      <c r="AQ94" s="91">
        <v>10</v>
      </c>
      <c r="AR94" s="91"/>
      <c r="AS94" s="91">
        <v>14</v>
      </c>
      <c r="AT94" s="91">
        <v>14</v>
      </c>
      <c r="AU94" s="91">
        <v>12</v>
      </c>
      <c r="AV94" s="91">
        <v>13</v>
      </c>
      <c r="AW94" s="91">
        <v>12</v>
      </c>
      <c r="AX94" s="91"/>
      <c r="AY94" s="91"/>
      <c r="AZ94" s="91"/>
      <c r="BA94" s="91"/>
      <c r="BB94" s="91">
        <v>14</v>
      </c>
      <c r="BC94" s="91">
        <v>14</v>
      </c>
      <c r="BD94" s="91">
        <v>14</v>
      </c>
      <c r="BE94" s="91">
        <v>13</v>
      </c>
      <c r="BF94" s="91">
        <v>26</v>
      </c>
      <c r="BG94" s="91">
        <v>26</v>
      </c>
      <c r="BH94" s="91"/>
    </row>
    <row r="95" spans="1:60" x14ac:dyDescent="0.25">
      <c r="A95" s="91" t="s">
        <v>595</v>
      </c>
      <c r="B95" s="129">
        <f t="shared" si="6"/>
        <v>550</v>
      </c>
      <c r="C95" s="91">
        <f t="shared" si="7"/>
        <v>49</v>
      </c>
      <c r="D95" s="130">
        <f t="shared" si="8"/>
        <v>0.98</v>
      </c>
      <c r="E95" s="131">
        <v>46238</v>
      </c>
      <c r="F95" s="131">
        <v>46266</v>
      </c>
      <c r="G95" s="91">
        <f t="shared" si="9"/>
        <v>28</v>
      </c>
      <c r="H95" s="91">
        <v>5</v>
      </c>
      <c r="I95" s="91">
        <v>5</v>
      </c>
      <c r="J95" s="91">
        <v>13</v>
      </c>
      <c r="K95" s="91">
        <v>14</v>
      </c>
      <c r="L95" s="91">
        <v>14</v>
      </c>
      <c r="M95" s="91">
        <v>6</v>
      </c>
      <c r="N95" s="91">
        <v>14</v>
      </c>
      <c r="O95" s="91">
        <v>14</v>
      </c>
      <c r="P95" s="91">
        <v>13</v>
      </c>
      <c r="Q95" s="91">
        <v>13</v>
      </c>
      <c r="R95" s="91">
        <v>14</v>
      </c>
      <c r="S95" s="91">
        <v>8</v>
      </c>
      <c r="T95" s="91">
        <v>14</v>
      </c>
      <c r="U95" s="91">
        <v>8</v>
      </c>
      <c r="V95" s="91">
        <v>13</v>
      </c>
      <c r="W95" s="91">
        <v>13</v>
      </c>
      <c r="X95" s="91">
        <v>14</v>
      </c>
      <c r="Y95" s="91">
        <v>13</v>
      </c>
      <c r="Z95" s="91">
        <v>13</v>
      </c>
      <c r="AA95" s="91">
        <v>8</v>
      </c>
      <c r="AB95" s="91">
        <v>13</v>
      </c>
      <c r="AC95" s="91">
        <v>14</v>
      </c>
      <c r="AD95" s="91">
        <v>14</v>
      </c>
      <c r="AE95" s="91">
        <v>13</v>
      </c>
      <c r="AF95" s="91">
        <v>13</v>
      </c>
      <c r="AG95" s="91">
        <v>13</v>
      </c>
      <c r="AH95" s="91">
        <v>13</v>
      </c>
      <c r="AI95" s="91">
        <v>7</v>
      </c>
      <c r="AJ95" s="91">
        <v>13</v>
      </c>
      <c r="AK95" s="91">
        <v>8</v>
      </c>
      <c r="AL95" s="91">
        <v>13</v>
      </c>
      <c r="AM95" s="91">
        <v>8</v>
      </c>
      <c r="AN95" s="91">
        <v>13</v>
      </c>
      <c r="AO95" s="91">
        <v>14</v>
      </c>
      <c r="AP95" s="91">
        <v>8</v>
      </c>
      <c r="AQ95" s="91">
        <v>13</v>
      </c>
      <c r="AR95" s="91">
        <v>8</v>
      </c>
      <c r="AS95" s="91">
        <v>7</v>
      </c>
      <c r="AT95" s="91">
        <v>8</v>
      </c>
      <c r="AU95" s="91">
        <v>13</v>
      </c>
      <c r="AV95" s="91">
        <v>6</v>
      </c>
      <c r="AW95" s="91">
        <v>8</v>
      </c>
      <c r="AX95" s="91">
        <v>13</v>
      </c>
      <c r="AY95" s="91"/>
      <c r="AZ95" s="91">
        <v>8</v>
      </c>
      <c r="BA95" s="91">
        <v>13</v>
      </c>
      <c r="BB95" s="91">
        <v>14</v>
      </c>
      <c r="BC95" s="91">
        <v>8</v>
      </c>
      <c r="BD95" s="91">
        <v>7</v>
      </c>
      <c r="BE95" s="91">
        <v>5</v>
      </c>
      <c r="BF95" s="91"/>
      <c r="BG95" s="91">
        <v>12</v>
      </c>
      <c r="BH95" s="91">
        <v>1</v>
      </c>
    </row>
    <row r="96" spans="1:60" x14ac:dyDescent="0.25">
      <c r="A96" s="91" t="s">
        <v>499</v>
      </c>
      <c r="B96" s="129">
        <f t="shared" si="6"/>
        <v>548</v>
      </c>
      <c r="C96" s="91">
        <f t="shared" si="7"/>
        <v>48</v>
      </c>
      <c r="D96" s="130">
        <f t="shared" si="8"/>
        <v>0.96</v>
      </c>
      <c r="E96" s="131">
        <v>46280</v>
      </c>
      <c r="F96" s="131">
        <v>46301</v>
      </c>
      <c r="G96" s="91">
        <f t="shared" si="9"/>
        <v>21</v>
      </c>
      <c r="H96" s="91">
        <v>8</v>
      </c>
      <c r="I96" s="91">
        <v>9</v>
      </c>
      <c r="J96" s="91">
        <v>17</v>
      </c>
      <c r="K96" s="91">
        <v>9</v>
      </c>
      <c r="L96" s="91">
        <v>17</v>
      </c>
      <c r="M96" s="91"/>
      <c r="N96" s="91">
        <v>9</v>
      </c>
      <c r="O96" s="91">
        <v>17</v>
      </c>
      <c r="P96" s="91">
        <v>17</v>
      </c>
      <c r="Q96" s="91">
        <v>8</v>
      </c>
      <c r="R96" s="91">
        <v>17</v>
      </c>
      <c r="S96" s="91">
        <v>17</v>
      </c>
      <c r="T96" s="91">
        <v>8</v>
      </c>
      <c r="U96" s="91">
        <v>8</v>
      </c>
      <c r="V96" s="91">
        <v>8</v>
      </c>
      <c r="W96" s="91">
        <v>17</v>
      </c>
      <c r="X96" s="91">
        <v>17</v>
      </c>
      <c r="Y96" s="91">
        <v>1</v>
      </c>
      <c r="Z96" s="91">
        <v>9</v>
      </c>
      <c r="AA96" s="91">
        <v>8</v>
      </c>
      <c r="AB96" s="91">
        <v>9</v>
      </c>
      <c r="AC96" s="91">
        <v>17</v>
      </c>
      <c r="AD96" s="91">
        <v>17</v>
      </c>
      <c r="AE96" s="91">
        <v>8</v>
      </c>
      <c r="AF96" s="91">
        <v>8</v>
      </c>
      <c r="AG96" s="91">
        <v>17</v>
      </c>
      <c r="AH96" s="91">
        <v>8</v>
      </c>
      <c r="AI96" s="91">
        <v>8</v>
      </c>
      <c r="AJ96" s="91">
        <v>17</v>
      </c>
      <c r="AK96" s="91">
        <v>8</v>
      </c>
      <c r="AL96" s="91">
        <v>9</v>
      </c>
      <c r="AM96" s="91">
        <v>8</v>
      </c>
      <c r="AN96" s="91">
        <v>8</v>
      </c>
      <c r="AO96" s="91">
        <v>17</v>
      </c>
      <c r="AP96" s="91">
        <v>9</v>
      </c>
      <c r="AQ96" s="91">
        <v>9</v>
      </c>
      <c r="AR96" s="91">
        <v>8</v>
      </c>
      <c r="AS96" s="91">
        <v>17</v>
      </c>
      <c r="AT96" s="91">
        <v>9</v>
      </c>
      <c r="AU96" s="91">
        <v>8</v>
      </c>
      <c r="AV96" s="91">
        <v>8</v>
      </c>
      <c r="AW96" s="91">
        <v>8</v>
      </c>
      <c r="AX96" s="91">
        <v>8</v>
      </c>
      <c r="AY96" s="91"/>
      <c r="AZ96" s="91">
        <v>8</v>
      </c>
      <c r="BA96" s="91">
        <v>8</v>
      </c>
      <c r="BB96" s="91">
        <v>9</v>
      </c>
      <c r="BC96" s="91">
        <v>8</v>
      </c>
      <c r="BD96" s="91">
        <v>17</v>
      </c>
      <c r="BE96" s="91">
        <v>18</v>
      </c>
      <c r="BF96" s="91">
        <v>1</v>
      </c>
      <c r="BG96" s="91">
        <v>15</v>
      </c>
      <c r="BH96" s="91"/>
    </row>
    <row r="97" spans="1:60" x14ac:dyDescent="0.25">
      <c r="A97" s="91" t="s">
        <v>586</v>
      </c>
      <c r="B97" s="129">
        <f t="shared" si="6"/>
        <v>536</v>
      </c>
      <c r="C97" s="91">
        <f t="shared" si="7"/>
        <v>48</v>
      </c>
      <c r="D97" s="130">
        <f t="shared" si="8"/>
        <v>0.96</v>
      </c>
      <c r="E97" s="131">
        <v>46219</v>
      </c>
      <c r="F97" s="131">
        <v>46262</v>
      </c>
      <c r="G97" s="91">
        <f t="shared" si="9"/>
        <v>43</v>
      </c>
      <c r="H97" s="91">
        <v>9</v>
      </c>
      <c r="I97" s="91">
        <v>5</v>
      </c>
      <c r="J97" s="91">
        <v>9</v>
      </c>
      <c r="K97" s="91">
        <v>9</v>
      </c>
      <c r="L97" s="91">
        <v>9</v>
      </c>
      <c r="M97" s="91"/>
      <c r="N97" s="91">
        <v>17</v>
      </c>
      <c r="O97" s="91">
        <v>9</v>
      </c>
      <c r="P97" s="91">
        <v>16</v>
      </c>
      <c r="Q97" s="91">
        <v>13</v>
      </c>
      <c r="R97" s="91">
        <v>15</v>
      </c>
      <c r="S97" s="91">
        <v>9</v>
      </c>
      <c r="T97" s="91">
        <v>17</v>
      </c>
      <c r="U97" s="91">
        <v>9</v>
      </c>
      <c r="V97" s="91">
        <v>13</v>
      </c>
      <c r="W97" s="91">
        <v>9</v>
      </c>
      <c r="X97" s="91">
        <v>9</v>
      </c>
      <c r="Y97" s="91">
        <v>9</v>
      </c>
      <c r="Z97" s="91">
        <v>9</v>
      </c>
      <c r="AA97" s="91">
        <v>9</v>
      </c>
      <c r="AB97" s="91">
        <v>9</v>
      </c>
      <c r="AC97" s="91">
        <v>18</v>
      </c>
      <c r="AD97" s="91">
        <v>9</v>
      </c>
      <c r="AE97" s="91">
        <v>9</v>
      </c>
      <c r="AF97" s="91">
        <v>8</v>
      </c>
      <c r="AG97" s="91">
        <v>15</v>
      </c>
      <c r="AH97" s="91">
        <v>13</v>
      </c>
      <c r="AI97" s="91">
        <v>6</v>
      </c>
      <c r="AJ97" s="91">
        <v>16</v>
      </c>
      <c r="AK97" s="91">
        <v>9</v>
      </c>
      <c r="AL97" s="91">
        <v>9</v>
      </c>
      <c r="AM97" s="91">
        <v>18</v>
      </c>
      <c r="AN97" s="91">
        <v>9</v>
      </c>
      <c r="AO97" s="91">
        <v>9</v>
      </c>
      <c r="AP97" s="91">
        <v>18</v>
      </c>
      <c r="AQ97" s="91">
        <v>13</v>
      </c>
      <c r="AR97" s="91">
        <v>9</v>
      </c>
      <c r="AS97" s="91">
        <v>7</v>
      </c>
      <c r="AT97" s="91">
        <v>9</v>
      </c>
      <c r="AU97" s="91">
        <v>9</v>
      </c>
      <c r="AV97" s="91">
        <v>5</v>
      </c>
      <c r="AW97" s="91">
        <v>9</v>
      </c>
      <c r="AX97" s="91">
        <v>16</v>
      </c>
      <c r="AY97" s="91"/>
      <c r="AZ97" s="91">
        <v>9</v>
      </c>
      <c r="BA97" s="91">
        <v>13</v>
      </c>
      <c r="BB97" s="91">
        <v>14</v>
      </c>
      <c r="BC97" s="91">
        <v>9</v>
      </c>
      <c r="BD97" s="91">
        <v>15</v>
      </c>
      <c r="BE97" s="91">
        <v>7</v>
      </c>
      <c r="BF97" s="91"/>
      <c r="BG97" s="91">
        <v>12</v>
      </c>
      <c r="BH97" s="91">
        <v>1</v>
      </c>
    </row>
    <row r="98" spans="1:60" x14ac:dyDescent="0.25">
      <c r="A98" s="91" t="s">
        <v>401</v>
      </c>
      <c r="B98" s="129">
        <f t="shared" si="6"/>
        <v>535</v>
      </c>
      <c r="C98" s="91">
        <f t="shared" si="7"/>
        <v>48</v>
      </c>
      <c r="D98" s="130">
        <f t="shared" si="8"/>
        <v>0.96</v>
      </c>
      <c r="E98" s="131">
        <v>46225</v>
      </c>
      <c r="F98" s="131">
        <v>46253</v>
      </c>
      <c r="G98" s="91">
        <f t="shared" si="9"/>
        <v>28</v>
      </c>
      <c r="H98" s="91">
        <v>5</v>
      </c>
      <c r="I98" s="91">
        <v>5</v>
      </c>
      <c r="J98" s="91">
        <v>13</v>
      </c>
      <c r="K98" s="91">
        <v>13</v>
      </c>
      <c r="L98" s="91">
        <v>13</v>
      </c>
      <c r="M98" s="91"/>
      <c r="N98" s="91">
        <v>13</v>
      </c>
      <c r="O98" s="91">
        <v>13</v>
      </c>
      <c r="P98" s="91">
        <v>13</v>
      </c>
      <c r="Q98" s="91">
        <v>12</v>
      </c>
      <c r="R98" s="91">
        <v>13</v>
      </c>
      <c r="S98" s="91">
        <v>8</v>
      </c>
      <c r="T98" s="91">
        <v>13</v>
      </c>
      <c r="U98" s="91">
        <v>8</v>
      </c>
      <c r="V98" s="91">
        <v>13</v>
      </c>
      <c r="W98" s="91">
        <v>13</v>
      </c>
      <c r="X98" s="91">
        <v>13</v>
      </c>
      <c r="Y98" s="91">
        <v>13</v>
      </c>
      <c r="Z98" s="91">
        <v>13</v>
      </c>
      <c r="AA98" s="91">
        <v>8</v>
      </c>
      <c r="AB98" s="91">
        <v>13</v>
      </c>
      <c r="AC98" s="91">
        <v>13</v>
      </c>
      <c r="AD98" s="91">
        <v>13</v>
      </c>
      <c r="AE98" s="91">
        <v>12</v>
      </c>
      <c r="AF98" s="91">
        <v>13</v>
      </c>
      <c r="AG98" s="91">
        <v>13</v>
      </c>
      <c r="AH98" s="91">
        <v>13</v>
      </c>
      <c r="AI98" s="91">
        <v>7</v>
      </c>
      <c r="AJ98" s="91">
        <v>13</v>
      </c>
      <c r="AK98" s="91">
        <v>8</v>
      </c>
      <c r="AL98" s="91">
        <v>13</v>
      </c>
      <c r="AM98" s="91">
        <v>8</v>
      </c>
      <c r="AN98" s="91">
        <v>13</v>
      </c>
      <c r="AO98" s="91">
        <v>8</v>
      </c>
      <c r="AP98" s="91">
        <v>8</v>
      </c>
      <c r="AQ98" s="91">
        <v>13</v>
      </c>
      <c r="AR98" s="91">
        <v>8</v>
      </c>
      <c r="AS98" s="91">
        <v>7</v>
      </c>
      <c r="AT98" s="91">
        <v>8</v>
      </c>
      <c r="AU98" s="91">
        <v>13</v>
      </c>
      <c r="AV98" s="91">
        <v>5</v>
      </c>
      <c r="AW98" s="91">
        <v>8</v>
      </c>
      <c r="AX98" s="91">
        <v>13</v>
      </c>
      <c r="AY98" s="91"/>
      <c r="AZ98" s="91">
        <v>8</v>
      </c>
      <c r="BA98" s="91">
        <v>12</v>
      </c>
      <c r="BB98" s="91">
        <v>13</v>
      </c>
      <c r="BC98" s="91">
        <v>8</v>
      </c>
      <c r="BD98" s="91">
        <v>7</v>
      </c>
      <c r="BE98" s="91">
        <v>5</v>
      </c>
      <c r="BF98" s="91">
        <v>14</v>
      </c>
      <c r="BG98" s="91">
        <v>10</v>
      </c>
      <c r="BH98" s="91"/>
    </row>
    <row r="99" spans="1:60" x14ac:dyDescent="0.25">
      <c r="A99" s="91" t="s">
        <v>237</v>
      </c>
      <c r="B99" s="129">
        <f t="shared" si="6"/>
        <v>533</v>
      </c>
      <c r="C99" s="91">
        <f t="shared" si="7"/>
        <v>47</v>
      </c>
      <c r="D99" s="130">
        <f t="shared" si="8"/>
        <v>0.94</v>
      </c>
      <c r="E99" s="131">
        <v>46234</v>
      </c>
      <c r="F99" s="131">
        <v>46245</v>
      </c>
      <c r="G99" s="91">
        <f t="shared" si="9"/>
        <v>11</v>
      </c>
      <c r="H99" s="91">
        <v>6</v>
      </c>
      <c r="I99" s="91">
        <v>6</v>
      </c>
      <c r="J99" s="91">
        <v>8</v>
      </c>
      <c r="K99" s="91">
        <v>14</v>
      </c>
      <c r="L99" s="91">
        <v>8</v>
      </c>
      <c r="M99" s="91"/>
      <c r="N99" s="91">
        <v>16</v>
      </c>
      <c r="O99" s="91">
        <v>13</v>
      </c>
      <c r="P99" s="91">
        <v>14</v>
      </c>
      <c r="Q99" s="91">
        <v>8</v>
      </c>
      <c r="R99" s="91">
        <v>14</v>
      </c>
      <c r="S99" s="91">
        <v>8</v>
      </c>
      <c r="T99" s="91">
        <v>14</v>
      </c>
      <c r="U99" s="91">
        <v>8</v>
      </c>
      <c r="V99" s="91">
        <v>8</v>
      </c>
      <c r="W99" s="91">
        <v>14</v>
      </c>
      <c r="X99" s="91">
        <v>8</v>
      </c>
      <c r="Y99" s="91">
        <v>14</v>
      </c>
      <c r="Z99" s="91">
        <v>14</v>
      </c>
      <c r="AA99" s="91">
        <v>8</v>
      </c>
      <c r="AB99" s="91">
        <v>8</v>
      </c>
      <c r="AC99" s="91">
        <v>16</v>
      </c>
      <c r="AD99" s="91">
        <v>14</v>
      </c>
      <c r="AE99" s="91">
        <v>14</v>
      </c>
      <c r="AF99" s="91">
        <v>14</v>
      </c>
      <c r="AG99" s="91">
        <v>14</v>
      </c>
      <c r="AH99" s="91">
        <v>14</v>
      </c>
      <c r="AI99" s="91">
        <v>7</v>
      </c>
      <c r="AJ99" s="91">
        <v>14</v>
      </c>
      <c r="AK99" s="91">
        <v>8</v>
      </c>
      <c r="AL99" s="91">
        <v>14</v>
      </c>
      <c r="AM99" s="91">
        <v>8</v>
      </c>
      <c r="AN99" s="91">
        <v>14</v>
      </c>
      <c r="AO99" s="91">
        <v>14</v>
      </c>
      <c r="AP99" s="91">
        <v>8</v>
      </c>
      <c r="AQ99" s="91">
        <v>14</v>
      </c>
      <c r="AR99" s="91">
        <v>8</v>
      </c>
      <c r="AS99" s="91"/>
      <c r="AT99" s="91">
        <v>8</v>
      </c>
      <c r="AU99" s="91">
        <v>14</v>
      </c>
      <c r="AV99" s="91">
        <v>6</v>
      </c>
      <c r="AW99" s="91">
        <v>8</v>
      </c>
      <c r="AX99" s="91">
        <v>14</v>
      </c>
      <c r="AY99" s="91"/>
      <c r="AZ99" s="91">
        <v>8</v>
      </c>
      <c r="BA99" s="91">
        <v>14</v>
      </c>
      <c r="BB99" s="91">
        <v>22</v>
      </c>
      <c r="BC99" s="91">
        <v>8</v>
      </c>
      <c r="BD99" s="91">
        <v>7</v>
      </c>
      <c r="BE99" s="91">
        <v>6</v>
      </c>
      <c r="BF99" s="91"/>
      <c r="BG99" s="91">
        <v>12</v>
      </c>
      <c r="BH99" s="91"/>
    </row>
    <row r="100" spans="1:60" x14ac:dyDescent="0.25">
      <c r="A100" s="91" t="s">
        <v>400</v>
      </c>
      <c r="B100" s="129">
        <f t="shared" si="6"/>
        <v>529</v>
      </c>
      <c r="C100" s="91">
        <f t="shared" si="7"/>
        <v>48</v>
      </c>
      <c r="D100" s="130">
        <f t="shared" si="8"/>
        <v>0.96</v>
      </c>
      <c r="E100" s="131">
        <v>46266</v>
      </c>
      <c r="F100" s="131">
        <v>46287</v>
      </c>
      <c r="G100" s="91">
        <f t="shared" si="9"/>
        <v>21</v>
      </c>
      <c r="H100" s="91">
        <v>9</v>
      </c>
      <c r="I100" s="91">
        <v>18</v>
      </c>
      <c r="J100" s="91">
        <v>18</v>
      </c>
      <c r="K100" s="91">
        <v>9</v>
      </c>
      <c r="L100" s="91">
        <v>9</v>
      </c>
      <c r="M100" s="91"/>
      <c r="N100" s="91">
        <v>9</v>
      </c>
      <c r="O100" s="91">
        <v>9</v>
      </c>
      <c r="P100" s="91">
        <v>9</v>
      </c>
      <c r="Q100" s="91">
        <v>9</v>
      </c>
      <c r="R100" s="91">
        <v>9</v>
      </c>
      <c r="S100" s="91">
        <v>9</v>
      </c>
      <c r="T100" s="91">
        <v>18</v>
      </c>
      <c r="U100" s="91">
        <v>9</v>
      </c>
      <c r="V100" s="91">
        <v>18</v>
      </c>
      <c r="W100" s="91">
        <v>18</v>
      </c>
      <c r="X100" s="91">
        <v>9</v>
      </c>
      <c r="Y100" s="91">
        <v>9</v>
      </c>
      <c r="Z100" s="91">
        <v>9</v>
      </c>
      <c r="AA100" s="91">
        <v>9</v>
      </c>
      <c r="AB100" s="91">
        <v>9</v>
      </c>
      <c r="AC100" s="91">
        <v>9</v>
      </c>
      <c r="AD100" s="91">
        <v>9</v>
      </c>
      <c r="AE100" s="91">
        <v>9</v>
      </c>
      <c r="AF100" s="91">
        <v>9</v>
      </c>
      <c r="AG100" s="91">
        <v>9</v>
      </c>
      <c r="AH100" s="91">
        <v>18</v>
      </c>
      <c r="AI100" s="91">
        <v>9</v>
      </c>
      <c r="AJ100" s="91">
        <v>9</v>
      </c>
      <c r="AK100" s="91">
        <v>9</v>
      </c>
      <c r="AL100" s="91">
        <v>18</v>
      </c>
      <c r="AM100" s="91">
        <v>9</v>
      </c>
      <c r="AN100" s="91">
        <v>9</v>
      </c>
      <c r="AO100" s="91">
        <v>18</v>
      </c>
      <c r="AP100" s="91">
        <v>9</v>
      </c>
      <c r="AQ100" s="91">
        <v>9</v>
      </c>
      <c r="AR100" s="91">
        <v>9</v>
      </c>
      <c r="AS100" s="91">
        <v>9</v>
      </c>
      <c r="AT100" s="91">
        <v>9</v>
      </c>
      <c r="AU100" s="91">
        <v>9</v>
      </c>
      <c r="AV100" s="91">
        <v>9</v>
      </c>
      <c r="AW100" s="91">
        <v>9</v>
      </c>
      <c r="AX100" s="91">
        <v>9</v>
      </c>
      <c r="AY100" s="91"/>
      <c r="AZ100" s="91">
        <v>9</v>
      </c>
      <c r="BA100" s="91">
        <v>9</v>
      </c>
      <c r="BB100" s="91">
        <v>9</v>
      </c>
      <c r="BC100" s="91">
        <v>9</v>
      </c>
      <c r="BD100" s="91">
        <v>18</v>
      </c>
      <c r="BE100" s="91">
        <v>9</v>
      </c>
      <c r="BF100" s="91">
        <v>3</v>
      </c>
      <c r="BG100" s="91">
        <v>13</v>
      </c>
      <c r="BH100" s="91"/>
    </row>
    <row r="101" spans="1:60" x14ac:dyDescent="0.25">
      <c r="A101" s="91" t="s">
        <v>97</v>
      </c>
      <c r="B101" s="129">
        <f t="shared" si="6"/>
        <v>524</v>
      </c>
      <c r="C101" s="91">
        <f t="shared" si="7"/>
        <v>30</v>
      </c>
      <c r="D101" s="130">
        <f t="shared" si="8"/>
        <v>0.6</v>
      </c>
      <c r="E101" s="131">
        <v>46316</v>
      </c>
      <c r="F101" s="131">
        <v>46317</v>
      </c>
      <c r="G101" s="91">
        <f t="shared" si="9"/>
        <v>1</v>
      </c>
      <c r="H101" s="91"/>
      <c r="I101" s="91"/>
      <c r="J101" s="91">
        <v>16</v>
      </c>
      <c r="K101" s="91">
        <v>14</v>
      </c>
      <c r="L101" s="91">
        <v>16</v>
      </c>
      <c r="M101" s="91"/>
      <c r="N101" s="91">
        <v>16</v>
      </c>
      <c r="O101" s="91">
        <v>12</v>
      </c>
      <c r="P101" s="91">
        <v>16</v>
      </c>
      <c r="Q101" s="91">
        <v>14</v>
      </c>
      <c r="R101" s="91">
        <v>12</v>
      </c>
      <c r="S101" s="91">
        <v>16</v>
      </c>
      <c r="T101" s="91">
        <v>16</v>
      </c>
      <c r="U101" s="91"/>
      <c r="V101" s="91">
        <v>14</v>
      </c>
      <c r="W101" s="91">
        <v>16</v>
      </c>
      <c r="X101" s="91">
        <v>16</v>
      </c>
      <c r="Y101" s="91">
        <v>12</v>
      </c>
      <c r="Z101" s="91"/>
      <c r="AA101" s="91"/>
      <c r="AB101" s="91">
        <v>16</v>
      </c>
      <c r="AC101" s="91">
        <v>16</v>
      </c>
      <c r="AD101" s="91">
        <v>16</v>
      </c>
      <c r="AE101" s="91"/>
      <c r="AF101" s="91">
        <v>16</v>
      </c>
      <c r="AG101" s="91">
        <v>16</v>
      </c>
      <c r="AH101" s="91">
        <v>16</v>
      </c>
      <c r="AI101" s="91">
        <v>16</v>
      </c>
      <c r="AJ101" s="91">
        <v>16</v>
      </c>
      <c r="AK101" s="91"/>
      <c r="AL101" s="91">
        <v>16</v>
      </c>
      <c r="AM101" s="91"/>
      <c r="AN101" s="91"/>
      <c r="AO101" s="91">
        <v>16</v>
      </c>
      <c r="AP101" s="91">
        <v>16</v>
      </c>
      <c r="AQ101" s="91"/>
      <c r="AR101" s="91"/>
      <c r="AS101" s="91">
        <v>16</v>
      </c>
      <c r="AT101" s="91">
        <v>16</v>
      </c>
      <c r="AU101" s="91"/>
      <c r="AV101" s="91"/>
      <c r="AW101" s="91"/>
      <c r="AX101" s="91"/>
      <c r="AY101" s="91"/>
      <c r="AZ101" s="91"/>
      <c r="BA101" s="91"/>
      <c r="BB101" s="91">
        <v>16</v>
      </c>
      <c r="BC101" s="91">
        <v>16</v>
      </c>
      <c r="BD101" s="91">
        <v>16</v>
      </c>
      <c r="BE101" s="91"/>
      <c r="BF101" s="91">
        <v>31</v>
      </c>
      <c r="BG101" s="91">
        <v>31</v>
      </c>
      <c r="BH101" s="91"/>
    </row>
    <row r="102" spans="1:60" x14ac:dyDescent="0.25">
      <c r="A102" s="91" t="s">
        <v>518</v>
      </c>
      <c r="B102" s="129">
        <f t="shared" si="6"/>
        <v>523</v>
      </c>
      <c r="C102" s="91">
        <f t="shared" si="7"/>
        <v>48</v>
      </c>
      <c r="D102" s="130">
        <f t="shared" si="8"/>
        <v>0.96</v>
      </c>
      <c r="E102" s="131">
        <v>46254</v>
      </c>
      <c r="F102" s="131">
        <v>46281</v>
      </c>
      <c r="G102" s="91">
        <f t="shared" si="9"/>
        <v>27</v>
      </c>
      <c r="H102" s="91">
        <v>8</v>
      </c>
      <c r="I102" s="91">
        <v>8</v>
      </c>
      <c r="J102" s="91">
        <v>14</v>
      </c>
      <c r="K102" s="91">
        <v>8</v>
      </c>
      <c r="L102" s="91">
        <v>8</v>
      </c>
      <c r="M102" s="91">
        <v>4</v>
      </c>
      <c r="N102" s="91">
        <v>8</v>
      </c>
      <c r="O102" s="91">
        <v>14</v>
      </c>
      <c r="P102" s="91">
        <v>14</v>
      </c>
      <c r="Q102" s="91">
        <v>8</v>
      </c>
      <c r="R102" s="91">
        <v>14</v>
      </c>
      <c r="S102" s="91">
        <v>14</v>
      </c>
      <c r="T102" s="91">
        <v>8</v>
      </c>
      <c r="U102" s="91">
        <v>8</v>
      </c>
      <c r="V102" s="91">
        <v>8</v>
      </c>
      <c r="W102" s="91">
        <v>15</v>
      </c>
      <c r="X102" s="91">
        <v>15</v>
      </c>
      <c r="Y102" s="91"/>
      <c r="Z102" s="91">
        <v>8</v>
      </c>
      <c r="AA102" s="91">
        <v>8</v>
      </c>
      <c r="AB102" s="91">
        <v>8</v>
      </c>
      <c r="AC102" s="91">
        <v>8</v>
      </c>
      <c r="AD102" s="91">
        <v>15</v>
      </c>
      <c r="AE102" s="91">
        <v>8</v>
      </c>
      <c r="AF102" s="91">
        <v>8</v>
      </c>
      <c r="AG102" s="91">
        <v>16</v>
      </c>
      <c r="AH102" s="91">
        <v>8</v>
      </c>
      <c r="AI102" s="91">
        <v>16</v>
      </c>
      <c r="AJ102" s="91">
        <v>16</v>
      </c>
      <c r="AK102" s="91">
        <v>8</v>
      </c>
      <c r="AL102" s="91">
        <v>8</v>
      </c>
      <c r="AM102" s="91">
        <v>8</v>
      </c>
      <c r="AN102" s="91">
        <v>8</v>
      </c>
      <c r="AO102" s="91">
        <v>16</v>
      </c>
      <c r="AP102" s="91">
        <v>8</v>
      </c>
      <c r="AQ102" s="91">
        <v>8</v>
      </c>
      <c r="AR102" s="91">
        <v>8</v>
      </c>
      <c r="AS102" s="91">
        <v>16</v>
      </c>
      <c r="AT102" s="91">
        <v>8</v>
      </c>
      <c r="AU102" s="91">
        <v>16</v>
      </c>
      <c r="AV102" s="91">
        <v>8</v>
      </c>
      <c r="AW102" s="91">
        <v>8</v>
      </c>
      <c r="AX102" s="91">
        <v>16</v>
      </c>
      <c r="AY102" s="91"/>
      <c r="AZ102" s="91">
        <v>8</v>
      </c>
      <c r="BA102" s="91">
        <v>8</v>
      </c>
      <c r="BB102" s="91">
        <v>10</v>
      </c>
      <c r="BC102" s="91">
        <v>10</v>
      </c>
      <c r="BD102" s="91">
        <v>16</v>
      </c>
      <c r="BE102" s="91">
        <v>16</v>
      </c>
      <c r="BF102" s="91">
        <v>2</v>
      </c>
      <c r="BG102" s="91">
        <v>14</v>
      </c>
      <c r="BH102" s="91"/>
    </row>
    <row r="103" spans="1:60" x14ac:dyDescent="0.25">
      <c r="A103" s="91" t="s">
        <v>458</v>
      </c>
      <c r="B103" s="129">
        <f t="shared" si="6"/>
        <v>519</v>
      </c>
      <c r="C103" s="91">
        <f t="shared" si="7"/>
        <v>48</v>
      </c>
      <c r="D103" s="130">
        <f t="shared" si="8"/>
        <v>0.96</v>
      </c>
      <c r="E103" s="131">
        <v>46234</v>
      </c>
      <c r="F103" s="131">
        <v>46262</v>
      </c>
      <c r="G103" s="91">
        <f t="shared" si="9"/>
        <v>28</v>
      </c>
      <c r="H103" s="91">
        <v>5</v>
      </c>
      <c r="I103" s="91">
        <v>5</v>
      </c>
      <c r="J103" s="91">
        <v>8</v>
      </c>
      <c r="K103" s="91">
        <v>14</v>
      </c>
      <c r="L103" s="91">
        <v>8</v>
      </c>
      <c r="M103" s="91">
        <v>6</v>
      </c>
      <c r="N103" s="91">
        <v>16</v>
      </c>
      <c r="O103" s="91">
        <v>13</v>
      </c>
      <c r="P103" s="91">
        <v>14</v>
      </c>
      <c r="Q103" s="91">
        <v>8</v>
      </c>
      <c r="R103" s="91">
        <v>14</v>
      </c>
      <c r="S103" s="91">
        <v>8</v>
      </c>
      <c r="T103" s="91">
        <v>14</v>
      </c>
      <c r="U103" s="91">
        <v>8</v>
      </c>
      <c r="V103" s="91">
        <v>8</v>
      </c>
      <c r="W103" s="91">
        <v>13</v>
      </c>
      <c r="X103" s="91">
        <v>8</v>
      </c>
      <c r="Y103" s="91">
        <v>13</v>
      </c>
      <c r="Z103" s="91">
        <v>12</v>
      </c>
      <c r="AA103" s="91">
        <v>8</v>
      </c>
      <c r="AB103" s="91">
        <v>8</v>
      </c>
      <c r="AC103" s="91">
        <v>16</v>
      </c>
      <c r="AD103" s="91">
        <v>14</v>
      </c>
      <c r="AE103" s="91">
        <v>12</v>
      </c>
      <c r="AF103" s="91">
        <v>13</v>
      </c>
      <c r="AG103" s="91">
        <v>14</v>
      </c>
      <c r="AH103" s="91">
        <v>12</v>
      </c>
      <c r="AI103" s="91"/>
      <c r="AJ103" s="91">
        <v>14</v>
      </c>
      <c r="AK103" s="91">
        <v>8</v>
      </c>
      <c r="AL103" s="91">
        <v>13</v>
      </c>
      <c r="AM103" s="91">
        <v>8</v>
      </c>
      <c r="AN103" s="91">
        <v>13</v>
      </c>
      <c r="AO103" s="91">
        <v>13</v>
      </c>
      <c r="AP103" s="91">
        <v>8</v>
      </c>
      <c r="AQ103" s="91">
        <v>13</v>
      </c>
      <c r="AR103" s="91">
        <v>8</v>
      </c>
      <c r="AS103" s="91">
        <v>8</v>
      </c>
      <c r="AT103" s="91">
        <v>8</v>
      </c>
      <c r="AU103" s="91">
        <v>14</v>
      </c>
      <c r="AV103" s="91">
        <v>6</v>
      </c>
      <c r="AW103" s="91">
        <v>8</v>
      </c>
      <c r="AX103" s="91">
        <v>12</v>
      </c>
      <c r="AY103" s="91"/>
      <c r="AZ103" s="91">
        <v>7</v>
      </c>
      <c r="BA103" s="91">
        <v>12</v>
      </c>
      <c r="BB103" s="91">
        <v>22</v>
      </c>
      <c r="BC103" s="91">
        <v>8</v>
      </c>
      <c r="BD103" s="91">
        <v>8</v>
      </c>
      <c r="BE103" s="91">
        <v>5</v>
      </c>
      <c r="BF103" s="91">
        <v>1</v>
      </c>
      <c r="BG103" s="91">
        <v>10</v>
      </c>
      <c r="BH103" s="91"/>
    </row>
    <row r="104" spans="1:60" x14ac:dyDescent="0.25">
      <c r="A104" s="91" t="s">
        <v>536</v>
      </c>
      <c r="B104" s="129">
        <f t="shared" si="6"/>
        <v>518</v>
      </c>
      <c r="C104" s="91">
        <f t="shared" si="7"/>
        <v>48</v>
      </c>
      <c r="D104" s="130">
        <f t="shared" si="8"/>
        <v>0.96</v>
      </c>
      <c r="E104" s="131">
        <v>46280</v>
      </c>
      <c r="F104" s="131">
        <v>46310</v>
      </c>
      <c r="G104" s="91">
        <f t="shared" si="9"/>
        <v>30</v>
      </c>
      <c r="H104" s="91">
        <v>8</v>
      </c>
      <c r="I104" s="91">
        <v>7</v>
      </c>
      <c r="J104" s="91">
        <v>15</v>
      </c>
      <c r="K104" s="91">
        <v>7</v>
      </c>
      <c r="L104" s="91">
        <v>15</v>
      </c>
      <c r="M104" s="91"/>
      <c r="N104" s="91">
        <v>8</v>
      </c>
      <c r="O104" s="91">
        <v>15</v>
      </c>
      <c r="P104" s="91">
        <v>15</v>
      </c>
      <c r="Q104" s="91">
        <v>8</v>
      </c>
      <c r="R104" s="91">
        <v>15</v>
      </c>
      <c r="S104" s="91">
        <v>15</v>
      </c>
      <c r="T104" s="91">
        <v>8</v>
      </c>
      <c r="U104" s="91">
        <v>8</v>
      </c>
      <c r="V104" s="91">
        <v>8</v>
      </c>
      <c r="W104" s="91">
        <v>7</v>
      </c>
      <c r="X104" s="91">
        <v>15</v>
      </c>
      <c r="Y104" s="91">
        <v>2</v>
      </c>
      <c r="Z104" s="91">
        <v>8</v>
      </c>
      <c r="AA104" s="91">
        <v>8</v>
      </c>
      <c r="AB104" s="91">
        <v>8</v>
      </c>
      <c r="AC104" s="91">
        <v>15</v>
      </c>
      <c r="AD104" s="91">
        <v>16</v>
      </c>
      <c r="AE104" s="91">
        <v>8</v>
      </c>
      <c r="AF104" s="91">
        <v>8</v>
      </c>
      <c r="AG104" s="91">
        <v>16</v>
      </c>
      <c r="AH104" s="91">
        <v>8</v>
      </c>
      <c r="AI104" s="91">
        <v>16</v>
      </c>
      <c r="AJ104" s="91">
        <v>16</v>
      </c>
      <c r="AK104" s="91">
        <v>8</v>
      </c>
      <c r="AL104" s="91">
        <v>8</v>
      </c>
      <c r="AM104" s="91">
        <v>8</v>
      </c>
      <c r="AN104" s="91">
        <v>8</v>
      </c>
      <c r="AO104" s="91">
        <v>16</v>
      </c>
      <c r="AP104" s="91">
        <v>8</v>
      </c>
      <c r="AQ104" s="91">
        <v>8</v>
      </c>
      <c r="AR104" s="91">
        <v>8</v>
      </c>
      <c r="AS104" s="91">
        <v>16</v>
      </c>
      <c r="AT104" s="91">
        <v>8</v>
      </c>
      <c r="AU104" s="91">
        <v>16</v>
      </c>
      <c r="AV104" s="91">
        <v>8</v>
      </c>
      <c r="AW104" s="91">
        <v>8</v>
      </c>
      <c r="AX104" s="91">
        <v>16</v>
      </c>
      <c r="AY104" s="91"/>
      <c r="AZ104" s="91">
        <v>8</v>
      </c>
      <c r="BA104" s="91">
        <v>8</v>
      </c>
      <c r="BB104" s="91">
        <v>8</v>
      </c>
      <c r="BC104" s="91">
        <v>8</v>
      </c>
      <c r="BD104" s="91">
        <v>8</v>
      </c>
      <c r="BE104" s="91">
        <v>16</v>
      </c>
      <c r="BF104" s="91">
        <v>1</v>
      </c>
      <c r="BG104" s="91">
        <v>14</v>
      </c>
      <c r="BH104" s="91"/>
    </row>
    <row r="105" spans="1:60" x14ac:dyDescent="0.25">
      <c r="A105" s="91" t="s">
        <v>98</v>
      </c>
      <c r="B105" s="129">
        <f t="shared" si="6"/>
        <v>515</v>
      </c>
      <c r="C105" s="91">
        <f t="shared" si="7"/>
        <v>49</v>
      </c>
      <c r="D105" s="130">
        <f t="shared" si="8"/>
        <v>0.98</v>
      </c>
      <c r="E105" s="131">
        <v>46219</v>
      </c>
      <c r="F105" s="131">
        <v>46301</v>
      </c>
      <c r="G105" s="91">
        <f t="shared" si="9"/>
        <v>82</v>
      </c>
      <c r="H105" s="91">
        <v>9</v>
      </c>
      <c r="I105" s="91">
        <v>9</v>
      </c>
      <c r="J105" s="91">
        <v>9</v>
      </c>
      <c r="K105" s="91">
        <v>9</v>
      </c>
      <c r="L105" s="91">
        <v>9</v>
      </c>
      <c r="M105" s="91">
        <v>7</v>
      </c>
      <c r="N105" s="91">
        <v>9</v>
      </c>
      <c r="O105" s="91">
        <v>9</v>
      </c>
      <c r="P105" s="91">
        <v>9</v>
      </c>
      <c r="Q105" s="91">
        <v>9</v>
      </c>
      <c r="R105" s="91">
        <v>18</v>
      </c>
      <c r="S105" s="91">
        <v>9</v>
      </c>
      <c r="T105" s="91">
        <v>9</v>
      </c>
      <c r="U105" s="91">
        <v>9</v>
      </c>
      <c r="V105" s="91">
        <v>9</v>
      </c>
      <c r="W105" s="91">
        <v>9</v>
      </c>
      <c r="X105" s="91">
        <v>9</v>
      </c>
      <c r="Y105" s="91">
        <v>4</v>
      </c>
      <c r="Z105" s="91">
        <v>9</v>
      </c>
      <c r="AA105" s="91">
        <v>9</v>
      </c>
      <c r="AB105" s="91">
        <v>9</v>
      </c>
      <c r="AC105" s="91">
        <v>9</v>
      </c>
      <c r="AD105" s="91">
        <v>9</v>
      </c>
      <c r="AE105" s="91">
        <v>9</v>
      </c>
      <c r="AF105" s="91">
        <v>9</v>
      </c>
      <c r="AG105" s="91">
        <v>18</v>
      </c>
      <c r="AH105" s="91">
        <v>9</v>
      </c>
      <c r="AI105" s="91">
        <v>9</v>
      </c>
      <c r="AJ105" s="91">
        <v>9</v>
      </c>
      <c r="AK105" s="91">
        <v>9</v>
      </c>
      <c r="AL105" s="91">
        <v>9</v>
      </c>
      <c r="AM105" s="91">
        <v>9</v>
      </c>
      <c r="AN105" s="91">
        <v>9</v>
      </c>
      <c r="AO105" s="91">
        <v>18</v>
      </c>
      <c r="AP105" s="91">
        <v>20</v>
      </c>
      <c r="AQ105" s="91">
        <v>9</v>
      </c>
      <c r="AR105" s="91">
        <v>9</v>
      </c>
      <c r="AS105" s="91">
        <v>18</v>
      </c>
      <c r="AT105" s="91">
        <v>9</v>
      </c>
      <c r="AU105" s="91">
        <v>20</v>
      </c>
      <c r="AV105" s="91">
        <v>9</v>
      </c>
      <c r="AW105" s="91">
        <v>9</v>
      </c>
      <c r="AX105" s="91">
        <v>9</v>
      </c>
      <c r="AY105" s="91"/>
      <c r="AZ105" s="91">
        <v>9</v>
      </c>
      <c r="BA105" s="91">
        <v>9</v>
      </c>
      <c r="BB105" s="91">
        <v>9</v>
      </c>
      <c r="BC105" s="91">
        <v>9</v>
      </c>
      <c r="BD105" s="91">
        <v>9</v>
      </c>
      <c r="BE105" s="91">
        <v>9</v>
      </c>
      <c r="BF105" s="91">
        <v>3</v>
      </c>
      <c r="BG105" s="91">
        <v>20</v>
      </c>
      <c r="BH105" s="91"/>
    </row>
    <row r="106" spans="1:60" x14ac:dyDescent="0.25">
      <c r="A106" s="91" t="s">
        <v>475</v>
      </c>
      <c r="B106" s="129">
        <f t="shared" si="6"/>
        <v>513</v>
      </c>
      <c r="C106" s="91">
        <f t="shared" si="7"/>
        <v>47</v>
      </c>
      <c r="D106" s="130">
        <f t="shared" si="8"/>
        <v>0.94</v>
      </c>
      <c r="E106" s="131">
        <v>46280</v>
      </c>
      <c r="F106" s="131">
        <v>46282</v>
      </c>
      <c r="G106" s="91">
        <f t="shared" si="9"/>
        <v>2</v>
      </c>
      <c r="H106" s="91">
        <v>8</v>
      </c>
      <c r="I106" s="91">
        <v>5</v>
      </c>
      <c r="J106" s="91">
        <v>15</v>
      </c>
      <c r="K106" s="91">
        <v>7</v>
      </c>
      <c r="L106" s="91">
        <v>15</v>
      </c>
      <c r="M106" s="91"/>
      <c r="N106" s="91">
        <v>8</v>
      </c>
      <c r="O106" s="91">
        <v>15</v>
      </c>
      <c r="P106" s="91">
        <v>15</v>
      </c>
      <c r="Q106" s="91">
        <v>8</v>
      </c>
      <c r="R106" s="91">
        <v>15</v>
      </c>
      <c r="S106" s="91">
        <v>15</v>
      </c>
      <c r="T106" s="91">
        <v>8</v>
      </c>
      <c r="U106" s="91">
        <v>8</v>
      </c>
      <c r="V106" s="91">
        <v>8</v>
      </c>
      <c r="W106" s="91">
        <v>7</v>
      </c>
      <c r="X106" s="91">
        <v>15</v>
      </c>
      <c r="Y106" s="91"/>
      <c r="Z106" s="91">
        <v>8</v>
      </c>
      <c r="AA106" s="91">
        <v>8</v>
      </c>
      <c r="AB106" s="91">
        <v>8</v>
      </c>
      <c r="AC106" s="91">
        <v>15</v>
      </c>
      <c r="AD106" s="91">
        <v>15</v>
      </c>
      <c r="AE106" s="91">
        <v>8</v>
      </c>
      <c r="AF106" s="91">
        <v>8</v>
      </c>
      <c r="AG106" s="91">
        <v>16</v>
      </c>
      <c r="AH106" s="91">
        <v>8</v>
      </c>
      <c r="AI106" s="91">
        <v>16</v>
      </c>
      <c r="AJ106" s="91">
        <v>16</v>
      </c>
      <c r="AK106" s="91">
        <v>8</v>
      </c>
      <c r="AL106" s="91">
        <v>8</v>
      </c>
      <c r="AM106" s="91">
        <v>8</v>
      </c>
      <c r="AN106" s="91">
        <v>8</v>
      </c>
      <c r="AO106" s="91">
        <v>16</v>
      </c>
      <c r="AP106" s="91">
        <v>8</v>
      </c>
      <c r="AQ106" s="91">
        <v>8</v>
      </c>
      <c r="AR106" s="91">
        <v>8</v>
      </c>
      <c r="AS106" s="91">
        <v>16</v>
      </c>
      <c r="AT106" s="91">
        <v>8</v>
      </c>
      <c r="AU106" s="91">
        <v>16</v>
      </c>
      <c r="AV106" s="91">
        <v>8</v>
      </c>
      <c r="AW106" s="91">
        <v>8</v>
      </c>
      <c r="AX106" s="91">
        <v>16</v>
      </c>
      <c r="AY106" s="91"/>
      <c r="AZ106" s="91">
        <v>8</v>
      </c>
      <c r="BA106" s="91">
        <v>8</v>
      </c>
      <c r="BB106" s="91">
        <v>8</v>
      </c>
      <c r="BC106" s="91">
        <v>8</v>
      </c>
      <c r="BD106" s="91">
        <v>8</v>
      </c>
      <c r="BE106" s="91">
        <v>16</v>
      </c>
      <c r="BF106" s="91">
        <v>1</v>
      </c>
      <c r="BG106" s="91">
        <v>14</v>
      </c>
      <c r="BH106" s="91"/>
    </row>
    <row r="107" spans="1:60" x14ac:dyDescent="0.25">
      <c r="A107" s="91" t="s">
        <v>516</v>
      </c>
      <c r="B107" s="129">
        <f t="shared" si="6"/>
        <v>512</v>
      </c>
      <c r="C107" s="91">
        <f t="shared" si="7"/>
        <v>47</v>
      </c>
      <c r="D107" s="130">
        <f t="shared" si="8"/>
        <v>0.94</v>
      </c>
      <c r="E107" s="131">
        <v>46280</v>
      </c>
      <c r="F107" s="131">
        <v>46282</v>
      </c>
      <c r="G107" s="91">
        <f t="shared" si="9"/>
        <v>2</v>
      </c>
      <c r="H107" s="91">
        <v>8</v>
      </c>
      <c r="I107" s="91">
        <v>7</v>
      </c>
      <c r="J107" s="91">
        <v>15</v>
      </c>
      <c r="K107" s="91">
        <v>7</v>
      </c>
      <c r="L107" s="91">
        <v>15</v>
      </c>
      <c r="M107" s="91"/>
      <c r="N107" s="91">
        <v>8</v>
      </c>
      <c r="O107" s="91">
        <v>15</v>
      </c>
      <c r="P107" s="91">
        <v>15</v>
      </c>
      <c r="Q107" s="91">
        <v>8</v>
      </c>
      <c r="R107" s="91">
        <v>15</v>
      </c>
      <c r="S107" s="91">
        <v>15</v>
      </c>
      <c r="T107" s="91">
        <v>8</v>
      </c>
      <c r="U107" s="91">
        <v>8</v>
      </c>
      <c r="V107" s="91">
        <v>8</v>
      </c>
      <c r="W107" s="91">
        <v>7</v>
      </c>
      <c r="X107" s="91">
        <v>15</v>
      </c>
      <c r="Y107" s="91"/>
      <c r="Z107" s="91">
        <v>8</v>
      </c>
      <c r="AA107" s="91">
        <v>8</v>
      </c>
      <c r="AB107" s="91">
        <v>8</v>
      </c>
      <c r="AC107" s="91">
        <v>15</v>
      </c>
      <c r="AD107" s="91">
        <v>15</v>
      </c>
      <c r="AE107" s="91">
        <v>8</v>
      </c>
      <c r="AF107" s="91">
        <v>8</v>
      </c>
      <c r="AG107" s="91">
        <v>16</v>
      </c>
      <c r="AH107" s="91">
        <v>7</v>
      </c>
      <c r="AI107" s="91">
        <v>15</v>
      </c>
      <c r="AJ107" s="91">
        <v>16</v>
      </c>
      <c r="AK107" s="91">
        <v>8</v>
      </c>
      <c r="AL107" s="91">
        <v>8</v>
      </c>
      <c r="AM107" s="91">
        <v>8</v>
      </c>
      <c r="AN107" s="91">
        <v>8</v>
      </c>
      <c r="AO107" s="91">
        <v>16</v>
      </c>
      <c r="AP107" s="91">
        <v>8</v>
      </c>
      <c r="AQ107" s="91">
        <v>8</v>
      </c>
      <c r="AR107" s="91">
        <v>8</v>
      </c>
      <c r="AS107" s="91">
        <v>16</v>
      </c>
      <c r="AT107" s="91">
        <v>8</v>
      </c>
      <c r="AU107" s="91">
        <v>15</v>
      </c>
      <c r="AV107" s="91">
        <v>7</v>
      </c>
      <c r="AW107" s="91">
        <v>8</v>
      </c>
      <c r="AX107" s="91">
        <v>16</v>
      </c>
      <c r="AY107" s="91"/>
      <c r="AZ107" s="91">
        <v>8</v>
      </c>
      <c r="BA107" s="91">
        <v>8</v>
      </c>
      <c r="BB107" s="91">
        <v>8</v>
      </c>
      <c r="BC107" s="91">
        <v>8</v>
      </c>
      <c r="BD107" s="91">
        <v>8</v>
      </c>
      <c r="BE107" s="91">
        <v>16</v>
      </c>
      <c r="BF107" s="91">
        <v>2</v>
      </c>
      <c r="BG107" s="91">
        <v>14</v>
      </c>
      <c r="BH107" s="91"/>
    </row>
    <row r="108" spans="1:60" x14ac:dyDescent="0.25">
      <c r="A108" s="91" t="s">
        <v>168</v>
      </c>
      <c r="B108" s="129">
        <f t="shared" si="6"/>
        <v>511</v>
      </c>
      <c r="C108" s="91">
        <f t="shared" si="7"/>
        <v>48</v>
      </c>
      <c r="D108" s="130">
        <f t="shared" si="8"/>
        <v>0.96</v>
      </c>
      <c r="E108" s="131">
        <v>46282</v>
      </c>
      <c r="F108" s="131">
        <v>46302</v>
      </c>
      <c r="G108" s="91">
        <f t="shared" si="9"/>
        <v>20</v>
      </c>
      <c r="H108" s="91">
        <v>7</v>
      </c>
      <c r="I108" s="91">
        <v>7</v>
      </c>
      <c r="J108" s="91">
        <v>14</v>
      </c>
      <c r="K108" s="91">
        <v>7</v>
      </c>
      <c r="L108" s="91">
        <v>14</v>
      </c>
      <c r="M108" s="91"/>
      <c r="N108" s="91">
        <v>14</v>
      </c>
      <c r="O108" s="91">
        <v>14</v>
      </c>
      <c r="P108" s="91">
        <v>14</v>
      </c>
      <c r="Q108" s="91">
        <v>14</v>
      </c>
      <c r="R108" s="91">
        <v>7</v>
      </c>
      <c r="S108" s="91">
        <v>14</v>
      </c>
      <c r="T108" s="91">
        <v>7</v>
      </c>
      <c r="U108" s="91">
        <v>7</v>
      </c>
      <c r="V108" s="91">
        <v>7</v>
      </c>
      <c r="W108" s="91">
        <v>7</v>
      </c>
      <c r="X108" s="91">
        <v>14</v>
      </c>
      <c r="Y108" s="91">
        <v>7</v>
      </c>
      <c r="Z108" s="91">
        <v>14</v>
      </c>
      <c r="AA108" s="91">
        <v>7</v>
      </c>
      <c r="AB108" s="91">
        <v>14</v>
      </c>
      <c r="AC108" s="91">
        <v>7</v>
      </c>
      <c r="AD108" s="91">
        <v>14</v>
      </c>
      <c r="AE108" s="91">
        <v>7</v>
      </c>
      <c r="AF108" s="91">
        <v>14</v>
      </c>
      <c r="AG108" s="91">
        <v>7</v>
      </c>
      <c r="AH108" s="91">
        <v>7</v>
      </c>
      <c r="AI108" s="91">
        <v>14</v>
      </c>
      <c r="AJ108" s="91">
        <v>7</v>
      </c>
      <c r="AK108" s="91">
        <v>7</v>
      </c>
      <c r="AL108" s="91">
        <v>7</v>
      </c>
      <c r="AM108" s="91">
        <v>14</v>
      </c>
      <c r="AN108" s="91">
        <v>14</v>
      </c>
      <c r="AO108" s="91">
        <v>14</v>
      </c>
      <c r="AP108" s="91">
        <v>7</v>
      </c>
      <c r="AQ108" s="91">
        <v>7</v>
      </c>
      <c r="AR108" s="91">
        <v>7</v>
      </c>
      <c r="AS108" s="91">
        <v>7</v>
      </c>
      <c r="AT108" s="91">
        <v>7</v>
      </c>
      <c r="AU108" s="91">
        <v>7</v>
      </c>
      <c r="AV108" s="91">
        <v>7</v>
      </c>
      <c r="AW108" s="91">
        <v>7</v>
      </c>
      <c r="AX108" s="91">
        <v>14</v>
      </c>
      <c r="AY108" s="91"/>
      <c r="AZ108" s="91">
        <v>7</v>
      </c>
      <c r="BA108" s="91">
        <v>7</v>
      </c>
      <c r="BB108" s="91">
        <v>7</v>
      </c>
      <c r="BC108" s="91">
        <v>7</v>
      </c>
      <c r="BD108" s="91">
        <v>7</v>
      </c>
      <c r="BE108" s="91">
        <v>7</v>
      </c>
      <c r="BF108" s="91">
        <v>28</v>
      </c>
      <c r="BG108" s="91">
        <v>28</v>
      </c>
      <c r="BH108" s="91"/>
    </row>
    <row r="109" spans="1:60" x14ac:dyDescent="0.25">
      <c r="A109" s="91" t="s">
        <v>112</v>
      </c>
      <c r="B109" s="129">
        <f t="shared" si="6"/>
        <v>511</v>
      </c>
      <c r="C109" s="91">
        <f t="shared" si="7"/>
        <v>41</v>
      </c>
      <c r="D109" s="130">
        <f t="shared" si="8"/>
        <v>0.82</v>
      </c>
      <c r="E109" s="131">
        <v>46301</v>
      </c>
      <c r="F109" s="131">
        <v>46319</v>
      </c>
      <c r="G109" s="91">
        <f t="shared" si="9"/>
        <v>18</v>
      </c>
      <c r="H109" s="91">
        <v>5</v>
      </c>
      <c r="I109" s="91">
        <v>5</v>
      </c>
      <c r="J109" s="91">
        <v>21</v>
      </c>
      <c r="K109" s="91">
        <v>7</v>
      </c>
      <c r="L109" s="91">
        <v>21</v>
      </c>
      <c r="M109" s="91"/>
      <c r="N109" s="91">
        <v>21</v>
      </c>
      <c r="O109" s="91">
        <v>12</v>
      </c>
      <c r="P109" s="91">
        <v>14</v>
      </c>
      <c r="Q109" s="91">
        <v>7</v>
      </c>
      <c r="R109" s="91"/>
      <c r="S109" s="91">
        <v>21</v>
      </c>
      <c r="T109" s="91">
        <v>1</v>
      </c>
      <c r="U109" s="91">
        <v>5</v>
      </c>
      <c r="V109" s="91">
        <v>7</v>
      </c>
      <c r="W109" s="91">
        <v>14</v>
      </c>
      <c r="X109" s="91">
        <v>14</v>
      </c>
      <c r="Y109" s="91">
        <v>1</v>
      </c>
      <c r="Z109" s="91">
        <v>15</v>
      </c>
      <c r="AA109" s="91">
        <v>5</v>
      </c>
      <c r="AB109" s="91">
        <v>21</v>
      </c>
      <c r="AC109" s="91">
        <v>14</v>
      </c>
      <c r="AD109" s="91">
        <v>14</v>
      </c>
      <c r="AE109" s="91">
        <v>5</v>
      </c>
      <c r="AF109" s="91">
        <v>14</v>
      </c>
      <c r="AG109" s="91"/>
      <c r="AH109" s="91">
        <v>14</v>
      </c>
      <c r="AI109" s="91">
        <v>14</v>
      </c>
      <c r="AJ109" s="91"/>
      <c r="AK109" s="91">
        <v>5</v>
      </c>
      <c r="AL109" s="91"/>
      <c r="AM109" s="91">
        <v>7</v>
      </c>
      <c r="AN109" s="91">
        <v>7</v>
      </c>
      <c r="AO109" s="91">
        <v>14</v>
      </c>
      <c r="AP109" s="91"/>
      <c r="AQ109" s="91">
        <v>5</v>
      </c>
      <c r="AR109" s="91">
        <v>5</v>
      </c>
      <c r="AS109" s="91">
        <v>14</v>
      </c>
      <c r="AT109" s="91">
        <v>14</v>
      </c>
      <c r="AU109" s="91"/>
      <c r="AV109" s="91">
        <v>7</v>
      </c>
      <c r="AW109" s="91">
        <v>7</v>
      </c>
      <c r="AX109" s="91">
        <v>5</v>
      </c>
      <c r="AY109" s="91"/>
      <c r="AZ109" s="91">
        <v>5</v>
      </c>
      <c r="BA109" s="91">
        <v>5</v>
      </c>
      <c r="BB109" s="91">
        <v>14</v>
      </c>
      <c r="BC109" s="91">
        <v>14</v>
      </c>
      <c r="BD109" s="91"/>
      <c r="BE109" s="91">
        <v>7</v>
      </c>
      <c r="BF109" s="91">
        <v>42</v>
      </c>
      <c r="BG109" s="91">
        <v>42</v>
      </c>
      <c r="BH109" s="91"/>
    </row>
    <row r="110" spans="1:60" x14ac:dyDescent="0.25">
      <c r="A110" s="91" t="s">
        <v>278</v>
      </c>
      <c r="B110" s="129">
        <f t="shared" si="6"/>
        <v>510</v>
      </c>
      <c r="C110" s="91">
        <f t="shared" si="7"/>
        <v>49</v>
      </c>
      <c r="D110" s="130">
        <f t="shared" si="8"/>
        <v>0.98</v>
      </c>
      <c r="E110" s="131">
        <v>46225</v>
      </c>
      <c r="F110" s="131">
        <v>46266</v>
      </c>
      <c r="G110" s="91">
        <f t="shared" si="9"/>
        <v>41</v>
      </c>
      <c r="H110" s="91">
        <v>9</v>
      </c>
      <c r="I110" s="91">
        <v>9</v>
      </c>
      <c r="J110" s="91">
        <v>9</v>
      </c>
      <c r="K110" s="91">
        <v>9</v>
      </c>
      <c r="L110" s="91">
        <v>9</v>
      </c>
      <c r="M110" s="91">
        <v>7</v>
      </c>
      <c r="N110" s="91">
        <v>9</v>
      </c>
      <c r="O110" s="91">
        <v>9</v>
      </c>
      <c r="P110" s="91">
        <v>9</v>
      </c>
      <c r="Q110" s="91">
        <v>9</v>
      </c>
      <c r="R110" s="91">
        <v>19</v>
      </c>
      <c r="S110" s="91">
        <v>9</v>
      </c>
      <c r="T110" s="91">
        <v>9</v>
      </c>
      <c r="U110" s="91">
        <v>9</v>
      </c>
      <c r="V110" s="91">
        <v>9</v>
      </c>
      <c r="W110" s="91">
        <v>9</v>
      </c>
      <c r="X110" s="91">
        <v>9</v>
      </c>
      <c r="Y110" s="91">
        <v>9</v>
      </c>
      <c r="Z110" s="91">
        <v>9</v>
      </c>
      <c r="AA110" s="91">
        <v>9</v>
      </c>
      <c r="AB110" s="91">
        <v>9</v>
      </c>
      <c r="AC110" s="91">
        <v>9</v>
      </c>
      <c r="AD110" s="91">
        <v>9</v>
      </c>
      <c r="AE110" s="91">
        <v>15</v>
      </c>
      <c r="AF110" s="91">
        <v>9</v>
      </c>
      <c r="AG110" s="91">
        <v>9</v>
      </c>
      <c r="AH110" s="91">
        <v>9</v>
      </c>
      <c r="AI110" s="91">
        <v>9</v>
      </c>
      <c r="AJ110" s="91">
        <v>9</v>
      </c>
      <c r="AK110" s="91">
        <v>9</v>
      </c>
      <c r="AL110" s="91">
        <v>9</v>
      </c>
      <c r="AM110" s="91">
        <v>18</v>
      </c>
      <c r="AN110" s="91">
        <v>9</v>
      </c>
      <c r="AO110" s="91">
        <v>9</v>
      </c>
      <c r="AP110" s="91">
        <v>18</v>
      </c>
      <c r="AQ110" s="91">
        <v>9</v>
      </c>
      <c r="AR110" s="91">
        <v>9</v>
      </c>
      <c r="AS110" s="91">
        <v>9</v>
      </c>
      <c r="AT110" s="91">
        <v>9</v>
      </c>
      <c r="AU110" s="91">
        <v>9</v>
      </c>
      <c r="AV110" s="91">
        <v>9</v>
      </c>
      <c r="AW110" s="91">
        <v>9</v>
      </c>
      <c r="AX110" s="91">
        <v>15</v>
      </c>
      <c r="AY110" s="91"/>
      <c r="AZ110" s="91">
        <v>9</v>
      </c>
      <c r="BA110" s="91">
        <v>9</v>
      </c>
      <c r="BB110" s="91">
        <v>9</v>
      </c>
      <c r="BC110" s="91">
        <v>9</v>
      </c>
      <c r="BD110" s="91">
        <v>9</v>
      </c>
      <c r="BE110" s="91">
        <v>6</v>
      </c>
      <c r="BF110" s="91">
        <v>16</v>
      </c>
      <c r="BG110" s="91">
        <v>18</v>
      </c>
      <c r="BH110" s="91"/>
    </row>
    <row r="111" spans="1:60" x14ac:dyDescent="0.25">
      <c r="A111" s="91" t="s">
        <v>331</v>
      </c>
      <c r="B111" s="129">
        <f t="shared" si="6"/>
        <v>506</v>
      </c>
      <c r="C111" s="91">
        <f t="shared" si="7"/>
        <v>49</v>
      </c>
      <c r="D111" s="130">
        <f t="shared" si="8"/>
        <v>0.98</v>
      </c>
      <c r="E111" s="131">
        <v>46225</v>
      </c>
      <c r="F111" s="131">
        <v>46310</v>
      </c>
      <c r="G111" s="91">
        <f t="shared" si="9"/>
        <v>85</v>
      </c>
      <c r="H111" s="91">
        <v>7</v>
      </c>
      <c r="I111" s="91">
        <v>7</v>
      </c>
      <c r="J111" s="91">
        <v>14</v>
      </c>
      <c r="K111" s="91">
        <v>7</v>
      </c>
      <c r="L111" s="91">
        <v>14</v>
      </c>
      <c r="M111" s="91">
        <v>4</v>
      </c>
      <c r="N111" s="91">
        <v>14</v>
      </c>
      <c r="O111" s="91">
        <v>7</v>
      </c>
      <c r="P111" s="91">
        <v>14</v>
      </c>
      <c r="Q111" s="91">
        <v>7</v>
      </c>
      <c r="R111" s="91">
        <v>7</v>
      </c>
      <c r="S111" s="91">
        <v>14</v>
      </c>
      <c r="T111" s="91">
        <v>14</v>
      </c>
      <c r="U111" s="91">
        <v>7</v>
      </c>
      <c r="V111" s="91">
        <v>7</v>
      </c>
      <c r="W111" s="91">
        <v>7</v>
      </c>
      <c r="X111" s="91">
        <v>14</v>
      </c>
      <c r="Y111" s="91">
        <v>4</v>
      </c>
      <c r="Z111" s="91">
        <v>7</v>
      </c>
      <c r="AA111" s="91">
        <v>7</v>
      </c>
      <c r="AB111" s="91">
        <v>14</v>
      </c>
      <c r="AC111" s="91">
        <v>14</v>
      </c>
      <c r="AD111" s="91">
        <v>14</v>
      </c>
      <c r="AE111" s="91">
        <v>7</v>
      </c>
      <c r="AF111" s="91">
        <v>14</v>
      </c>
      <c r="AG111" s="91">
        <v>14</v>
      </c>
      <c r="AH111" s="91">
        <v>14</v>
      </c>
      <c r="AI111" s="91">
        <v>14</v>
      </c>
      <c r="AJ111" s="91">
        <v>14</v>
      </c>
      <c r="AK111" s="91">
        <v>7</v>
      </c>
      <c r="AL111" s="91">
        <v>14</v>
      </c>
      <c r="AM111" s="91">
        <v>7</v>
      </c>
      <c r="AN111" s="91">
        <v>7</v>
      </c>
      <c r="AO111" s="91">
        <v>14</v>
      </c>
      <c r="AP111" s="91">
        <v>7</v>
      </c>
      <c r="AQ111" s="91">
        <v>7</v>
      </c>
      <c r="AR111" s="91">
        <v>7</v>
      </c>
      <c r="AS111" s="91">
        <v>7</v>
      </c>
      <c r="AT111" s="91">
        <v>7</v>
      </c>
      <c r="AU111" s="91">
        <v>7</v>
      </c>
      <c r="AV111" s="91">
        <v>7</v>
      </c>
      <c r="AW111" s="91">
        <v>7</v>
      </c>
      <c r="AX111" s="91">
        <v>7</v>
      </c>
      <c r="AY111" s="91"/>
      <c r="AZ111" s="91">
        <v>7</v>
      </c>
      <c r="BA111" s="91">
        <v>7</v>
      </c>
      <c r="BB111" s="91">
        <v>14</v>
      </c>
      <c r="BC111" s="91">
        <v>7</v>
      </c>
      <c r="BD111" s="91">
        <v>14</v>
      </c>
      <c r="BE111" s="91">
        <v>7</v>
      </c>
      <c r="BF111" s="91">
        <v>12</v>
      </c>
      <c r="BG111" s="91">
        <v>24</v>
      </c>
      <c r="BH111" s="91"/>
    </row>
    <row r="112" spans="1:60" x14ac:dyDescent="0.25">
      <c r="A112" s="91" t="s">
        <v>281</v>
      </c>
      <c r="B112" s="129">
        <f t="shared" si="6"/>
        <v>503</v>
      </c>
      <c r="C112" s="91">
        <f t="shared" si="7"/>
        <v>47</v>
      </c>
      <c r="D112" s="130">
        <f t="shared" si="8"/>
        <v>0.94</v>
      </c>
      <c r="E112" s="131">
        <v>46225</v>
      </c>
      <c r="F112" s="131">
        <v>46245</v>
      </c>
      <c r="G112" s="91">
        <f t="shared" si="9"/>
        <v>20</v>
      </c>
      <c r="H112" s="91">
        <v>8</v>
      </c>
      <c r="I112" s="91">
        <v>8</v>
      </c>
      <c r="J112" s="91">
        <v>8</v>
      </c>
      <c r="K112" s="91">
        <v>14</v>
      </c>
      <c r="L112" s="91">
        <v>8</v>
      </c>
      <c r="M112" s="91"/>
      <c r="N112" s="91">
        <v>16</v>
      </c>
      <c r="O112" s="91">
        <v>8</v>
      </c>
      <c r="P112" s="91">
        <v>14</v>
      </c>
      <c r="Q112" s="91">
        <v>8</v>
      </c>
      <c r="R112" s="91">
        <v>14</v>
      </c>
      <c r="S112" s="91">
        <v>8</v>
      </c>
      <c r="T112" s="91">
        <v>14</v>
      </c>
      <c r="U112" s="91">
        <v>8</v>
      </c>
      <c r="V112" s="91">
        <v>8</v>
      </c>
      <c r="W112" s="91">
        <v>8</v>
      </c>
      <c r="X112" s="91">
        <v>8</v>
      </c>
      <c r="Y112" s="91">
        <v>8</v>
      </c>
      <c r="Z112" s="91">
        <v>14</v>
      </c>
      <c r="AA112" s="91">
        <v>8</v>
      </c>
      <c r="AB112" s="91">
        <v>8</v>
      </c>
      <c r="AC112" s="91">
        <v>16</v>
      </c>
      <c r="AD112" s="91">
        <v>8</v>
      </c>
      <c r="AE112" s="91">
        <v>13</v>
      </c>
      <c r="AF112" s="91">
        <v>8</v>
      </c>
      <c r="AG112" s="91">
        <v>14</v>
      </c>
      <c r="AH112" s="91">
        <v>14</v>
      </c>
      <c r="AI112" s="91">
        <v>7</v>
      </c>
      <c r="AJ112" s="91">
        <v>14</v>
      </c>
      <c r="AK112" s="91">
        <v>8</v>
      </c>
      <c r="AL112" s="91">
        <v>8</v>
      </c>
      <c r="AM112" s="91">
        <v>16</v>
      </c>
      <c r="AN112" s="91">
        <v>8</v>
      </c>
      <c r="AO112" s="91">
        <v>8</v>
      </c>
      <c r="AP112" s="91">
        <v>16</v>
      </c>
      <c r="AQ112" s="91">
        <v>8</v>
      </c>
      <c r="AR112" s="91">
        <v>8</v>
      </c>
      <c r="AS112" s="91"/>
      <c r="AT112" s="91">
        <v>8</v>
      </c>
      <c r="AU112" s="91">
        <v>8</v>
      </c>
      <c r="AV112" s="91">
        <v>6</v>
      </c>
      <c r="AW112" s="91">
        <v>8</v>
      </c>
      <c r="AX112" s="91">
        <v>14</v>
      </c>
      <c r="AY112" s="91"/>
      <c r="AZ112" s="91">
        <v>8</v>
      </c>
      <c r="BA112" s="91">
        <v>8</v>
      </c>
      <c r="BB112" s="91">
        <v>22</v>
      </c>
      <c r="BC112" s="91">
        <v>8</v>
      </c>
      <c r="BD112" s="91">
        <v>8</v>
      </c>
      <c r="BE112" s="91">
        <v>6</v>
      </c>
      <c r="BF112" s="91">
        <v>13</v>
      </c>
      <c r="BG112" s="91">
        <v>14</v>
      </c>
      <c r="BH112" s="91"/>
    </row>
    <row r="113" spans="1:60" x14ac:dyDescent="0.25">
      <c r="A113" s="91" t="s">
        <v>251</v>
      </c>
      <c r="B113" s="129">
        <f t="shared" si="6"/>
        <v>500</v>
      </c>
      <c r="C113" s="91">
        <f t="shared" si="7"/>
        <v>49</v>
      </c>
      <c r="D113" s="130">
        <f t="shared" si="8"/>
        <v>0.98</v>
      </c>
      <c r="E113" s="131">
        <v>46225</v>
      </c>
      <c r="F113" s="131">
        <v>46302</v>
      </c>
      <c r="G113" s="91">
        <f t="shared" si="9"/>
        <v>77</v>
      </c>
      <c r="H113" s="91">
        <v>9</v>
      </c>
      <c r="I113" s="91">
        <v>9</v>
      </c>
      <c r="J113" s="91">
        <v>9</v>
      </c>
      <c r="K113" s="91">
        <v>9</v>
      </c>
      <c r="L113" s="91">
        <v>9</v>
      </c>
      <c r="M113" s="91">
        <v>6</v>
      </c>
      <c r="N113" s="91">
        <v>9</v>
      </c>
      <c r="O113" s="91">
        <v>9</v>
      </c>
      <c r="P113" s="91">
        <v>9</v>
      </c>
      <c r="Q113" s="91">
        <v>9</v>
      </c>
      <c r="R113" s="91">
        <v>22</v>
      </c>
      <c r="S113" s="91">
        <v>9</v>
      </c>
      <c r="T113" s="91">
        <v>9</v>
      </c>
      <c r="U113" s="91">
        <v>9</v>
      </c>
      <c r="V113" s="91">
        <v>9</v>
      </c>
      <c r="W113" s="91">
        <v>9</v>
      </c>
      <c r="X113" s="91">
        <v>9</v>
      </c>
      <c r="Y113" s="91">
        <v>10</v>
      </c>
      <c r="Z113" s="91">
        <v>9</v>
      </c>
      <c r="AA113" s="91">
        <v>9</v>
      </c>
      <c r="AB113" s="91">
        <v>9</v>
      </c>
      <c r="AC113" s="91">
        <v>9</v>
      </c>
      <c r="AD113" s="91">
        <v>9</v>
      </c>
      <c r="AE113" s="91">
        <v>15</v>
      </c>
      <c r="AF113" s="91">
        <v>9</v>
      </c>
      <c r="AG113" s="91">
        <v>9</v>
      </c>
      <c r="AH113" s="91">
        <v>9</v>
      </c>
      <c r="AI113" s="91">
        <v>9</v>
      </c>
      <c r="AJ113" s="91">
        <v>9</v>
      </c>
      <c r="AK113" s="91">
        <v>9</v>
      </c>
      <c r="AL113" s="91">
        <v>9</v>
      </c>
      <c r="AM113" s="91">
        <v>18</v>
      </c>
      <c r="AN113" s="91">
        <v>9</v>
      </c>
      <c r="AO113" s="91">
        <v>9</v>
      </c>
      <c r="AP113" s="91">
        <v>18</v>
      </c>
      <c r="AQ113" s="91">
        <v>9</v>
      </c>
      <c r="AR113" s="91">
        <v>9</v>
      </c>
      <c r="AS113" s="91">
        <v>9</v>
      </c>
      <c r="AT113" s="91">
        <v>9</v>
      </c>
      <c r="AU113" s="91">
        <v>9</v>
      </c>
      <c r="AV113" s="91">
        <v>9</v>
      </c>
      <c r="AW113" s="91">
        <v>9</v>
      </c>
      <c r="AX113" s="91">
        <v>20</v>
      </c>
      <c r="AY113" s="91"/>
      <c r="AZ113" s="91">
        <v>9</v>
      </c>
      <c r="BA113" s="91">
        <v>9</v>
      </c>
      <c r="BB113" s="91">
        <v>9</v>
      </c>
      <c r="BC113" s="91">
        <v>9</v>
      </c>
      <c r="BD113" s="91">
        <v>9</v>
      </c>
      <c r="BE113" s="91">
        <v>9</v>
      </c>
      <c r="BF113" s="91">
        <v>1</v>
      </c>
      <c r="BG113" s="91">
        <v>12</v>
      </c>
      <c r="BH113" s="91"/>
    </row>
    <row r="114" spans="1:60" x14ac:dyDescent="0.25">
      <c r="A114" s="91" t="s">
        <v>565</v>
      </c>
      <c r="B114" s="129">
        <f t="shared" si="6"/>
        <v>500</v>
      </c>
      <c r="C114" s="91">
        <f t="shared" si="7"/>
        <v>48</v>
      </c>
      <c r="D114" s="130">
        <f t="shared" si="8"/>
        <v>0.96</v>
      </c>
      <c r="E114" s="131">
        <v>46262</v>
      </c>
      <c r="F114" s="131">
        <v>46314</v>
      </c>
      <c r="G114" s="91">
        <f t="shared" si="9"/>
        <v>52</v>
      </c>
      <c r="H114" s="91">
        <v>10</v>
      </c>
      <c r="I114" s="91">
        <v>10</v>
      </c>
      <c r="J114" s="91">
        <v>10</v>
      </c>
      <c r="K114" s="91">
        <v>10</v>
      </c>
      <c r="L114" s="91">
        <v>10</v>
      </c>
      <c r="M114" s="91"/>
      <c r="N114" s="91">
        <v>10</v>
      </c>
      <c r="O114" s="91">
        <v>10</v>
      </c>
      <c r="P114" s="91">
        <v>10</v>
      </c>
      <c r="Q114" s="91">
        <v>10</v>
      </c>
      <c r="R114" s="91">
        <v>10</v>
      </c>
      <c r="S114" s="91">
        <v>10</v>
      </c>
      <c r="T114" s="91">
        <v>10</v>
      </c>
      <c r="U114" s="91">
        <v>10</v>
      </c>
      <c r="V114" s="91">
        <v>10</v>
      </c>
      <c r="W114" s="91">
        <v>10</v>
      </c>
      <c r="X114" s="91">
        <v>10</v>
      </c>
      <c r="Y114" s="91">
        <v>2</v>
      </c>
      <c r="Z114" s="91">
        <v>10</v>
      </c>
      <c r="AA114" s="91">
        <v>10</v>
      </c>
      <c r="AB114" s="91">
        <v>10</v>
      </c>
      <c r="AC114" s="91">
        <v>10</v>
      </c>
      <c r="AD114" s="91">
        <v>10</v>
      </c>
      <c r="AE114" s="91">
        <v>10</v>
      </c>
      <c r="AF114" s="91">
        <v>10</v>
      </c>
      <c r="AG114" s="91">
        <v>10</v>
      </c>
      <c r="AH114" s="91">
        <v>10</v>
      </c>
      <c r="AI114" s="91">
        <v>10</v>
      </c>
      <c r="AJ114" s="91">
        <v>10</v>
      </c>
      <c r="AK114" s="91">
        <v>10</v>
      </c>
      <c r="AL114" s="91">
        <v>10</v>
      </c>
      <c r="AM114" s="91">
        <v>10</v>
      </c>
      <c r="AN114" s="91">
        <v>10</v>
      </c>
      <c r="AO114" s="91">
        <v>10</v>
      </c>
      <c r="AP114" s="91">
        <v>10</v>
      </c>
      <c r="AQ114" s="91">
        <v>10</v>
      </c>
      <c r="AR114" s="91">
        <v>10</v>
      </c>
      <c r="AS114" s="91">
        <v>10</v>
      </c>
      <c r="AT114" s="91">
        <v>10</v>
      </c>
      <c r="AU114" s="91">
        <v>10</v>
      </c>
      <c r="AV114" s="91">
        <v>8</v>
      </c>
      <c r="AW114" s="91">
        <v>10</v>
      </c>
      <c r="AX114" s="91">
        <v>10</v>
      </c>
      <c r="AY114" s="91"/>
      <c r="AZ114" s="91">
        <v>10</v>
      </c>
      <c r="BA114" s="91">
        <v>10</v>
      </c>
      <c r="BB114" s="91">
        <v>8</v>
      </c>
      <c r="BC114" s="91">
        <v>10</v>
      </c>
      <c r="BD114" s="91">
        <v>10</v>
      </c>
      <c r="BE114" s="91">
        <v>10</v>
      </c>
      <c r="BF114" s="91">
        <v>16</v>
      </c>
      <c r="BG114" s="91">
        <v>16</v>
      </c>
      <c r="BH114" s="91"/>
    </row>
    <row r="115" spans="1:60" x14ac:dyDescent="0.25">
      <c r="A115" s="91" t="s">
        <v>206</v>
      </c>
      <c r="B115" s="129">
        <f t="shared" si="6"/>
        <v>499</v>
      </c>
      <c r="C115" s="91">
        <f t="shared" si="7"/>
        <v>35</v>
      </c>
      <c r="D115" s="130">
        <f t="shared" si="8"/>
        <v>0.7</v>
      </c>
      <c r="E115" s="131">
        <v>46266</v>
      </c>
      <c r="F115" s="131">
        <v>46318</v>
      </c>
      <c r="G115" s="91">
        <f t="shared" si="9"/>
        <v>52</v>
      </c>
      <c r="H115" s="91">
        <v>14</v>
      </c>
      <c r="I115" s="91">
        <v>14</v>
      </c>
      <c r="J115" s="91">
        <v>14</v>
      </c>
      <c r="K115" s="91">
        <v>14</v>
      </c>
      <c r="L115" s="91">
        <v>14</v>
      </c>
      <c r="M115" s="91">
        <v>5</v>
      </c>
      <c r="N115" s="91">
        <v>14</v>
      </c>
      <c r="O115" s="91">
        <v>14</v>
      </c>
      <c r="P115" s="91">
        <v>14</v>
      </c>
      <c r="Q115" s="91">
        <v>14</v>
      </c>
      <c r="R115" s="91"/>
      <c r="S115" s="91">
        <v>14</v>
      </c>
      <c r="T115" s="91">
        <v>14</v>
      </c>
      <c r="U115" s="91">
        <v>14</v>
      </c>
      <c r="V115" s="91">
        <v>14</v>
      </c>
      <c r="W115" s="91"/>
      <c r="X115" s="91">
        <v>14</v>
      </c>
      <c r="Y115" s="91">
        <v>3</v>
      </c>
      <c r="Z115" s="91">
        <v>14</v>
      </c>
      <c r="AA115" s="91">
        <v>14</v>
      </c>
      <c r="AB115" s="91">
        <v>14</v>
      </c>
      <c r="AC115" s="91">
        <v>14</v>
      </c>
      <c r="AD115" s="91">
        <v>14</v>
      </c>
      <c r="AE115" s="91">
        <v>14</v>
      </c>
      <c r="AF115" s="91">
        <v>14</v>
      </c>
      <c r="AG115" s="91">
        <v>14</v>
      </c>
      <c r="AH115" s="91"/>
      <c r="AI115" s="91">
        <v>14</v>
      </c>
      <c r="AJ115" s="91"/>
      <c r="AK115" s="91"/>
      <c r="AL115" s="91"/>
      <c r="AM115" s="91"/>
      <c r="AN115" s="91">
        <v>14</v>
      </c>
      <c r="AO115" s="91">
        <v>14</v>
      </c>
      <c r="AP115" s="91">
        <v>14</v>
      </c>
      <c r="AQ115" s="91">
        <v>14</v>
      </c>
      <c r="AR115" s="91">
        <v>14</v>
      </c>
      <c r="AS115" s="91">
        <v>7</v>
      </c>
      <c r="AT115" s="91">
        <v>14</v>
      </c>
      <c r="AU115" s="91">
        <v>14</v>
      </c>
      <c r="AV115" s="91"/>
      <c r="AW115" s="91">
        <v>5</v>
      </c>
      <c r="AX115" s="91"/>
      <c r="AY115" s="91"/>
      <c r="AZ115" s="91"/>
      <c r="BA115" s="91"/>
      <c r="BB115" s="91">
        <v>7</v>
      </c>
      <c r="BC115" s="91"/>
      <c r="BD115" s="91"/>
      <c r="BE115" s="91"/>
      <c r="BF115" s="91">
        <v>28</v>
      </c>
      <c r="BG115" s="91">
        <v>24</v>
      </c>
      <c r="BH115" s="91"/>
    </row>
    <row r="116" spans="1:60" x14ac:dyDescent="0.25">
      <c r="A116" s="91" t="s">
        <v>583</v>
      </c>
      <c r="B116" s="129">
        <f t="shared" si="6"/>
        <v>498</v>
      </c>
      <c r="C116" s="91">
        <f t="shared" si="7"/>
        <v>49</v>
      </c>
      <c r="D116" s="130">
        <f t="shared" si="8"/>
        <v>0.98</v>
      </c>
      <c r="E116" s="131">
        <v>46213</v>
      </c>
      <c r="F116" s="131">
        <v>46302</v>
      </c>
      <c r="G116" s="91">
        <f t="shared" si="9"/>
        <v>89</v>
      </c>
      <c r="H116" s="91">
        <v>9</v>
      </c>
      <c r="I116" s="91">
        <v>9</v>
      </c>
      <c r="J116" s="91">
        <v>9</v>
      </c>
      <c r="K116" s="91">
        <v>9</v>
      </c>
      <c r="L116" s="91">
        <v>9</v>
      </c>
      <c r="M116" s="91">
        <v>6</v>
      </c>
      <c r="N116" s="91">
        <v>9</v>
      </c>
      <c r="O116" s="91">
        <v>9</v>
      </c>
      <c r="P116" s="91">
        <v>9</v>
      </c>
      <c r="Q116" s="91">
        <v>9</v>
      </c>
      <c r="R116" s="91">
        <v>16</v>
      </c>
      <c r="S116" s="91">
        <v>9</v>
      </c>
      <c r="T116" s="91">
        <v>9</v>
      </c>
      <c r="U116" s="91">
        <v>9</v>
      </c>
      <c r="V116" s="91">
        <v>9</v>
      </c>
      <c r="W116" s="91">
        <v>13</v>
      </c>
      <c r="X116" s="91">
        <v>9</v>
      </c>
      <c r="Y116" s="91">
        <v>9</v>
      </c>
      <c r="Z116" s="91">
        <v>9</v>
      </c>
      <c r="AA116" s="91">
        <v>9</v>
      </c>
      <c r="AB116" s="91">
        <v>9</v>
      </c>
      <c r="AC116" s="91">
        <v>9</v>
      </c>
      <c r="AD116" s="91">
        <v>9</v>
      </c>
      <c r="AE116" s="91">
        <v>9</v>
      </c>
      <c r="AF116" s="91">
        <v>9</v>
      </c>
      <c r="AG116" s="91">
        <v>9</v>
      </c>
      <c r="AH116" s="91">
        <v>9</v>
      </c>
      <c r="AI116" s="91">
        <v>9</v>
      </c>
      <c r="AJ116" s="91">
        <v>9</v>
      </c>
      <c r="AK116" s="91">
        <v>9</v>
      </c>
      <c r="AL116" s="91">
        <v>9</v>
      </c>
      <c r="AM116" s="91">
        <v>18</v>
      </c>
      <c r="AN116" s="91">
        <v>9</v>
      </c>
      <c r="AO116" s="91">
        <v>9</v>
      </c>
      <c r="AP116" s="91">
        <v>9</v>
      </c>
      <c r="AQ116" s="91">
        <v>9</v>
      </c>
      <c r="AR116" s="91">
        <v>9</v>
      </c>
      <c r="AS116" s="91">
        <v>9</v>
      </c>
      <c r="AT116" s="91">
        <v>9</v>
      </c>
      <c r="AU116" s="91">
        <v>9</v>
      </c>
      <c r="AV116" s="91">
        <v>9</v>
      </c>
      <c r="AW116" s="91">
        <v>9</v>
      </c>
      <c r="AX116" s="91">
        <v>15</v>
      </c>
      <c r="AY116" s="91"/>
      <c r="AZ116" s="91">
        <v>9</v>
      </c>
      <c r="BA116" s="91">
        <v>9</v>
      </c>
      <c r="BB116" s="91">
        <v>9</v>
      </c>
      <c r="BC116" s="91">
        <v>9</v>
      </c>
      <c r="BD116" s="91">
        <v>15</v>
      </c>
      <c r="BE116" s="91">
        <v>9</v>
      </c>
      <c r="BF116" s="91">
        <v>16</v>
      </c>
      <c r="BG116" s="91">
        <v>12</v>
      </c>
      <c r="BH116" s="91"/>
    </row>
    <row r="117" spans="1:60" x14ac:dyDescent="0.25">
      <c r="A117" s="91" t="s">
        <v>574</v>
      </c>
      <c r="B117" s="129">
        <f t="shared" si="6"/>
        <v>498</v>
      </c>
      <c r="C117" s="91">
        <f t="shared" si="7"/>
        <v>47</v>
      </c>
      <c r="D117" s="130">
        <f t="shared" si="8"/>
        <v>0.94</v>
      </c>
      <c r="E117" s="131">
        <v>46262</v>
      </c>
      <c r="F117" s="131">
        <v>46266</v>
      </c>
      <c r="G117" s="91">
        <f t="shared" si="9"/>
        <v>4</v>
      </c>
      <c r="H117" s="91">
        <v>10</v>
      </c>
      <c r="I117" s="91">
        <v>10</v>
      </c>
      <c r="J117" s="91">
        <v>10</v>
      </c>
      <c r="K117" s="91">
        <v>10</v>
      </c>
      <c r="L117" s="91">
        <v>10</v>
      </c>
      <c r="M117" s="91"/>
      <c r="N117" s="91">
        <v>10</v>
      </c>
      <c r="O117" s="91">
        <v>10</v>
      </c>
      <c r="P117" s="91">
        <v>10</v>
      </c>
      <c r="Q117" s="91">
        <v>10</v>
      </c>
      <c r="R117" s="91">
        <v>10</v>
      </c>
      <c r="S117" s="91">
        <v>10</v>
      </c>
      <c r="T117" s="91">
        <v>10</v>
      </c>
      <c r="U117" s="91">
        <v>10</v>
      </c>
      <c r="V117" s="91">
        <v>10</v>
      </c>
      <c r="W117" s="91">
        <v>10</v>
      </c>
      <c r="X117" s="91">
        <v>10</v>
      </c>
      <c r="Y117" s="91"/>
      <c r="Z117" s="91">
        <v>10</v>
      </c>
      <c r="AA117" s="91">
        <v>10</v>
      </c>
      <c r="AB117" s="91">
        <v>10</v>
      </c>
      <c r="AC117" s="91">
        <v>10</v>
      </c>
      <c r="AD117" s="91">
        <v>10</v>
      </c>
      <c r="AE117" s="91">
        <v>10</v>
      </c>
      <c r="AF117" s="91">
        <v>10</v>
      </c>
      <c r="AG117" s="91">
        <v>10</v>
      </c>
      <c r="AH117" s="91">
        <v>10</v>
      </c>
      <c r="AI117" s="91">
        <v>10</v>
      </c>
      <c r="AJ117" s="91">
        <v>10</v>
      </c>
      <c r="AK117" s="91">
        <v>10</v>
      </c>
      <c r="AL117" s="91">
        <v>10</v>
      </c>
      <c r="AM117" s="91">
        <v>10</v>
      </c>
      <c r="AN117" s="91">
        <v>10</v>
      </c>
      <c r="AO117" s="91">
        <v>10</v>
      </c>
      <c r="AP117" s="91">
        <v>10</v>
      </c>
      <c r="AQ117" s="91">
        <v>10</v>
      </c>
      <c r="AR117" s="91">
        <v>10</v>
      </c>
      <c r="AS117" s="91">
        <v>10</v>
      </c>
      <c r="AT117" s="91">
        <v>10</v>
      </c>
      <c r="AU117" s="91">
        <v>10</v>
      </c>
      <c r="AV117" s="91">
        <v>8</v>
      </c>
      <c r="AW117" s="91">
        <v>10</v>
      </c>
      <c r="AX117" s="91">
        <v>10</v>
      </c>
      <c r="AY117" s="91"/>
      <c r="AZ117" s="91">
        <v>10</v>
      </c>
      <c r="BA117" s="91">
        <v>10</v>
      </c>
      <c r="BB117" s="91">
        <v>8</v>
      </c>
      <c r="BC117" s="91">
        <v>10</v>
      </c>
      <c r="BD117" s="91">
        <v>10</v>
      </c>
      <c r="BE117" s="91">
        <v>10</v>
      </c>
      <c r="BF117" s="91">
        <v>16</v>
      </c>
      <c r="BG117" s="91">
        <v>16</v>
      </c>
      <c r="BH117" s="91"/>
    </row>
    <row r="118" spans="1:60" x14ac:dyDescent="0.25">
      <c r="A118" s="91" t="s">
        <v>239</v>
      </c>
      <c r="B118" s="129">
        <f t="shared" si="6"/>
        <v>493</v>
      </c>
      <c r="C118" s="91">
        <f t="shared" si="7"/>
        <v>49</v>
      </c>
      <c r="D118" s="130">
        <f t="shared" si="8"/>
        <v>0.98</v>
      </c>
      <c r="E118" s="131">
        <v>46225</v>
      </c>
      <c r="F118" s="131">
        <v>46302</v>
      </c>
      <c r="G118" s="91">
        <f t="shared" si="9"/>
        <v>77</v>
      </c>
      <c r="H118" s="91">
        <v>6</v>
      </c>
      <c r="I118" s="91">
        <v>6</v>
      </c>
      <c r="J118" s="91">
        <v>8</v>
      </c>
      <c r="K118" s="91">
        <v>14</v>
      </c>
      <c r="L118" s="91">
        <v>8</v>
      </c>
      <c r="M118" s="91">
        <v>6</v>
      </c>
      <c r="N118" s="91">
        <v>8</v>
      </c>
      <c r="O118" s="91">
        <v>14</v>
      </c>
      <c r="P118" s="91">
        <v>8</v>
      </c>
      <c r="Q118" s="91">
        <v>14</v>
      </c>
      <c r="R118" s="91">
        <v>14</v>
      </c>
      <c r="S118" s="91">
        <v>8</v>
      </c>
      <c r="T118" s="91">
        <v>8</v>
      </c>
      <c r="U118" s="91">
        <v>8</v>
      </c>
      <c r="V118" s="91">
        <v>14</v>
      </c>
      <c r="W118" s="91">
        <v>14</v>
      </c>
      <c r="X118" s="91">
        <v>8</v>
      </c>
      <c r="Y118" s="91">
        <v>14</v>
      </c>
      <c r="Z118" s="91">
        <v>14</v>
      </c>
      <c r="AA118" s="91">
        <v>8</v>
      </c>
      <c r="AB118" s="91">
        <v>8</v>
      </c>
      <c r="AC118" s="91">
        <v>8</v>
      </c>
      <c r="AD118" s="91">
        <v>8</v>
      </c>
      <c r="AE118" s="91">
        <v>14</v>
      </c>
      <c r="AF118" s="91">
        <v>8</v>
      </c>
      <c r="AG118" s="91">
        <v>8</v>
      </c>
      <c r="AH118" s="91">
        <v>8</v>
      </c>
      <c r="AI118" s="91">
        <v>8</v>
      </c>
      <c r="AJ118" s="91">
        <v>8</v>
      </c>
      <c r="AK118" s="91">
        <v>8</v>
      </c>
      <c r="AL118" s="91">
        <v>8</v>
      </c>
      <c r="AM118" s="91">
        <v>8</v>
      </c>
      <c r="AN118" s="91">
        <v>14</v>
      </c>
      <c r="AO118" s="91">
        <v>8</v>
      </c>
      <c r="AP118" s="91">
        <v>8</v>
      </c>
      <c r="AQ118" s="91">
        <v>14</v>
      </c>
      <c r="AR118" s="91">
        <v>8</v>
      </c>
      <c r="AS118" s="91">
        <v>8</v>
      </c>
      <c r="AT118" s="91">
        <v>8</v>
      </c>
      <c r="AU118" s="91">
        <v>14</v>
      </c>
      <c r="AV118" s="91">
        <v>6</v>
      </c>
      <c r="AW118" s="91">
        <v>8</v>
      </c>
      <c r="AX118" s="91">
        <v>14</v>
      </c>
      <c r="AY118" s="91"/>
      <c r="AZ118" s="91">
        <v>8</v>
      </c>
      <c r="BA118" s="91">
        <v>14</v>
      </c>
      <c r="BB118" s="91">
        <v>8</v>
      </c>
      <c r="BC118" s="91">
        <v>8</v>
      </c>
      <c r="BD118" s="91">
        <v>8</v>
      </c>
      <c r="BE118" s="91">
        <v>6</v>
      </c>
      <c r="BF118" s="91">
        <v>15</v>
      </c>
      <c r="BG118" s="91">
        <v>12</v>
      </c>
      <c r="BH118" s="91"/>
    </row>
    <row r="119" spans="1:60" x14ac:dyDescent="0.25">
      <c r="A119" s="91" t="s">
        <v>453</v>
      </c>
      <c r="B119" s="129">
        <f t="shared" si="6"/>
        <v>493</v>
      </c>
      <c r="C119" s="91">
        <f t="shared" si="7"/>
        <v>49</v>
      </c>
      <c r="D119" s="130">
        <f t="shared" si="8"/>
        <v>0.98</v>
      </c>
      <c r="E119" s="131">
        <v>46225</v>
      </c>
      <c r="F119" s="131">
        <v>46266</v>
      </c>
      <c r="G119" s="91">
        <f t="shared" si="9"/>
        <v>41</v>
      </c>
      <c r="H119" s="91">
        <v>8</v>
      </c>
      <c r="I119" s="91">
        <v>8</v>
      </c>
      <c r="J119" s="91">
        <v>8</v>
      </c>
      <c r="K119" s="91">
        <v>14</v>
      </c>
      <c r="L119" s="91">
        <v>8</v>
      </c>
      <c r="M119" s="91">
        <v>4</v>
      </c>
      <c r="N119" s="91">
        <v>16</v>
      </c>
      <c r="O119" s="91">
        <v>8</v>
      </c>
      <c r="P119" s="91">
        <v>14</v>
      </c>
      <c r="Q119" s="91">
        <v>8</v>
      </c>
      <c r="R119" s="91">
        <v>14</v>
      </c>
      <c r="S119" s="91">
        <v>8</v>
      </c>
      <c r="T119" s="91">
        <v>14</v>
      </c>
      <c r="U119" s="91">
        <v>8</v>
      </c>
      <c r="V119" s="91">
        <v>8</v>
      </c>
      <c r="W119" s="91">
        <v>8</v>
      </c>
      <c r="X119" s="91">
        <v>8</v>
      </c>
      <c r="Y119" s="91">
        <v>8</v>
      </c>
      <c r="Z119" s="91">
        <v>8</v>
      </c>
      <c r="AA119" s="91">
        <v>8</v>
      </c>
      <c r="AB119" s="91">
        <v>8</v>
      </c>
      <c r="AC119" s="91">
        <v>16</v>
      </c>
      <c r="AD119" s="91">
        <v>8</v>
      </c>
      <c r="AE119" s="91">
        <v>8</v>
      </c>
      <c r="AF119" s="91">
        <v>8</v>
      </c>
      <c r="AG119" s="91">
        <v>14</v>
      </c>
      <c r="AH119" s="91">
        <v>13</v>
      </c>
      <c r="AI119" s="91">
        <v>7</v>
      </c>
      <c r="AJ119" s="91">
        <v>14</v>
      </c>
      <c r="AK119" s="91">
        <v>8</v>
      </c>
      <c r="AL119" s="91">
        <v>8</v>
      </c>
      <c r="AM119" s="91">
        <v>16</v>
      </c>
      <c r="AN119" s="91">
        <v>8</v>
      </c>
      <c r="AO119" s="91">
        <v>8</v>
      </c>
      <c r="AP119" s="91">
        <v>16</v>
      </c>
      <c r="AQ119" s="91">
        <v>8</v>
      </c>
      <c r="AR119" s="91">
        <v>8</v>
      </c>
      <c r="AS119" s="91">
        <v>6</v>
      </c>
      <c r="AT119" s="91">
        <v>8</v>
      </c>
      <c r="AU119" s="91">
        <v>8</v>
      </c>
      <c r="AV119" s="91">
        <v>8</v>
      </c>
      <c r="AW119" s="91">
        <v>8</v>
      </c>
      <c r="AX119" s="91">
        <v>13</v>
      </c>
      <c r="AY119" s="91"/>
      <c r="AZ119" s="91">
        <v>8</v>
      </c>
      <c r="BA119" s="91">
        <v>8</v>
      </c>
      <c r="BB119" s="91">
        <v>22</v>
      </c>
      <c r="BC119" s="91">
        <v>8</v>
      </c>
      <c r="BD119" s="91">
        <v>8</v>
      </c>
      <c r="BE119" s="91">
        <v>5</v>
      </c>
      <c r="BF119" s="91">
        <v>7</v>
      </c>
      <c r="BG119" s="91">
        <v>12</v>
      </c>
      <c r="BH119" s="91"/>
    </row>
    <row r="120" spans="1:60" x14ac:dyDescent="0.25">
      <c r="A120" s="91" t="s">
        <v>432</v>
      </c>
      <c r="B120" s="129">
        <f t="shared" si="6"/>
        <v>492</v>
      </c>
      <c r="C120" s="91">
        <f t="shared" si="7"/>
        <v>48</v>
      </c>
      <c r="D120" s="130">
        <f t="shared" si="8"/>
        <v>0.96</v>
      </c>
      <c r="E120" s="131">
        <v>46225</v>
      </c>
      <c r="F120" s="131">
        <v>46266</v>
      </c>
      <c r="G120" s="91">
        <f t="shared" si="9"/>
        <v>41</v>
      </c>
      <c r="H120" s="91">
        <v>6</v>
      </c>
      <c r="I120" s="91">
        <v>6</v>
      </c>
      <c r="J120" s="91">
        <v>14</v>
      </c>
      <c r="K120" s="91">
        <v>14</v>
      </c>
      <c r="L120" s="91">
        <v>6</v>
      </c>
      <c r="M120" s="91"/>
      <c r="N120" s="91">
        <v>14</v>
      </c>
      <c r="O120" s="91">
        <v>14</v>
      </c>
      <c r="P120" s="91">
        <v>14</v>
      </c>
      <c r="Q120" s="91">
        <v>6</v>
      </c>
      <c r="R120" s="91">
        <v>14</v>
      </c>
      <c r="S120" s="91">
        <v>8</v>
      </c>
      <c r="T120" s="91">
        <v>14</v>
      </c>
      <c r="U120" s="91">
        <v>8</v>
      </c>
      <c r="V120" s="91">
        <v>14</v>
      </c>
      <c r="W120" s="91">
        <v>14</v>
      </c>
      <c r="X120" s="91">
        <v>8</v>
      </c>
      <c r="Y120" s="91">
        <v>14</v>
      </c>
      <c r="Z120" s="91">
        <v>6</v>
      </c>
      <c r="AA120" s="91">
        <v>8</v>
      </c>
      <c r="AB120" s="91">
        <v>6</v>
      </c>
      <c r="AC120" s="91">
        <v>8</v>
      </c>
      <c r="AD120" s="91">
        <v>6</v>
      </c>
      <c r="AE120" s="91">
        <v>14</v>
      </c>
      <c r="AF120" s="91">
        <v>14</v>
      </c>
      <c r="AG120" s="91">
        <v>14</v>
      </c>
      <c r="AH120" s="91">
        <v>14</v>
      </c>
      <c r="AI120" s="91">
        <v>8</v>
      </c>
      <c r="AJ120" s="91">
        <v>14</v>
      </c>
      <c r="AK120" s="91">
        <v>8</v>
      </c>
      <c r="AL120" s="91">
        <v>14</v>
      </c>
      <c r="AM120" s="91">
        <v>8</v>
      </c>
      <c r="AN120" s="91">
        <v>14</v>
      </c>
      <c r="AO120" s="91">
        <v>8</v>
      </c>
      <c r="AP120" s="91">
        <v>8</v>
      </c>
      <c r="AQ120" s="91">
        <v>14</v>
      </c>
      <c r="AR120" s="91">
        <v>8</v>
      </c>
      <c r="AS120" s="91">
        <v>7</v>
      </c>
      <c r="AT120" s="91">
        <v>8</v>
      </c>
      <c r="AU120" s="91">
        <v>14</v>
      </c>
      <c r="AV120" s="91">
        <v>6</v>
      </c>
      <c r="AW120" s="91">
        <v>8</v>
      </c>
      <c r="AX120" s="91">
        <v>14</v>
      </c>
      <c r="AY120" s="91"/>
      <c r="AZ120" s="91">
        <v>8</v>
      </c>
      <c r="BA120" s="91">
        <v>6</v>
      </c>
      <c r="BB120" s="91">
        <v>6</v>
      </c>
      <c r="BC120" s="91">
        <v>7</v>
      </c>
      <c r="BD120" s="91">
        <v>8</v>
      </c>
      <c r="BE120" s="91">
        <v>6</v>
      </c>
      <c r="BF120" s="91"/>
      <c r="BG120" s="91">
        <v>12</v>
      </c>
      <c r="BH120" s="91"/>
    </row>
    <row r="121" spans="1:60" x14ac:dyDescent="0.25">
      <c r="A121" s="91" t="s">
        <v>455</v>
      </c>
      <c r="B121" s="129">
        <f t="shared" si="6"/>
        <v>491</v>
      </c>
      <c r="C121" s="91">
        <f t="shared" si="7"/>
        <v>48</v>
      </c>
      <c r="D121" s="130">
        <f t="shared" si="8"/>
        <v>0.96</v>
      </c>
      <c r="E121" s="131">
        <v>46266</v>
      </c>
      <c r="F121" s="131">
        <v>46287</v>
      </c>
      <c r="G121" s="91">
        <f t="shared" si="9"/>
        <v>21</v>
      </c>
      <c r="H121" s="91">
        <v>9</v>
      </c>
      <c r="I121" s="91">
        <v>18</v>
      </c>
      <c r="J121" s="91">
        <v>9</v>
      </c>
      <c r="K121" s="91">
        <v>9</v>
      </c>
      <c r="L121" s="91">
        <v>9</v>
      </c>
      <c r="M121" s="91"/>
      <c r="N121" s="91">
        <v>9</v>
      </c>
      <c r="O121" s="91">
        <v>9</v>
      </c>
      <c r="P121" s="91">
        <v>9</v>
      </c>
      <c r="Q121" s="91">
        <v>9</v>
      </c>
      <c r="R121" s="91">
        <v>9</v>
      </c>
      <c r="S121" s="91">
        <v>9</v>
      </c>
      <c r="T121" s="91">
        <v>18</v>
      </c>
      <c r="U121" s="91">
        <v>9</v>
      </c>
      <c r="V121" s="91">
        <v>9</v>
      </c>
      <c r="W121" s="91">
        <v>18</v>
      </c>
      <c r="X121" s="91">
        <v>9</v>
      </c>
      <c r="Y121" s="91">
        <v>9</v>
      </c>
      <c r="Z121" s="91">
        <v>9</v>
      </c>
      <c r="AA121" s="91">
        <v>9</v>
      </c>
      <c r="AB121" s="91">
        <v>9</v>
      </c>
      <c r="AC121" s="91">
        <v>9</v>
      </c>
      <c r="AD121" s="91">
        <v>9</v>
      </c>
      <c r="AE121" s="91">
        <v>9</v>
      </c>
      <c r="AF121" s="91">
        <v>9</v>
      </c>
      <c r="AG121" s="91">
        <v>9</v>
      </c>
      <c r="AH121" s="91">
        <v>18</v>
      </c>
      <c r="AI121" s="91">
        <v>9</v>
      </c>
      <c r="AJ121" s="91">
        <v>9</v>
      </c>
      <c r="AK121" s="91">
        <v>9</v>
      </c>
      <c r="AL121" s="91">
        <v>9</v>
      </c>
      <c r="AM121" s="91">
        <v>9</v>
      </c>
      <c r="AN121" s="91">
        <v>9</v>
      </c>
      <c r="AO121" s="91">
        <v>9</v>
      </c>
      <c r="AP121" s="91">
        <v>9</v>
      </c>
      <c r="AQ121" s="91">
        <v>9</v>
      </c>
      <c r="AR121" s="91">
        <v>9</v>
      </c>
      <c r="AS121" s="91">
        <v>9</v>
      </c>
      <c r="AT121" s="91">
        <v>9</v>
      </c>
      <c r="AU121" s="91">
        <v>9</v>
      </c>
      <c r="AV121" s="91">
        <v>9</v>
      </c>
      <c r="AW121" s="91">
        <v>9</v>
      </c>
      <c r="AX121" s="91">
        <v>9</v>
      </c>
      <c r="AY121" s="91"/>
      <c r="AZ121" s="91">
        <v>9</v>
      </c>
      <c r="BA121" s="91">
        <v>9</v>
      </c>
      <c r="BB121" s="91">
        <v>9</v>
      </c>
      <c r="BC121" s="91">
        <v>9</v>
      </c>
      <c r="BD121" s="91">
        <v>18</v>
      </c>
      <c r="BE121" s="91">
        <v>9</v>
      </c>
      <c r="BF121" s="91">
        <v>1</v>
      </c>
      <c r="BG121" s="91">
        <v>13</v>
      </c>
      <c r="BH121" s="91"/>
    </row>
    <row r="122" spans="1:60" x14ac:dyDescent="0.25">
      <c r="A122" s="91" t="s">
        <v>441</v>
      </c>
      <c r="B122" s="129">
        <f t="shared" si="6"/>
        <v>491</v>
      </c>
      <c r="C122" s="91">
        <f t="shared" si="7"/>
        <v>47</v>
      </c>
      <c r="D122" s="130">
        <f t="shared" si="8"/>
        <v>0.94</v>
      </c>
      <c r="E122" s="131">
        <v>46262</v>
      </c>
      <c r="F122" s="131">
        <v>46280</v>
      </c>
      <c r="G122" s="91">
        <f t="shared" si="9"/>
        <v>18</v>
      </c>
      <c r="H122" s="91">
        <v>10</v>
      </c>
      <c r="I122" s="91">
        <v>10</v>
      </c>
      <c r="J122" s="91">
        <v>10</v>
      </c>
      <c r="K122" s="91">
        <v>10</v>
      </c>
      <c r="L122" s="91">
        <v>10</v>
      </c>
      <c r="M122" s="91"/>
      <c r="N122" s="91">
        <v>10</v>
      </c>
      <c r="O122" s="91">
        <v>10</v>
      </c>
      <c r="P122" s="91">
        <v>10</v>
      </c>
      <c r="Q122" s="91">
        <v>9</v>
      </c>
      <c r="R122" s="91">
        <v>10</v>
      </c>
      <c r="S122" s="91">
        <v>10</v>
      </c>
      <c r="T122" s="91">
        <v>10</v>
      </c>
      <c r="U122" s="91">
        <v>10</v>
      </c>
      <c r="V122" s="91">
        <v>10</v>
      </c>
      <c r="W122" s="91">
        <v>10</v>
      </c>
      <c r="X122" s="91">
        <v>10</v>
      </c>
      <c r="Y122" s="91"/>
      <c r="Z122" s="91">
        <v>10</v>
      </c>
      <c r="AA122" s="91">
        <v>10</v>
      </c>
      <c r="AB122" s="91">
        <v>10</v>
      </c>
      <c r="AC122" s="91">
        <v>10</v>
      </c>
      <c r="AD122" s="91">
        <v>10</v>
      </c>
      <c r="AE122" s="91">
        <v>8</v>
      </c>
      <c r="AF122" s="91">
        <v>10</v>
      </c>
      <c r="AG122" s="91">
        <v>10</v>
      </c>
      <c r="AH122" s="91">
        <v>10</v>
      </c>
      <c r="AI122" s="91">
        <v>10</v>
      </c>
      <c r="AJ122" s="91">
        <v>10</v>
      </c>
      <c r="AK122" s="91">
        <v>8</v>
      </c>
      <c r="AL122" s="91">
        <v>10</v>
      </c>
      <c r="AM122" s="91">
        <v>10</v>
      </c>
      <c r="AN122" s="91">
        <v>10</v>
      </c>
      <c r="AO122" s="91">
        <v>10</v>
      </c>
      <c r="AP122" s="91">
        <v>10</v>
      </c>
      <c r="AQ122" s="91">
        <v>10</v>
      </c>
      <c r="AR122" s="91">
        <v>10</v>
      </c>
      <c r="AS122" s="91">
        <v>10</v>
      </c>
      <c r="AT122" s="91">
        <v>10</v>
      </c>
      <c r="AU122" s="91">
        <v>10</v>
      </c>
      <c r="AV122" s="91">
        <v>7</v>
      </c>
      <c r="AW122" s="91">
        <v>10</v>
      </c>
      <c r="AX122" s="91">
        <v>9</v>
      </c>
      <c r="AY122" s="91"/>
      <c r="AZ122" s="91">
        <v>10</v>
      </c>
      <c r="BA122" s="91">
        <v>8</v>
      </c>
      <c r="BB122" s="91">
        <v>8</v>
      </c>
      <c r="BC122" s="91">
        <v>10</v>
      </c>
      <c r="BD122" s="91">
        <v>10</v>
      </c>
      <c r="BE122" s="91">
        <v>10</v>
      </c>
      <c r="BF122" s="91">
        <v>18</v>
      </c>
      <c r="BG122" s="91">
        <v>16</v>
      </c>
      <c r="BH122" s="91"/>
    </row>
    <row r="123" spans="1:60" x14ac:dyDescent="0.25">
      <c r="A123" s="91" t="s">
        <v>433</v>
      </c>
      <c r="B123" s="129">
        <f t="shared" si="6"/>
        <v>489</v>
      </c>
      <c r="C123" s="91">
        <f t="shared" si="7"/>
        <v>48</v>
      </c>
      <c r="D123" s="130">
        <f t="shared" si="8"/>
        <v>0.96</v>
      </c>
      <c r="E123" s="131">
        <v>46225</v>
      </c>
      <c r="F123" s="131">
        <v>46266</v>
      </c>
      <c r="G123" s="91">
        <f t="shared" si="9"/>
        <v>41</v>
      </c>
      <c r="H123" s="91">
        <v>6</v>
      </c>
      <c r="I123" s="91">
        <v>6</v>
      </c>
      <c r="J123" s="91">
        <v>8</v>
      </c>
      <c r="K123" s="91">
        <v>14</v>
      </c>
      <c r="L123" s="91">
        <v>6</v>
      </c>
      <c r="M123" s="91"/>
      <c r="N123" s="91">
        <v>16</v>
      </c>
      <c r="O123" s="91">
        <v>14</v>
      </c>
      <c r="P123" s="91">
        <v>14</v>
      </c>
      <c r="Q123" s="91">
        <v>6</v>
      </c>
      <c r="R123" s="91">
        <v>14</v>
      </c>
      <c r="S123" s="91">
        <v>8</v>
      </c>
      <c r="T123" s="91">
        <v>14</v>
      </c>
      <c r="U123" s="91">
        <v>8</v>
      </c>
      <c r="V123" s="91">
        <v>14</v>
      </c>
      <c r="W123" s="91">
        <v>14</v>
      </c>
      <c r="X123" s="91">
        <v>6</v>
      </c>
      <c r="Y123" s="91">
        <v>14</v>
      </c>
      <c r="Z123" s="91">
        <v>6</v>
      </c>
      <c r="AA123" s="91">
        <v>7</v>
      </c>
      <c r="AB123" s="91">
        <v>6</v>
      </c>
      <c r="AC123" s="91">
        <v>8</v>
      </c>
      <c r="AD123" s="91">
        <v>6</v>
      </c>
      <c r="AE123" s="91">
        <v>13</v>
      </c>
      <c r="AF123" s="91">
        <v>8</v>
      </c>
      <c r="AG123" s="91">
        <v>14</v>
      </c>
      <c r="AH123" s="91">
        <v>14</v>
      </c>
      <c r="AI123" s="91">
        <v>7</v>
      </c>
      <c r="AJ123" s="91">
        <v>14</v>
      </c>
      <c r="AK123" s="91">
        <v>7</v>
      </c>
      <c r="AL123" s="91">
        <v>14</v>
      </c>
      <c r="AM123" s="91">
        <v>8</v>
      </c>
      <c r="AN123" s="91">
        <v>14</v>
      </c>
      <c r="AO123" s="91">
        <v>8</v>
      </c>
      <c r="AP123" s="91">
        <v>8</v>
      </c>
      <c r="AQ123" s="91">
        <v>15</v>
      </c>
      <c r="AR123" s="91">
        <v>8</v>
      </c>
      <c r="AS123" s="91">
        <v>7</v>
      </c>
      <c r="AT123" s="91">
        <v>8</v>
      </c>
      <c r="AU123" s="91">
        <v>14</v>
      </c>
      <c r="AV123" s="91">
        <v>6</v>
      </c>
      <c r="AW123" s="91">
        <v>8</v>
      </c>
      <c r="AX123" s="91">
        <v>14</v>
      </c>
      <c r="AY123" s="91"/>
      <c r="AZ123" s="91">
        <v>8</v>
      </c>
      <c r="BA123" s="91">
        <v>5</v>
      </c>
      <c r="BB123" s="91">
        <v>6</v>
      </c>
      <c r="BC123" s="91">
        <v>7</v>
      </c>
      <c r="BD123" s="91">
        <v>8</v>
      </c>
      <c r="BE123" s="91">
        <v>6</v>
      </c>
      <c r="BF123" s="91">
        <v>13</v>
      </c>
      <c r="BG123" s="91">
        <v>12</v>
      </c>
      <c r="BH123" s="91"/>
    </row>
    <row r="124" spans="1:60" x14ac:dyDescent="0.25">
      <c r="A124" s="91" t="s">
        <v>462</v>
      </c>
      <c r="B124" s="129">
        <f t="shared" si="6"/>
        <v>483</v>
      </c>
      <c r="C124" s="91">
        <f t="shared" si="7"/>
        <v>49</v>
      </c>
      <c r="D124" s="130">
        <f t="shared" si="8"/>
        <v>0.98</v>
      </c>
      <c r="E124" s="131">
        <v>46262</v>
      </c>
      <c r="F124" s="131">
        <v>46310</v>
      </c>
      <c r="G124" s="91">
        <f t="shared" si="9"/>
        <v>48</v>
      </c>
      <c r="H124" s="91">
        <v>10</v>
      </c>
      <c r="I124" s="91">
        <v>9</v>
      </c>
      <c r="J124" s="91">
        <v>10</v>
      </c>
      <c r="K124" s="91">
        <v>10</v>
      </c>
      <c r="L124" s="91">
        <v>10</v>
      </c>
      <c r="M124" s="91">
        <v>5</v>
      </c>
      <c r="N124" s="91">
        <v>10</v>
      </c>
      <c r="O124" s="91">
        <v>10</v>
      </c>
      <c r="P124" s="91">
        <v>10</v>
      </c>
      <c r="Q124" s="91">
        <v>9</v>
      </c>
      <c r="R124" s="91">
        <v>9</v>
      </c>
      <c r="S124" s="91">
        <v>10</v>
      </c>
      <c r="T124" s="91">
        <v>10</v>
      </c>
      <c r="U124" s="91">
        <v>9</v>
      </c>
      <c r="V124" s="91">
        <v>10</v>
      </c>
      <c r="W124" s="91">
        <v>10</v>
      </c>
      <c r="X124" s="91">
        <v>10</v>
      </c>
      <c r="Y124" s="91">
        <v>1</v>
      </c>
      <c r="Z124" s="91">
        <v>10</v>
      </c>
      <c r="AA124" s="91">
        <v>10</v>
      </c>
      <c r="AB124" s="91">
        <v>9</v>
      </c>
      <c r="AC124" s="91">
        <v>10</v>
      </c>
      <c r="AD124" s="91">
        <v>9</v>
      </c>
      <c r="AE124" s="91">
        <v>10</v>
      </c>
      <c r="AF124" s="91">
        <v>10</v>
      </c>
      <c r="AG124" s="91">
        <v>10</v>
      </c>
      <c r="AH124" s="91">
        <v>10</v>
      </c>
      <c r="AI124" s="91">
        <v>10</v>
      </c>
      <c r="AJ124" s="91">
        <v>9</v>
      </c>
      <c r="AK124" s="91">
        <v>10</v>
      </c>
      <c r="AL124" s="91">
        <v>9</v>
      </c>
      <c r="AM124" s="91">
        <v>9</v>
      </c>
      <c r="AN124" s="91">
        <v>9</v>
      </c>
      <c r="AO124" s="91">
        <v>10</v>
      </c>
      <c r="AP124" s="91">
        <v>10</v>
      </c>
      <c r="AQ124" s="91">
        <v>10</v>
      </c>
      <c r="AR124" s="91">
        <v>9</v>
      </c>
      <c r="AS124" s="91">
        <v>9</v>
      </c>
      <c r="AT124" s="91">
        <v>9</v>
      </c>
      <c r="AU124" s="91">
        <v>10</v>
      </c>
      <c r="AV124" s="91">
        <v>9</v>
      </c>
      <c r="AW124" s="91">
        <v>10</v>
      </c>
      <c r="AX124" s="91">
        <v>10</v>
      </c>
      <c r="AY124" s="91"/>
      <c r="AZ124" s="91">
        <v>10</v>
      </c>
      <c r="BA124" s="91">
        <v>9</v>
      </c>
      <c r="BB124" s="91">
        <v>9</v>
      </c>
      <c r="BC124" s="91">
        <v>9</v>
      </c>
      <c r="BD124" s="91">
        <v>18</v>
      </c>
      <c r="BE124" s="91">
        <v>10</v>
      </c>
      <c r="BF124" s="91">
        <v>2</v>
      </c>
      <c r="BG124" s="91">
        <v>14</v>
      </c>
      <c r="BH124" s="91"/>
    </row>
    <row r="125" spans="1:60" x14ac:dyDescent="0.25">
      <c r="A125" s="91" t="s">
        <v>203</v>
      </c>
      <c r="B125" s="129">
        <f t="shared" si="6"/>
        <v>483</v>
      </c>
      <c r="C125" s="91">
        <f t="shared" si="7"/>
        <v>43</v>
      </c>
      <c r="D125" s="130">
        <f t="shared" si="8"/>
        <v>0.86</v>
      </c>
      <c r="E125" s="131">
        <v>46293</v>
      </c>
      <c r="F125" s="131">
        <v>46318</v>
      </c>
      <c r="G125" s="91">
        <f t="shared" si="9"/>
        <v>25</v>
      </c>
      <c r="H125" s="91">
        <v>5</v>
      </c>
      <c r="I125" s="91">
        <v>5</v>
      </c>
      <c r="J125" s="91">
        <v>14</v>
      </c>
      <c r="K125" s="91">
        <v>7</v>
      </c>
      <c r="L125" s="91">
        <v>15</v>
      </c>
      <c r="M125" s="91"/>
      <c r="N125" s="91">
        <v>14</v>
      </c>
      <c r="O125" s="91">
        <v>14</v>
      </c>
      <c r="P125" s="91">
        <v>14</v>
      </c>
      <c r="Q125" s="91">
        <v>14</v>
      </c>
      <c r="R125" s="91"/>
      <c r="S125" s="91">
        <v>14</v>
      </c>
      <c r="T125" s="91">
        <v>14</v>
      </c>
      <c r="U125" s="91">
        <v>5</v>
      </c>
      <c r="V125" s="91">
        <v>7</v>
      </c>
      <c r="W125" s="91">
        <v>7</v>
      </c>
      <c r="X125" s="91">
        <v>14</v>
      </c>
      <c r="Y125" s="91">
        <v>14</v>
      </c>
      <c r="Z125" s="91">
        <v>14</v>
      </c>
      <c r="AA125" s="91">
        <v>5</v>
      </c>
      <c r="AB125" s="91">
        <v>14</v>
      </c>
      <c r="AC125" s="91">
        <v>14</v>
      </c>
      <c r="AD125" s="91">
        <v>14</v>
      </c>
      <c r="AE125" s="91">
        <v>5</v>
      </c>
      <c r="AF125" s="91">
        <v>7</v>
      </c>
      <c r="AG125" s="91"/>
      <c r="AH125" s="91">
        <v>14</v>
      </c>
      <c r="AI125" s="91">
        <v>14</v>
      </c>
      <c r="AJ125" s="91">
        <v>14</v>
      </c>
      <c r="AK125" s="91">
        <v>5</v>
      </c>
      <c r="AL125" s="91">
        <v>14</v>
      </c>
      <c r="AM125" s="91">
        <v>7</v>
      </c>
      <c r="AN125" s="91">
        <v>7</v>
      </c>
      <c r="AO125" s="91">
        <v>14</v>
      </c>
      <c r="AP125" s="91"/>
      <c r="AQ125" s="91">
        <v>5</v>
      </c>
      <c r="AR125" s="91">
        <v>5</v>
      </c>
      <c r="AS125" s="91">
        <v>14</v>
      </c>
      <c r="AT125" s="91">
        <v>14</v>
      </c>
      <c r="AU125" s="91"/>
      <c r="AV125" s="91">
        <v>7</v>
      </c>
      <c r="AW125" s="91">
        <v>14</v>
      </c>
      <c r="AX125" s="91">
        <v>5</v>
      </c>
      <c r="AY125" s="91"/>
      <c r="AZ125" s="91">
        <v>5</v>
      </c>
      <c r="BA125" s="91">
        <v>5</v>
      </c>
      <c r="BB125" s="91">
        <v>14</v>
      </c>
      <c r="BC125" s="91">
        <v>7</v>
      </c>
      <c r="BD125" s="91"/>
      <c r="BE125" s="91">
        <v>7</v>
      </c>
      <c r="BF125" s="91">
        <v>14</v>
      </c>
      <c r="BG125" s="91">
        <v>28</v>
      </c>
      <c r="BH125" s="91"/>
    </row>
    <row r="126" spans="1:60" x14ac:dyDescent="0.25">
      <c r="A126" s="91" t="s">
        <v>62</v>
      </c>
      <c r="B126" s="129">
        <f t="shared" si="6"/>
        <v>482</v>
      </c>
      <c r="C126" s="91">
        <f t="shared" si="7"/>
        <v>45</v>
      </c>
      <c r="D126" s="130">
        <f t="shared" si="8"/>
        <v>0.9</v>
      </c>
      <c r="E126" s="131">
        <v>46309</v>
      </c>
      <c r="F126" s="131">
        <v>46317</v>
      </c>
      <c r="G126" s="91">
        <f t="shared" si="9"/>
        <v>8</v>
      </c>
      <c r="H126" s="91">
        <v>8</v>
      </c>
      <c r="I126" s="91">
        <v>8</v>
      </c>
      <c r="J126" s="91">
        <v>16</v>
      </c>
      <c r="K126" s="91">
        <v>8</v>
      </c>
      <c r="L126" s="91">
        <v>8</v>
      </c>
      <c r="M126" s="91"/>
      <c r="N126" s="91">
        <v>8</v>
      </c>
      <c r="O126" s="91">
        <v>8</v>
      </c>
      <c r="P126" s="91">
        <v>8</v>
      </c>
      <c r="Q126" s="91">
        <v>8</v>
      </c>
      <c r="R126" s="91">
        <v>9</v>
      </c>
      <c r="S126" s="91">
        <v>8</v>
      </c>
      <c r="T126" s="91">
        <v>8</v>
      </c>
      <c r="U126" s="91">
        <v>8</v>
      </c>
      <c r="V126" s="91">
        <v>8</v>
      </c>
      <c r="W126" s="91">
        <v>8</v>
      </c>
      <c r="X126" s="91">
        <v>16</v>
      </c>
      <c r="Y126" s="91">
        <v>8</v>
      </c>
      <c r="Z126" s="91">
        <v>8</v>
      </c>
      <c r="AA126" s="91">
        <v>8</v>
      </c>
      <c r="AB126" s="91">
        <v>16</v>
      </c>
      <c r="AC126" s="91">
        <v>8</v>
      </c>
      <c r="AD126" s="91">
        <v>8</v>
      </c>
      <c r="AE126" s="91">
        <v>8</v>
      </c>
      <c r="AF126" s="91">
        <v>8</v>
      </c>
      <c r="AG126" s="91">
        <v>8</v>
      </c>
      <c r="AH126" s="91">
        <v>8</v>
      </c>
      <c r="AI126" s="91">
        <v>8</v>
      </c>
      <c r="AJ126" s="91">
        <v>8</v>
      </c>
      <c r="AK126" s="91">
        <v>8</v>
      </c>
      <c r="AL126" s="91">
        <v>8</v>
      </c>
      <c r="AM126" s="91">
        <v>8</v>
      </c>
      <c r="AN126" s="91">
        <v>8</v>
      </c>
      <c r="AO126" s="91">
        <v>8</v>
      </c>
      <c r="AP126" s="91">
        <v>8</v>
      </c>
      <c r="AQ126" s="91">
        <v>8</v>
      </c>
      <c r="AR126" s="91">
        <v>8</v>
      </c>
      <c r="AS126" s="91">
        <v>8</v>
      </c>
      <c r="AT126" s="91">
        <v>8</v>
      </c>
      <c r="AU126" s="91">
        <v>8</v>
      </c>
      <c r="AV126" s="91"/>
      <c r="AW126" s="91">
        <v>9</v>
      </c>
      <c r="AX126" s="91">
        <v>8</v>
      </c>
      <c r="AY126" s="91"/>
      <c r="AZ126" s="91">
        <v>8</v>
      </c>
      <c r="BA126" s="91">
        <v>8</v>
      </c>
      <c r="BB126" s="91">
        <v>8</v>
      </c>
      <c r="BC126" s="91"/>
      <c r="BD126" s="91"/>
      <c r="BE126" s="91">
        <v>8</v>
      </c>
      <c r="BF126" s="91">
        <v>48</v>
      </c>
      <c r="BG126" s="91">
        <v>48</v>
      </c>
      <c r="BH126" s="91"/>
    </row>
    <row r="127" spans="1:60" x14ac:dyDescent="0.25">
      <c r="A127" s="91" t="s">
        <v>402</v>
      </c>
      <c r="B127" s="129">
        <f t="shared" si="6"/>
        <v>481</v>
      </c>
      <c r="C127" s="91">
        <f t="shared" si="7"/>
        <v>48</v>
      </c>
      <c r="D127" s="130">
        <f t="shared" si="8"/>
        <v>0.96</v>
      </c>
      <c r="E127" s="131">
        <v>46225</v>
      </c>
      <c r="F127" s="131">
        <v>46267</v>
      </c>
      <c r="G127" s="91">
        <f t="shared" si="9"/>
        <v>42</v>
      </c>
      <c r="H127" s="91">
        <v>8</v>
      </c>
      <c r="I127" s="91">
        <v>8</v>
      </c>
      <c r="J127" s="91">
        <v>8</v>
      </c>
      <c r="K127" s="91">
        <v>14</v>
      </c>
      <c r="L127" s="91">
        <v>8</v>
      </c>
      <c r="M127" s="91"/>
      <c r="N127" s="91">
        <v>16</v>
      </c>
      <c r="O127" s="91">
        <v>8</v>
      </c>
      <c r="P127" s="91">
        <v>14</v>
      </c>
      <c r="Q127" s="91">
        <v>8</v>
      </c>
      <c r="R127" s="91">
        <v>14</v>
      </c>
      <c r="S127" s="91">
        <v>8</v>
      </c>
      <c r="T127" s="91">
        <v>14</v>
      </c>
      <c r="U127" s="91">
        <v>8</v>
      </c>
      <c r="V127" s="91">
        <v>8</v>
      </c>
      <c r="W127" s="91">
        <v>8</v>
      </c>
      <c r="X127" s="91">
        <v>8</v>
      </c>
      <c r="Y127" s="91">
        <v>8</v>
      </c>
      <c r="Z127" s="91">
        <v>8</v>
      </c>
      <c r="AA127" s="91">
        <v>8</v>
      </c>
      <c r="AB127" s="91">
        <v>8</v>
      </c>
      <c r="AC127" s="91">
        <v>8</v>
      </c>
      <c r="AD127" s="91">
        <v>8</v>
      </c>
      <c r="AE127" s="91">
        <v>8</v>
      </c>
      <c r="AF127" s="91">
        <v>8</v>
      </c>
      <c r="AG127" s="91">
        <v>14</v>
      </c>
      <c r="AH127" s="91">
        <v>14</v>
      </c>
      <c r="AI127" s="91">
        <v>7</v>
      </c>
      <c r="AJ127" s="91">
        <v>14</v>
      </c>
      <c r="AK127" s="91">
        <v>7</v>
      </c>
      <c r="AL127" s="91">
        <v>8</v>
      </c>
      <c r="AM127" s="91">
        <v>16</v>
      </c>
      <c r="AN127" s="91">
        <v>8</v>
      </c>
      <c r="AO127" s="91">
        <v>8</v>
      </c>
      <c r="AP127" s="91">
        <v>16</v>
      </c>
      <c r="AQ127" s="91">
        <v>8</v>
      </c>
      <c r="AR127" s="91">
        <v>8</v>
      </c>
      <c r="AS127" s="91">
        <v>7</v>
      </c>
      <c r="AT127" s="91">
        <v>8</v>
      </c>
      <c r="AU127" s="91">
        <v>8</v>
      </c>
      <c r="AV127" s="91">
        <v>8</v>
      </c>
      <c r="AW127" s="91">
        <v>8</v>
      </c>
      <c r="AX127" s="91">
        <v>13</v>
      </c>
      <c r="AY127" s="91"/>
      <c r="AZ127" s="91">
        <v>8</v>
      </c>
      <c r="BA127" s="91">
        <v>8</v>
      </c>
      <c r="BB127" s="91">
        <v>14</v>
      </c>
      <c r="BC127" s="91">
        <v>8</v>
      </c>
      <c r="BD127" s="91">
        <v>8</v>
      </c>
      <c r="BE127" s="91">
        <v>6</v>
      </c>
      <c r="BF127" s="91">
        <v>13</v>
      </c>
      <c r="BG127" s="91">
        <v>12</v>
      </c>
      <c r="BH127" s="91"/>
    </row>
    <row r="128" spans="1:60" x14ac:dyDescent="0.25">
      <c r="A128" s="91" t="s">
        <v>234</v>
      </c>
      <c r="B128" s="129">
        <f t="shared" si="6"/>
        <v>481</v>
      </c>
      <c r="C128" s="91">
        <f t="shared" si="7"/>
        <v>48</v>
      </c>
      <c r="D128" s="130">
        <f t="shared" si="8"/>
        <v>0.96</v>
      </c>
      <c r="E128" s="131">
        <v>46234</v>
      </c>
      <c r="F128" s="131">
        <v>46301</v>
      </c>
      <c r="G128" s="91">
        <f t="shared" si="9"/>
        <v>67</v>
      </c>
      <c r="H128" s="91">
        <v>8</v>
      </c>
      <c r="I128" s="91">
        <v>8</v>
      </c>
      <c r="J128" s="91">
        <v>16</v>
      </c>
      <c r="K128" s="91">
        <v>8</v>
      </c>
      <c r="L128" s="91">
        <v>16</v>
      </c>
      <c r="M128" s="91"/>
      <c r="N128" s="91">
        <v>16</v>
      </c>
      <c r="O128" s="91">
        <v>8</v>
      </c>
      <c r="P128" s="91">
        <v>8</v>
      </c>
      <c r="Q128" s="91">
        <v>16</v>
      </c>
      <c r="R128" s="91">
        <v>8</v>
      </c>
      <c r="S128" s="91">
        <v>8</v>
      </c>
      <c r="T128" s="91">
        <v>8</v>
      </c>
      <c r="U128" s="91">
        <v>8</v>
      </c>
      <c r="V128" s="91">
        <v>16</v>
      </c>
      <c r="W128" s="91">
        <v>8</v>
      </c>
      <c r="X128" s="91">
        <v>16</v>
      </c>
      <c r="Y128" s="91">
        <v>1</v>
      </c>
      <c r="Z128" s="91">
        <v>8</v>
      </c>
      <c r="AA128" s="91">
        <v>8</v>
      </c>
      <c r="AB128" s="91">
        <v>16</v>
      </c>
      <c r="AC128" s="91">
        <v>16</v>
      </c>
      <c r="AD128" s="91">
        <v>8</v>
      </c>
      <c r="AE128" s="91">
        <v>8</v>
      </c>
      <c r="AF128" s="91">
        <v>8</v>
      </c>
      <c r="AG128" s="91">
        <v>8</v>
      </c>
      <c r="AH128" s="91">
        <v>8</v>
      </c>
      <c r="AI128" s="91">
        <v>8</v>
      </c>
      <c r="AJ128" s="91">
        <v>8</v>
      </c>
      <c r="AK128" s="91">
        <v>8</v>
      </c>
      <c r="AL128" s="91">
        <v>8</v>
      </c>
      <c r="AM128" s="91">
        <v>8</v>
      </c>
      <c r="AN128" s="91">
        <v>8</v>
      </c>
      <c r="AO128" s="91">
        <v>8</v>
      </c>
      <c r="AP128" s="91">
        <v>8</v>
      </c>
      <c r="AQ128" s="91">
        <v>8</v>
      </c>
      <c r="AR128" s="91">
        <v>8</v>
      </c>
      <c r="AS128" s="91">
        <v>16</v>
      </c>
      <c r="AT128" s="91">
        <v>8</v>
      </c>
      <c r="AU128" s="91">
        <v>8</v>
      </c>
      <c r="AV128" s="91">
        <v>8</v>
      </c>
      <c r="AW128" s="91">
        <v>8</v>
      </c>
      <c r="AX128" s="91">
        <v>8</v>
      </c>
      <c r="AY128" s="91"/>
      <c r="AZ128" s="91">
        <v>8</v>
      </c>
      <c r="BA128" s="91">
        <v>8</v>
      </c>
      <c r="BB128" s="91">
        <v>16</v>
      </c>
      <c r="BC128" s="91">
        <v>8</v>
      </c>
      <c r="BD128" s="91">
        <v>8</v>
      </c>
      <c r="BE128" s="91">
        <v>8</v>
      </c>
      <c r="BF128" s="91"/>
      <c r="BG128" s="91">
        <v>24</v>
      </c>
      <c r="BH128" s="91"/>
    </row>
    <row r="129" spans="1:60" x14ac:dyDescent="0.25">
      <c r="A129" s="91" t="s">
        <v>135</v>
      </c>
      <c r="B129" s="129">
        <f t="shared" si="6"/>
        <v>480</v>
      </c>
      <c r="C129" s="91">
        <f t="shared" si="7"/>
        <v>31</v>
      </c>
      <c r="D129" s="130">
        <f t="shared" si="8"/>
        <v>0.62</v>
      </c>
      <c r="E129" s="131">
        <v>46293</v>
      </c>
      <c r="F129" s="131">
        <v>46319</v>
      </c>
      <c r="G129" s="91">
        <f t="shared" si="9"/>
        <v>26</v>
      </c>
      <c r="H129" s="91">
        <v>7</v>
      </c>
      <c r="I129" s="91">
        <v>7</v>
      </c>
      <c r="J129" s="91">
        <v>21</v>
      </c>
      <c r="K129" s="91"/>
      <c r="L129" s="91">
        <v>22</v>
      </c>
      <c r="M129" s="91"/>
      <c r="N129" s="91">
        <v>14</v>
      </c>
      <c r="O129" s="91">
        <v>14</v>
      </c>
      <c r="P129" s="91">
        <v>7</v>
      </c>
      <c r="Q129" s="91">
        <v>7</v>
      </c>
      <c r="R129" s="91"/>
      <c r="S129" s="91">
        <v>21</v>
      </c>
      <c r="T129" s="91">
        <v>7</v>
      </c>
      <c r="U129" s="91"/>
      <c r="V129" s="91">
        <v>14</v>
      </c>
      <c r="W129" s="91">
        <v>7</v>
      </c>
      <c r="X129" s="91">
        <v>7</v>
      </c>
      <c r="Y129" s="91">
        <v>14</v>
      </c>
      <c r="Z129" s="91">
        <v>7</v>
      </c>
      <c r="AA129" s="91">
        <v>7</v>
      </c>
      <c r="AB129" s="91">
        <v>14</v>
      </c>
      <c r="AC129" s="91">
        <v>14</v>
      </c>
      <c r="AD129" s="91">
        <v>14</v>
      </c>
      <c r="AE129" s="91"/>
      <c r="AF129" s="91"/>
      <c r="AG129" s="91">
        <v>7</v>
      </c>
      <c r="AH129" s="91"/>
      <c r="AI129" s="91">
        <v>14</v>
      </c>
      <c r="AJ129" s="91">
        <v>7</v>
      </c>
      <c r="AK129" s="91"/>
      <c r="AL129" s="91"/>
      <c r="AM129" s="91">
        <v>7</v>
      </c>
      <c r="AN129" s="91">
        <v>7</v>
      </c>
      <c r="AO129" s="91">
        <v>21</v>
      </c>
      <c r="AP129" s="91">
        <v>7</v>
      </c>
      <c r="AQ129" s="91"/>
      <c r="AR129" s="91"/>
      <c r="AS129" s="91">
        <v>21</v>
      </c>
      <c r="AT129" s="91"/>
      <c r="AU129" s="91"/>
      <c r="AV129" s="91"/>
      <c r="AW129" s="91">
        <v>21</v>
      </c>
      <c r="AX129" s="91">
        <v>21</v>
      </c>
      <c r="AY129" s="91"/>
      <c r="AZ129" s="91"/>
      <c r="BA129" s="91"/>
      <c r="BB129" s="91">
        <v>21</v>
      </c>
      <c r="BC129" s="91"/>
      <c r="BD129" s="91">
        <v>21</v>
      </c>
      <c r="BE129" s="91"/>
      <c r="BF129" s="91">
        <v>40</v>
      </c>
      <c r="BG129" s="91">
        <v>40</v>
      </c>
      <c r="BH129" s="91"/>
    </row>
    <row r="130" spans="1:60" x14ac:dyDescent="0.25">
      <c r="A130" s="91" t="s">
        <v>198</v>
      </c>
      <c r="B130" s="129">
        <f t="shared" si="6"/>
        <v>477</v>
      </c>
      <c r="C130" s="91">
        <f t="shared" si="7"/>
        <v>32</v>
      </c>
      <c r="D130" s="130">
        <f t="shared" si="8"/>
        <v>0.64</v>
      </c>
      <c r="E130" s="131">
        <v>46293</v>
      </c>
      <c r="F130" s="131">
        <v>46318</v>
      </c>
      <c r="G130" s="91">
        <f t="shared" si="9"/>
        <v>25</v>
      </c>
      <c r="H130" s="91">
        <v>5</v>
      </c>
      <c r="I130" s="91"/>
      <c r="J130" s="91">
        <v>16</v>
      </c>
      <c r="K130" s="91"/>
      <c r="L130" s="91">
        <v>16</v>
      </c>
      <c r="M130" s="91"/>
      <c r="N130" s="91">
        <v>16</v>
      </c>
      <c r="O130" s="91">
        <v>16</v>
      </c>
      <c r="P130" s="91">
        <v>16</v>
      </c>
      <c r="Q130" s="91"/>
      <c r="R130" s="91"/>
      <c r="S130" s="91">
        <v>16</v>
      </c>
      <c r="T130" s="91">
        <v>16</v>
      </c>
      <c r="U130" s="91">
        <v>5</v>
      </c>
      <c r="V130" s="91"/>
      <c r="W130" s="91">
        <v>16</v>
      </c>
      <c r="X130" s="91">
        <v>16</v>
      </c>
      <c r="Y130" s="91">
        <v>16</v>
      </c>
      <c r="Z130" s="91">
        <v>16</v>
      </c>
      <c r="AA130" s="91"/>
      <c r="AB130" s="91">
        <v>16</v>
      </c>
      <c r="AC130" s="91">
        <v>16</v>
      </c>
      <c r="AD130" s="91">
        <v>16</v>
      </c>
      <c r="AE130" s="91"/>
      <c r="AF130" s="91">
        <v>6</v>
      </c>
      <c r="AG130" s="91"/>
      <c r="AH130" s="91"/>
      <c r="AI130" s="91">
        <v>16</v>
      </c>
      <c r="AJ130" s="91">
        <v>8</v>
      </c>
      <c r="AK130" s="91">
        <v>5</v>
      </c>
      <c r="AL130" s="91"/>
      <c r="AM130" s="91">
        <v>8</v>
      </c>
      <c r="AN130" s="91">
        <v>16</v>
      </c>
      <c r="AO130" s="91">
        <v>16</v>
      </c>
      <c r="AP130" s="91">
        <v>8</v>
      </c>
      <c r="AQ130" s="91">
        <v>16</v>
      </c>
      <c r="AR130" s="91">
        <v>8</v>
      </c>
      <c r="AS130" s="91">
        <v>16</v>
      </c>
      <c r="AT130" s="91">
        <v>16</v>
      </c>
      <c r="AU130" s="91"/>
      <c r="AV130" s="91"/>
      <c r="AW130" s="91">
        <v>16</v>
      </c>
      <c r="AX130" s="91">
        <v>16</v>
      </c>
      <c r="AY130" s="91"/>
      <c r="AZ130" s="91"/>
      <c r="BA130" s="91"/>
      <c r="BB130" s="91">
        <v>8</v>
      </c>
      <c r="BC130" s="91"/>
      <c r="BD130" s="91"/>
      <c r="BE130" s="91">
        <v>8</v>
      </c>
      <c r="BF130" s="91">
        <v>28</v>
      </c>
      <c r="BG130" s="91">
        <v>28</v>
      </c>
      <c r="BH130" s="91"/>
    </row>
    <row r="131" spans="1:60" x14ac:dyDescent="0.25">
      <c r="A131" s="91" t="s">
        <v>405</v>
      </c>
      <c r="B131" s="129">
        <f t="shared" si="6"/>
        <v>477</v>
      </c>
      <c r="C131" s="91">
        <f t="shared" si="7"/>
        <v>34</v>
      </c>
      <c r="D131" s="130">
        <f t="shared" si="8"/>
        <v>0.68</v>
      </c>
      <c r="E131" s="131">
        <v>46293</v>
      </c>
      <c r="F131" s="131">
        <v>46296</v>
      </c>
      <c r="G131" s="91">
        <f t="shared" si="9"/>
        <v>3</v>
      </c>
      <c r="H131" s="91"/>
      <c r="I131" s="91"/>
      <c r="J131" s="91">
        <v>14</v>
      </c>
      <c r="K131" s="91">
        <v>14</v>
      </c>
      <c r="L131" s="91">
        <v>14</v>
      </c>
      <c r="M131" s="91"/>
      <c r="N131" s="91">
        <v>14</v>
      </c>
      <c r="O131" s="91">
        <v>14</v>
      </c>
      <c r="P131" s="91">
        <v>14</v>
      </c>
      <c r="Q131" s="91">
        <v>14</v>
      </c>
      <c r="R131" s="91"/>
      <c r="S131" s="91">
        <v>14</v>
      </c>
      <c r="T131" s="91">
        <v>14</v>
      </c>
      <c r="U131" s="91"/>
      <c r="V131" s="91">
        <v>14</v>
      </c>
      <c r="W131" s="91">
        <v>14</v>
      </c>
      <c r="X131" s="91">
        <v>14</v>
      </c>
      <c r="Y131" s="91">
        <v>14</v>
      </c>
      <c r="Z131" s="91"/>
      <c r="AA131" s="91"/>
      <c r="AB131" s="91">
        <v>14</v>
      </c>
      <c r="AC131" s="91">
        <v>14</v>
      </c>
      <c r="AD131" s="91">
        <v>14</v>
      </c>
      <c r="AE131" s="91"/>
      <c r="AF131" s="91">
        <v>14</v>
      </c>
      <c r="AG131" s="91">
        <v>14</v>
      </c>
      <c r="AH131" s="91">
        <v>14</v>
      </c>
      <c r="AI131" s="91">
        <v>14</v>
      </c>
      <c r="AJ131" s="91">
        <v>14</v>
      </c>
      <c r="AK131" s="91"/>
      <c r="AL131" s="91">
        <v>14</v>
      </c>
      <c r="AM131" s="91">
        <v>14</v>
      </c>
      <c r="AN131" s="91">
        <v>14</v>
      </c>
      <c r="AO131" s="91">
        <v>14</v>
      </c>
      <c r="AP131" s="91">
        <v>14</v>
      </c>
      <c r="AQ131" s="91"/>
      <c r="AR131" s="91"/>
      <c r="AS131" s="91">
        <v>14</v>
      </c>
      <c r="AT131" s="91">
        <v>14</v>
      </c>
      <c r="AU131" s="91"/>
      <c r="AV131" s="91">
        <v>14</v>
      </c>
      <c r="AW131" s="91">
        <v>14</v>
      </c>
      <c r="AX131" s="91"/>
      <c r="AY131" s="91"/>
      <c r="AZ131" s="91"/>
      <c r="BA131" s="91"/>
      <c r="BB131" s="91">
        <v>14</v>
      </c>
      <c r="BC131" s="91">
        <v>15</v>
      </c>
      <c r="BD131" s="91">
        <v>14</v>
      </c>
      <c r="BE131" s="91">
        <v>14</v>
      </c>
      <c r="BF131" s="91"/>
      <c r="BG131" s="91"/>
      <c r="BH131" s="91"/>
    </row>
    <row r="132" spans="1:60" x14ac:dyDescent="0.25">
      <c r="A132" s="91" t="s">
        <v>231</v>
      </c>
      <c r="B132" s="129">
        <f t="shared" si="6"/>
        <v>474</v>
      </c>
      <c r="C132" s="91">
        <f t="shared" si="7"/>
        <v>48</v>
      </c>
      <c r="D132" s="130">
        <f t="shared" si="8"/>
        <v>0.96</v>
      </c>
      <c r="E132" s="131">
        <v>46255</v>
      </c>
      <c r="F132" s="131">
        <v>46302</v>
      </c>
      <c r="G132" s="91">
        <f t="shared" si="9"/>
        <v>47</v>
      </c>
      <c r="H132" s="91">
        <v>10</v>
      </c>
      <c r="I132" s="91">
        <v>10</v>
      </c>
      <c r="J132" s="91">
        <v>10</v>
      </c>
      <c r="K132" s="91">
        <v>8</v>
      </c>
      <c r="L132" s="91">
        <v>8</v>
      </c>
      <c r="M132" s="91"/>
      <c r="N132" s="91">
        <v>10</v>
      </c>
      <c r="O132" s="91">
        <v>10</v>
      </c>
      <c r="P132" s="91">
        <v>10</v>
      </c>
      <c r="Q132" s="91">
        <v>10</v>
      </c>
      <c r="R132" s="91">
        <v>10</v>
      </c>
      <c r="S132" s="91">
        <v>10</v>
      </c>
      <c r="T132" s="91">
        <v>8</v>
      </c>
      <c r="U132" s="91">
        <v>10</v>
      </c>
      <c r="V132" s="91">
        <v>8</v>
      </c>
      <c r="W132" s="91">
        <v>10</v>
      </c>
      <c r="X132" s="91">
        <v>10</v>
      </c>
      <c r="Y132" s="91">
        <v>1</v>
      </c>
      <c r="Z132" s="91">
        <v>10</v>
      </c>
      <c r="AA132" s="91">
        <v>10</v>
      </c>
      <c r="AB132" s="91">
        <v>10</v>
      </c>
      <c r="AC132" s="91">
        <v>8</v>
      </c>
      <c r="AD132" s="91">
        <v>10</v>
      </c>
      <c r="AE132" s="91">
        <v>10</v>
      </c>
      <c r="AF132" s="91">
        <v>10</v>
      </c>
      <c r="AG132" s="91">
        <v>10</v>
      </c>
      <c r="AH132" s="91">
        <v>8</v>
      </c>
      <c r="AI132" s="91">
        <v>10</v>
      </c>
      <c r="AJ132" s="91">
        <v>10</v>
      </c>
      <c r="AK132" s="91">
        <v>10</v>
      </c>
      <c r="AL132" s="91">
        <v>10</v>
      </c>
      <c r="AM132" s="91">
        <v>10</v>
      </c>
      <c r="AN132" s="91">
        <v>10</v>
      </c>
      <c r="AO132" s="91">
        <v>10</v>
      </c>
      <c r="AP132" s="91">
        <v>10</v>
      </c>
      <c r="AQ132" s="91">
        <v>8</v>
      </c>
      <c r="AR132" s="91">
        <v>10</v>
      </c>
      <c r="AS132" s="91">
        <v>8</v>
      </c>
      <c r="AT132" s="91">
        <v>10</v>
      </c>
      <c r="AU132" s="91">
        <v>8</v>
      </c>
      <c r="AV132" s="91">
        <v>8</v>
      </c>
      <c r="AW132" s="91">
        <v>10</v>
      </c>
      <c r="AX132" s="91">
        <v>10</v>
      </c>
      <c r="AY132" s="91"/>
      <c r="AZ132" s="91">
        <v>10</v>
      </c>
      <c r="BA132" s="91">
        <v>8</v>
      </c>
      <c r="BB132" s="91">
        <v>8</v>
      </c>
      <c r="BC132" s="91">
        <v>8</v>
      </c>
      <c r="BD132" s="91">
        <v>10</v>
      </c>
      <c r="BE132" s="91">
        <v>10</v>
      </c>
      <c r="BF132" s="91">
        <v>15</v>
      </c>
      <c r="BG132" s="91">
        <v>14</v>
      </c>
      <c r="BH132" s="91"/>
    </row>
    <row r="133" spans="1:60" x14ac:dyDescent="0.25">
      <c r="A133" s="91" t="s">
        <v>128</v>
      </c>
      <c r="B133" s="129">
        <f t="shared" si="6"/>
        <v>474</v>
      </c>
      <c r="C133" s="91">
        <f t="shared" si="7"/>
        <v>32</v>
      </c>
      <c r="D133" s="130">
        <f t="shared" si="8"/>
        <v>0.64</v>
      </c>
      <c r="E133" s="131">
        <v>46286</v>
      </c>
      <c r="F133" s="131">
        <v>46304</v>
      </c>
      <c r="G133" s="91">
        <f t="shared" si="9"/>
        <v>18</v>
      </c>
      <c r="H133" s="91">
        <v>14</v>
      </c>
      <c r="I133" s="91"/>
      <c r="J133" s="91">
        <v>7</v>
      </c>
      <c r="K133" s="91">
        <v>7</v>
      </c>
      <c r="L133" s="91">
        <v>7</v>
      </c>
      <c r="M133" s="91"/>
      <c r="N133" s="91">
        <v>7</v>
      </c>
      <c r="O133" s="91">
        <v>7</v>
      </c>
      <c r="P133" s="91">
        <v>14</v>
      </c>
      <c r="Q133" s="91">
        <v>7</v>
      </c>
      <c r="R133" s="91"/>
      <c r="S133" s="91">
        <v>7</v>
      </c>
      <c r="T133" s="91">
        <v>14</v>
      </c>
      <c r="U133" s="91"/>
      <c r="V133" s="91">
        <v>21</v>
      </c>
      <c r="W133" s="91"/>
      <c r="X133" s="91">
        <v>7</v>
      </c>
      <c r="Y133" s="91">
        <v>14</v>
      </c>
      <c r="Z133" s="91">
        <v>21</v>
      </c>
      <c r="AA133" s="91">
        <v>7</v>
      </c>
      <c r="AB133" s="91">
        <v>21</v>
      </c>
      <c r="AC133" s="91">
        <v>7</v>
      </c>
      <c r="AD133" s="91">
        <v>21</v>
      </c>
      <c r="AE133" s="91"/>
      <c r="AF133" s="91">
        <v>7</v>
      </c>
      <c r="AG133" s="91"/>
      <c r="AH133" s="91">
        <v>14</v>
      </c>
      <c r="AI133" s="91">
        <v>7</v>
      </c>
      <c r="AJ133" s="91">
        <v>21</v>
      </c>
      <c r="AK133" s="91"/>
      <c r="AL133" s="91"/>
      <c r="AM133" s="91"/>
      <c r="AN133" s="91">
        <v>7</v>
      </c>
      <c r="AO133" s="91">
        <v>21</v>
      </c>
      <c r="AP133" s="91">
        <v>7</v>
      </c>
      <c r="AQ133" s="91">
        <v>21</v>
      </c>
      <c r="AR133" s="91"/>
      <c r="AS133" s="91">
        <v>21</v>
      </c>
      <c r="AT133" s="91">
        <v>21</v>
      </c>
      <c r="AU133" s="91"/>
      <c r="AV133" s="91"/>
      <c r="AW133" s="91">
        <v>21</v>
      </c>
      <c r="AX133" s="91"/>
      <c r="AY133" s="91"/>
      <c r="AZ133" s="91">
        <v>14</v>
      </c>
      <c r="BA133" s="91">
        <v>14</v>
      </c>
      <c r="BB133" s="91">
        <v>14</v>
      </c>
      <c r="BC133" s="91"/>
      <c r="BD133" s="91"/>
      <c r="BE133" s="91"/>
      <c r="BF133" s="91">
        <v>13</v>
      </c>
      <c r="BG133" s="91">
        <v>41</v>
      </c>
      <c r="BH133" s="91"/>
    </row>
    <row r="134" spans="1:60" x14ac:dyDescent="0.25">
      <c r="A134" s="91" t="s">
        <v>485</v>
      </c>
      <c r="B134" s="129">
        <f t="shared" si="6"/>
        <v>473</v>
      </c>
      <c r="C134" s="91">
        <f t="shared" si="7"/>
        <v>47</v>
      </c>
      <c r="D134" s="130">
        <f t="shared" si="8"/>
        <v>0.94</v>
      </c>
      <c r="E134" s="131">
        <v>46280</v>
      </c>
      <c r="F134" s="131">
        <v>46281</v>
      </c>
      <c r="G134" s="91">
        <f t="shared" si="9"/>
        <v>1</v>
      </c>
      <c r="H134" s="91">
        <v>8</v>
      </c>
      <c r="I134" s="91">
        <v>8</v>
      </c>
      <c r="J134" s="91">
        <v>16</v>
      </c>
      <c r="K134" s="91">
        <v>8</v>
      </c>
      <c r="L134" s="91">
        <v>16</v>
      </c>
      <c r="M134" s="91"/>
      <c r="N134" s="91">
        <v>8</v>
      </c>
      <c r="O134" s="91">
        <v>16</v>
      </c>
      <c r="P134" s="91">
        <v>16</v>
      </c>
      <c r="Q134" s="91">
        <v>8</v>
      </c>
      <c r="R134" s="91">
        <v>8</v>
      </c>
      <c r="S134" s="91">
        <v>16</v>
      </c>
      <c r="T134" s="91">
        <v>8</v>
      </c>
      <c r="U134" s="91">
        <v>8</v>
      </c>
      <c r="V134" s="91">
        <v>8</v>
      </c>
      <c r="W134" s="91">
        <v>8</v>
      </c>
      <c r="X134" s="91">
        <v>16</v>
      </c>
      <c r="Y134" s="91"/>
      <c r="Z134" s="91">
        <v>8</v>
      </c>
      <c r="AA134" s="91">
        <v>8</v>
      </c>
      <c r="AB134" s="91">
        <v>8</v>
      </c>
      <c r="AC134" s="91">
        <v>16</v>
      </c>
      <c r="AD134" s="91">
        <v>8</v>
      </c>
      <c r="AE134" s="91">
        <v>8</v>
      </c>
      <c r="AF134" s="91">
        <v>8</v>
      </c>
      <c r="AG134" s="91">
        <v>8</v>
      </c>
      <c r="AH134" s="91">
        <v>8</v>
      </c>
      <c r="AI134" s="91">
        <v>16</v>
      </c>
      <c r="AJ134" s="91">
        <v>15</v>
      </c>
      <c r="AK134" s="91">
        <v>8</v>
      </c>
      <c r="AL134" s="91">
        <v>8</v>
      </c>
      <c r="AM134" s="91">
        <v>8</v>
      </c>
      <c r="AN134" s="91">
        <v>8</v>
      </c>
      <c r="AO134" s="91">
        <v>16</v>
      </c>
      <c r="AP134" s="91">
        <v>8</v>
      </c>
      <c r="AQ134" s="91">
        <v>8</v>
      </c>
      <c r="AR134" s="91">
        <v>8</v>
      </c>
      <c r="AS134" s="91">
        <v>8</v>
      </c>
      <c r="AT134" s="91">
        <v>8</v>
      </c>
      <c r="AU134" s="91">
        <v>8</v>
      </c>
      <c r="AV134" s="91">
        <v>8</v>
      </c>
      <c r="AW134" s="91">
        <v>8</v>
      </c>
      <c r="AX134" s="91">
        <v>8</v>
      </c>
      <c r="AY134" s="91"/>
      <c r="AZ134" s="91">
        <v>8</v>
      </c>
      <c r="BA134" s="91">
        <v>8</v>
      </c>
      <c r="BB134" s="91">
        <v>8</v>
      </c>
      <c r="BC134" s="91">
        <v>8</v>
      </c>
      <c r="BD134" s="91">
        <v>8</v>
      </c>
      <c r="BE134" s="91">
        <v>8</v>
      </c>
      <c r="BF134" s="91">
        <v>4</v>
      </c>
      <c r="BG134" s="91">
        <v>14</v>
      </c>
      <c r="BH134" s="91"/>
    </row>
    <row r="135" spans="1:60" x14ac:dyDescent="0.25">
      <c r="A135" s="91" t="s">
        <v>319</v>
      </c>
      <c r="B135" s="129">
        <f t="shared" si="6"/>
        <v>471</v>
      </c>
      <c r="C135" s="91">
        <f t="shared" si="7"/>
        <v>49</v>
      </c>
      <c r="D135" s="130">
        <f t="shared" si="8"/>
        <v>0.98</v>
      </c>
      <c r="E135" s="131">
        <v>46254</v>
      </c>
      <c r="F135" s="131">
        <v>46314</v>
      </c>
      <c r="G135" s="91">
        <f t="shared" si="9"/>
        <v>60</v>
      </c>
      <c r="H135" s="91">
        <v>9</v>
      </c>
      <c r="I135" s="91">
        <v>9</v>
      </c>
      <c r="J135" s="91">
        <v>9</v>
      </c>
      <c r="K135" s="91">
        <v>9</v>
      </c>
      <c r="L135" s="91">
        <v>9</v>
      </c>
      <c r="M135" s="91">
        <v>7</v>
      </c>
      <c r="N135" s="91">
        <v>9</v>
      </c>
      <c r="O135" s="91">
        <v>9</v>
      </c>
      <c r="P135" s="91">
        <v>9</v>
      </c>
      <c r="Q135" s="91">
        <v>9</v>
      </c>
      <c r="R135" s="91">
        <v>9</v>
      </c>
      <c r="S135" s="91">
        <v>9</v>
      </c>
      <c r="T135" s="91">
        <v>9</v>
      </c>
      <c r="U135" s="91">
        <v>9</v>
      </c>
      <c r="V135" s="91">
        <v>9</v>
      </c>
      <c r="W135" s="91">
        <v>9</v>
      </c>
      <c r="X135" s="91">
        <v>9</v>
      </c>
      <c r="Y135" s="91">
        <v>2</v>
      </c>
      <c r="Z135" s="91">
        <v>9</v>
      </c>
      <c r="AA135" s="91">
        <v>9</v>
      </c>
      <c r="AB135" s="91">
        <v>9</v>
      </c>
      <c r="AC135" s="91">
        <v>9</v>
      </c>
      <c r="AD135" s="91">
        <v>9</v>
      </c>
      <c r="AE135" s="91">
        <v>9</v>
      </c>
      <c r="AF135" s="91">
        <v>9</v>
      </c>
      <c r="AG135" s="91">
        <v>9</v>
      </c>
      <c r="AH135" s="91">
        <v>9</v>
      </c>
      <c r="AI135" s="91">
        <v>9</v>
      </c>
      <c r="AJ135" s="91">
        <v>9</v>
      </c>
      <c r="AK135" s="91">
        <v>9</v>
      </c>
      <c r="AL135" s="91">
        <v>9</v>
      </c>
      <c r="AM135" s="91">
        <v>9</v>
      </c>
      <c r="AN135" s="91">
        <v>9</v>
      </c>
      <c r="AO135" s="91">
        <v>9</v>
      </c>
      <c r="AP135" s="91">
        <v>9</v>
      </c>
      <c r="AQ135" s="91">
        <v>9</v>
      </c>
      <c r="AR135" s="91">
        <v>9</v>
      </c>
      <c r="AS135" s="91">
        <v>9</v>
      </c>
      <c r="AT135" s="91">
        <v>9</v>
      </c>
      <c r="AU135" s="91">
        <v>9</v>
      </c>
      <c r="AV135" s="91">
        <v>10</v>
      </c>
      <c r="AW135" s="91">
        <v>9</v>
      </c>
      <c r="AX135" s="91">
        <v>9</v>
      </c>
      <c r="AY135" s="91"/>
      <c r="AZ135" s="91">
        <v>9</v>
      </c>
      <c r="BA135" s="91">
        <v>9</v>
      </c>
      <c r="BB135" s="91">
        <v>10</v>
      </c>
      <c r="BC135" s="91">
        <v>9</v>
      </c>
      <c r="BD135" s="91">
        <v>10</v>
      </c>
      <c r="BE135" s="91">
        <v>9</v>
      </c>
      <c r="BF135" s="91">
        <v>18</v>
      </c>
      <c r="BG135" s="91">
        <v>18</v>
      </c>
      <c r="BH135" s="91"/>
    </row>
    <row r="136" spans="1:60" x14ac:dyDescent="0.25">
      <c r="A136" s="91" t="s">
        <v>201</v>
      </c>
      <c r="B136" s="129">
        <f t="shared" ref="B136:B199" si="10">SUM(H136:BH136)</f>
        <v>469</v>
      </c>
      <c r="C136" s="91">
        <f t="shared" ref="C136:C199" si="11">COUNTIF(H136:BE136,"&gt;0")</f>
        <v>48</v>
      </c>
      <c r="D136" s="130">
        <f t="shared" ref="D136:D199" si="12">IFERROR(C136/TIENDAS,0)</f>
        <v>0.96</v>
      </c>
      <c r="E136" s="131">
        <v>46262</v>
      </c>
      <c r="F136" s="131">
        <v>46310</v>
      </c>
      <c r="G136" s="91">
        <f t="shared" ref="G136:G199" si="13">F136-E136</f>
        <v>48</v>
      </c>
      <c r="H136" s="91">
        <v>10</v>
      </c>
      <c r="I136" s="91">
        <v>10</v>
      </c>
      <c r="J136" s="91">
        <v>10</v>
      </c>
      <c r="K136" s="91">
        <v>10</v>
      </c>
      <c r="L136" s="91">
        <v>10</v>
      </c>
      <c r="M136" s="91"/>
      <c r="N136" s="91">
        <v>10</v>
      </c>
      <c r="O136" s="91">
        <v>10</v>
      </c>
      <c r="P136" s="91">
        <v>8</v>
      </c>
      <c r="Q136" s="91">
        <v>10</v>
      </c>
      <c r="R136" s="91">
        <v>10</v>
      </c>
      <c r="S136" s="91">
        <v>8</v>
      </c>
      <c r="T136" s="91">
        <v>10</v>
      </c>
      <c r="U136" s="91">
        <v>9</v>
      </c>
      <c r="V136" s="91">
        <v>10</v>
      </c>
      <c r="W136" s="91">
        <v>10</v>
      </c>
      <c r="X136" s="91">
        <v>10</v>
      </c>
      <c r="Y136" s="91">
        <v>2</v>
      </c>
      <c r="Z136" s="91">
        <v>10</v>
      </c>
      <c r="AA136" s="91">
        <v>10</v>
      </c>
      <c r="AB136" s="91">
        <v>10</v>
      </c>
      <c r="AC136" s="91">
        <v>9</v>
      </c>
      <c r="AD136" s="91">
        <v>10</v>
      </c>
      <c r="AE136" s="91">
        <v>8</v>
      </c>
      <c r="AF136" s="91">
        <v>10</v>
      </c>
      <c r="AG136" s="91">
        <v>10</v>
      </c>
      <c r="AH136" s="91">
        <v>10</v>
      </c>
      <c r="AI136" s="91">
        <v>10</v>
      </c>
      <c r="AJ136" s="91">
        <v>8</v>
      </c>
      <c r="AK136" s="91">
        <v>10</v>
      </c>
      <c r="AL136" s="91">
        <v>10</v>
      </c>
      <c r="AM136" s="91">
        <v>10</v>
      </c>
      <c r="AN136" s="91">
        <v>10</v>
      </c>
      <c r="AO136" s="91">
        <v>10</v>
      </c>
      <c r="AP136" s="91">
        <v>10</v>
      </c>
      <c r="AQ136" s="91">
        <v>10</v>
      </c>
      <c r="AR136" s="91">
        <v>10</v>
      </c>
      <c r="AS136" s="91">
        <v>8</v>
      </c>
      <c r="AT136" s="91">
        <v>10</v>
      </c>
      <c r="AU136" s="91">
        <v>8</v>
      </c>
      <c r="AV136" s="91">
        <v>8</v>
      </c>
      <c r="AW136" s="91">
        <v>10</v>
      </c>
      <c r="AX136" s="91">
        <v>10</v>
      </c>
      <c r="AY136" s="91"/>
      <c r="AZ136" s="91">
        <v>10</v>
      </c>
      <c r="BA136" s="91">
        <v>10</v>
      </c>
      <c r="BB136" s="91">
        <v>8</v>
      </c>
      <c r="BC136" s="91">
        <v>8</v>
      </c>
      <c r="BD136" s="91">
        <v>10</v>
      </c>
      <c r="BE136" s="91">
        <v>10</v>
      </c>
      <c r="BF136" s="91">
        <v>3</v>
      </c>
      <c r="BG136" s="91">
        <v>14</v>
      </c>
      <c r="BH136" s="91"/>
    </row>
    <row r="137" spans="1:60" x14ac:dyDescent="0.25">
      <c r="A137" s="91" t="s">
        <v>160</v>
      </c>
      <c r="B137" s="129">
        <f t="shared" si="10"/>
        <v>469</v>
      </c>
      <c r="C137" s="91">
        <f t="shared" si="11"/>
        <v>48</v>
      </c>
      <c r="D137" s="130">
        <f t="shared" si="12"/>
        <v>0.96</v>
      </c>
      <c r="E137" s="131">
        <v>46300</v>
      </c>
      <c r="F137" s="131">
        <v>46309</v>
      </c>
      <c r="G137" s="91">
        <f t="shared" si="13"/>
        <v>9</v>
      </c>
      <c r="H137" s="91">
        <v>9</v>
      </c>
      <c r="I137" s="91">
        <v>9</v>
      </c>
      <c r="J137" s="91">
        <v>9</v>
      </c>
      <c r="K137" s="91">
        <v>9</v>
      </c>
      <c r="L137" s="91">
        <v>9</v>
      </c>
      <c r="M137" s="91"/>
      <c r="N137" s="91">
        <v>9</v>
      </c>
      <c r="O137" s="91">
        <v>9</v>
      </c>
      <c r="P137" s="91">
        <v>9</v>
      </c>
      <c r="Q137" s="91">
        <v>9</v>
      </c>
      <c r="R137" s="91">
        <v>9</v>
      </c>
      <c r="S137" s="91">
        <v>9</v>
      </c>
      <c r="T137" s="91">
        <v>9</v>
      </c>
      <c r="U137" s="91">
        <v>9</v>
      </c>
      <c r="V137" s="91">
        <v>9</v>
      </c>
      <c r="W137" s="91">
        <v>9</v>
      </c>
      <c r="X137" s="91">
        <v>9</v>
      </c>
      <c r="Y137" s="91">
        <v>9</v>
      </c>
      <c r="Z137" s="91">
        <v>9</v>
      </c>
      <c r="AA137" s="91">
        <v>9</v>
      </c>
      <c r="AB137" s="91">
        <v>9</v>
      </c>
      <c r="AC137" s="91">
        <v>9</v>
      </c>
      <c r="AD137" s="91">
        <v>9</v>
      </c>
      <c r="AE137" s="91">
        <v>9</v>
      </c>
      <c r="AF137" s="91">
        <v>9</v>
      </c>
      <c r="AG137" s="91">
        <v>9</v>
      </c>
      <c r="AH137" s="91">
        <v>9</v>
      </c>
      <c r="AI137" s="91">
        <v>9</v>
      </c>
      <c r="AJ137" s="91">
        <v>9</v>
      </c>
      <c r="AK137" s="91">
        <v>9</v>
      </c>
      <c r="AL137" s="91">
        <v>9</v>
      </c>
      <c r="AM137" s="91">
        <v>9</v>
      </c>
      <c r="AN137" s="91">
        <v>9</v>
      </c>
      <c r="AO137" s="91">
        <v>9</v>
      </c>
      <c r="AP137" s="91">
        <v>9</v>
      </c>
      <c r="AQ137" s="91">
        <v>9</v>
      </c>
      <c r="AR137" s="91">
        <v>9</v>
      </c>
      <c r="AS137" s="91">
        <v>9</v>
      </c>
      <c r="AT137" s="91">
        <v>9</v>
      </c>
      <c r="AU137" s="91">
        <v>9</v>
      </c>
      <c r="AV137" s="91">
        <v>10</v>
      </c>
      <c r="AW137" s="91">
        <v>9</v>
      </c>
      <c r="AX137" s="91">
        <v>9</v>
      </c>
      <c r="AY137" s="91"/>
      <c r="AZ137" s="91">
        <v>9</v>
      </c>
      <c r="BA137" s="91">
        <v>9</v>
      </c>
      <c r="BB137" s="91">
        <v>9</v>
      </c>
      <c r="BC137" s="91">
        <v>9</v>
      </c>
      <c r="BD137" s="91">
        <v>9</v>
      </c>
      <c r="BE137" s="91">
        <v>9</v>
      </c>
      <c r="BF137" s="91">
        <v>18</v>
      </c>
      <c r="BG137" s="91">
        <v>18</v>
      </c>
      <c r="BH137" s="91"/>
    </row>
    <row r="138" spans="1:60" x14ac:dyDescent="0.25">
      <c r="A138" s="91" t="s">
        <v>589</v>
      </c>
      <c r="B138" s="129">
        <f t="shared" si="10"/>
        <v>467</v>
      </c>
      <c r="C138" s="91">
        <f t="shared" si="11"/>
        <v>49</v>
      </c>
      <c r="D138" s="130">
        <f t="shared" si="12"/>
        <v>0.98</v>
      </c>
      <c r="E138" s="131">
        <v>46246</v>
      </c>
      <c r="F138" s="131">
        <v>46301</v>
      </c>
      <c r="G138" s="91">
        <f t="shared" si="13"/>
        <v>55</v>
      </c>
      <c r="H138" s="91">
        <v>9</v>
      </c>
      <c r="I138" s="91">
        <v>9</v>
      </c>
      <c r="J138" s="91">
        <v>9</v>
      </c>
      <c r="K138" s="91">
        <v>9</v>
      </c>
      <c r="L138" s="91">
        <v>9</v>
      </c>
      <c r="M138" s="91">
        <v>7</v>
      </c>
      <c r="N138" s="91">
        <v>9</v>
      </c>
      <c r="O138" s="91">
        <v>9</v>
      </c>
      <c r="P138" s="91">
        <v>9</v>
      </c>
      <c r="Q138" s="91">
        <v>9</v>
      </c>
      <c r="R138" s="91">
        <v>9</v>
      </c>
      <c r="S138" s="91">
        <v>9</v>
      </c>
      <c r="T138" s="91">
        <v>9</v>
      </c>
      <c r="U138" s="91">
        <v>9</v>
      </c>
      <c r="V138" s="91">
        <v>9</v>
      </c>
      <c r="W138" s="91">
        <v>9</v>
      </c>
      <c r="X138" s="91">
        <v>9</v>
      </c>
      <c r="Y138" s="91">
        <v>2</v>
      </c>
      <c r="Z138" s="91">
        <v>9</v>
      </c>
      <c r="AA138" s="91">
        <v>9</v>
      </c>
      <c r="AB138" s="91">
        <v>9</v>
      </c>
      <c r="AC138" s="91">
        <v>9</v>
      </c>
      <c r="AD138" s="91">
        <v>9</v>
      </c>
      <c r="AE138" s="91">
        <v>9</v>
      </c>
      <c r="AF138" s="91">
        <v>9</v>
      </c>
      <c r="AG138" s="91">
        <v>9</v>
      </c>
      <c r="AH138" s="91">
        <v>9</v>
      </c>
      <c r="AI138" s="91">
        <v>9</v>
      </c>
      <c r="AJ138" s="91">
        <v>9</v>
      </c>
      <c r="AK138" s="91">
        <v>9</v>
      </c>
      <c r="AL138" s="91">
        <v>9</v>
      </c>
      <c r="AM138" s="91">
        <v>9</v>
      </c>
      <c r="AN138" s="91">
        <v>9</v>
      </c>
      <c r="AO138" s="91">
        <v>9</v>
      </c>
      <c r="AP138" s="91">
        <v>9</v>
      </c>
      <c r="AQ138" s="91">
        <v>9</v>
      </c>
      <c r="AR138" s="91">
        <v>9</v>
      </c>
      <c r="AS138" s="91">
        <v>9</v>
      </c>
      <c r="AT138" s="91">
        <v>9</v>
      </c>
      <c r="AU138" s="91">
        <v>9</v>
      </c>
      <c r="AV138" s="91">
        <v>9</v>
      </c>
      <c r="AW138" s="91">
        <v>9</v>
      </c>
      <c r="AX138" s="91">
        <v>9</v>
      </c>
      <c r="AY138" s="91"/>
      <c r="AZ138" s="91">
        <v>9</v>
      </c>
      <c r="BA138" s="91">
        <v>9</v>
      </c>
      <c r="BB138" s="91">
        <v>9</v>
      </c>
      <c r="BC138" s="91">
        <v>9</v>
      </c>
      <c r="BD138" s="91">
        <v>9</v>
      </c>
      <c r="BE138" s="91">
        <v>9</v>
      </c>
      <c r="BF138" s="91">
        <v>16</v>
      </c>
      <c r="BG138" s="91">
        <v>18</v>
      </c>
      <c r="BH138" s="91">
        <v>1</v>
      </c>
    </row>
    <row r="139" spans="1:60" x14ac:dyDescent="0.25">
      <c r="A139" s="91" t="s">
        <v>223</v>
      </c>
      <c r="B139" s="129">
        <f t="shared" si="10"/>
        <v>467</v>
      </c>
      <c r="C139" s="91">
        <f t="shared" si="11"/>
        <v>49</v>
      </c>
      <c r="D139" s="130">
        <f t="shared" si="12"/>
        <v>0.98</v>
      </c>
      <c r="E139" s="131">
        <v>46262</v>
      </c>
      <c r="F139" s="131">
        <v>46302</v>
      </c>
      <c r="G139" s="91">
        <f t="shared" si="13"/>
        <v>40</v>
      </c>
      <c r="H139" s="91">
        <v>10</v>
      </c>
      <c r="I139" s="91">
        <v>10</v>
      </c>
      <c r="J139" s="91">
        <v>10</v>
      </c>
      <c r="K139" s="91">
        <v>10</v>
      </c>
      <c r="L139" s="91">
        <v>10</v>
      </c>
      <c r="M139" s="91">
        <v>6</v>
      </c>
      <c r="N139" s="91">
        <v>10</v>
      </c>
      <c r="O139" s="91">
        <v>10</v>
      </c>
      <c r="P139" s="91">
        <v>8</v>
      </c>
      <c r="Q139" s="91">
        <v>8</v>
      </c>
      <c r="R139" s="91">
        <v>10</v>
      </c>
      <c r="S139" s="91">
        <v>10</v>
      </c>
      <c r="T139" s="91">
        <v>10</v>
      </c>
      <c r="U139" s="91">
        <v>10</v>
      </c>
      <c r="V139" s="91">
        <v>10</v>
      </c>
      <c r="W139" s="91">
        <v>10</v>
      </c>
      <c r="X139" s="91">
        <v>8</v>
      </c>
      <c r="Y139" s="91">
        <v>1</v>
      </c>
      <c r="Z139" s="91">
        <v>10</v>
      </c>
      <c r="AA139" s="91">
        <v>10</v>
      </c>
      <c r="AB139" s="91">
        <v>10</v>
      </c>
      <c r="AC139" s="91">
        <v>8</v>
      </c>
      <c r="AD139" s="91">
        <v>10</v>
      </c>
      <c r="AE139" s="91">
        <v>10</v>
      </c>
      <c r="AF139" s="91">
        <v>10</v>
      </c>
      <c r="AG139" s="91">
        <v>8</v>
      </c>
      <c r="AH139" s="91">
        <v>8</v>
      </c>
      <c r="AI139" s="91">
        <v>8</v>
      </c>
      <c r="AJ139" s="91">
        <v>8</v>
      </c>
      <c r="AK139" s="91">
        <v>8</v>
      </c>
      <c r="AL139" s="91">
        <v>8</v>
      </c>
      <c r="AM139" s="91">
        <v>10</v>
      </c>
      <c r="AN139" s="91">
        <v>10</v>
      </c>
      <c r="AO139" s="91">
        <v>8</v>
      </c>
      <c r="AP139" s="91">
        <v>8</v>
      </c>
      <c r="AQ139" s="91">
        <v>10</v>
      </c>
      <c r="AR139" s="91">
        <v>8</v>
      </c>
      <c r="AS139" s="91">
        <v>8</v>
      </c>
      <c r="AT139" s="91">
        <v>10</v>
      </c>
      <c r="AU139" s="91">
        <v>8</v>
      </c>
      <c r="AV139" s="91">
        <v>10</v>
      </c>
      <c r="AW139" s="91">
        <v>8</v>
      </c>
      <c r="AX139" s="91">
        <v>10</v>
      </c>
      <c r="AY139" s="91"/>
      <c r="AZ139" s="91">
        <v>10</v>
      </c>
      <c r="BA139" s="91">
        <v>8</v>
      </c>
      <c r="BB139" s="91">
        <v>8</v>
      </c>
      <c r="BC139" s="91">
        <v>8</v>
      </c>
      <c r="BD139" s="91">
        <v>8</v>
      </c>
      <c r="BE139" s="91">
        <v>8</v>
      </c>
      <c r="BF139" s="91">
        <v>16</v>
      </c>
      <c r="BG139" s="91">
        <v>16</v>
      </c>
      <c r="BH139" s="91"/>
    </row>
    <row r="140" spans="1:60" x14ac:dyDescent="0.25">
      <c r="A140" s="91" t="s">
        <v>230</v>
      </c>
      <c r="B140" s="129">
        <f t="shared" si="10"/>
        <v>466</v>
      </c>
      <c r="C140" s="91">
        <f t="shared" si="11"/>
        <v>49</v>
      </c>
      <c r="D140" s="130">
        <f t="shared" si="12"/>
        <v>0.98</v>
      </c>
      <c r="E140" s="131">
        <v>46252</v>
      </c>
      <c r="F140" s="131">
        <v>46322</v>
      </c>
      <c r="G140" s="91">
        <f t="shared" si="13"/>
        <v>70</v>
      </c>
      <c r="H140" s="91">
        <v>9</v>
      </c>
      <c r="I140" s="91">
        <v>9</v>
      </c>
      <c r="J140" s="91">
        <v>9</v>
      </c>
      <c r="K140" s="91">
        <v>9</v>
      </c>
      <c r="L140" s="91">
        <v>9</v>
      </c>
      <c r="M140" s="91">
        <v>6</v>
      </c>
      <c r="N140" s="91">
        <v>9</v>
      </c>
      <c r="O140" s="91">
        <v>9</v>
      </c>
      <c r="P140" s="91">
        <v>9</v>
      </c>
      <c r="Q140" s="91">
        <v>9</v>
      </c>
      <c r="R140" s="91">
        <v>10</v>
      </c>
      <c r="S140" s="91">
        <v>9</v>
      </c>
      <c r="T140" s="91">
        <v>9</v>
      </c>
      <c r="U140" s="91">
        <v>9</v>
      </c>
      <c r="V140" s="91">
        <v>9</v>
      </c>
      <c r="W140" s="91">
        <v>9</v>
      </c>
      <c r="X140" s="91">
        <v>9</v>
      </c>
      <c r="Y140" s="91">
        <v>1</v>
      </c>
      <c r="Z140" s="91">
        <v>9</v>
      </c>
      <c r="AA140" s="91">
        <v>9</v>
      </c>
      <c r="AB140" s="91">
        <v>9</v>
      </c>
      <c r="AC140" s="91">
        <v>9</v>
      </c>
      <c r="AD140" s="91">
        <v>9</v>
      </c>
      <c r="AE140" s="91">
        <v>9</v>
      </c>
      <c r="AF140" s="91">
        <v>9</v>
      </c>
      <c r="AG140" s="91">
        <v>9</v>
      </c>
      <c r="AH140" s="91">
        <v>9</v>
      </c>
      <c r="AI140" s="91">
        <v>9</v>
      </c>
      <c r="AJ140" s="91">
        <v>9</v>
      </c>
      <c r="AK140" s="91">
        <v>9</v>
      </c>
      <c r="AL140" s="91">
        <v>9</v>
      </c>
      <c r="AM140" s="91">
        <v>9</v>
      </c>
      <c r="AN140" s="91">
        <v>9</v>
      </c>
      <c r="AO140" s="91">
        <v>9</v>
      </c>
      <c r="AP140" s="91">
        <v>9</v>
      </c>
      <c r="AQ140" s="91">
        <v>9</v>
      </c>
      <c r="AR140" s="91">
        <v>9</v>
      </c>
      <c r="AS140" s="91">
        <v>9</v>
      </c>
      <c r="AT140" s="91">
        <v>9</v>
      </c>
      <c r="AU140" s="91">
        <v>9</v>
      </c>
      <c r="AV140" s="91">
        <v>9</v>
      </c>
      <c r="AW140" s="91">
        <v>9</v>
      </c>
      <c r="AX140" s="91">
        <v>9</v>
      </c>
      <c r="AY140" s="91"/>
      <c r="AZ140" s="91">
        <v>9</v>
      </c>
      <c r="BA140" s="91">
        <v>9</v>
      </c>
      <c r="BB140" s="91">
        <v>9</v>
      </c>
      <c r="BC140" s="91">
        <v>9</v>
      </c>
      <c r="BD140" s="91">
        <v>9</v>
      </c>
      <c r="BE140" s="91">
        <v>9</v>
      </c>
      <c r="BF140" s="91">
        <v>18</v>
      </c>
      <c r="BG140" s="91">
        <v>17</v>
      </c>
      <c r="BH140" s="91"/>
    </row>
    <row r="141" spans="1:60" x14ac:dyDescent="0.25">
      <c r="A141" s="91" t="s">
        <v>336</v>
      </c>
      <c r="B141" s="129">
        <f t="shared" si="10"/>
        <v>466</v>
      </c>
      <c r="C141" s="91">
        <f t="shared" si="11"/>
        <v>48</v>
      </c>
      <c r="D141" s="130">
        <f t="shared" si="12"/>
        <v>0.96</v>
      </c>
      <c r="E141" s="131">
        <v>46262</v>
      </c>
      <c r="F141" s="131">
        <v>46302</v>
      </c>
      <c r="G141" s="91">
        <f t="shared" si="13"/>
        <v>40</v>
      </c>
      <c r="H141" s="91">
        <v>9</v>
      </c>
      <c r="I141" s="91">
        <v>9</v>
      </c>
      <c r="J141" s="91">
        <v>9</v>
      </c>
      <c r="K141" s="91">
        <v>9</v>
      </c>
      <c r="L141" s="91">
        <v>9</v>
      </c>
      <c r="M141" s="91">
        <v>6</v>
      </c>
      <c r="N141" s="91">
        <v>9</v>
      </c>
      <c r="O141" s="91">
        <v>9</v>
      </c>
      <c r="P141" s="91">
        <v>9</v>
      </c>
      <c r="Q141" s="91">
        <v>9</v>
      </c>
      <c r="R141" s="91">
        <v>9</v>
      </c>
      <c r="S141" s="91">
        <v>9</v>
      </c>
      <c r="T141" s="91">
        <v>9</v>
      </c>
      <c r="U141" s="91">
        <v>9</v>
      </c>
      <c r="V141" s="91">
        <v>9</v>
      </c>
      <c r="W141" s="91">
        <v>9</v>
      </c>
      <c r="X141" s="91">
        <v>9</v>
      </c>
      <c r="Y141" s="91"/>
      <c r="Z141" s="91">
        <v>9</v>
      </c>
      <c r="AA141" s="91">
        <v>9</v>
      </c>
      <c r="AB141" s="91">
        <v>9</v>
      </c>
      <c r="AC141" s="91">
        <v>9</v>
      </c>
      <c r="AD141" s="91">
        <v>9</v>
      </c>
      <c r="AE141" s="91">
        <v>9</v>
      </c>
      <c r="AF141" s="91">
        <v>9</v>
      </c>
      <c r="AG141" s="91">
        <v>9</v>
      </c>
      <c r="AH141" s="91">
        <v>9</v>
      </c>
      <c r="AI141" s="91">
        <v>9</v>
      </c>
      <c r="AJ141" s="91">
        <v>9</v>
      </c>
      <c r="AK141" s="91">
        <v>9</v>
      </c>
      <c r="AL141" s="91">
        <v>9</v>
      </c>
      <c r="AM141" s="91">
        <v>9</v>
      </c>
      <c r="AN141" s="91">
        <v>9</v>
      </c>
      <c r="AO141" s="91">
        <v>9</v>
      </c>
      <c r="AP141" s="91">
        <v>9</v>
      </c>
      <c r="AQ141" s="91">
        <v>9</v>
      </c>
      <c r="AR141" s="91">
        <v>9</v>
      </c>
      <c r="AS141" s="91">
        <v>9</v>
      </c>
      <c r="AT141" s="91">
        <v>9</v>
      </c>
      <c r="AU141" s="91">
        <v>9</v>
      </c>
      <c r="AV141" s="91">
        <v>10</v>
      </c>
      <c r="AW141" s="91">
        <v>9</v>
      </c>
      <c r="AX141" s="91">
        <v>9</v>
      </c>
      <c r="AY141" s="91"/>
      <c r="AZ141" s="91">
        <v>9</v>
      </c>
      <c r="BA141" s="91">
        <v>9</v>
      </c>
      <c r="BB141" s="91">
        <v>9</v>
      </c>
      <c r="BC141" s="91">
        <v>9</v>
      </c>
      <c r="BD141" s="91">
        <v>9</v>
      </c>
      <c r="BE141" s="91">
        <v>9</v>
      </c>
      <c r="BF141" s="91">
        <v>18</v>
      </c>
      <c r="BG141" s="91">
        <v>18</v>
      </c>
      <c r="BH141" s="91"/>
    </row>
    <row r="142" spans="1:60" x14ac:dyDescent="0.25">
      <c r="A142" s="91" t="s">
        <v>421</v>
      </c>
      <c r="B142" s="129">
        <f t="shared" si="10"/>
        <v>466</v>
      </c>
      <c r="C142" s="91">
        <f t="shared" si="11"/>
        <v>49</v>
      </c>
      <c r="D142" s="130">
        <f t="shared" si="12"/>
        <v>0.98</v>
      </c>
      <c r="E142" s="131">
        <v>46266</v>
      </c>
      <c r="F142" s="131">
        <v>46302</v>
      </c>
      <c r="G142" s="91">
        <f t="shared" si="13"/>
        <v>36</v>
      </c>
      <c r="H142" s="91">
        <v>9</v>
      </c>
      <c r="I142" s="91">
        <v>9</v>
      </c>
      <c r="J142" s="91">
        <v>9</v>
      </c>
      <c r="K142" s="91">
        <v>9</v>
      </c>
      <c r="L142" s="91">
        <v>9</v>
      </c>
      <c r="M142" s="91">
        <v>10</v>
      </c>
      <c r="N142" s="91">
        <v>9</v>
      </c>
      <c r="O142" s="91">
        <v>9</v>
      </c>
      <c r="P142" s="91">
        <v>9</v>
      </c>
      <c r="Q142" s="91">
        <v>9</v>
      </c>
      <c r="R142" s="91">
        <v>9</v>
      </c>
      <c r="S142" s="91">
        <v>9</v>
      </c>
      <c r="T142" s="91">
        <v>9</v>
      </c>
      <c r="U142" s="91">
        <v>9</v>
      </c>
      <c r="V142" s="91">
        <v>9</v>
      </c>
      <c r="W142" s="91">
        <v>9</v>
      </c>
      <c r="X142" s="91">
        <v>9</v>
      </c>
      <c r="Y142" s="91">
        <v>1</v>
      </c>
      <c r="Z142" s="91">
        <v>9</v>
      </c>
      <c r="AA142" s="91">
        <v>9</v>
      </c>
      <c r="AB142" s="91">
        <v>9</v>
      </c>
      <c r="AC142" s="91">
        <v>9</v>
      </c>
      <c r="AD142" s="91">
        <v>9</v>
      </c>
      <c r="AE142" s="91">
        <v>9</v>
      </c>
      <c r="AF142" s="91">
        <v>9</v>
      </c>
      <c r="AG142" s="91">
        <v>9</v>
      </c>
      <c r="AH142" s="91">
        <v>9</v>
      </c>
      <c r="AI142" s="91">
        <v>9</v>
      </c>
      <c r="AJ142" s="91">
        <v>9</v>
      </c>
      <c r="AK142" s="91">
        <v>9</v>
      </c>
      <c r="AL142" s="91">
        <v>9</v>
      </c>
      <c r="AM142" s="91">
        <v>9</v>
      </c>
      <c r="AN142" s="91">
        <v>9</v>
      </c>
      <c r="AO142" s="91">
        <v>9</v>
      </c>
      <c r="AP142" s="91">
        <v>9</v>
      </c>
      <c r="AQ142" s="91">
        <v>9</v>
      </c>
      <c r="AR142" s="91">
        <v>9</v>
      </c>
      <c r="AS142" s="91">
        <v>9</v>
      </c>
      <c r="AT142" s="91">
        <v>9</v>
      </c>
      <c r="AU142" s="91">
        <v>9</v>
      </c>
      <c r="AV142" s="91">
        <v>9</v>
      </c>
      <c r="AW142" s="91">
        <v>9</v>
      </c>
      <c r="AX142" s="91">
        <v>9</v>
      </c>
      <c r="AY142" s="91"/>
      <c r="AZ142" s="91">
        <v>9</v>
      </c>
      <c r="BA142" s="91">
        <v>9</v>
      </c>
      <c r="BB142" s="91">
        <v>9</v>
      </c>
      <c r="BC142" s="91">
        <v>9</v>
      </c>
      <c r="BD142" s="91">
        <v>9</v>
      </c>
      <c r="BE142" s="91">
        <v>9</v>
      </c>
      <c r="BF142" s="91">
        <v>16</v>
      </c>
      <c r="BG142" s="91">
        <v>16</v>
      </c>
      <c r="BH142" s="91"/>
    </row>
    <row r="143" spans="1:60" x14ac:dyDescent="0.25">
      <c r="A143" s="91" t="s">
        <v>412</v>
      </c>
      <c r="B143" s="129">
        <f t="shared" si="10"/>
        <v>465</v>
      </c>
      <c r="C143" s="91">
        <f t="shared" si="11"/>
        <v>48</v>
      </c>
      <c r="D143" s="130">
        <f t="shared" si="12"/>
        <v>0.96</v>
      </c>
      <c r="E143" s="131">
        <v>46266</v>
      </c>
      <c r="F143" s="131">
        <v>46280</v>
      </c>
      <c r="G143" s="91">
        <f t="shared" si="13"/>
        <v>14</v>
      </c>
      <c r="H143" s="91">
        <v>9</v>
      </c>
      <c r="I143" s="91">
        <v>9</v>
      </c>
      <c r="J143" s="91">
        <v>9</v>
      </c>
      <c r="K143" s="91">
        <v>9</v>
      </c>
      <c r="L143" s="91">
        <v>9</v>
      </c>
      <c r="M143" s="91">
        <v>10</v>
      </c>
      <c r="N143" s="91">
        <v>9</v>
      </c>
      <c r="O143" s="91">
        <v>9</v>
      </c>
      <c r="P143" s="91">
        <v>9</v>
      </c>
      <c r="Q143" s="91">
        <v>9</v>
      </c>
      <c r="R143" s="91">
        <v>9</v>
      </c>
      <c r="S143" s="91">
        <v>9</v>
      </c>
      <c r="T143" s="91">
        <v>9</v>
      </c>
      <c r="U143" s="91">
        <v>9</v>
      </c>
      <c r="V143" s="91">
        <v>9</v>
      </c>
      <c r="W143" s="91">
        <v>9</v>
      </c>
      <c r="X143" s="91">
        <v>9</v>
      </c>
      <c r="Y143" s="91"/>
      <c r="Z143" s="91">
        <v>9</v>
      </c>
      <c r="AA143" s="91">
        <v>9</v>
      </c>
      <c r="AB143" s="91">
        <v>9</v>
      </c>
      <c r="AC143" s="91">
        <v>9</v>
      </c>
      <c r="AD143" s="91">
        <v>9</v>
      </c>
      <c r="AE143" s="91">
        <v>9</v>
      </c>
      <c r="AF143" s="91">
        <v>9</v>
      </c>
      <c r="AG143" s="91">
        <v>9</v>
      </c>
      <c r="AH143" s="91">
        <v>9</v>
      </c>
      <c r="AI143" s="91">
        <v>9</v>
      </c>
      <c r="AJ143" s="91">
        <v>9</v>
      </c>
      <c r="AK143" s="91">
        <v>9</v>
      </c>
      <c r="AL143" s="91">
        <v>9</v>
      </c>
      <c r="AM143" s="91">
        <v>9</v>
      </c>
      <c r="AN143" s="91">
        <v>9</v>
      </c>
      <c r="AO143" s="91">
        <v>9</v>
      </c>
      <c r="AP143" s="91">
        <v>9</v>
      </c>
      <c r="AQ143" s="91">
        <v>9</v>
      </c>
      <c r="AR143" s="91">
        <v>9</v>
      </c>
      <c r="AS143" s="91">
        <v>9</v>
      </c>
      <c r="AT143" s="91">
        <v>9</v>
      </c>
      <c r="AU143" s="91">
        <v>9</v>
      </c>
      <c r="AV143" s="91">
        <v>9</v>
      </c>
      <c r="AW143" s="91">
        <v>9</v>
      </c>
      <c r="AX143" s="91">
        <v>9</v>
      </c>
      <c r="AY143" s="91"/>
      <c r="AZ143" s="91">
        <v>9</v>
      </c>
      <c r="BA143" s="91">
        <v>9</v>
      </c>
      <c r="BB143" s="91">
        <v>9</v>
      </c>
      <c r="BC143" s="91">
        <v>9</v>
      </c>
      <c r="BD143" s="91">
        <v>9</v>
      </c>
      <c r="BE143" s="91">
        <v>9</v>
      </c>
      <c r="BF143" s="91">
        <v>16</v>
      </c>
      <c r="BG143" s="91">
        <v>16</v>
      </c>
      <c r="BH143" s="91"/>
    </row>
    <row r="144" spans="1:60" x14ac:dyDescent="0.25">
      <c r="A144" s="91" t="s">
        <v>522</v>
      </c>
      <c r="B144" s="129">
        <f t="shared" si="10"/>
        <v>465</v>
      </c>
      <c r="C144" s="91">
        <f t="shared" si="11"/>
        <v>48</v>
      </c>
      <c r="D144" s="130">
        <f t="shared" si="12"/>
        <v>0.96</v>
      </c>
      <c r="E144" s="131">
        <v>46266</v>
      </c>
      <c r="F144" s="131">
        <v>46280</v>
      </c>
      <c r="G144" s="91">
        <f t="shared" si="13"/>
        <v>14</v>
      </c>
      <c r="H144" s="91">
        <v>9</v>
      </c>
      <c r="I144" s="91">
        <v>9</v>
      </c>
      <c r="J144" s="91">
        <v>9</v>
      </c>
      <c r="K144" s="91">
        <v>9</v>
      </c>
      <c r="L144" s="91">
        <v>9</v>
      </c>
      <c r="M144" s="91">
        <v>10</v>
      </c>
      <c r="N144" s="91">
        <v>9</v>
      </c>
      <c r="O144" s="91">
        <v>9</v>
      </c>
      <c r="P144" s="91">
        <v>9</v>
      </c>
      <c r="Q144" s="91">
        <v>9</v>
      </c>
      <c r="R144" s="91">
        <v>9</v>
      </c>
      <c r="S144" s="91">
        <v>9</v>
      </c>
      <c r="T144" s="91">
        <v>9</v>
      </c>
      <c r="U144" s="91">
        <v>9</v>
      </c>
      <c r="V144" s="91">
        <v>9</v>
      </c>
      <c r="W144" s="91">
        <v>9</v>
      </c>
      <c r="X144" s="91">
        <v>9</v>
      </c>
      <c r="Y144" s="91"/>
      <c r="Z144" s="91">
        <v>9</v>
      </c>
      <c r="AA144" s="91">
        <v>9</v>
      </c>
      <c r="AB144" s="91">
        <v>9</v>
      </c>
      <c r="AC144" s="91">
        <v>9</v>
      </c>
      <c r="AD144" s="91">
        <v>9</v>
      </c>
      <c r="AE144" s="91">
        <v>9</v>
      </c>
      <c r="AF144" s="91">
        <v>9</v>
      </c>
      <c r="AG144" s="91">
        <v>9</v>
      </c>
      <c r="AH144" s="91">
        <v>9</v>
      </c>
      <c r="AI144" s="91">
        <v>9</v>
      </c>
      <c r="AJ144" s="91">
        <v>9</v>
      </c>
      <c r="AK144" s="91">
        <v>9</v>
      </c>
      <c r="AL144" s="91">
        <v>9</v>
      </c>
      <c r="AM144" s="91">
        <v>9</v>
      </c>
      <c r="AN144" s="91">
        <v>9</v>
      </c>
      <c r="AO144" s="91">
        <v>9</v>
      </c>
      <c r="AP144" s="91">
        <v>9</v>
      </c>
      <c r="AQ144" s="91">
        <v>9</v>
      </c>
      <c r="AR144" s="91">
        <v>9</v>
      </c>
      <c r="AS144" s="91">
        <v>9</v>
      </c>
      <c r="AT144" s="91">
        <v>9</v>
      </c>
      <c r="AU144" s="91">
        <v>9</v>
      </c>
      <c r="AV144" s="91">
        <v>9</v>
      </c>
      <c r="AW144" s="91">
        <v>9</v>
      </c>
      <c r="AX144" s="91">
        <v>9</v>
      </c>
      <c r="AY144" s="91"/>
      <c r="AZ144" s="91">
        <v>9</v>
      </c>
      <c r="BA144" s="91">
        <v>9</v>
      </c>
      <c r="BB144" s="91">
        <v>9</v>
      </c>
      <c r="BC144" s="91">
        <v>9</v>
      </c>
      <c r="BD144" s="91">
        <v>9</v>
      </c>
      <c r="BE144" s="91">
        <v>9</v>
      </c>
      <c r="BF144" s="91">
        <v>16</v>
      </c>
      <c r="BG144" s="91">
        <v>16</v>
      </c>
      <c r="BH144" s="91"/>
    </row>
    <row r="145" spans="1:60" x14ac:dyDescent="0.25">
      <c r="A145" s="91" t="s">
        <v>523</v>
      </c>
      <c r="B145" s="129">
        <f t="shared" si="10"/>
        <v>465</v>
      </c>
      <c r="C145" s="91">
        <f t="shared" si="11"/>
        <v>48</v>
      </c>
      <c r="D145" s="130">
        <f t="shared" si="12"/>
        <v>0.96</v>
      </c>
      <c r="E145" s="131">
        <v>46266</v>
      </c>
      <c r="F145" s="131">
        <v>46280</v>
      </c>
      <c r="G145" s="91">
        <f t="shared" si="13"/>
        <v>14</v>
      </c>
      <c r="H145" s="91">
        <v>9</v>
      </c>
      <c r="I145" s="91">
        <v>9</v>
      </c>
      <c r="J145" s="91">
        <v>9</v>
      </c>
      <c r="K145" s="91">
        <v>9</v>
      </c>
      <c r="L145" s="91">
        <v>9</v>
      </c>
      <c r="M145" s="91">
        <v>10</v>
      </c>
      <c r="N145" s="91">
        <v>9</v>
      </c>
      <c r="O145" s="91">
        <v>9</v>
      </c>
      <c r="P145" s="91">
        <v>9</v>
      </c>
      <c r="Q145" s="91">
        <v>9</v>
      </c>
      <c r="R145" s="91">
        <v>9</v>
      </c>
      <c r="S145" s="91">
        <v>9</v>
      </c>
      <c r="T145" s="91">
        <v>9</v>
      </c>
      <c r="U145" s="91">
        <v>9</v>
      </c>
      <c r="V145" s="91">
        <v>9</v>
      </c>
      <c r="W145" s="91">
        <v>9</v>
      </c>
      <c r="X145" s="91">
        <v>9</v>
      </c>
      <c r="Y145" s="91"/>
      <c r="Z145" s="91">
        <v>9</v>
      </c>
      <c r="AA145" s="91">
        <v>9</v>
      </c>
      <c r="AB145" s="91">
        <v>9</v>
      </c>
      <c r="AC145" s="91">
        <v>9</v>
      </c>
      <c r="AD145" s="91">
        <v>9</v>
      </c>
      <c r="AE145" s="91">
        <v>9</v>
      </c>
      <c r="AF145" s="91">
        <v>9</v>
      </c>
      <c r="AG145" s="91">
        <v>9</v>
      </c>
      <c r="AH145" s="91">
        <v>9</v>
      </c>
      <c r="AI145" s="91">
        <v>9</v>
      </c>
      <c r="AJ145" s="91">
        <v>9</v>
      </c>
      <c r="AK145" s="91">
        <v>9</v>
      </c>
      <c r="AL145" s="91">
        <v>9</v>
      </c>
      <c r="AM145" s="91">
        <v>9</v>
      </c>
      <c r="AN145" s="91">
        <v>9</v>
      </c>
      <c r="AO145" s="91">
        <v>9</v>
      </c>
      <c r="AP145" s="91">
        <v>9</v>
      </c>
      <c r="AQ145" s="91">
        <v>9</v>
      </c>
      <c r="AR145" s="91">
        <v>9</v>
      </c>
      <c r="AS145" s="91">
        <v>9</v>
      </c>
      <c r="AT145" s="91">
        <v>9</v>
      </c>
      <c r="AU145" s="91">
        <v>9</v>
      </c>
      <c r="AV145" s="91">
        <v>9</v>
      </c>
      <c r="AW145" s="91">
        <v>9</v>
      </c>
      <c r="AX145" s="91">
        <v>9</v>
      </c>
      <c r="AY145" s="91"/>
      <c r="AZ145" s="91">
        <v>9</v>
      </c>
      <c r="BA145" s="91">
        <v>9</v>
      </c>
      <c r="BB145" s="91">
        <v>9</v>
      </c>
      <c r="BC145" s="91">
        <v>9</v>
      </c>
      <c r="BD145" s="91">
        <v>9</v>
      </c>
      <c r="BE145" s="91">
        <v>9</v>
      </c>
      <c r="BF145" s="91">
        <v>16</v>
      </c>
      <c r="BG145" s="91">
        <v>16</v>
      </c>
      <c r="BH145" s="91"/>
    </row>
    <row r="146" spans="1:60" x14ac:dyDescent="0.25">
      <c r="A146" s="91" t="s">
        <v>478</v>
      </c>
      <c r="B146" s="129">
        <f t="shared" si="10"/>
        <v>464</v>
      </c>
      <c r="C146" s="91">
        <f t="shared" si="11"/>
        <v>48</v>
      </c>
      <c r="D146" s="130">
        <f t="shared" si="12"/>
        <v>0.96</v>
      </c>
      <c r="E146" s="131">
        <v>46266</v>
      </c>
      <c r="F146" s="131">
        <v>46280</v>
      </c>
      <c r="G146" s="91">
        <f t="shared" si="13"/>
        <v>14</v>
      </c>
      <c r="H146" s="91">
        <v>9</v>
      </c>
      <c r="I146" s="91">
        <v>9</v>
      </c>
      <c r="J146" s="91">
        <v>9</v>
      </c>
      <c r="K146" s="91">
        <v>9</v>
      </c>
      <c r="L146" s="91">
        <v>9</v>
      </c>
      <c r="M146" s="91">
        <v>10</v>
      </c>
      <c r="N146" s="91">
        <v>9</v>
      </c>
      <c r="O146" s="91">
        <v>9</v>
      </c>
      <c r="P146" s="91">
        <v>9</v>
      </c>
      <c r="Q146" s="91">
        <v>9</v>
      </c>
      <c r="R146" s="91">
        <v>9</v>
      </c>
      <c r="S146" s="91">
        <v>9</v>
      </c>
      <c r="T146" s="91">
        <v>9</v>
      </c>
      <c r="U146" s="91">
        <v>9</v>
      </c>
      <c r="V146" s="91">
        <v>9</v>
      </c>
      <c r="W146" s="91">
        <v>9</v>
      </c>
      <c r="X146" s="91">
        <v>9</v>
      </c>
      <c r="Y146" s="91"/>
      <c r="Z146" s="91">
        <v>9</v>
      </c>
      <c r="AA146" s="91">
        <v>9</v>
      </c>
      <c r="AB146" s="91">
        <v>9</v>
      </c>
      <c r="AC146" s="91">
        <v>9</v>
      </c>
      <c r="AD146" s="91">
        <v>9</v>
      </c>
      <c r="AE146" s="91">
        <v>9</v>
      </c>
      <c r="AF146" s="91">
        <v>9</v>
      </c>
      <c r="AG146" s="91">
        <v>9</v>
      </c>
      <c r="AH146" s="91">
        <v>9</v>
      </c>
      <c r="AI146" s="91">
        <v>9</v>
      </c>
      <c r="AJ146" s="91">
        <v>9</v>
      </c>
      <c r="AK146" s="91">
        <v>9</v>
      </c>
      <c r="AL146" s="91">
        <v>9</v>
      </c>
      <c r="AM146" s="91">
        <v>9</v>
      </c>
      <c r="AN146" s="91">
        <v>9</v>
      </c>
      <c r="AO146" s="91">
        <v>9</v>
      </c>
      <c r="AP146" s="91">
        <v>9</v>
      </c>
      <c r="AQ146" s="91">
        <v>9</v>
      </c>
      <c r="AR146" s="91">
        <v>9</v>
      </c>
      <c r="AS146" s="91">
        <v>9</v>
      </c>
      <c r="AT146" s="91">
        <v>9</v>
      </c>
      <c r="AU146" s="91">
        <v>9</v>
      </c>
      <c r="AV146" s="91">
        <v>9</v>
      </c>
      <c r="AW146" s="91">
        <v>9</v>
      </c>
      <c r="AX146" s="91">
        <v>9</v>
      </c>
      <c r="AY146" s="91"/>
      <c r="AZ146" s="91">
        <v>9</v>
      </c>
      <c r="BA146" s="91">
        <v>9</v>
      </c>
      <c r="BB146" s="91">
        <v>9</v>
      </c>
      <c r="BC146" s="91">
        <v>9</v>
      </c>
      <c r="BD146" s="91">
        <v>9</v>
      </c>
      <c r="BE146" s="91">
        <v>9</v>
      </c>
      <c r="BF146" s="91">
        <v>16</v>
      </c>
      <c r="BG146" s="91">
        <v>15</v>
      </c>
      <c r="BH146" s="91"/>
    </row>
    <row r="147" spans="1:60" x14ac:dyDescent="0.25">
      <c r="A147" s="91" t="s">
        <v>403</v>
      </c>
      <c r="B147" s="129">
        <f t="shared" si="10"/>
        <v>463</v>
      </c>
      <c r="C147" s="91">
        <f t="shared" si="11"/>
        <v>49</v>
      </c>
      <c r="D147" s="130">
        <f t="shared" si="12"/>
        <v>0.98</v>
      </c>
      <c r="E147" s="131">
        <v>46252</v>
      </c>
      <c r="F147" s="131">
        <v>46302</v>
      </c>
      <c r="G147" s="91">
        <f t="shared" si="13"/>
        <v>50</v>
      </c>
      <c r="H147" s="91">
        <v>9</v>
      </c>
      <c r="I147" s="91">
        <v>9</v>
      </c>
      <c r="J147" s="91">
        <v>9</v>
      </c>
      <c r="K147" s="91">
        <v>9</v>
      </c>
      <c r="L147" s="91">
        <v>9</v>
      </c>
      <c r="M147" s="91">
        <v>6</v>
      </c>
      <c r="N147" s="91">
        <v>9</v>
      </c>
      <c r="O147" s="91">
        <v>9</v>
      </c>
      <c r="P147" s="91">
        <v>9</v>
      </c>
      <c r="Q147" s="91">
        <v>9</v>
      </c>
      <c r="R147" s="91">
        <v>9</v>
      </c>
      <c r="S147" s="91">
        <v>9</v>
      </c>
      <c r="T147" s="91">
        <v>9</v>
      </c>
      <c r="U147" s="91">
        <v>9</v>
      </c>
      <c r="V147" s="91">
        <v>9</v>
      </c>
      <c r="W147" s="91">
        <v>9</v>
      </c>
      <c r="X147" s="91">
        <v>9</v>
      </c>
      <c r="Y147" s="91">
        <v>1</v>
      </c>
      <c r="Z147" s="91">
        <v>9</v>
      </c>
      <c r="AA147" s="91">
        <v>9</v>
      </c>
      <c r="AB147" s="91">
        <v>9</v>
      </c>
      <c r="AC147" s="91">
        <v>9</v>
      </c>
      <c r="AD147" s="91">
        <v>9</v>
      </c>
      <c r="AE147" s="91">
        <v>9</v>
      </c>
      <c r="AF147" s="91">
        <v>9</v>
      </c>
      <c r="AG147" s="91">
        <v>9</v>
      </c>
      <c r="AH147" s="91">
        <v>9</v>
      </c>
      <c r="AI147" s="91">
        <v>9</v>
      </c>
      <c r="AJ147" s="91">
        <v>9</v>
      </c>
      <c r="AK147" s="91">
        <v>9</v>
      </c>
      <c r="AL147" s="91">
        <v>9</v>
      </c>
      <c r="AM147" s="91">
        <v>9</v>
      </c>
      <c r="AN147" s="91">
        <v>9</v>
      </c>
      <c r="AO147" s="91">
        <v>9</v>
      </c>
      <c r="AP147" s="91">
        <v>9</v>
      </c>
      <c r="AQ147" s="91">
        <v>9</v>
      </c>
      <c r="AR147" s="91">
        <v>9</v>
      </c>
      <c r="AS147" s="91">
        <v>9</v>
      </c>
      <c r="AT147" s="91">
        <v>9</v>
      </c>
      <c r="AU147" s="91">
        <v>9</v>
      </c>
      <c r="AV147" s="91">
        <v>9</v>
      </c>
      <c r="AW147" s="91">
        <v>9</v>
      </c>
      <c r="AX147" s="91">
        <v>9</v>
      </c>
      <c r="AY147" s="91"/>
      <c r="AZ147" s="91">
        <v>9</v>
      </c>
      <c r="BA147" s="91">
        <v>9</v>
      </c>
      <c r="BB147" s="91">
        <v>9</v>
      </c>
      <c r="BC147" s="91">
        <v>9</v>
      </c>
      <c r="BD147" s="91">
        <v>9</v>
      </c>
      <c r="BE147" s="91">
        <v>9</v>
      </c>
      <c r="BF147" s="91">
        <v>15</v>
      </c>
      <c r="BG147" s="91">
        <v>18</v>
      </c>
      <c r="BH147" s="91"/>
    </row>
    <row r="148" spans="1:60" x14ac:dyDescent="0.25">
      <c r="A148" s="91" t="s">
        <v>922</v>
      </c>
      <c r="B148" s="129">
        <f t="shared" si="10"/>
        <v>463</v>
      </c>
      <c r="C148" s="91">
        <f t="shared" si="11"/>
        <v>48</v>
      </c>
      <c r="D148" s="130">
        <f t="shared" si="12"/>
        <v>0.96</v>
      </c>
      <c r="E148" s="131">
        <v>46262</v>
      </c>
      <c r="F148" s="131">
        <v>46310</v>
      </c>
      <c r="G148" s="91">
        <f t="shared" si="13"/>
        <v>48</v>
      </c>
      <c r="H148" s="91">
        <v>10</v>
      </c>
      <c r="I148" s="91">
        <v>10</v>
      </c>
      <c r="J148" s="91">
        <v>10</v>
      </c>
      <c r="K148" s="91">
        <v>10</v>
      </c>
      <c r="L148" s="91">
        <v>10</v>
      </c>
      <c r="M148" s="91"/>
      <c r="N148" s="91">
        <v>8</v>
      </c>
      <c r="O148" s="91">
        <v>10</v>
      </c>
      <c r="P148" s="91">
        <v>8</v>
      </c>
      <c r="Q148" s="91">
        <v>10</v>
      </c>
      <c r="R148" s="91">
        <v>10</v>
      </c>
      <c r="S148" s="91">
        <v>10</v>
      </c>
      <c r="T148" s="91">
        <v>8</v>
      </c>
      <c r="U148" s="91">
        <v>10</v>
      </c>
      <c r="V148" s="91">
        <v>10</v>
      </c>
      <c r="W148" s="91">
        <v>10</v>
      </c>
      <c r="X148" s="91">
        <v>10</v>
      </c>
      <c r="Y148" s="91">
        <v>1</v>
      </c>
      <c r="Z148" s="91">
        <v>8</v>
      </c>
      <c r="AA148" s="91">
        <v>10</v>
      </c>
      <c r="AB148" s="91">
        <v>10</v>
      </c>
      <c r="AC148" s="91">
        <v>10</v>
      </c>
      <c r="AD148" s="91">
        <v>8</v>
      </c>
      <c r="AE148" s="91">
        <v>8</v>
      </c>
      <c r="AF148" s="91">
        <v>10</v>
      </c>
      <c r="AG148" s="91">
        <v>10</v>
      </c>
      <c r="AH148" s="91">
        <v>10</v>
      </c>
      <c r="AI148" s="91">
        <v>10</v>
      </c>
      <c r="AJ148" s="91">
        <v>10</v>
      </c>
      <c r="AK148" s="91">
        <v>10</v>
      </c>
      <c r="AL148" s="91">
        <v>10</v>
      </c>
      <c r="AM148" s="91">
        <v>8</v>
      </c>
      <c r="AN148" s="91">
        <v>10</v>
      </c>
      <c r="AO148" s="91">
        <v>10</v>
      </c>
      <c r="AP148" s="91">
        <v>10</v>
      </c>
      <c r="AQ148" s="91">
        <v>8</v>
      </c>
      <c r="AR148" s="91">
        <v>10</v>
      </c>
      <c r="AS148" s="91">
        <v>8</v>
      </c>
      <c r="AT148" s="91">
        <v>10</v>
      </c>
      <c r="AU148" s="91">
        <v>8</v>
      </c>
      <c r="AV148" s="91">
        <v>8</v>
      </c>
      <c r="AW148" s="91">
        <v>10</v>
      </c>
      <c r="AX148" s="91">
        <v>10</v>
      </c>
      <c r="AY148" s="91"/>
      <c r="AZ148" s="91">
        <v>10</v>
      </c>
      <c r="BA148" s="91">
        <v>10</v>
      </c>
      <c r="BB148" s="91">
        <v>8</v>
      </c>
      <c r="BC148" s="91">
        <v>8</v>
      </c>
      <c r="BD148" s="91">
        <v>10</v>
      </c>
      <c r="BE148" s="91">
        <v>10</v>
      </c>
      <c r="BF148" s="91">
        <v>4</v>
      </c>
      <c r="BG148" s="91">
        <v>14</v>
      </c>
      <c r="BH148" s="91"/>
    </row>
    <row r="149" spans="1:60" x14ac:dyDescent="0.25">
      <c r="A149" s="91" t="s">
        <v>489</v>
      </c>
      <c r="B149" s="129">
        <f t="shared" si="10"/>
        <v>463</v>
      </c>
      <c r="C149" s="91">
        <f t="shared" si="11"/>
        <v>48</v>
      </c>
      <c r="D149" s="130">
        <f t="shared" si="12"/>
        <v>0.96</v>
      </c>
      <c r="E149" s="131">
        <v>46293</v>
      </c>
      <c r="F149" s="131">
        <v>46309</v>
      </c>
      <c r="G149" s="91">
        <f t="shared" si="13"/>
        <v>16</v>
      </c>
      <c r="H149" s="91">
        <v>9</v>
      </c>
      <c r="I149" s="91">
        <v>9</v>
      </c>
      <c r="J149" s="91">
        <v>9</v>
      </c>
      <c r="K149" s="91">
        <v>9</v>
      </c>
      <c r="L149" s="91">
        <v>9</v>
      </c>
      <c r="M149" s="91"/>
      <c r="N149" s="91">
        <v>9</v>
      </c>
      <c r="O149" s="91">
        <v>9</v>
      </c>
      <c r="P149" s="91">
        <v>9</v>
      </c>
      <c r="Q149" s="91">
        <v>9</v>
      </c>
      <c r="R149" s="91">
        <v>9</v>
      </c>
      <c r="S149" s="91">
        <v>9</v>
      </c>
      <c r="T149" s="91">
        <v>9</v>
      </c>
      <c r="U149" s="91">
        <v>9</v>
      </c>
      <c r="V149" s="91">
        <v>9</v>
      </c>
      <c r="W149" s="91">
        <v>9</v>
      </c>
      <c r="X149" s="91">
        <v>9</v>
      </c>
      <c r="Y149" s="91">
        <v>9</v>
      </c>
      <c r="Z149" s="91">
        <v>9</v>
      </c>
      <c r="AA149" s="91">
        <v>9</v>
      </c>
      <c r="AB149" s="91">
        <v>9</v>
      </c>
      <c r="AC149" s="91">
        <v>9</v>
      </c>
      <c r="AD149" s="91">
        <v>9</v>
      </c>
      <c r="AE149" s="91">
        <v>9</v>
      </c>
      <c r="AF149" s="91">
        <v>9</v>
      </c>
      <c r="AG149" s="91">
        <v>9</v>
      </c>
      <c r="AH149" s="91">
        <v>9</v>
      </c>
      <c r="AI149" s="91">
        <v>9</v>
      </c>
      <c r="AJ149" s="91">
        <v>9</v>
      </c>
      <c r="AK149" s="91">
        <v>9</v>
      </c>
      <c r="AL149" s="91">
        <v>9</v>
      </c>
      <c r="AM149" s="91">
        <v>9</v>
      </c>
      <c r="AN149" s="91">
        <v>9</v>
      </c>
      <c r="AO149" s="91">
        <v>9</v>
      </c>
      <c r="AP149" s="91">
        <v>9</v>
      </c>
      <c r="AQ149" s="91">
        <v>9</v>
      </c>
      <c r="AR149" s="91">
        <v>9</v>
      </c>
      <c r="AS149" s="91">
        <v>9</v>
      </c>
      <c r="AT149" s="91">
        <v>9</v>
      </c>
      <c r="AU149" s="91">
        <v>9</v>
      </c>
      <c r="AV149" s="91">
        <v>9</v>
      </c>
      <c r="AW149" s="91">
        <v>9</v>
      </c>
      <c r="AX149" s="91">
        <v>9</v>
      </c>
      <c r="AY149" s="91"/>
      <c r="AZ149" s="91">
        <v>9</v>
      </c>
      <c r="BA149" s="91">
        <v>9</v>
      </c>
      <c r="BB149" s="91">
        <v>9</v>
      </c>
      <c r="BC149" s="91">
        <v>9</v>
      </c>
      <c r="BD149" s="91">
        <v>9</v>
      </c>
      <c r="BE149" s="91">
        <v>9</v>
      </c>
      <c r="BF149" s="91">
        <v>16</v>
      </c>
      <c r="BG149" s="91">
        <v>15</v>
      </c>
      <c r="BH149" s="91"/>
    </row>
    <row r="150" spans="1:60" x14ac:dyDescent="0.25">
      <c r="A150" s="91" t="s">
        <v>197</v>
      </c>
      <c r="B150" s="129">
        <f t="shared" si="10"/>
        <v>462</v>
      </c>
      <c r="C150" s="91">
        <f t="shared" si="11"/>
        <v>30</v>
      </c>
      <c r="D150" s="130">
        <f t="shared" si="12"/>
        <v>0.6</v>
      </c>
      <c r="E150" s="131">
        <v>46286</v>
      </c>
      <c r="F150" s="131">
        <v>46287</v>
      </c>
      <c r="G150" s="91">
        <f t="shared" si="13"/>
        <v>1</v>
      </c>
      <c r="H150" s="91">
        <v>14</v>
      </c>
      <c r="I150" s="91"/>
      <c r="J150" s="91">
        <v>14</v>
      </c>
      <c r="K150" s="91">
        <v>14</v>
      </c>
      <c r="L150" s="91">
        <v>14</v>
      </c>
      <c r="M150" s="91"/>
      <c r="N150" s="91">
        <v>14</v>
      </c>
      <c r="O150" s="91">
        <v>14</v>
      </c>
      <c r="P150" s="91"/>
      <c r="Q150" s="91"/>
      <c r="R150" s="91"/>
      <c r="S150" s="91">
        <v>14</v>
      </c>
      <c r="T150" s="91">
        <v>14</v>
      </c>
      <c r="U150" s="91"/>
      <c r="V150" s="91">
        <v>14</v>
      </c>
      <c r="W150" s="91">
        <v>14</v>
      </c>
      <c r="X150" s="91">
        <v>14</v>
      </c>
      <c r="Y150" s="91"/>
      <c r="Z150" s="91">
        <v>14</v>
      </c>
      <c r="AA150" s="91">
        <v>7</v>
      </c>
      <c r="AB150" s="91">
        <v>14</v>
      </c>
      <c r="AC150" s="91">
        <v>14</v>
      </c>
      <c r="AD150" s="91">
        <v>14</v>
      </c>
      <c r="AE150" s="91">
        <v>14</v>
      </c>
      <c r="AF150" s="91">
        <v>14</v>
      </c>
      <c r="AG150" s="91"/>
      <c r="AH150" s="91">
        <v>14</v>
      </c>
      <c r="AI150" s="91">
        <v>14</v>
      </c>
      <c r="AJ150" s="91"/>
      <c r="AK150" s="91"/>
      <c r="AL150" s="91"/>
      <c r="AM150" s="91">
        <v>14</v>
      </c>
      <c r="AN150" s="91"/>
      <c r="AO150" s="91"/>
      <c r="AP150" s="91">
        <v>14</v>
      </c>
      <c r="AQ150" s="91">
        <v>14</v>
      </c>
      <c r="AR150" s="91"/>
      <c r="AS150" s="91">
        <v>16</v>
      </c>
      <c r="AT150" s="91"/>
      <c r="AU150" s="91"/>
      <c r="AV150" s="91">
        <v>14</v>
      </c>
      <c r="AW150" s="91">
        <v>7</v>
      </c>
      <c r="AX150" s="91">
        <v>14</v>
      </c>
      <c r="AY150" s="91"/>
      <c r="AZ150" s="91">
        <v>14</v>
      </c>
      <c r="BA150" s="91">
        <v>14</v>
      </c>
      <c r="BB150" s="91">
        <v>14</v>
      </c>
      <c r="BC150" s="91"/>
      <c r="BD150" s="91"/>
      <c r="BE150" s="91"/>
      <c r="BF150" s="91">
        <v>27</v>
      </c>
      <c r="BG150" s="91">
        <v>27</v>
      </c>
      <c r="BH150" s="91"/>
    </row>
    <row r="151" spans="1:60" x14ac:dyDescent="0.25">
      <c r="A151" s="91" t="s">
        <v>241</v>
      </c>
      <c r="B151" s="129">
        <f t="shared" si="10"/>
        <v>461</v>
      </c>
      <c r="C151" s="91">
        <f t="shared" si="11"/>
        <v>47</v>
      </c>
      <c r="D151" s="130">
        <f t="shared" si="12"/>
        <v>0.94</v>
      </c>
      <c r="E151" s="131">
        <v>46258</v>
      </c>
      <c r="F151" s="131">
        <v>46280</v>
      </c>
      <c r="G151" s="91">
        <f t="shared" si="13"/>
        <v>22</v>
      </c>
      <c r="H151" s="91">
        <v>9</v>
      </c>
      <c r="I151" s="91">
        <v>9</v>
      </c>
      <c r="J151" s="91">
        <v>9</v>
      </c>
      <c r="K151" s="91">
        <v>10</v>
      </c>
      <c r="L151" s="91">
        <v>9</v>
      </c>
      <c r="M151" s="91"/>
      <c r="N151" s="91">
        <v>9</v>
      </c>
      <c r="O151" s="91">
        <v>9</v>
      </c>
      <c r="P151" s="91">
        <v>9</v>
      </c>
      <c r="Q151" s="91">
        <v>9</v>
      </c>
      <c r="R151" s="91">
        <v>10</v>
      </c>
      <c r="S151" s="91">
        <v>9</v>
      </c>
      <c r="T151" s="91">
        <v>9</v>
      </c>
      <c r="U151" s="91">
        <v>10</v>
      </c>
      <c r="V151" s="91">
        <v>9</v>
      </c>
      <c r="W151" s="91">
        <v>9</v>
      </c>
      <c r="X151" s="91">
        <v>9</v>
      </c>
      <c r="Y151" s="91"/>
      <c r="Z151" s="91">
        <v>9</v>
      </c>
      <c r="AA151" s="91">
        <v>9</v>
      </c>
      <c r="AB151" s="91">
        <v>9</v>
      </c>
      <c r="AC151" s="91">
        <v>9</v>
      </c>
      <c r="AD151" s="91">
        <v>10</v>
      </c>
      <c r="AE151" s="91">
        <v>9</v>
      </c>
      <c r="AF151" s="91">
        <v>9</v>
      </c>
      <c r="AG151" s="91">
        <v>8</v>
      </c>
      <c r="AH151" s="91">
        <v>9</v>
      </c>
      <c r="AI151" s="91">
        <v>9</v>
      </c>
      <c r="AJ151" s="91">
        <v>9</v>
      </c>
      <c r="AK151" s="91">
        <v>9</v>
      </c>
      <c r="AL151" s="91">
        <v>10</v>
      </c>
      <c r="AM151" s="91">
        <v>9</v>
      </c>
      <c r="AN151" s="91">
        <v>9</v>
      </c>
      <c r="AO151" s="91">
        <v>9</v>
      </c>
      <c r="AP151" s="91">
        <v>10</v>
      </c>
      <c r="AQ151" s="91">
        <v>9</v>
      </c>
      <c r="AR151" s="91">
        <v>9</v>
      </c>
      <c r="AS151" s="91">
        <v>9</v>
      </c>
      <c r="AT151" s="91">
        <v>9</v>
      </c>
      <c r="AU151" s="91">
        <v>8</v>
      </c>
      <c r="AV151" s="91">
        <v>9</v>
      </c>
      <c r="AW151" s="91">
        <v>9</v>
      </c>
      <c r="AX151" s="91">
        <v>9</v>
      </c>
      <c r="AY151" s="91"/>
      <c r="AZ151" s="91">
        <v>9</v>
      </c>
      <c r="BA151" s="91">
        <v>10</v>
      </c>
      <c r="BB151" s="91">
        <v>9</v>
      </c>
      <c r="BC151" s="91">
        <v>9</v>
      </c>
      <c r="BD151" s="91">
        <v>8</v>
      </c>
      <c r="BE151" s="91">
        <v>9</v>
      </c>
      <c r="BF151" s="91">
        <v>18</v>
      </c>
      <c r="BG151" s="91">
        <v>16</v>
      </c>
      <c r="BH151" s="91"/>
    </row>
    <row r="152" spans="1:60" x14ac:dyDescent="0.25">
      <c r="A152" s="91" t="s">
        <v>582</v>
      </c>
      <c r="B152" s="129">
        <f t="shared" si="10"/>
        <v>460</v>
      </c>
      <c r="C152" s="91">
        <f t="shared" si="11"/>
        <v>48</v>
      </c>
      <c r="D152" s="130">
        <f t="shared" si="12"/>
        <v>0.96</v>
      </c>
      <c r="E152" s="131">
        <v>46213</v>
      </c>
      <c r="F152" s="131">
        <v>46262</v>
      </c>
      <c r="G152" s="91">
        <f t="shared" si="13"/>
        <v>49</v>
      </c>
      <c r="H152" s="91">
        <v>8</v>
      </c>
      <c r="I152" s="91">
        <v>8</v>
      </c>
      <c r="J152" s="91">
        <v>8</v>
      </c>
      <c r="K152" s="91">
        <v>8</v>
      </c>
      <c r="L152" s="91">
        <v>8</v>
      </c>
      <c r="M152" s="91"/>
      <c r="N152" s="91">
        <v>8</v>
      </c>
      <c r="O152" s="91">
        <v>8</v>
      </c>
      <c r="P152" s="91">
        <v>8</v>
      </c>
      <c r="Q152" s="91">
        <v>8</v>
      </c>
      <c r="R152" s="91">
        <v>14</v>
      </c>
      <c r="S152" s="91">
        <v>8</v>
      </c>
      <c r="T152" s="91">
        <v>8</v>
      </c>
      <c r="U152" s="91">
        <v>8</v>
      </c>
      <c r="V152" s="91">
        <v>8</v>
      </c>
      <c r="W152" s="91">
        <v>9</v>
      </c>
      <c r="X152" s="91">
        <v>8</v>
      </c>
      <c r="Y152" s="91">
        <v>15</v>
      </c>
      <c r="Z152" s="91">
        <v>8</v>
      </c>
      <c r="AA152" s="91">
        <v>8</v>
      </c>
      <c r="AB152" s="91">
        <v>8</v>
      </c>
      <c r="AC152" s="91">
        <v>8</v>
      </c>
      <c r="AD152" s="91">
        <v>8</v>
      </c>
      <c r="AE152" s="91">
        <v>8</v>
      </c>
      <c r="AF152" s="91">
        <v>8</v>
      </c>
      <c r="AG152" s="91">
        <v>8</v>
      </c>
      <c r="AH152" s="91">
        <v>8</v>
      </c>
      <c r="AI152" s="91">
        <v>8</v>
      </c>
      <c r="AJ152" s="91">
        <v>8</v>
      </c>
      <c r="AK152" s="91">
        <v>8</v>
      </c>
      <c r="AL152" s="91">
        <v>8</v>
      </c>
      <c r="AM152" s="91">
        <v>16</v>
      </c>
      <c r="AN152" s="91">
        <v>14</v>
      </c>
      <c r="AO152" s="91">
        <v>8</v>
      </c>
      <c r="AP152" s="91">
        <v>8</v>
      </c>
      <c r="AQ152" s="91">
        <v>8</v>
      </c>
      <c r="AR152" s="91">
        <v>8</v>
      </c>
      <c r="AS152" s="91">
        <v>9</v>
      </c>
      <c r="AT152" s="91">
        <v>8</v>
      </c>
      <c r="AU152" s="91">
        <v>16</v>
      </c>
      <c r="AV152" s="91">
        <v>6</v>
      </c>
      <c r="AW152" s="91">
        <v>8</v>
      </c>
      <c r="AX152" s="91">
        <v>14</v>
      </c>
      <c r="AY152" s="91"/>
      <c r="AZ152" s="91">
        <v>8</v>
      </c>
      <c r="BA152" s="91">
        <v>14</v>
      </c>
      <c r="BB152" s="91">
        <v>8</v>
      </c>
      <c r="BC152" s="91">
        <v>8</v>
      </c>
      <c r="BD152" s="91">
        <v>14</v>
      </c>
      <c r="BE152" s="91">
        <v>7</v>
      </c>
      <c r="BF152" s="91">
        <v>11</v>
      </c>
      <c r="BG152" s="91">
        <v>12</v>
      </c>
      <c r="BH152" s="91">
        <v>1</v>
      </c>
    </row>
    <row r="153" spans="1:60" x14ac:dyDescent="0.25">
      <c r="A153" s="91" t="s">
        <v>512</v>
      </c>
      <c r="B153" s="129">
        <f t="shared" si="10"/>
        <v>460</v>
      </c>
      <c r="C153" s="91">
        <f t="shared" si="11"/>
        <v>48</v>
      </c>
      <c r="D153" s="130">
        <f t="shared" si="12"/>
        <v>0.96</v>
      </c>
      <c r="E153" s="131">
        <v>46252</v>
      </c>
      <c r="F153" s="131">
        <v>46310</v>
      </c>
      <c r="G153" s="91">
        <f t="shared" si="13"/>
        <v>58</v>
      </c>
      <c r="H153" s="91">
        <v>9</v>
      </c>
      <c r="I153" s="91">
        <v>9</v>
      </c>
      <c r="J153" s="91">
        <v>9</v>
      </c>
      <c r="K153" s="91">
        <v>9</v>
      </c>
      <c r="L153" s="91">
        <v>9</v>
      </c>
      <c r="M153" s="91"/>
      <c r="N153" s="91">
        <v>9</v>
      </c>
      <c r="O153" s="91">
        <v>9</v>
      </c>
      <c r="P153" s="91">
        <v>9</v>
      </c>
      <c r="Q153" s="91">
        <v>9</v>
      </c>
      <c r="R153" s="91">
        <v>9</v>
      </c>
      <c r="S153" s="91">
        <v>9</v>
      </c>
      <c r="T153" s="91">
        <v>9</v>
      </c>
      <c r="U153" s="91">
        <v>9</v>
      </c>
      <c r="V153" s="91">
        <v>9</v>
      </c>
      <c r="W153" s="91">
        <v>9</v>
      </c>
      <c r="X153" s="91">
        <v>9</v>
      </c>
      <c r="Y153" s="91">
        <v>1</v>
      </c>
      <c r="Z153" s="91">
        <v>9</v>
      </c>
      <c r="AA153" s="91">
        <v>9</v>
      </c>
      <c r="AB153" s="91">
        <v>9</v>
      </c>
      <c r="AC153" s="91">
        <v>9</v>
      </c>
      <c r="AD153" s="91">
        <v>9</v>
      </c>
      <c r="AE153" s="91">
        <v>9</v>
      </c>
      <c r="AF153" s="91">
        <v>9</v>
      </c>
      <c r="AG153" s="91">
        <v>9</v>
      </c>
      <c r="AH153" s="91">
        <v>9</v>
      </c>
      <c r="AI153" s="91">
        <v>9</v>
      </c>
      <c r="AJ153" s="91">
        <v>9</v>
      </c>
      <c r="AK153" s="91">
        <v>9</v>
      </c>
      <c r="AL153" s="91">
        <v>9</v>
      </c>
      <c r="AM153" s="91">
        <v>9</v>
      </c>
      <c r="AN153" s="91">
        <v>9</v>
      </c>
      <c r="AO153" s="91">
        <v>9</v>
      </c>
      <c r="AP153" s="91">
        <v>9</v>
      </c>
      <c r="AQ153" s="91">
        <v>9</v>
      </c>
      <c r="AR153" s="91">
        <v>9</v>
      </c>
      <c r="AS153" s="91">
        <v>9</v>
      </c>
      <c r="AT153" s="91">
        <v>9</v>
      </c>
      <c r="AU153" s="91">
        <v>9</v>
      </c>
      <c r="AV153" s="91">
        <v>9</v>
      </c>
      <c r="AW153" s="91">
        <v>9</v>
      </c>
      <c r="AX153" s="91">
        <v>9</v>
      </c>
      <c r="AY153" s="91"/>
      <c r="AZ153" s="91">
        <v>9</v>
      </c>
      <c r="BA153" s="91">
        <v>9</v>
      </c>
      <c r="BB153" s="91">
        <v>9</v>
      </c>
      <c r="BC153" s="91">
        <v>9</v>
      </c>
      <c r="BD153" s="91">
        <v>9</v>
      </c>
      <c r="BE153" s="91">
        <v>9</v>
      </c>
      <c r="BF153" s="91">
        <v>18</v>
      </c>
      <c r="BG153" s="91">
        <v>18</v>
      </c>
      <c r="BH153" s="91"/>
    </row>
    <row r="154" spans="1:60" x14ac:dyDescent="0.25">
      <c r="A154" s="91" t="s">
        <v>411</v>
      </c>
      <c r="B154" s="129">
        <f t="shared" si="10"/>
        <v>459</v>
      </c>
      <c r="C154" s="91">
        <f t="shared" si="11"/>
        <v>49</v>
      </c>
      <c r="D154" s="130">
        <f t="shared" si="12"/>
        <v>0.98</v>
      </c>
      <c r="E154" s="131">
        <v>46245</v>
      </c>
      <c r="F154" s="131">
        <v>46287</v>
      </c>
      <c r="G154" s="91">
        <f t="shared" si="13"/>
        <v>42</v>
      </c>
      <c r="H154" s="91">
        <v>9</v>
      </c>
      <c r="I154" s="91">
        <v>9</v>
      </c>
      <c r="J154" s="91">
        <v>9</v>
      </c>
      <c r="K154" s="91">
        <v>9</v>
      </c>
      <c r="L154" s="91">
        <v>9</v>
      </c>
      <c r="M154" s="91">
        <v>10</v>
      </c>
      <c r="N154" s="91">
        <v>9</v>
      </c>
      <c r="O154" s="91">
        <v>9</v>
      </c>
      <c r="P154" s="91">
        <v>9</v>
      </c>
      <c r="Q154" s="91">
        <v>9</v>
      </c>
      <c r="R154" s="91">
        <v>9</v>
      </c>
      <c r="S154" s="91">
        <v>9</v>
      </c>
      <c r="T154" s="91">
        <v>9</v>
      </c>
      <c r="U154" s="91">
        <v>9</v>
      </c>
      <c r="V154" s="91">
        <v>9</v>
      </c>
      <c r="W154" s="91">
        <v>9</v>
      </c>
      <c r="X154" s="91">
        <v>9</v>
      </c>
      <c r="Y154" s="91">
        <v>9</v>
      </c>
      <c r="Z154" s="91">
        <v>9</v>
      </c>
      <c r="AA154" s="91">
        <v>9</v>
      </c>
      <c r="AB154" s="91">
        <v>9</v>
      </c>
      <c r="AC154" s="91">
        <v>9</v>
      </c>
      <c r="AD154" s="91">
        <v>9</v>
      </c>
      <c r="AE154" s="91">
        <v>9</v>
      </c>
      <c r="AF154" s="91">
        <v>9</v>
      </c>
      <c r="AG154" s="91">
        <v>9</v>
      </c>
      <c r="AH154" s="91">
        <v>9</v>
      </c>
      <c r="AI154" s="91">
        <v>9</v>
      </c>
      <c r="AJ154" s="91">
        <v>9</v>
      </c>
      <c r="AK154" s="91">
        <v>9</v>
      </c>
      <c r="AL154" s="91">
        <v>9</v>
      </c>
      <c r="AM154" s="91">
        <v>9</v>
      </c>
      <c r="AN154" s="91">
        <v>9</v>
      </c>
      <c r="AO154" s="91">
        <v>9</v>
      </c>
      <c r="AP154" s="91">
        <v>9</v>
      </c>
      <c r="AQ154" s="91">
        <v>10</v>
      </c>
      <c r="AR154" s="91">
        <v>9</v>
      </c>
      <c r="AS154" s="91">
        <v>10</v>
      </c>
      <c r="AT154" s="91">
        <v>9</v>
      </c>
      <c r="AU154" s="91">
        <v>9</v>
      </c>
      <c r="AV154" s="91">
        <v>9</v>
      </c>
      <c r="AW154" s="91">
        <v>9</v>
      </c>
      <c r="AX154" s="91">
        <v>9</v>
      </c>
      <c r="AY154" s="91"/>
      <c r="AZ154" s="91">
        <v>9</v>
      </c>
      <c r="BA154" s="91">
        <v>9</v>
      </c>
      <c r="BB154" s="91">
        <v>9</v>
      </c>
      <c r="BC154" s="91">
        <v>9</v>
      </c>
      <c r="BD154" s="91">
        <v>9</v>
      </c>
      <c r="BE154" s="91">
        <v>9</v>
      </c>
      <c r="BF154" s="91">
        <v>2</v>
      </c>
      <c r="BG154" s="91">
        <v>13</v>
      </c>
      <c r="BH154" s="91"/>
    </row>
    <row r="155" spans="1:60" x14ac:dyDescent="0.25">
      <c r="A155" s="91" t="s">
        <v>497</v>
      </c>
      <c r="B155" s="129">
        <f t="shared" si="10"/>
        <v>459</v>
      </c>
      <c r="C155" s="91">
        <f t="shared" si="11"/>
        <v>49</v>
      </c>
      <c r="D155" s="130">
        <f t="shared" si="12"/>
        <v>0.98</v>
      </c>
      <c r="E155" s="131">
        <v>46262</v>
      </c>
      <c r="F155" s="131">
        <v>46302</v>
      </c>
      <c r="G155" s="91">
        <f t="shared" si="13"/>
        <v>40</v>
      </c>
      <c r="H155" s="91">
        <v>8</v>
      </c>
      <c r="I155" s="91">
        <v>10</v>
      </c>
      <c r="J155" s="91">
        <v>10</v>
      </c>
      <c r="K155" s="91">
        <v>10</v>
      </c>
      <c r="L155" s="91">
        <v>8</v>
      </c>
      <c r="M155" s="91">
        <v>6</v>
      </c>
      <c r="N155" s="91">
        <v>10</v>
      </c>
      <c r="O155" s="91">
        <v>10</v>
      </c>
      <c r="P155" s="91">
        <v>10</v>
      </c>
      <c r="Q155" s="91">
        <v>8</v>
      </c>
      <c r="R155" s="91">
        <v>10</v>
      </c>
      <c r="S155" s="91">
        <v>10</v>
      </c>
      <c r="T155" s="91">
        <v>8</v>
      </c>
      <c r="U155" s="91">
        <v>10</v>
      </c>
      <c r="V155" s="91">
        <v>8</v>
      </c>
      <c r="W155" s="91">
        <v>8</v>
      </c>
      <c r="X155" s="91">
        <v>10</v>
      </c>
      <c r="Y155" s="91">
        <v>2</v>
      </c>
      <c r="Z155" s="91">
        <v>8</v>
      </c>
      <c r="AA155" s="91">
        <v>10</v>
      </c>
      <c r="AB155" s="91">
        <v>10</v>
      </c>
      <c r="AC155" s="91">
        <v>10</v>
      </c>
      <c r="AD155" s="91">
        <v>8</v>
      </c>
      <c r="AE155" s="91">
        <v>8</v>
      </c>
      <c r="AF155" s="91">
        <v>10</v>
      </c>
      <c r="AG155" s="91">
        <v>10</v>
      </c>
      <c r="AH155" s="91">
        <v>10</v>
      </c>
      <c r="AI155" s="91">
        <v>8</v>
      </c>
      <c r="AJ155" s="91">
        <v>10</v>
      </c>
      <c r="AK155" s="91">
        <v>10</v>
      </c>
      <c r="AL155" s="91">
        <v>8</v>
      </c>
      <c r="AM155" s="91">
        <v>8</v>
      </c>
      <c r="AN155" s="91">
        <v>8</v>
      </c>
      <c r="AO155" s="91">
        <v>10</v>
      </c>
      <c r="AP155" s="91">
        <v>10</v>
      </c>
      <c r="AQ155" s="91">
        <v>8</v>
      </c>
      <c r="AR155" s="91">
        <v>10</v>
      </c>
      <c r="AS155" s="91">
        <v>8</v>
      </c>
      <c r="AT155" s="91">
        <v>10</v>
      </c>
      <c r="AU155" s="91">
        <v>10</v>
      </c>
      <c r="AV155" s="91">
        <v>8</v>
      </c>
      <c r="AW155" s="91">
        <v>8</v>
      </c>
      <c r="AX155" s="91">
        <v>10</v>
      </c>
      <c r="AY155" s="91"/>
      <c r="AZ155" s="91">
        <v>10</v>
      </c>
      <c r="BA155" s="91">
        <v>8</v>
      </c>
      <c r="BB155" s="91">
        <v>8</v>
      </c>
      <c r="BC155" s="91">
        <v>8</v>
      </c>
      <c r="BD155" s="91">
        <v>16</v>
      </c>
      <c r="BE155" s="91">
        <v>10</v>
      </c>
      <c r="BF155" s="91">
        <v>1</v>
      </c>
      <c r="BG155" s="91">
        <v>14</v>
      </c>
      <c r="BH155" s="91"/>
    </row>
    <row r="156" spans="1:60" x14ac:dyDescent="0.25">
      <c r="A156" s="91" t="s">
        <v>143</v>
      </c>
      <c r="B156" s="129">
        <f t="shared" si="10"/>
        <v>459</v>
      </c>
      <c r="C156" s="91">
        <f t="shared" si="11"/>
        <v>38</v>
      </c>
      <c r="D156" s="130">
        <f t="shared" si="12"/>
        <v>0.76</v>
      </c>
      <c r="E156" s="131">
        <v>46266</v>
      </c>
      <c r="F156" s="131">
        <v>46318</v>
      </c>
      <c r="G156" s="91">
        <f t="shared" si="13"/>
        <v>52</v>
      </c>
      <c r="H156" s="91">
        <v>14</v>
      </c>
      <c r="I156" s="91">
        <v>7</v>
      </c>
      <c r="J156" s="91">
        <v>14</v>
      </c>
      <c r="K156" s="91">
        <v>14</v>
      </c>
      <c r="L156" s="91">
        <v>14</v>
      </c>
      <c r="M156" s="91">
        <v>10</v>
      </c>
      <c r="N156" s="91">
        <v>14</v>
      </c>
      <c r="O156" s="91">
        <v>14</v>
      </c>
      <c r="P156" s="91">
        <v>14</v>
      </c>
      <c r="Q156" s="91">
        <v>14</v>
      </c>
      <c r="R156" s="91"/>
      <c r="S156" s="91">
        <v>14</v>
      </c>
      <c r="T156" s="91">
        <v>14</v>
      </c>
      <c r="U156" s="91">
        <v>14</v>
      </c>
      <c r="V156" s="91">
        <v>14</v>
      </c>
      <c r="W156" s="91">
        <v>7</v>
      </c>
      <c r="X156" s="91">
        <v>14</v>
      </c>
      <c r="Y156" s="91">
        <v>2</v>
      </c>
      <c r="Z156" s="91">
        <v>14</v>
      </c>
      <c r="AA156" s="91">
        <v>7</v>
      </c>
      <c r="AB156" s="91">
        <v>14</v>
      </c>
      <c r="AC156" s="91">
        <v>14</v>
      </c>
      <c r="AD156" s="91">
        <v>14</v>
      </c>
      <c r="AE156" s="91">
        <v>14</v>
      </c>
      <c r="AF156" s="91">
        <v>7</v>
      </c>
      <c r="AG156" s="91">
        <v>7</v>
      </c>
      <c r="AH156" s="91"/>
      <c r="AI156" s="91">
        <v>5</v>
      </c>
      <c r="AJ156" s="91">
        <v>14</v>
      </c>
      <c r="AK156" s="91"/>
      <c r="AL156" s="91">
        <v>5</v>
      </c>
      <c r="AM156" s="91">
        <v>7</v>
      </c>
      <c r="AN156" s="91">
        <v>14</v>
      </c>
      <c r="AO156" s="91">
        <v>14</v>
      </c>
      <c r="AP156" s="91"/>
      <c r="AQ156" s="91">
        <v>14</v>
      </c>
      <c r="AR156" s="91">
        <v>7</v>
      </c>
      <c r="AS156" s="91">
        <v>7</v>
      </c>
      <c r="AT156" s="91">
        <v>14</v>
      </c>
      <c r="AU156" s="91"/>
      <c r="AV156" s="91"/>
      <c r="AW156" s="91">
        <v>14</v>
      </c>
      <c r="AX156" s="91"/>
      <c r="AY156" s="91"/>
      <c r="AZ156" s="91"/>
      <c r="BA156" s="91">
        <v>5</v>
      </c>
      <c r="BB156" s="91">
        <v>14</v>
      </c>
      <c r="BC156" s="91"/>
      <c r="BD156" s="91"/>
      <c r="BE156" s="91"/>
      <c r="BF156" s="91">
        <v>14</v>
      </c>
      <c r="BG156" s="91">
        <v>12</v>
      </c>
      <c r="BH156" s="91"/>
    </row>
    <row r="157" spans="1:60" x14ac:dyDescent="0.25">
      <c r="A157" s="91" t="s">
        <v>108</v>
      </c>
      <c r="B157" s="129">
        <f t="shared" si="10"/>
        <v>459</v>
      </c>
      <c r="C157" s="91">
        <f t="shared" si="11"/>
        <v>47</v>
      </c>
      <c r="D157" s="130">
        <f t="shared" si="12"/>
        <v>0.94</v>
      </c>
      <c r="E157" s="131">
        <v>46274</v>
      </c>
      <c r="F157" s="131">
        <v>46275</v>
      </c>
      <c r="G157" s="91">
        <f t="shared" si="13"/>
        <v>1</v>
      </c>
      <c r="H157" s="91">
        <v>9</v>
      </c>
      <c r="I157" s="91">
        <v>9</v>
      </c>
      <c r="J157" s="91">
        <v>9</v>
      </c>
      <c r="K157" s="91">
        <v>9</v>
      </c>
      <c r="L157" s="91">
        <v>9</v>
      </c>
      <c r="M157" s="91"/>
      <c r="N157" s="91">
        <v>9</v>
      </c>
      <c r="O157" s="91">
        <v>9</v>
      </c>
      <c r="P157" s="91">
        <v>9</v>
      </c>
      <c r="Q157" s="91">
        <v>9</v>
      </c>
      <c r="R157" s="91">
        <v>9</v>
      </c>
      <c r="S157" s="91">
        <v>9</v>
      </c>
      <c r="T157" s="91">
        <v>9</v>
      </c>
      <c r="U157" s="91">
        <v>9</v>
      </c>
      <c r="V157" s="91">
        <v>9</v>
      </c>
      <c r="W157" s="91">
        <v>9</v>
      </c>
      <c r="X157" s="91">
        <v>9</v>
      </c>
      <c r="Y157" s="91"/>
      <c r="Z157" s="91">
        <v>9</v>
      </c>
      <c r="AA157" s="91">
        <v>9</v>
      </c>
      <c r="AB157" s="91">
        <v>9</v>
      </c>
      <c r="AC157" s="91">
        <v>9</v>
      </c>
      <c r="AD157" s="91">
        <v>9</v>
      </c>
      <c r="AE157" s="91">
        <v>9</v>
      </c>
      <c r="AF157" s="91">
        <v>9</v>
      </c>
      <c r="AG157" s="91">
        <v>9</v>
      </c>
      <c r="AH157" s="91">
        <v>9</v>
      </c>
      <c r="AI157" s="91">
        <v>9</v>
      </c>
      <c r="AJ157" s="91">
        <v>9</v>
      </c>
      <c r="AK157" s="91">
        <v>9</v>
      </c>
      <c r="AL157" s="91">
        <v>9</v>
      </c>
      <c r="AM157" s="91">
        <v>9</v>
      </c>
      <c r="AN157" s="91">
        <v>9</v>
      </c>
      <c r="AO157" s="91">
        <v>9</v>
      </c>
      <c r="AP157" s="91">
        <v>9</v>
      </c>
      <c r="AQ157" s="91">
        <v>9</v>
      </c>
      <c r="AR157" s="91">
        <v>9</v>
      </c>
      <c r="AS157" s="91">
        <v>9</v>
      </c>
      <c r="AT157" s="91">
        <v>9</v>
      </c>
      <c r="AU157" s="91">
        <v>9</v>
      </c>
      <c r="AV157" s="91">
        <v>9</v>
      </c>
      <c r="AW157" s="91">
        <v>9</v>
      </c>
      <c r="AX157" s="91">
        <v>9</v>
      </c>
      <c r="AY157" s="91"/>
      <c r="AZ157" s="91">
        <v>9</v>
      </c>
      <c r="BA157" s="91">
        <v>9</v>
      </c>
      <c r="BB157" s="91">
        <v>9</v>
      </c>
      <c r="BC157" s="91">
        <v>9</v>
      </c>
      <c r="BD157" s="91">
        <v>9</v>
      </c>
      <c r="BE157" s="91">
        <v>9</v>
      </c>
      <c r="BF157" s="91">
        <v>18</v>
      </c>
      <c r="BG157" s="91">
        <v>18</v>
      </c>
      <c r="BH157" s="91"/>
    </row>
    <row r="158" spans="1:60" x14ac:dyDescent="0.25">
      <c r="A158" s="91" t="s">
        <v>585</v>
      </c>
      <c r="B158" s="129">
        <f t="shared" si="10"/>
        <v>458</v>
      </c>
      <c r="C158" s="91">
        <f t="shared" si="11"/>
        <v>48</v>
      </c>
      <c r="D158" s="130">
        <f t="shared" si="12"/>
        <v>0.96</v>
      </c>
      <c r="E158" s="131">
        <v>46213</v>
      </c>
      <c r="F158" s="131">
        <v>46266</v>
      </c>
      <c r="G158" s="91">
        <f t="shared" si="13"/>
        <v>53</v>
      </c>
      <c r="H158" s="91">
        <v>8</v>
      </c>
      <c r="I158" s="91">
        <v>7</v>
      </c>
      <c r="J158" s="91">
        <v>8</v>
      </c>
      <c r="K158" s="91">
        <v>8</v>
      </c>
      <c r="L158" s="91">
        <v>8</v>
      </c>
      <c r="M158" s="91"/>
      <c r="N158" s="91">
        <v>8</v>
      </c>
      <c r="O158" s="91">
        <v>8</v>
      </c>
      <c r="P158" s="91">
        <v>8</v>
      </c>
      <c r="Q158" s="91">
        <v>8</v>
      </c>
      <c r="R158" s="91">
        <v>17</v>
      </c>
      <c r="S158" s="91">
        <v>8</v>
      </c>
      <c r="T158" s="91">
        <v>8</v>
      </c>
      <c r="U158" s="91">
        <v>8</v>
      </c>
      <c r="V158" s="91">
        <v>13</v>
      </c>
      <c r="W158" s="91">
        <v>9</v>
      </c>
      <c r="X158" s="91">
        <v>8</v>
      </c>
      <c r="Y158" s="91">
        <v>10</v>
      </c>
      <c r="Z158" s="91">
        <v>8</v>
      </c>
      <c r="AA158" s="91">
        <v>8</v>
      </c>
      <c r="AB158" s="91">
        <v>8</v>
      </c>
      <c r="AC158" s="91">
        <v>8</v>
      </c>
      <c r="AD158" s="91">
        <v>8</v>
      </c>
      <c r="AE158" s="91">
        <v>13</v>
      </c>
      <c r="AF158" s="91">
        <v>8</v>
      </c>
      <c r="AG158" s="91">
        <v>8</v>
      </c>
      <c r="AH158" s="91">
        <v>8</v>
      </c>
      <c r="AI158" s="91">
        <v>8</v>
      </c>
      <c r="AJ158" s="91">
        <v>8</v>
      </c>
      <c r="AK158" s="91">
        <v>8</v>
      </c>
      <c r="AL158" s="91">
        <v>8</v>
      </c>
      <c r="AM158" s="91">
        <v>16</v>
      </c>
      <c r="AN158" s="91">
        <v>13</v>
      </c>
      <c r="AO158" s="91">
        <v>8</v>
      </c>
      <c r="AP158" s="91">
        <v>8</v>
      </c>
      <c r="AQ158" s="91">
        <v>8</v>
      </c>
      <c r="AR158" s="91">
        <v>8</v>
      </c>
      <c r="AS158" s="91">
        <v>7</v>
      </c>
      <c r="AT158" s="91">
        <v>8</v>
      </c>
      <c r="AU158" s="91">
        <v>13</v>
      </c>
      <c r="AV158" s="91">
        <v>6</v>
      </c>
      <c r="AW158" s="91">
        <v>8</v>
      </c>
      <c r="AX158" s="91">
        <v>13</v>
      </c>
      <c r="AY158" s="91"/>
      <c r="AZ158" s="91">
        <v>8</v>
      </c>
      <c r="BA158" s="91">
        <v>13</v>
      </c>
      <c r="BB158" s="91">
        <v>8</v>
      </c>
      <c r="BC158" s="91">
        <v>8</v>
      </c>
      <c r="BD158" s="91">
        <v>14</v>
      </c>
      <c r="BE158" s="91">
        <v>6</v>
      </c>
      <c r="BF158" s="91">
        <v>11</v>
      </c>
      <c r="BG158" s="91">
        <v>12</v>
      </c>
      <c r="BH158" s="91">
        <v>1</v>
      </c>
    </row>
    <row r="159" spans="1:60" x14ac:dyDescent="0.25">
      <c r="A159" s="91" t="s">
        <v>468</v>
      </c>
      <c r="B159" s="129">
        <f t="shared" si="10"/>
        <v>457</v>
      </c>
      <c r="C159" s="91">
        <f t="shared" si="11"/>
        <v>49</v>
      </c>
      <c r="D159" s="130">
        <f t="shared" si="12"/>
        <v>0.98</v>
      </c>
      <c r="E159" s="131">
        <v>46262</v>
      </c>
      <c r="F159" s="131">
        <v>46314</v>
      </c>
      <c r="G159" s="91">
        <f t="shared" si="13"/>
        <v>52</v>
      </c>
      <c r="H159" s="91">
        <v>10</v>
      </c>
      <c r="I159" s="91">
        <v>10</v>
      </c>
      <c r="J159" s="91">
        <v>10</v>
      </c>
      <c r="K159" s="91">
        <v>10</v>
      </c>
      <c r="L159" s="91">
        <v>10</v>
      </c>
      <c r="M159" s="91">
        <v>6</v>
      </c>
      <c r="N159" s="91">
        <v>8</v>
      </c>
      <c r="O159" s="91">
        <v>10</v>
      </c>
      <c r="P159" s="91">
        <v>10</v>
      </c>
      <c r="Q159" s="91">
        <v>8</v>
      </c>
      <c r="R159" s="91">
        <v>8</v>
      </c>
      <c r="S159" s="91">
        <v>10</v>
      </c>
      <c r="T159" s="91">
        <v>8</v>
      </c>
      <c r="U159" s="91">
        <v>10</v>
      </c>
      <c r="V159" s="91">
        <v>8</v>
      </c>
      <c r="W159" s="91">
        <v>8</v>
      </c>
      <c r="X159" s="91">
        <v>10</v>
      </c>
      <c r="Y159" s="91">
        <v>3</v>
      </c>
      <c r="Z159" s="91">
        <v>10</v>
      </c>
      <c r="AA159" s="91">
        <v>10</v>
      </c>
      <c r="AB159" s="91">
        <v>10</v>
      </c>
      <c r="AC159" s="91">
        <v>10</v>
      </c>
      <c r="AD159" s="91">
        <v>8</v>
      </c>
      <c r="AE159" s="91">
        <v>10</v>
      </c>
      <c r="AF159" s="91">
        <v>8</v>
      </c>
      <c r="AG159" s="91">
        <v>10</v>
      </c>
      <c r="AH159" s="91">
        <v>8</v>
      </c>
      <c r="AI159" s="91">
        <v>10</v>
      </c>
      <c r="AJ159" s="91">
        <v>10</v>
      </c>
      <c r="AK159" s="91">
        <v>10</v>
      </c>
      <c r="AL159" s="91">
        <v>10</v>
      </c>
      <c r="AM159" s="91">
        <v>10</v>
      </c>
      <c r="AN159" s="91">
        <v>10</v>
      </c>
      <c r="AO159" s="91">
        <v>8</v>
      </c>
      <c r="AP159" s="91">
        <v>10</v>
      </c>
      <c r="AQ159" s="91">
        <v>8</v>
      </c>
      <c r="AR159" s="91">
        <v>10</v>
      </c>
      <c r="AS159" s="91">
        <v>8</v>
      </c>
      <c r="AT159" s="91">
        <v>8</v>
      </c>
      <c r="AU159" s="91">
        <v>8</v>
      </c>
      <c r="AV159" s="91">
        <v>8</v>
      </c>
      <c r="AW159" s="91">
        <v>8</v>
      </c>
      <c r="AX159" s="91">
        <v>8</v>
      </c>
      <c r="AY159" s="91"/>
      <c r="AZ159" s="91">
        <v>8</v>
      </c>
      <c r="BA159" s="91">
        <v>8</v>
      </c>
      <c r="BB159" s="91">
        <v>8</v>
      </c>
      <c r="BC159" s="91">
        <v>8</v>
      </c>
      <c r="BD159" s="91">
        <v>16</v>
      </c>
      <c r="BE159" s="91">
        <v>10</v>
      </c>
      <c r="BF159" s="91"/>
      <c r="BG159" s="91">
        <v>14</v>
      </c>
      <c r="BH159" s="91"/>
    </row>
    <row r="160" spans="1:60" x14ac:dyDescent="0.25">
      <c r="A160" s="91" t="s">
        <v>271</v>
      </c>
      <c r="B160" s="129">
        <f t="shared" si="10"/>
        <v>457</v>
      </c>
      <c r="C160" s="91">
        <f t="shared" si="11"/>
        <v>48</v>
      </c>
      <c r="D160" s="130">
        <f t="shared" si="12"/>
        <v>0.96</v>
      </c>
      <c r="E160" s="131">
        <v>46258</v>
      </c>
      <c r="F160" s="131">
        <v>46302</v>
      </c>
      <c r="G160" s="91">
        <f t="shared" si="13"/>
        <v>44</v>
      </c>
      <c r="H160" s="91">
        <v>9</v>
      </c>
      <c r="I160" s="91">
        <v>9</v>
      </c>
      <c r="J160" s="91">
        <v>9</v>
      </c>
      <c r="K160" s="91">
        <v>9</v>
      </c>
      <c r="L160" s="91">
        <v>9</v>
      </c>
      <c r="M160" s="91">
        <v>6</v>
      </c>
      <c r="N160" s="91">
        <v>9</v>
      </c>
      <c r="O160" s="91">
        <v>9</v>
      </c>
      <c r="P160" s="91">
        <v>9</v>
      </c>
      <c r="Q160" s="91">
        <v>9</v>
      </c>
      <c r="R160" s="91">
        <v>9</v>
      </c>
      <c r="S160" s="91">
        <v>9</v>
      </c>
      <c r="T160" s="91">
        <v>9</v>
      </c>
      <c r="U160" s="91">
        <v>9</v>
      </c>
      <c r="V160" s="91">
        <v>9</v>
      </c>
      <c r="W160" s="91">
        <v>10</v>
      </c>
      <c r="X160" s="91">
        <v>9</v>
      </c>
      <c r="Y160" s="91"/>
      <c r="Z160" s="91">
        <v>10</v>
      </c>
      <c r="AA160" s="91">
        <v>9</v>
      </c>
      <c r="AB160" s="91">
        <v>9</v>
      </c>
      <c r="AC160" s="91">
        <v>9</v>
      </c>
      <c r="AD160" s="91">
        <v>10</v>
      </c>
      <c r="AE160" s="91">
        <v>10</v>
      </c>
      <c r="AF160" s="91">
        <v>9</v>
      </c>
      <c r="AG160" s="91">
        <v>10</v>
      </c>
      <c r="AH160" s="91">
        <v>9</v>
      </c>
      <c r="AI160" s="91">
        <v>9</v>
      </c>
      <c r="AJ160" s="91">
        <v>10</v>
      </c>
      <c r="AK160" s="91">
        <v>10</v>
      </c>
      <c r="AL160" s="91">
        <v>10</v>
      </c>
      <c r="AM160" s="91">
        <v>9</v>
      </c>
      <c r="AN160" s="91">
        <v>9</v>
      </c>
      <c r="AO160" s="91">
        <v>9</v>
      </c>
      <c r="AP160" s="91">
        <v>10</v>
      </c>
      <c r="AQ160" s="91">
        <v>9</v>
      </c>
      <c r="AR160" s="91">
        <v>9</v>
      </c>
      <c r="AS160" s="91">
        <v>9</v>
      </c>
      <c r="AT160" s="91">
        <v>9</v>
      </c>
      <c r="AU160" s="91">
        <v>9</v>
      </c>
      <c r="AV160" s="91">
        <v>9</v>
      </c>
      <c r="AW160" s="91">
        <v>10</v>
      </c>
      <c r="AX160" s="91">
        <v>10</v>
      </c>
      <c r="AY160" s="91"/>
      <c r="AZ160" s="91">
        <v>9</v>
      </c>
      <c r="BA160" s="91">
        <v>9</v>
      </c>
      <c r="BB160" s="91">
        <v>10</v>
      </c>
      <c r="BC160" s="91">
        <v>9</v>
      </c>
      <c r="BD160" s="91">
        <v>10</v>
      </c>
      <c r="BE160" s="91">
        <v>9</v>
      </c>
      <c r="BF160" s="91"/>
      <c r="BG160" s="91">
        <v>15</v>
      </c>
      <c r="BH160" s="91"/>
    </row>
    <row r="161" spans="1:60" x14ac:dyDescent="0.25">
      <c r="A161" s="91" t="s">
        <v>258</v>
      </c>
      <c r="B161" s="129">
        <f t="shared" si="10"/>
        <v>457</v>
      </c>
      <c r="C161" s="91">
        <f t="shared" si="11"/>
        <v>47</v>
      </c>
      <c r="D161" s="130">
        <f t="shared" si="12"/>
        <v>0.94</v>
      </c>
      <c r="E161" s="131">
        <v>46300</v>
      </c>
      <c r="F161" s="131">
        <v>46309</v>
      </c>
      <c r="G161" s="91">
        <f t="shared" si="13"/>
        <v>9</v>
      </c>
      <c r="H161" s="91">
        <v>9</v>
      </c>
      <c r="I161" s="91">
        <v>9</v>
      </c>
      <c r="J161" s="91">
        <v>9</v>
      </c>
      <c r="K161" s="91">
        <v>9</v>
      </c>
      <c r="L161" s="91">
        <v>9</v>
      </c>
      <c r="M161" s="91"/>
      <c r="N161" s="91">
        <v>9</v>
      </c>
      <c r="O161" s="91">
        <v>9</v>
      </c>
      <c r="P161" s="91">
        <v>9</v>
      </c>
      <c r="Q161" s="91">
        <v>9</v>
      </c>
      <c r="R161" s="91">
        <v>9</v>
      </c>
      <c r="S161" s="91">
        <v>9</v>
      </c>
      <c r="T161" s="91">
        <v>9</v>
      </c>
      <c r="U161" s="91">
        <v>9</v>
      </c>
      <c r="V161" s="91">
        <v>9</v>
      </c>
      <c r="W161" s="91">
        <v>9</v>
      </c>
      <c r="X161" s="91">
        <v>9</v>
      </c>
      <c r="Y161" s="91"/>
      <c r="Z161" s="91">
        <v>9</v>
      </c>
      <c r="AA161" s="91">
        <v>9</v>
      </c>
      <c r="AB161" s="91">
        <v>9</v>
      </c>
      <c r="AC161" s="91">
        <v>9</v>
      </c>
      <c r="AD161" s="91">
        <v>9</v>
      </c>
      <c r="AE161" s="91">
        <v>9</v>
      </c>
      <c r="AF161" s="91">
        <v>9</v>
      </c>
      <c r="AG161" s="91">
        <v>9</v>
      </c>
      <c r="AH161" s="91">
        <v>9</v>
      </c>
      <c r="AI161" s="91">
        <v>9</v>
      </c>
      <c r="AJ161" s="91">
        <v>9</v>
      </c>
      <c r="AK161" s="91">
        <v>9</v>
      </c>
      <c r="AL161" s="91">
        <v>9</v>
      </c>
      <c r="AM161" s="91">
        <v>9</v>
      </c>
      <c r="AN161" s="91">
        <v>9</v>
      </c>
      <c r="AO161" s="91">
        <v>9</v>
      </c>
      <c r="AP161" s="91">
        <v>9</v>
      </c>
      <c r="AQ161" s="91">
        <v>9</v>
      </c>
      <c r="AR161" s="91">
        <v>9</v>
      </c>
      <c r="AS161" s="91">
        <v>9</v>
      </c>
      <c r="AT161" s="91">
        <v>9</v>
      </c>
      <c r="AU161" s="91">
        <v>9</v>
      </c>
      <c r="AV161" s="91">
        <v>9</v>
      </c>
      <c r="AW161" s="91">
        <v>9</v>
      </c>
      <c r="AX161" s="91">
        <v>9</v>
      </c>
      <c r="AY161" s="91"/>
      <c r="AZ161" s="91">
        <v>9</v>
      </c>
      <c r="BA161" s="91">
        <v>9</v>
      </c>
      <c r="BB161" s="91">
        <v>9</v>
      </c>
      <c r="BC161" s="91">
        <v>9</v>
      </c>
      <c r="BD161" s="91">
        <v>9</v>
      </c>
      <c r="BE161" s="91">
        <v>9</v>
      </c>
      <c r="BF161" s="91">
        <v>17</v>
      </c>
      <c r="BG161" s="91">
        <v>17</v>
      </c>
      <c r="BH161" s="91"/>
    </row>
    <row r="162" spans="1:60" x14ac:dyDescent="0.25">
      <c r="A162" s="91" t="s">
        <v>543</v>
      </c>
      <c r="B162" s="129">
        <f t="shared" si="10"/>
        <v>456</v>
      </c>
      <c r="C162" s="91">
        <f t="shared" si="11"/>
        <v>47</v>
      </c>
      <c r="D162" s="130">
        <f t="shared" si="12"/>
        <v>0.94</v>
      </c>
      <c r="E162" s="131">
        <v>46219</v>
      </c>
      <c r="F162" s="131">
        <v>46244</v>
      </c>
      <c r="G162" s="91">
        <f t="shared" si="13"/>
        <v>25</v>
      </c>
      <c r="H162" s="91">
        <v>6</v>
      </c>
      <c r="I162" s="91">
        <v>6</v>
      </c>
      <c r="J162" s="91">
        <v>8</v>
      </c>
      <c r="K162" s="91">
        <v>14</v>
      </c>
      <c r="L162" s="91">
        <v>8</v>
      </c>
      <c r="M162" s="91"/>
      <c r="N162" s="91">
        <v>8</v>
      </c>
      <c r="O162" s="91">
        <v>14</v>
      </c>
      <c r="P162" s="91">
        <v>8</v>
      </c>
      <c r="Q162" s="91">
        <v>12</v>
      </c>
      <c r="R162" s="91">
        <v>14</v>
      </c>
      <c r="S162" s="91">
        <v>8</v>
      </c>
      <c r="T162" s="91">
        <v>8</v>
      </c>
      <c r="U162" s="91">
        <v>8</v>
      </c>
      <c r="V162" s="91">
        <v>14</v>
      </c>
      <c r="W162" s="91">
        <v>14</v>
      </c>
      <c r="X162" s="91">
        <v>8</v>
      </c>
      <c r="Y162" s="91">
        <v>14</v>
      </c>
      <c r="Z162" s="91">
        <v>13</v>
      </c>
      <c r="AA162" s="91">
        <v>8</v>
      </c>
      <c r="AB162" s="91">
        <v>8</v>
      </c>
      <c r="AC162" s="91">
        <v>8</v>
      </c>
      <c r="AD162" s="91">
        <v>8</v>
      </c>
      <c r="AE162" s="91">
        <v>12</v>
      </c>
      <c r="AF162" s="91">
        <v>8</v>
      </c>
      <c r="AG162" s="91">
        <v>8</v>
      </c>
      <c r="AH162" s="91">
        <v>8</v>
      </c>
      <c r="AI162" s="91">
        <v>8</v>
      </c>
      <c r="AJ162" s="91">
        <v>8</v>
      </c>
      <c r="AK162" s="91">
        <v>8</v>
      </c>
      <c r="AL162" s="91">
        <v>8</v>
      </c>
      <c r="AM162" s="91">
        <v>8</v>
      </c>
      <c r="AN162" s="91">
        <v>14</v>
      </c>
      <c r="AO162" s="91">
        <v>8</v>
      </c>
      <c r="AP162" s="91">
        <v>8</v>
      </c>
      <c r="AQ162" s="91">
        <v>14</v>
      </c>
      <c r="AR162" s="91">
        <v>8</v>
      </c>
      <c r="AS162" s="91"/>
      <c r="AT162" s="91">
        <v>8</v>
      </c>
      <c r="AU162" s="91">
        <v>14</v>
      </c>
      <c r="AV162" s="91">
        <v>6</v>
      </c>
      <c r="AW162" s="91">
        <v>8</v>
      </c>
      <c r="AX162" s="91">
        <v>13</v>
      </c>
      <c r="AY162" s="91"/>
      <c r="AZ162" s="91">
        <v>8</v>
      </c>
      <c r="BA162" s="91">
        <v>12</v>
      </c>
      <c r="BB162" s="91">
        <v>8</v>
      </c>
      <c r="BC162" s="91">
        <v>8</v>
      </c>
      <c r="BD162" s="91">
        <v>8</v>
      </c>
      <c r="BE162" s="91">
        <v>6</v>
      </c>
      <c r="BF162" s="91"/>
      <c r="BG162" s="91">
        <v>12</v>
      </c>
      <c r="BH162" s="91"/>
    </row>
    <row r="163" spans="1:60" x14ac:dyDescent="0.25">
      <c r="A163" s="91" t="s">
        <v>272</v>
      </c>
      <c r="B163" s="129">
        <f t="shared" si="10"/>
        <v>456</v>
      </c>
      <c r="C163" s="91">
        <f t="shared" si="11"/>
        <v>48</v>
      </c>
      <c r="D163" s="130">
        <f t="shared" si="12"/>
        <v>0.96</v>
      </c>
      <c r="E163" s="131">
        <v>46225</v>
      </c>
      <c r="F163" s="131">
        <v>46317</v>
      </c>
      <c r="G163" s="91">
        <f t="shared" si="13"/>
        <v>92</v>
      </c>
      <c r="H163" s="91">
        <v>9</v>
      </c>
      <c r="I163" s="91">
        <v>9</v>
      </c>
      <c r="J163" s="91">
        <v>9</v>
      </c>
      <c r="K163" s="91">
        <v>9</v>
      </c>
      <c r="L163" s="91">
        <v>9</v>
      </c>
      <c r="M163" s="91"/>
      <c r="N163" s="91">
        <v>9</v>
      </c>
      <c r="O163" s="91">
        <v>9</v>
      </c>
      <c r="P163" s="91">
        <v>9</v>
      </c>
      <c r="Q163" s="91">
        <v>9</v>
      </c>
      <c r="R163" s="91">
        <v>9</v>
      </c>
      <c r="S163" s="91">
        <v>9</v>
      </c>
      <c r="T163" s="91">
        <v>9</v>
      </c>
      <c r="U163" s="91">
        <v>9</v>
      </c>
      <c r="V163" s="91">
        <v>9</v>
      </c>
      <c r="W163" s="91">
        <v>9</v>
      </c>
      <c r="X163" s="91">
        <v>9</v>
      </c>
      <c r="Y163" s="91">
        <v>2</v>
      </c>
      <c r="Z163" s="91">
        <v>9</v>
      </c>
      <c r="AA163" s="91">
        <v>9</v>
      </c>
      <c r="AB163" s="91">
        <v>9</v>
      </c>
      <c r="AC163" s="91">
        <v>9</v>
      </c>
      <c r="AD163" s="91">
        <v>9</v>
      </c>
      <c r="AE163" s="91">
        <v>9</v>
      </c>
      <c r="AF163" s="91">
        <v>9</v>
      </c>
      <c r="AG163" s="91">
        <v>9</v>
      </c>
      <c r="AH163" s="91">
        <v>9</v>
      </c>
      <c r="AI163" s="91">
        <v>9</v>
      </c>
      <c r="AJ163" s="91">
        <v>9</v>
      </c>
      <c r="AK163" s="91">
        <v>9</v>
      </c>
      <c r="AL163" s="91">
        <v>9</v>
      </c>
      <c r="AM163" s="91">
        <v>9</v>
      </c>
      <c r="AN163" s="91">
        <v>9</v>
      </c>
      <c r="AO163" s="91">
        <v>9</v>
      </c>
      <c r="AP163" s="91">
        <v>9</v>
      </c>
      <c r="AQ163" s="91">
        <v>9</v>
      </c>
      <c r="AR163" s="91">
        <v>9</v>
      </c>
      <c r="AS163" s="91">
        <v>9</v>
      </c>
      <c r="AT163" s="91">
        <v>9</v>
      </c>
      <c r="AU163" s="91">
        <v>9</v>
      </c>
      <c r="AV163" s="91">
        <v>9</v>
      </c>
      <c r="AW163" s="91">
        <v>9</v>
      </c>
      <c r="AX163" s="91">
        <v>9</v>
      </c>
      <c r="AY163" s="91"/>
      <c r="AZ163" s="91">
        <v>9</v>
      </c>
      <c r="BA163" s="91">
        <v>9</v>
      </c>
      <c r="BB163" s="91">
        <v>9</v>
      </c>
      <c r="BC163" s="91">
        <v>9</v>
      </c>
      <c r="BD163" s="91">
        <v>9</v>
      </c>
      <c r="BE163" s="91">
        <v>9</v>
      </c>
      <c r="BF163" s="91">
        <v>16</v>
      </c>
      <c r="BG163" s="91">
        <v>15</v>
      </c>
      <c r="BH163" s="91"/>
    </row>
    <row r="164" spans="1:60" x14ac:dyDescent="0.25">
      <c r="A164" s="91" t="s">
        <v>219</v>
      </c>
      <c r="B164" s="129">
        <f t="shared" si="10"/>
        <v>456</v>
      </c>
      <c r="C164" s="91">
        <f t="shared" si="11"/>
        <v>47</v>
      </c>
      <c r="D164" s="130">
        <f t="shared" si="12"/>
        <v>0.94</v>
      </c>
      <c r="E164" s="131">
        <v>46258</v>
      </c>
      <c r="F164" s="131">
        <v>46275</v>
      </c>
      <c r="G164" s="91">
        <f t="shared" si="13"/>
        <v>17</v>
      </c>
      <c r="H164" s="91">
        <v>9</v>
      </c>
      <c r="I164" s="91">
        <v>9</v>
      </c>
      <c r="J164" s="91">
        <v>9</v>
      </c>
      <c r="K164" s="91">
        <v>9</v>
      </c>
      <c r="L164" s="91">
        <v>9</v>
      </c>
      <c r="M164" s="91"/>
      <c r="N164" s="91">
        <v>9</v>
      </c>
      <c r="O164" s="91">
        <v>9</v>
      </c>
      <c r="P164" s="91">
        <v>9</v>
      </c>
      <c r="Q164" s="91">
        <v>9</v>
      </c>
      <c r="R164" s="91">
        <v>9</v>
      </c>
      <c r="S164" s="91">
        <v>9</v>
      </c>
      <c r="T164" s="91">
        <v>9</v>
      </c>
      <c r="U164" s="91">
        <v>9</v>
      </c>
      <c r="V164" s="91">
        <v>9</v>
      </c>
      <c r="W164" s="91">
        <v>9</v>
      </c>
      <c r="X164" s="91">
        <v>9</v>
      </c>
      <c r="Y164" s="91"/>
      <c r="Z164" s="91">
        <v>9</v>
      </c>
      <c r="AA164" s="91">
        <v>9</v>
      </c>
      <c r="AB164" s="91">
        <v>9</v>
      </c>
      <c r="AC164" s="91">
        <v>9</v>
      </c>
      <c r="AD164" s="91">
        <v>9</v>
      </c>
      <c r="AE164" s="91">
        <v>9</v>
      </c>
      <c r="AF164" s="91">
        <v>9</v>
      </c>
      <c r="AG164" s="91">
        <v>9</v>
      </c>
      <c r="AH164" s="91">
        <v>9</v>
      </c>
      <c r="AI164" s="91">
        <v>9</v>
      </c>
      <c r="AJ164" s="91">
        <v>9</v>
      </c>
      <c r="AK164" s="91">
        <v>9</v>
      </c>
      <c r="AL164" s="91">
        <v>9</v>
      </c>
      <c r="AM164" s="91">
        <v>9</v>
      </c>
      <c r="AN164" s="91">
        <v>9</v>
      </c>
      <c r="AO164" s="91">
        <v>9</v>
      </c>
      <c r="AP164" s="91">
        <v>9</v>
      </c>
      <c r="AQ164" s="91">
        <v>9</v>
      </c>
      <c r="AR164" s="91">
        <v>9</v>
      </c>
      <c r="AS164" s="91">
        <v>9</v>
      </c>
      <c r="AT164" s="91">
        <v>9</v>
      </c>
      <c r="AU164" s="91">
        <v>7</v>
      </c>
      <c r="AV164" s="91">
        <v>9</v>
      </c>
      <c r="AW164" s="91">
        <v>9</v>
      </c>
      <c r="AX164" s="91">
        <v>9</v>
      </c>
      <c r="AY164" s="91"/>
      <c r="AZ164" s="91">
        <v>9</v>
      </c>
      <c r="BA164" s="91">
        <v>9</v>
      </c>
      <c r="BB164" s="91">
        <v>9</v>
      </c>
      <c r="BC164" s="91">
        <v>9</v>
      </c>
      <c r="BD164" s="91">
        <v>10</v>
      </c>
      <c r="BE164" s="91">
        <v>9</v>
      </c>
      <c r="BF164" s="91">
        <v>18</v>
      </c>
      <c r="BG164" s="91">
        <v>16</v>
      </c>
      <c r="BH164" s="91"/>
    </row>
    <row r="165" spans="1:60" x14ac:dyDescent="0.25">
      <c r="A165" s="91" t="s">
        <v>456</v>
      </c>
      <c r="B165" s="129">
        <f t="shared" si="10"/>
        <v>456</v>
      </c>
      <c r="C165" s="91">
        <f t="shared" si="11"/>
        <v>48</v>
      </c>
      <c r="D165" s="130">
        <f t="shared" si="12"/>
        <v>0.96</v>
      </c>
      <c r="E165" s="131">
        <v>46274</v>
      </c>
      <c r="F165" s="131">
        <v>46314</v>
      </c>
      <c r="G165" s="91">
        <f t="shared" si="13"/>
        <v>40</v>
      </c>
      <c r="H165" s="91">
        <v>9</v>
      </c>
      <c r="I165" s="91">
        <v>9</v>
      </c>
      <c r="J165" s="91">
        <v>9</v>
      </c>
      <c r="K165" s="91">
        <v>9</v>
      </c>
      <c r="L165" s="91">
        <v>9</v>
      </c>
      <c r="M165" s="91"/>
      <c r="N165" s="91">
        <v>9</v>
      </c>
      <c r="O165" s="91">
        <v>9</v>
      </c>
      <c r="P165" s="91">
        <v>9</v>
      </c>
      <c r="Q165" s="91">
        <v>9</v>
      </c>
      <c r="R165" s="91">
        <v>9</v>
      </c>
      <c r="S165" s="91">
        <v>9</v>
      </c>
      <c r="T165" s="91">
        <v>9</v>
      </c>
      <c r="U165" s="91">
        <v>9</v>
      </c>
      <c r="V165" s="91">
        <v>9</v>
      </c>
      <c r="W165" s="91">
        <v>9</v>
      </c>
      <c r="X165" s="91">
        <v>9</v>
      </c>
      <c r="Y165" s="91">
        <v>1</v>
      </c>
      <c r="Z165" s="91">
        <v>9</v>
      </c>
      <c r="AA165" s="91">
        <v>9</v>
      </c>
      <c r="AB165" s="91">
        <v>9</v>
      </c>
      <c r="AC165" s="91">
        <v>9</v>
      </c>
      <c r="AD165" s="91">
        <v>9</v>
      </c>
      <c r="AE165" s="91">
        <v>9</v>
      </c>
      <c r="AF165" s="91">
        <v>9</v>
      </c>
      <c r="AG165" s="91">
        <v>9</v>
      </c>
      <c r="AH165" s="91">
        <v>9</v>
      </c>
      <c r="AI165" s="91">
        <v>9</v>
      </c>
      <c r="AJ165" s="91">
        <v>9</v>
      </c>
      <c r="AK165" s="91">
        <v>9</v>
      </c>
      <c r="AL165" s="91">
        <v>9</v>
      </c>
      <c r="AM165" s="91">
        <v>9</v>
      </c>
      <c r="AN165" s="91">
        <v>9</v>
      </c>
      <c r="AO165" s="91">
        <v>9</v>
      </c>
      <c r="AP165" s="91">
        <v>9</v>
      </c>
      <c r="AQ165" s="91">
        <v>9</v>
      </c>
      <c r="AR165" s="91">
        <v>9</v>
      </c>
      <c r="AS165" s="91">
        <v>9</v>
      </c>
      <c r="AT165" s="91">
        <v>9</v>
      </c>
      <c r="AU165" s="91">
        <v>9</v>
      </c>
      <c r="AV165" s="91">
        <v>9</v>
      </c>
      <c r="AW165" s="91">
        <v>9</v>
      </c>
      <c r="AX165" s="91">
        <v>9</v>
      </c>
      <c r="AY165" s="91"/>
      <c r="AZ165" s="91">
        <v>9</v>
      </c>
      <c r="BA165" s="91">
        <v>9</v>
      </c>
      <c r="BB165" s="91">
        <v>9</v>
      </c>
      <c r="BC165" s="91">
        <v>9</v>
      </c>
      <c r="BD165" s="91">
        <v>9</v>
      </c>
      <c r="BE165" s="91">
        <v>9</v>
      </c>
      <c r="BF165" s="91">
        <v>16</v>
      </c>
      <c r="BG165" s="91">
        <v>16</v>
      </c>
      <c r="BH165" s="91"/>
    </row>
    <row r="166" spans="1:60" x14ac:dyDescent="0.25">
      <c r="A166" s="91" t="s">
        <v>435</v>
      </c>
      <c r="B166" s="129">
        <f t="shared" si="10"/>
        <v>456</v>
      </c>
      <c r="C166" s="91">
        <f t="shared" si="11"/>
        <v>48</v>
      </c>
      <c r="D166" s="130">
        <f t="shared" si="12"/>
        <v>0.96</v>
      </c>
      <c r="E166" s="131">
        <v>46274</v>
      </c>
      <c r="F166" s="131">
        <v>46317</v>
      </c>
      <c r="G166" s="91">
        <f t="shared" si="13"/>
        <v>43</v>
      </c>
      <c r="H166" s="91">
        <v>9</v>
      </c>
      <c r="I166" s="91">
        <v>9</v>
      </c>
      <c r="J166" s="91">
        <v>9</v>
      </c>
      <c r="K166" s="91">
        <v>9</v>
      </c>
      <c r="L166" s="91">
        <v>9</v>
      </c>
      <c r="M166" s="91"/>
      <c r="N166" s="91">
        <v>9</v>
      </c>
      <c r="O166" s="91">
        <v>9</v>
      </c>
      <c r="P166" s="91">
        <v>9</v>
      </c>
      <c r="Q166" s="91">
        <v>9</v>
      </c>
      <c r="R166" s="91">
        <v>9</v>
      </c>
      <c r="S166" s="91">
        <v>9</v>
      </c>
      <c r="T166" s="91">
        <v>9</v>
      </c>
      <c r="U166" s="91">
        <v>9</v>
      </c>
      <c r="V166" s="91">
        <v>9</v>
      </c>
      <c r="W166" s="91">
        <v>9</v>
      </c>
      <c r="X166" s="91">
        <v>9</v>
      </c>
      <c r="Y166" s="91">
        <v>1</v>
      </c>
      <c r="Z166" s="91">
        <v>9</v>
      </c>
      <c r="AA166" s="91">
        <v>9</v>
      </c>
      <c r="AB166" s="91">
        <v>9</v>
      </c>
      <c r="AC166" s="91">
        <v>9</v>
      </c>
      <c r="AD166" s="91">
        <v>9</v>
      </c>
      <c r="AE166" s="91">
        <v>9</v>
      </c>
      <c r="AF166" s="91">
        <v>9</v>
      </c>
      <c r="AG166" s="91">
        <v>9</v>
      </c>
      <c r="AH166" s="91">
        <v>9</v>
      </c>
      <c r="AI166" s="91">
        <v>9</v>
      </c>
      <c r="AJ166" s="91">
        <v>9</v>
      </c>
      <c r="AK166" s="91">
        <v>9</v>
      </c>
      <c r="AL166" s="91">
        <v>9</v>
      </c>
      <c r="AM166" s="91">
        <v>9</v>
      </c>
      <c r="AN166" s="91">
        <v>9</v>
      </c>
      <c r="AO166" s="91">
        <v>9</v>
      </c>
      <c r="AP166" s="91">
        <v>9</v>
      </c>
      <c r="AQ166" s="91">
        <v>9</v>
      </c>
      <c r="AR166" s="91">
        <v>9</v>
      </c>
      <c r="AS166" s="91">
        <v>9</v>
      </c>
      <c r="AT166" s="91">
        <v>9</v>
      </c>
      <c r="AU166" s="91">
        <v>9</v>
      </c>
      <c r="AV166" s="91">
        <v>9</v>
      </c>
      <c r="AW166" s="91">
        <v>9</v>
      </c>
      <c r="AX166" s="91">
        <v>9</v>
      </c>
      <c r="AY166" s="91"/>
      <c r="AZ166" s="91">
        <v>9</v>
      </c>
      <c r="BA166" s="91">
        <v>9</v>
      </c>
      <c r="BB166" s="91">
        <v>9</v>
      </c>
      <c r="BC166" s="91">
        <v>9</v>
      </c>
      <c r="BD166" s="91">
        <v>9</v>
      </c>
      <c r="BE166" s="91">
        <v>9</v>
      </c>
      <c r="BF166" s="91">
        <v>16</v>
      </c>
      <c r="BG166" s="91">
        <v>16</v>
      </c>
      <c r="BH166" s="91"/>
    </row>
    <row r="167" spans="1:60" x14ac:dyDescent="0.25">
      <c r="A167" s="91" t="s">
        <v>513</v>
      </c>
      <c r="B167" s="129">
        <f t="shared" si="10"/>
        <v>455</v>
      </c>
      <c r="C167" s="91">
        <f t="shared" si="11"/>
        <v>49</v>
      </c>
      <c r="D167" s="130">
        <f t="shared" si="12"/>
        <v>0.98</v>
      </c>
      <c r="E167" s="131">
        <v>46245</v>
      </c>
      <c r="F167" s="131">
        <v>46287</v>
      </c>
      <c r="G167" s="91">
        <f t="shared" si="13"/>
        <v>42</v>
      </c>
      <c r="H167" s="91">
        <v>9</v>
      </c>
      <c r="I167" s="91">
        <v>9</v>
      </c>
      <c r="J167" s="91">
        <v>9</v>
      </c>
      <c r="K167" s="91">
        <v>9</v>
      </c>
      <c r="L167" s="91">
        <v>9</v>
      </c>
      <c r="M167" s="91">
        <v>7</v>
      </c>
      <c r="N167" s="91">
        <v>9</v>
      </c>
      <c r="O167" s="91">
        <v>9</v>
      </c>
      <c r="P167" s="91">
        <v>9</v>
      </c>
      <c r="Q167" s="91">
        <v>9</v>
      </c>
      <c r="R167" s="91">
        <v>9</v>
      </c>
      <c r="S167" s="91">
        <v>9</v>
      </c>
      <c r="T167" s="91">
        <v>9</v>
      </c>
      <c r="U167" s="91">
        <v>9</v>
      </c>
      <c r="V167" s="91">
        <v>9</v>
      </c>
      <c r="W167" s="91">
        <v>9</v>
      </c>
      <c r="X167" s="91">
        <v>9</v>
      </c>
      <c r="Y167" s="91">
        <v>9</v>
      </c>
      <c r="Z167" s="91">
        <v>9</v>
      </c>
      <c r="AA167" s="91">
        <v>9</v>
      </c>
      <c r="AB167" s="91">
        <v>9</v>
      </c>
      <c r="AC167" s="91">
        <v>9</v>
      </c>
      <c r="AD167" s="91">
        <v>9</v>
      </c>
      <c r="AE167" s="91">
        <v>9</v>
      </c>
      <c r="AF167" s="91">
        <v>9</v>
      </c>
      <c r="AG167" s="91">
        <v>9</v>
      </c>
      <c r="AH167" s="91">
        <v>9</v>
      </c>
      <c r="AI167" s="91">
        <v>9</v>
      </c>
      <c r="AJ167" s="91">
        <v>9</v>
      </c>
      <c r="AK167" s="91">
        <v>9</v>
      </c>
      <c r="AL167" s="91">
        <v>9</v>
      </c>
      <c r="AM167" s="91">
        <v>9</v>
      </c>
      <c r="AN167" s="91">
        <v>9</v>
      </c>
      <c r="AO167" s="91">
        <v>9</v>
      </c>
      <c r="AP167" s="91">
        <v>9</v>
      </c>
      <c r="AQ167" s="91">
        <v>9</v>
      </c>
      <c r="AR167" s="91">
        <v>9</v>
      </c>
      <c r="AS167" s="91">
        <v>10</v>
      </c>
      <c r="AT167" s="91">
        <v>9</v>
      </c>
      <c r="AU167" s="91">
        <v>9</v>
      </c>
      <c r="AV167" s="91">
        <v>9</v>
      </c>
      <c r="AW167" s="91">
        <v>9</v>
      </c>
      <c r="AX167" s="91">
        <v>9</v>
      </c>
      <c r="AY167" s="91"/>
      <c r="AZ167" s="91">
        <v>9</v>
      </c>
      <c r="BA167" s="91">
        <v>9</v>
      </c>
      <c r="BB167" s="91">
        <v>9</v>
      </c>
      <c r="BC167" s="91">
        <v>9</v>
      </c>
      <c r="BD167" s="91">
        <v>9</v>
      </c>
      <c r="BE167" s="91">
        <v>9</v>
      </c>
      <c r="BF167" s="91"/>
      <c r="BG167" s="91">
        <v>15</v>
      </c>
      <c r="BH167" s="91"/>
    </row>
    <row r="168" spans="1:60" x14ac:dyDescent="0.25">
      <c r="A168" s="91" t="s">
        <v>384</v>
      </c>
      <c r="B168" s="129">
        <f t="shared" si="10"/>
        <v>455</v>
      </c>
      <c r="C168" s="91">
        <f t="shared" si="11"/>
        <v>48</v>
      </c>
      <c r="D168" s="130">
        <f t="shared" si="12"/>
        <v>0.96</v>
      </c>
      <c r="E168" s="131">
        <v>46262</v>
      </c>
      <c r="F168" s="131">
        <v>46322</v>
      </c>
      <c r="G168" s="91">
        <f t="shared" si="13"/>
        <v>60</v>
      </c>
      <c r="H168" s="91">
        <v>9</v>
      </c>
      <c r="I168" s="91">
        <v>9</v>
      </c>
      <c r="J168" s="91">
        <v>9</v>
      </c>
      <c r="K168" s="91">
        <v>9</v>
      </c>
      <c r="L168" s="91">
        <v>9</v>
      </c>
      <c r="M168" s="91"/>
      <c r="N168" s="91">
        <v>9</v>
      </c>
      <c r="O168" s="91">
        <v>9</v>
      </c>
      <c r="P168" s="91">
        <v>9</v>
      </c>
      <c r="Q168" s="91">
        <v>9</v>
      </c>
      <c r="R168" s="91">
        <v>9</v>
      </c>
      <c r="S168" s="91">
        <v>9</v>
      </c>
      <c r="T168" s="91">
        <v>9</v>
      </c>
      <c r="U168" s="91">
        <v>9</v>
      </c>
      <c r="V168" s="91">
        <v>9</v>
      </c>
      <c r="W168" s="91">
        <v>9</v>
      </c>
      <c r="X168" s="91">
        <v>9</v>
      </c>
      <c r="Y168" s="91">
        <v>1</v>
      </c>
      <c r="Z168" s="91">
        <v>9</v>
      </c>
      <c r="AA168" s="91">
        <v>9</v>
      </c>
      <c r="AB168" s="91">
        <v>9</v>
      </c>
      <c r="AC168" s="91">
        <v>9</v>
      </c>
      <c r="AD168" s="91">
        <v>9</v>
      </c>
      <c r="AE168" s="91">
        <v>9</v>
      </c>
      <c r="AF168" s="91">
        <v>9</v>
      </c>
      <c r="AG168" s="91">
        <v>9</v>
      </c>
      <c r="AH168" s="91">
        <v>9</v>
      </c>
      <c r="AI168" s="91">
        <v>9</v>
      </c>
      <c r="AJ168" s="91">
        <v>9</v>
      </c>
      <c r="AK168" s="91">
        <v>9</v>
      </c>
      <c r="AL168" s="91">
        <v>9</v>
      </c>
      <c r="AM168" s="91">
        <v>9</v>
      </c>
      <c r="AN168" s="91">
        <v>9</v>
      </c>
      <c r="AO168" s="91">
        <v>9</v>
      </c>
      <c r="AP168" s="91">
        <v>9</v>
      </c>
      <c r="AQ168" s="91">
        <v>9</v>
      </c>
      <c r="AR168" s="91">
        <v>9</v>
      </c>
      <c r="AS168" s="91">
        <v>9</v>
      </c>
      <c r="AT168" s="91">
        <v>9</v>
      </c>
      <c r="AU168" s="91">
        <v>9</v>
      </c>
      <c r="AV168" s="91">
        <v>10</v>
      </c>
      <c r="AW168" s="91">
        <v>9</v>
      </c>
      <c r="AX168" s="91">
        <v>9</v>
      </c>
      <c r="AY168" s="91"/>
      <c r="AZ168" s="91">
        <v>9</v>
      </c>
      <c r="BA168" s="91">
        <v>9</v>
      </c>
      <c r="BB168" s="91">
        <v>9</v>
      </c>
      <c r="BC168" s="91">
        <v>9</v>
      </c>
      <c r="BD168" s="91">
        <v>9</v>
      </c>
      <c r="BE168" s="91">
        <v>9</v>
      </c>
      <c r="BF168" s="91">
        <v>15</v>
      </c>
      <c r="BG168" s="91">
        <v>15</v>
      </c>
      <c r="BH168" s="91"/>
    </row>
    <row r="169" spans="1:60" x14ac:dyDescent="0.25">
      <c r="A169" s="91" t="s">
        <v>273</v>
      </c>
      <c r="B169" s="129">
        <f t="shared" si="10"/>
        <v>455</v>
      </c>
      <c r="C169" s="91">
        <f t="shared" si="11"/>
        <v>48</v>
      </c>
      <c r="D169" s="130">
        <f t="shared" si="12"/>
        <v>0.96</v>
      </c>
      <c r="E169" s="131">
        <v>46266</v>
      </c>
      <c r="F169" s="131">
        <v>46302</v>
      </c>
      <c r="G169" s="91">
        <f t="shared" si="13"/>
        <v>36</v>
      </c>
      <c r="H169" s="91">
        <v>9</v>
      </c>
      <c r="I169" s="91">
        <v>9</v>
      </c>
      <c r="J169" s="91">
        <v>9</v>
      </c>
      <c r="K169" s="91">
        <v>9</v>
      </c>
      <c r="L169" s="91">
        <v>9</v>
      </c>
      <c r="M169" s="91">
        <v>6</v>
      </c>
      <c r="N169" s="91">
        <v>9</v>
      </c>
      <c r="O169" s="91">
        <v>9</v>
      </c>
      <c r="P169" s="91">
        <v>9</v>
      </c>
      <c r="Q169" s="91">
        <v>9</v>
      </c>
      <c r="R169" s="91">
        <v>9</v>
      </c>
      <c r="S169" s="91">
        <v>9</v>
      </c>
      <c r="T169" s="91">
        <v>9</v>
      </c>
      <c r="U169" s="91">
        <v>9</v>
      </c>
      <c r="V169" s="91">
        <v>9</v>
      </c>
      <c r="W169" s="91">
        <v>9</v>
      </c>
      <c r="X169" s="91">
        <v>9</v>
      </c>
      <c r="Y169" s="91">
        <v>1</v>
      </c>
      <c r="Z169" s="91">
        <v>9</v>
      </c>
      <c r="AA169" s="91">
        <v>9</v>
      </c>
      <c r="AB169" s="91">
        <v>9</v>
      </c>
      <c r="AC169" s="91">
        <v>9</v>
      </c>
      <c r="AD169" s="91">
        <v>9</v>
      </c>
      <c r="AE169" s="91">
        <v>9</v>
      </c>
      <c r="AF169" s="91">
        <v>9</v>
      </c>
      <c r="AG169" s="91">
        <v>9</v>
      </c>
      <c r="AH169" s="91">
        <v>9</v>
      </c>
      <c r="AI169" s="91">
        <v>9</v>
      </c>
      <c r="AJ169" s="91">
        <v>9</v>
      </c>
      <c r="AK169" s="91">
        <v>9</v>
      </c>
      <c r="AL169" s="91">
        <v>9</v>
      </c>
      <c r="AM169" s="91">
        <v>9</v>
      </c>
      <c r="AN169" s="91">
        <v>9</v>
      </c>
      <c r="AO169" s="91">
        <v>9</v>
      </c>
      <c r="AP169" s="91">
        <v>9</v>
      </c>
      <c r="AQ169" s="91">
        <v>9</v>
      </c>
      <c r="AR169" s="91">
        <v>9</v>
      </c>
      <c r="AS169" s="91">
        <v>9</v>
      </c>
      <c r="AT169" s="91">
        <v>9</v>
      </c>
      <c r="AU169" s="91">
        <v>9</v>
      </c>
      <c r="AV169" s="91"/>
      <c r="AW169" s="91">
        <v>9</v>
      </c>
      <c r="AX169" s="91">
        <v>9</v>
      </c>
      <c r="AY169" s="91"/>
      <c r="AZ169" s="91">
        <v>9</v>
      </c>
      <c r="BA169" s="91">
        <v>9</v>
      </c>
      <c r="BB169" s="91">
        <v>9</v>
      </c>
      <c r="BC169" s="91">
        <v>9</v>
      </c>
      <c r="BD169" s="91">
        <v>9</v>
      </c>
      <c r="BE169" s="91">
        <v>9</v>
      </c>
      <c r="BF169" s="91">
        <v>16</v>
      </c>
      <c r="BG169" s="91">
        <v>18</v>
      </c>
      <c r="BH169" s="91"/>
    </row>
    <row r="170" spans="1:60" x14ac:dyDescent="0.25">
      <c r="A170" s="91" t="s">
        <v>243</v>
      </c>
      <c r="B170" s="129">
        <f t="shared" si="10"/>
        <v>455</v>
      </c>
      <c r="C170" s="91">
        <f t="shared" si="11"/>
        <v>47</v>
      </c>
      <c r="D170" s="130">
        <f t="shared" si="12"/>
        <v>0.94</v>
      </c>
      <c r="E170" s="131">
        <v>46304</v>
      </c>
      <c r="F170" s="131">
        <v>46309</v>
      </c>
      <c r="G170" s="91">
        <f t="shared" si="13"/>
        <v>5</v>
      </c>
      <c r="H170" s="91">
        <v>9</v>
      </c>
      <c r="I170" s="91">
        <v>9</v>
      </c>
      <c r="J170" s="91">
        <v>9</v>
      </c>
      <c r="K170" s="91">
        <v>9</v>
      </c>
      <c r="L170" s="91">
        <v>9</v>
      </c>
      <c r="M170" s="91"/>
      <c r="N170" s="91">
        <v>9</v>
      </c>
      <c r="O170" s="91">
        <v>9</v>
      </c>
      <c r="P170" s="91">
        <v>9</v>
      </c>
      <c r="Q170" s="91">
        <v>9</v>
      </c>
      <c r="R170" s="91">
        <v>9</v>
      </c>
      <c r="S170" s="91">
        <v>9</v>
      </c>
      <c r="T170" s="91">
        <v>9</v>
      </c>
      <c r="U170" s="91">
        <v>9</v>
      </c>
      <c r="V170" s="91">
        <v>9</v>
      </c>
      <c r="W170" s="91">
        <v>9</v>
      </c>
      <c r="X170" s="91">
        <v>9</v>
      </c>
      <c r="Y170" s="91"/>
      <c r="Z170" s="91">
        <v>9</v>
      </c>
      <c r="AA170" s="91">
        <v>9</v>
      </c>
      <c r="AB170" s="91">
        <v>9</v>
      </c>
      <c r="AC170" s="91">
        <v>9</v>
      </c>
      <c r="AD170" s="91">
        <v>9</v>
      </c>
      <c r="AE170" s="91">
        <v>9</v>
      </c>
      <c r="AF170" s="91">
        <v>9</v>
      </c>
      <c r="AG170" s="91">
        <v>9</v>
      </c>
      <c r="AH170" s="91">
        <v>9</v>
      </c>
      <c r="AI170" s="91">
        <v>9</v>
      </c>
      <c r="AJ170" s="91">
        <v>9</v>
      </c>
      <c r="AK170" s="91">
        <v>9</v>
      </c>
      <c r="AL170" s="91">
        <v>9</v>
      </c>
      <c r="AM170" s="91">
        <v>9</v>
      </c>
      <c r="AN170" s="91">
        <v>9</v>
      </c>
      <c r="AO170" s="91">
        <v>9</v>
      </c>
      <c r="AP170" s="91">
        <v>9</v>
      </c>
      <c r="AQ170" s="91">
        <v>9</v>
      </c>
      <c r="AR170" s="91">
        <v>9</v>
      </c>
      <c r="AS170" s="91">
        <v>9</v>
      </c>
      <c r="AT170" s="91">
        <v>9</v>
      </c>
      <c r="AU170" s="91">
        <v>9</v>
      </c>
      <c r="AV170" s="91">
        <v>9</v>
      </c>
      <c r="AW170" s="91">
        <v>9</v>
      </c>
      <c r="AX170" s="91">
        <v>9</v>
      </c>
      <c r="AY170" s="91"/>
      <c r="AZ170" s="91">
        <v>9</v>
      </c>
      <c r="BA170" s="91">
        <v>9</v>
      </c>
      <c r="BB170" s="91">
        <v>9</v>
      </c>
      <c r="BC170" s="91">
        <v>9</v>
      </c>
      <c r="BD170" s="91">
        <v>9</v>
      </c>
      <c r="BE170" s="91">
        <v>9</v>
      </c>
      <c r="BF170" s="91">
        <v>16</v>
      </c>
      <c r="BG170" s="91">
        <v>16</v>
      </c>
      <c r="BH170" s="91"/>
    </row>
    <row r="171" spans="1:60" x14ac:dyDescent="0.25">
      <c r="A171" s="91" t="s">
        <v>205</v>
      </c>
      <c r="B171" s="129">
        <f t="shared" si="10"/>
        <v>454</v>
      </c>
      <c r="C171" s="91">
        <f t="shared" si="11"/>
        <v>48</v>
      </c>
      <c r="D171" s="130">
        <f t="shared" si="12"/>
        <v>0.96</v>
      </c>
      <c r="E171" s="131">
        <v>46219</v>
      </c>
      <c r="F171" s="131">
        <v>46322</v>
      </c>
      <c r="G171" s="91">
        <f t="shared" si="13"/>
        <v>103</v>
      </c>
      <c r="H171" s="91">
        <v>9</v>
      </c>
      <c r="I171" s="91">
        <v>9</v>
      </c>
      <c r="J171" s="91">
        <v>9</v>
      </c>
      <c r="K171" s="91">
        <v>9</v>
      </c>
      <c r="L171" s="91">
        <v>9</v>
      </c>
      <c r="M171" s="91"/>
      <c r="N171" s="91">
        <v>9</v>
      </c>
      <c r="O171" s="91">
        <v>9</v>
      </c>
      <c r="P171" s="91">
        <v>9</v>
      </c>
      <c r="Q171" s="91">
        <v>9</v>
      </c>
      <c r="R171" s="91">
        <v>11</v>
      </c>
      <c r="S171" s="91">
        <v>9</v>
      </c>
      <c r="T171" s="91">
        <v>9</v>
      </c>
      <c r="U171" s="91">
        <v>9</v>
      </c>
      <c r="V171" s="91">
        <v>9</v>
      </c>
      <c r="W171" s="91">
        <v>9</v>
      </c>
      <c r="X171" s="91">
        <v>9</v>
      </c>
      <c r="Y171" s="91">
        <v>1</v>
      </c>
      <c r="Z171" s="91">
        <v>9</v>
      </c>
      <c r="AA171" s="91">
        <v>9</v>
      </c>
      <c r="AB171" s="91">
        <v>9</v>
      </c>
      <c r="AC171" s="91">
        <v>9</v>
      </c>
      <c r="AD171" s="91">
        <v>9</v>
      </c>
      <c r="AE171" s="91">
        <v>9</v>
      </c>
      <c r="AF171" s="91">
        <v>9</v>
      </c>
      <c r="AG171" s="91">
        <v>9</v>
      </c>
      <c r="AH171" s="91">
        <v>9</v>
      </c>
      <c r="AI171" s="91">
        <v>9</v>
      </c>
      <c r="AJ171" s="91">
        <v>9</v>
      </c>
      <c r="AK171" s="91">
        <v>9</v>
      </c>
      <c r="AL171" s="91">
        <v>9</v>
      </c>
      <c r="AM171" s="91">
        <v>9</v>
      </c>
      <c r="AN171" s="91">
        <v>9</v>
      </c>
      <c r="AO171" s="91">
        <v>9</v>
      </c>
      <c r="AP171" s="91">
        <v>9</v>
      </c>
      <c r="AQ171" s="91">
        <v>9</v>
      </c>
      <c r="AR171" s="91">
        <v>9</v>
      </c>
      <c r="AS171" s="91">
        <v>9</v>
      </c>
      <c r="AT171" s="91">
        <v>9</v>
      </c>
      <c r="AU171" s="91">
        <v>9</v>
      </c>
      <c r="AV171" s="91">
        <v>9</v>
      </c>
      <c r="AW171" s="91">
        <v>9</v>
      </c>
      <c r="AX171" s="91">
        <v>9</v>
      </c>
      <c r="AY171" s="91"/>
      <c r="AZ171" s="91">
        <v>9</v>
      </c>
      <c r="BA171" s="91">
        <v>9</v>
      </c>
      <c r="BB171" s="91">
        <v>9</v>
      </c>
      <c r="BC171" s="91">
        <v>9</v>
      </c>
      <c r="BD171" s="91">
        <v>9</v>
      </c>
      <c r="BE171" s="91">
        <v>9</v>
      </c>
      <c r="BF171" s="91">
        <v>10</v>
      </c>
      <c r="BG171" s="91">
        <v>18</v>
      </c>
      <c r="BH171" s="91"/>
    </row>
    <row r="172" spans="1:60" x14ac:dyDescent="0.25">
      <c r="A172" s="91" t="s">
        <v>454</v>
      </c>
      <c r="B172" s="129">
        <f t="shared" si="10"/>
        <v>454</v>
      </c>
      <c r="C172" s="91">
        <f t="shared" si="11"/>
        <v>48</v>
      </c>
      <c r="D172" s="130">
        <f t="shared" si="12"/>
        <v>0.96</v>
      </c>
      <c r="E172" s="131">
        <v>46225</v>
      </c>
      <c r="F172" s="131">
        <v>46266</v>
      </c>
      <c r="G172" s="91">
        <f t="shared" si="13"/>
        <v>41</v>
      </c>
      <c r="H172" s="91">
        <v>6</v>
      </c>
      <c r="I172" s="91">
        <v>8</v>
      </c>
      <c r="J172" s="91">
        <v>8</v>
      </c>
      <c r="K172" s="91">
        <v>8</v>
      </c>
      <c r="L172" s="91">
        <v>8</v>
      </c>
      <c r="M172" s="91"/>
      <c r="N172" s="91">
        <v>8</v>
      </c>
      <c r="O172" s="91">
        <v>8</v>
      </c>
      <c r="P172" s="91">
        <v>8</v>
      </c>
      <c r="Q172" s="91">
        <v>14</v>
      </c>
      <c r="R172" s="91">
        <v>14</v>
      </c>
      <c r="S172" s="91">
        <v>8</v>
      </c>
      <c r="T172" s="91">
        <v>8</v>
      </c>
      <c r="U172" s="91">
        <v>8</v>
      </c>
      <c r="V172" s="91">
        <v>14</v>
      </c>
      <c r="W172" s="91">
        <v>14</v>
      </c>
      <c r="X172" s="91">
        <v>8</v>
      </c>
      <c r="Y172" s="91">
        <v>15</v>
      </c>
      <c r="Z172" s="91">
        <v>8</v>
      </c>
      <c r="AA172" s="91">
        <v>8</v>
      </c>
      <c r="AB172" s="91">
        <v>8</v>
      </c>
      <c r="AC172" s="91">
        <v>8</v>
      </c>
      <c r="AD172" s="91">
        <v>8</v>
      </c>
      <c r="AE172" s="91">
        <v>13</v>
      </c>
      <c r="AF172" s="91">
        <v>8</v>
      </c>
      <c r="AG172" s="91">
        <v>8</v>
      </c>
      <c r="AH172" s="91">
        <v>8</v>
      </c>
      <c r="AI172" s="91">
        <v>8</v>
      </c>
      <c r="AJ172" s="91">
        <v>8</v>
      </c>
      <c r="AK172" s="91">
        <v>8</v>
      </c>
      <c r="AL172" s="91">
        <v>8</v>
      </c>
      <c r="AM172" s="91">
        <v>8</v>
      </c>
      <c r="AN172" s="91">
        <v>14</v>
      </c>
      <c r="AO172" s="91">
        <v>8</v>
      </c>
      <c r="AP172" s="91">
        <v>8</v>
      </c>
      <c r="AQ172" s="91">
        <v>14</v>
      </c>
      <c r="AR172" s="91">
        <v>8</v>
      </c>
      <c r="AS172" s="91">
        <v>6</v>
      </c>
      <c r="AT172" s="91">
        <v>8</v>
      </c>
      <c r="AU172" s="91">
        <v>14</v>
      </c>
      <c r="AV172" s="91">
        <v>6</v>
      </c>
      <c r="AW172" s="91">
        <v>8</v>
      </c>
      <c r="AX172" s="91">
        <v>14</v>
      </c>
      <c r="AY172" s="91"/>
      <c r="AZ172" s="91">
        <v>8</v>
      </c>
      <c r="BA172" s="91">
        <v>13</v>
      </c>
      <c r="BB172" s="91">
        <v>8</v>
      </c>
      <c r="BC172" s="91">
        <v>8</v>
      </c>
      <c r="BD172" s="91">
        <v>8</v>
      </c>
      <c r="BE172" s="91">
        <v>7</v>
      </c>
      <c r="BF172" s="91"/>
      <c r="BG172" s="91">
        <v>12</v>
      </c>
      <c r="BH172" s="91"/>
    </row>
    <row r="173" spans="1:60" x14ac:dyDescent="0.25">
      <c r="A173" s="91" t="s">
        <v>461</v>
      </c>
      <c r="B173" s="129">
        <f t="shared" si="10"/>
        <v>454</v>
      </c>
      <c r="C173" s="91">
        <f t="shared" si="11"/>
        <v>48</v>
      </c>
      <c r="D173" s="130">
        <f t="shared" si="12"/>
        <v>0.96</v>
      </c>
      <c r="E173" s="131">
        <v>46254</v>
      </c>
      <c r="F173" s="131">
        <v>46275</v>
      </c>
      <c r="G173" s="91">
        <f t="shared" si="13"/>
        <v>21</v>
      </c>
      <c r="H173" s="91">
        <v>9</v>
      </c>
      <c r="I173" s="91">
        <v>9</v>
      </c>
      <c r="J173" s="91">
        <v>9</v>
      </c>
      <c r="K173" s="91">
        <v>9</v>
      </c>
      <c r="L173" s="91">
        <v>9</v>
      </c>
      <c r="M173" s="91">
        <v>4</v>
      </c>
      <c r="N173" s="91">
        <v>9</v>
      </c>
      <c r="O173" s="91">
        <v>9</v>
      </c>
      <c r="P173" s="91">
        <v>9</v>
      </c>
      <c r="Q173" s="91">
        <v>9</v>
      </c>
      <c r="R173" s="91">
        <v>9</v>
      </c>
      <c r="S173" s="91">
        <v>9</v>
      </c>
      <c r="T173" s="91">
        <v>9</v>
      </c>
      <c r="U173" s="91">
        <v>9</v>
      </c>
      <c r="V173" s="91">
        <v>9</v>
      </c>
      <c r="W173" s="91">
        <v>9</v>
      </c>
      <c r="X173" s="91">
        <v>9</v>
      </c>
      <c r="Y173" s="91"/>
      <c r="Z173" s="91">
        <v>9</v>
      </c>
      <c r="AA173" s="91">
        <v>9</v>
      </c>
      <c r="AB173" s="91">
        <v>9</v>
      </c>
      <c r="AC173" s="91">
        <v>9</v>
      </c>
      <c r="AD173" s="91">
        <v>9</v>
      </c>
      <c r="AE173" s="91">
        <v>9</v>
      </c>
      <c r="AF173" s="91">
        <v>9</v>
      </c>
      <c r="AG173" s="91">
        <v>9</v>
      </c>
      <c r="AH173" s="91">
        <v>9</v>
      </c>
      <c r="AI173" s="91">
        <v>9</v>
      </c>
      <c r="AJ173" s="91">
        <v>9</v>
      </c>
      <c r="AK173" s="91">
        <v>9</v>
      </c>
      <c r="AL173" s="91">
        <v>9</v>
      </c>
      <c r="AM173" s="91">
        <v>9</v>
      </c>
      <c r="AN173" s="91">
        <v>9</v>
      </c>
      <c r="AO173" s="91">
        <v>9</v>
      </c>
      <c r="AP173" s="91">
        <v>9</v>
      </c>
      <c r="AQ173" s="91">
        <v>9</v>
      </c>
      <c r="AR173" s="91">
        <v>9</v>
      </c>
      <c r="AS173" s="91">
        <v>9</v>
      </c>
      <c r="AT173" s="91">
        <v>9</v>
      </c>
      <c r="AU173" s="91">
        <v>9</v>
      </c>
      <c r="AV173" s="91">
        <v>10</v>
      </c>
      <c r="AW173" s="91">
        <v>9</v>
      </c>
      <c r="AX173" s="91">
        <v>9</v>
      </c>
      <c r="AY173" s="91"/>
      <c r="AZ173" s="91">
        <v>9</v>
      </c>
      <c r="BA173" s="91">
        <v>9</v>
      </c>
      <c r="BB173" s="91">
        <v>10</v>
      </c>
      <c r="BC173" s="91">
        <v>10</v>
      </c>
      <c r="BD173" s="91">
        <v>12</v>
      </c>
      <c r="BE173" s="91">
        <v>9</v>
      </c>
      <c r="BF173" s="91">
        <v>6</v>
      </c>
      <c r="BG173" s="91">
        <v>15</v>
      </c>
      <c r="BH173" s="91"/>
    </row>
    <row r="174" spans="1:60" x14ac:dyDescent="0.25">
      <c r="A174" s="91" t="s">
        <v>333</v>
      </c>
      <c r="B174" s="129">
        <f t="shared" si="10"/>
        <v>454</v>
      </c>
      <c r="C174" s="91">
        <f t="shared" si="11"/>
        <v>45</v>
      </c>
      <c r="D174" s="130">
        <f t="shared" si="12"/>
        <v>0.9</v>
      </c>
      <c r="E174" s="131">
        <v>46258</v>
      </c>
      <c r="F174" s="131">
        <v>46295</v>
      </c>
      <c r="G174" s="91">
        <f t="shared" si="13"/>
        <v>37</v>
      </c>
      <c r="H174" s="91">
        <v>9</v>
      </c>
      <c r="I174" s="91">
        <v>9</v>
      </c>
      <c r="J174" s="91">
        <v>9</v>
      </c>
      <c r="K174" s="91">
        <v>9</v>
      </c>
      <c r="L174" s="91">
        <v>10</v>
      </c>
      <c r="M174" s="91"/>
      <c r="N174" s="91">
        <v>9</v>
      </c>
      <c r="O174" s="91">
        <v>10</v>
      </c>
      <c r="P174" s="91">
        <v>10</v>
      </c>
      <c r="Q174" s="91">
        <v>9</v>
      </c>
      <c r="R174" s="91">
        <v>10</v>
      </c>
      <c r="S174" s="91">
        <v>9</v>
      </c>
      <c r="T174" s="91">
        <v>9</v>
      </c>
      <c r="U174" s="91">
        <v>9</v>
      </c>
      <c r="V174" s="91">
        <v>9</v>
      </c>
      <c r="W174" s="91">
        <v>10</v>
      </c>
      <c r="X174" s="91">
        <v>10</v>
      </c>
      <c r="Y174" s="91"/>
      <c r="Z174" s="91">
        <v>10</v>
      </c>
      <c r="AA174" s="91">
        <v>9</v>
      </c>
      <c r="AB174" s="91">
        <v>9</v>
      </c>
      <c r="AC174" s="91">
        <v>9</v>
      </c>
      <c r="AD174" s="91">
        <v>10</v>
      </c>
      <c r="AE174" s="91">
        <v>10</v>
      </c>
      <c r="AF174" s="91">
        <v>9</v>
      </c>
      <c r="AG174" s="91">
        <v>10</v>
      </c>
      <c r="AH174" s="91">
        <v>9</v>
      </c>
      <c r="AI174" s="91">
        <v>9</v>
      </c>
      <c r="AJ174" s="91">
        <v>9</v>
      </c>
      <c r="AK174" s="91"/>
      <c r="AL174" s="91">
        <v>9</v>
      </c>
      <c r="AM174" s="91">
        <v>9</v>
      </c>
      <c r="AN174" s="91">
        <v>9</v>
      </c>
      <c r="AO174" s="91">
        <v>10</v>
      </c>
      <c r="AP174" s="91">
        <v>10</v>
      </c>
      <c r="AQ174" s="91">
        <v>10</v>
      </c>
      <c r="AR174" s="91">
        <v>10</v>
      </c>
      <c r="AS174" s="91">
        <v>9</v>
      </c>
      <c r="AT174" s="91">
        <v>9</v>
      </c>
      <c r="AU174" s="91">
        <v>10</v>
      </c>
      <c r="AV174" s="91">
        <v>9</v>
      </c>
      <c r="AW174" s="91">
        <v>8</v>
      </c>
      <c r="AX174" s="91">
        <v>8</v>
      </c>
      <c r="AY174" s="91"/>
      <c r="AZ174" s="91"/>
      <c r="BA174" s="91">
        <v>8</v>
      </c>
      <c r="BB174" s="91">
        <v>9</v>
      </c>
      <c r="BC174" s="91">
        <v>9</v>
      </c>
      <c r="BD174" s="91">
        <v>9</v>
      </c>
      <c r="BE174" s="91">
        <v>10</v>
      </c>
      <c r="BF174" s="91">
        <v>18</v>
      </c>
      <c r="BG174" s="91">
        <v>18</v>
      </c>
      <c r="BH174" s="91"/>
    </row>
    <row r="175" spans="1:60" x14ac:dyDescent="0.25">
      <c r="A175" s="91" t="s">
        <v>130</v>
      </c>
      <c r="B175" s="129">
        <f t="shared" si="10"/>
        <v>454</v>
      </c>
      <c r="C175" s="91">
        <f t="shared" si="11"/>
        <v>47</v>
      </c>
      <c r="D175" s="130">
        <f t="shared" si="12"/>
        <v>0.94</v>
      </c>
      <c r="E175" s="131">
        <v>46304</v>
      </c>
      <c r="F175" s="131">
        <v>46316</v>
      </c>
      <c r="G175" s="91">
        <f t="shared" si="13"/>
        <v>12</v>
      </c>
      <c r="H175" s="91">
        <v>9</v>
      </c>
      <c r="I175" s="91">
        <v>9</v>
      </c>
      <c r="J175" s="91">
        <v>9</v>
      </c>
      <c r="K175" s="91">
        <v>9</v>
      </c>
      <c r="L175" s="91">
        <v>9</v>
      </c>
      <c r="M175" s="91"/>
      <c r="N175" s="91">
        <v>9</v>
      </c>
      <c r="O175" s="91">
        <v>9</v>
      </c>
      <c r="P175" s="91">
        <v>9</v>
      </c>
      <c r="Q175" s="91">
        <v>9</v>
      </c>
      <c r="R175" s="91">
        <v>9</v>
      </c>
      <c r="S175" s="91">
        <v>9</v>
      </c>
      <c r="T175" s="91">
        <v>9</v>
      </c>
      <c r="U175" s="91">
        <v>9</v>
      </c>
      <c r="V175" s="91">
        <v>9</v>
      </c>
      <c r="W175" s="91">
        <v>9</v>
      </c>
      <c r="X175" s="91">
        <v>9</v>
      </c>
      <c r="Y175" s="91">
        <v>9</v>
      </c>
      <c r="Z175" s="91">
        <v>9</v>
      </c>
      <c r="AA175" s="91">
        <v>9</v>
      </c>
      <c r="AB175" s="91">
        <v>9</v>
      </c>
      <c r="AC175" s="91">
        <v>9</v>
      </c>
      <c r="AD175" s="91">
        <v>9</v>
      </c>
      <c r="AE175" s="91">
        <v>9</v>
      </c>
      <c r="AF175" s="91">
        <v>9</v>
      </c>
      <c r="AG175" s="91">
        <v>9</v>
      </c>
      <c r="AH175" s="91">
        <v>9</v>
      </c>
      <c r="AI175" s="91">
        <v>9</v>
      </c>
      <c r="AJ175" s="91">
        <v>9</v>
      </c>
      <c r="AK175" s="91">
        <v>9</v>
      </c>
      <c r="AL175" s="91">
        <v>9</v>
      </c>
      <c r="AM175" s="91">
        <v>9</v>
      </c>
      <c r="AN175" s="91">
        <v>9</v>
      </c>
      <c r="AO175" s="91">
        <v>9</v>
      </c>
      <c r="AP175" s="91">
        <v>9</v>
      </c>
      <c r="AQ175" s="91">
        <v>9</v>
      </c>
      <c r="AR175" s="91">
        <v>9</v>
      </c>
      <c r="AS175" s="91">
        <v>9</v>
      </c>
      <c r="AT175" s="91">
        <v>9</v>
      </c>
      <c r="AU175" s="91">
        <v>9</v>
      </c>
      <c r="AV175" s="91"/>
      <c r="AW175" s="91">
        <v>9</v>
      </c>
      <c r="AX175" s="91">
        <v>9</v>
      </c>
      <c r="AY175" s="91"/>
      <c r="AZ175" s="91">
        <v>9</v>
      </c>
      <c r="BA175" s="91">
        <v>9</v>
      </c>
      <c r="BB175" s="91">
        <v>9</v>
      </c>
      <c r="BC175" s="91">
        <v>9</v>
      </c>
      <c r="BD175" s="91">
        <v>9</v>
      </c>
      <c r="BE175" s="91">
        <v>9</v>
      </c>
      <c r="BF175" s="91">
        <v>14</v>
      </c>
      <c r="BG175" s="91">
        <v>17</v>
      </c>
      <c r="BH175" s="91"/>
    </row>
    <row r="176" spans="1:60" x14ac:dyDescent="0.25">
      <c r="A176" s="91" t="s">
        <v>416</v>
      </c>
      <c r="B176" s="129">
        <f t="shared" si="10"/>
        <v>452</v>
      </c>
      <c r="C176" s="91">
        <f t="shared" si="11"/>
        <v>48</v>
      </c>
      <c r="D176" s="130">
        <f t="shared" si="12"/>
        <v>0.96</v>
      </c>
      <c r="E176" s="131">
        <v>46252</v>
      </c>
      <c r="F176" s="131">
        <v>46318</v>
      </c>
      <c r="G176" s="91">
        <f t="shared" si="13"/>
        <v>66</v>
      </c>
      <c r="H176" s="91">
        <v>9</v>
      </c>
      <c r="I176" s="91">
        <v>9</v>
      </c>
      <c r="J176" s="91">
        <v>9</v>
      </c>
      <c r="K176" s="91">
        <v>9</v>
      </c>
      <c r="L176" s="91">
        <v>9</v>
      </c>
      <c r="M176" s="91"/>
      <c r="N176" s="91">
        <v>9</v>
      </c>
      <c r="O176" s="91">
        <v>9</v>
      </c>
      <c r="P176" s="91">
        <v>9</v>
      </c>
      <c r="Q176" s="91">
        <v>9</v>
      </c>
      <c r="R176" s="91">
        <v>9</v>
      </c>
      <c r="S176" s="91">
        <v>9</v>
      </c>
      <c r="T176" s="91">
        <v>9</v>
      </c>
      <c r="U176" s="91">
        <v>9</v>
      </c>
      <c r="V176" s="91">
        <v>9</v>
      </c>
      <c r="W176" s="91">
        <v>9</v>
      </c>
      <c r="X176" s="91">
        <v>9</v>
      </c>
      <c r="Y176" s="91">
        <v>1</v>
      </c>
      <c r="Z176" s="91">
        <v>9</v>
      </c>
      <c r="AA176" s="91">
        <v>9</v>
      </c>
      <c r="AB176" s="91">
        <v>9</v>
      </c>
      <c r="AC176" s="91">
        <v>9</v>
      </c>
      <c r="AD176" s="91">
        <v>9</v>
      </c>
      <c r="AE176" s="91">
        <v>9</v>
      </c>
      <c r="AF176" s="91">
        <v>9</v>
      </c>
      <c r="AG176" s="91">
        <v>9</v>
      </c>
      <c r="AH176" s="91">
        <v>9</v>
      </c>
      <c r="AI176" s="91">
        <v>9</v>
      </c>
      <c r="AJ176" s="91">
        <v>9</v>
      </c>
      <c r="AK176" s="91">
        <v>9</v>
      </c>
      <c r="AL176" s="91">
        <v>9</v>
      </c>
      <c r="AM176" s="91">
        <v>9</v>
      </c>
      <c r="AN176" s="91">
        <v>9</v>
      </c>
      <c r="AO176" s="91">
        <v>9</v>
      </c>
      <c r="AP176" s="91">
        <v>9</v>
      </c>
      <c r="AQ176" s="91">
        <v>9</v>
      </c>
      <c r="AR176" s="91">
        <v>9</v>
      </c>
      <c r="AS176" s="91">
        <v>9</v>
      </c>
      <c r="AT176" s="91">
        <v>9</v>
      </c>
      <c r="AU176" s="91">
        <v>9</v>
      </c>
      <c r="AV176" s="91">
        <v>9</v>
      </c>
      <c r="AW176" s="91">
        <v>9</v>
      </c>
      <c r="AX176" s="91">
        <v>9</v>
      </c>
      <c r="AY176" s="91"/>
      <c r="AZ176" s="91">
        <v>9</v>
      </c>
      <c r="BA176" s="91">
        <v>9</v>
      </c>
      <c r="BB176" s="91">
        <v>9</v>
      </c>
      <c r="BC176" s="91">
        <v>9</v>
      </c>
      <c r="BD176" s="91">
        <v>9</v>
      </c>
      <c r="BE176" s="91">
        <v>9</v>
      </c>
      <c r="BF176" s="91">
        <v>14</v>
      </c>
      <c r="BG176" s="91">
        <v>14</v>
      </c>
      <c r="BH176" s="91"/>
    </row>
    <row r="177" spans="1:60" x14ac:dyDescent="0.25">
      <c r="A177" s="91" t="s">
        <v>187</v>
      </c>
      <c r="B177" s="129">
        <f t="shared" si="10"/>
        <v>450</v>
      </c>
      <c r="C177" s="91">
        <f t="shared" si="11"/>
        <v>47</v>
      </c>
      <c r="D177" s="130">
        <f t="shared" si="12"/>
        <v>0.94</v>
      </c>
      <c r="E177" s="131">
        <v>46219</v>
      </c>
      <c r="F177" s="131">
        <v>46275</v>
      </c>
      <c r="G177" s="91">
        <f t="shared" si="13"/>
        <v>56</v>
      </c>
      <c r="H177" s="91">
        <v>10</v>
      </c>
      <c r="I177" s="91">
        <v>10</v>
      </c>
      <c r="J177" s="91">
        <v>8</v>
      </c>
      <c r="K177" s="91">
        <v>8</v>
      </c>
      <c r="L177" s="91">
        <v>8</v>
      </c>
      <c r="M177" s="91"/>
      <c r="N177" s="91">
        <v>10</v>
      </c>
      <c r="O177" s="91">
        <v>10</v>
      </c>
      <c r="P177" s="91">
        <v>10</v>
      </c>
      <c r="Q177" s="91">
        <v>10</v>
      </c>
      <c r="R177" s="91">
        <v>10</v>
      </c>
      <c r="S177" s="91">
        <v>8</v>
      </c>
      <c r="T177" s="91">
        <v>10</v>
      </c>
      <c r="U177" s="91">
        <v>10</v>
      </c>
      <c r="V177" s="91">
        <v>8</v>
      </c>
      <c r="W177" s="91">
        <v>8</v>
      </c>
      <c r="X177" s="91">
        <v>10</v>
      </c>
      <c r="Y177" s="91"/>
      <c r="Z177" s="91">
        <v>10</v>
      </c>
      <c r="AA177" s="91">
        <v>10</v>
      </c>
      <c r="AB177" s="91">
        <v>10</v>
      </c>
      <c r="AC177" s="91">
        <v>8</v>
      </c>
      <c r="AD177" s="91">
        <v>10</v>
      </c>
      <c r="AE177" s="91">
        <v>10</v>
      </c>
      <c r="AF177" s="91">
        <v>8</v>
      </c>
      <c r="AG177" s="91">
        <v>8</v>
      </c>
      <c r="AH177" s="91">
        <v>8</v>
      </c>
      <c r="AI177" s="91">
        <v>8</v>
      </c>
      <c r="AJ177" s="91">
        <v>10</v>
      </c>
      <c r="AK177" s="91">
        <v>10</v>
      </c>
      <c r="AL177" s="91">
        <v>8</v>
      </c>
      <c r="AM177" s="91">
        <v>8</v>
      </c>
      <c r="AN177" s="91">
        <v>8</v>
      </c>
      <c r="AO177" s="91">
        <v>8</v>
      </c>
      <c r="AP177" s="91">
        <v>10</v>
      </c>
      <c r="AQ177" s="91">
        <v>8</v>
      </c>
      <c r="AR177" s="91">
        <v>10</v>
      </c>
      <c r="AS177" s="91">
        <v>8</v>
      </c>
      <c r="AT177" s="91">
        <v>10</v>
      </c>
      <c r="AU177" s="91">
        <v>10</v>
      </c>
      <c r="AV177" s="91">
        <v>8</v>
      </c>
      <c r="AW177" s="91">
        <v>10</v>
      </c>
      <c r="AX177" s="91">
        <v>10</v>
      </c>
      <c r="AY177" s="91"/>
      <c r="AZ177" s="91">
        <v>10</v>
      </c>
      <c r="BA177" s="91">
        <v>8</v>
      </c>
      <c r="BB177" s="91">
        <v>8</v>
      </c>
      <c r="BC177" s="91">
        <v>8</v>
      </c>
      <c r="BD177" s="91">
        <v>8</v>
      </c>
      <c r="BE177" s="91">
        <v>10</v>
      </c>
      <c r="BF177" s="91">
        <v>14</v>
      </c>
      <c r="BG177" s="91">
        <v>10</v>
      </c>
      <c r="BH177" s="91"/>
    </row>
    <row r="178" spans="1:60" x14ac:dyDescent="0.25">
      <c r="A178" s="91" t="s">
        <v>365</v>
      </c>
      <c r="B178" s="129">
        <f t="shared" si="10"/>
        <v>450</v>
      </c>
      <c r="C178" s="91">
        <f t="shared" si="11"/>
        <v>46</v>
      </c>
      <c r="D178" s="130">
        <f t="shared" si="12"/>
        <v>0.92</v>
      </c>
      <c r="E178" s="131">
        <v>46266</v>
      </c>
      <c r="F178" s="131">
        <v>46282</v>
      </c>
      <c r="G178" s="91">
        <f t="shared" si="13"/>
        <v>16</v>
      </c>
      <c r="H178" s="91">
        <v>9</v>
      </c>
      <c r="I178" s="91">
        <v>9</v>
      </c>
      <c r="J178" s="91">
        <v>9</v>
      </c>
      <c r="K178" s="91">
        <v>9</v>
      </c>
      <c r="L178" s="91">
        <v>9</v>
      </c>
      <c r="M178" s="91"/>
      <c r="N178" s="91">
        <v>9</v>
      </c>
      <c r="O178" s="91">
        <v>9</v>
      </c>
      <c r="P178" s="91">
        <v>9</v>
      </c>
      <c r="Q178" s="91">
        <v>9</v>
      </c>
      <c r="R178" s="91">
        <v>9</v>
      </c>
      <c r="S178" s="91">
        <v>9</v>
      </c>
      <c r="T178" s="91">
        <v>9</v>
      </c>
      <c r="U178" s="91">
        <v>9</v>
      </c>
      <c r="V178" s="91">
        <v>9</v>
      </c>
      <c r="W178" s="91">
        <v>9</v>
      </c>
      <c r="X178" s="91">
        <v>9</v>
      </c>
      <c r="Y178" s="91"/>
      <c r="Z178" s="91">
        <v>9</v>
      </c>
      <c r="AA178" s="91">
        <v>9</v>
      </c>
      <c r="AB178" s="91">
        <v>9</v>
      </c>
      <c r="AC178" s="91">
        <v>9</v>
      </c>
      <c r="AD178" s="91">
        <v>9</v>
      </c>
      <c r="AE178" s="91">
        <v>9</v>
      </c>
      <c r="AF178" s="91">
        <v>9</v>
      </c>
      <c r="AG178" s="91">
        <v>9</v>
      </c>
      <c r="AH178" s="91">
        <v>9</v>
      </c>
      <c r="AI178" s="91">
        <v>9</v>
      </c>
      <c r="AJ178" s="91">
        <v>9</v>
      </c>
      <c r="AK178" s="91">
        <v>9</v>
      </c>
      <c r="AL178" s="91">
        <v>9</v>
      </c>
      <c r="AM178" s="91">
        <v>9</v>
      </c>
      <c r="AN178" s="91">
        <v>9</v>
      </c>
      <c r="AO178" s="91">
        <v>9</v>
      </c>
      <c r="AP178" s="91">
        <v>9</v>
      </c>
      <c r="AQ178" s="91">
        <v>9</v>
      </c>
      <c r="AR178" s="91">
        <v>9</v>
      </c>
      <c r="AS178" s="91">
        <v>9</v>
      </c>
      <c r="AT178" s="91">
        <v>9</v>
      </c>
      <c r="AU178" s="91">
        <v>9</v>
      </c>
      <c r="AV178" s="91"/>
      <c r="AW178" s="91">
        <v>9</v>
      </c>
      <c r="AX178" s="91">
        <v>9</v>
      </c>
      <c r="AY178" s="91"/>
      <c r="AZ178" s="91">
        <v>9</v>
      </c>
      <c r="BA178" s="91">
        <v>9</v>
      </c>
      <c r="BB178" s="91">
        <v>9</v>
      </c>
      <c r="BC178" s="91">
        <v>9</v>
      </c>
      <c r="BD178" s="91">
        <v>9</v>
      </c>
      <c r="BE178" s="91">
        <v>9</v>
      </c>
      <c r="BF178" s="91">
        <v>18</v>
      </c>
      <c r="BG178" s="91">
        <v>18</v>
      </c>
      <c r="BH178" s="91"/>
    </row>
    <row r="179" spans="1:60" x14ac:dyDescent="0.25">
      <c r="A179" s="91" t="s">
        <v>358</v>
      </c>
      <c r="B179" s="129">
        <f t="shared" si="10"/>
        <v>449</v>
      </c>
      <c r="C179" s="91">
        <f t="shared" si="11"/>
        <v>47</v>
      </c>
      <c r="D179" s="130">
        <f t="shared" si="12"/>
        <v>0.94</v>
      </c>
      <c r="E179" s="131">
        <v>46213</v>
      </c>
      <c r="F179" s="131">
        <v>46310</v>
      </c>
      <c r="G179" s="91">
        <f t="shared" si="13"/>
        <v>97</v>
      </c>
      <c r="H179" s="91">
        <v>9</v>
      </c>
      <c r="I179" s="91">
        <v>9</v>
      </c>
      <c r="J179" s="91">
        <v>9</v>
      </c>
      <c r="K179" s="91">
        <v>9</v>
      </c>
      <c r="L179" s="91">
        <v>9</v>
      </c>
      <c r="M179" s="91"/>
      <c r="N179" s="91">
        <v>9</v>
      </c>
      <c r="O179" s="91">
        <v>9</v>
      </c>
      <c r="P179" s="91">
        <v>9</v>
      </c>
      <c r="Q179" s="91">
        <v>9</v>
      </c>
      <c r="R179" s="91">
        <v>9</v>
      </c>
      <c r="S179" s="91">
        <v>9</v>
      </c>
      <c r="T179" s="91">
        <v>9</v>
      </c>
      <c r="U179" s="91">
        <v>9</v>
      </c>
      <c r="V179" s="91">
        <v>9</v>
      </c>
      <c r="W179" s="91">
        <v>10</v>
      </c>
      <c r="X179" s="91">
        <v>9</v>
      </c>
      <c r="Y179" s="91">
        <v>1</v>
      </c>
      <c r="Z179" s="91">
        <v>9</v>
      </c>
      <c r="AA179" s="91">
        <v>9</v>
      </c>
      <c r="AB179" s="91">
        <v>9</v>
      </c>
      <c r="AC179" s="91">
        <v>9</v>
      </c>
      <c r="AD179" s="91">
        <v>9</v>
      </c>
      <c r="AE179" s="91">
        <v>9</v>
      </c>
      <c r="AF179" s="91">
        <v>9</v>
      </c>
      <c r="AG179" s="91">
        <v>9</v>
      </c>
      <c r="AH179" s="91">
        <v>9</v>
      </c>
      <c r="AI179" s="91">
        <v>9</v>
      </c>
      <c r="AJ179" s="91">
        <v>9</v>
      </c>
      <c r="AK179" s="91">
        <v>9</v>
      </c>
      <c r="AL179" s="91">
        <v>9</v>
      </c>
      <c r="AM179" s="91">
        <v>9</v>
      </c>
      <c r="AN179" s="91">
        <v>9</v>
      </c>
      <c r="AO179" s="91">
        <v>9</v>
      </c>
      <c r="AP179" s="91">
        <v>9</v>
      </c>
      <c r="AQ179" s="91">
        <v>9</v>
      </c>
      <c r="AR179" s="91">
        <v>9</v>
      </c>
      <c r="AS179" s="91">
        <v>9</v>
      </c>
      <c r="AT179" s="91">
        <v>9</v>
      </c>
      <c r="AU179" s="91">
        <v>9</v>
      </c>
      <c r="AV179" s="91"/>
      <c r="AW179" s="91">
        <v>9</v>
      </c>
      <c r="AX179" s="91">
        <v>9</v>
      </c>
      <c r="AY179" s="91"/>
      <c r="AZ179" s="91">
        <v>9</v>
      </c>
      <c r="BA179" s="91">
        <v>9</v>
      </c>
      <c r="BB179" s="91">
        <v>9</v>
      </c>
      <c r="BC179" s="91">
        <v>9</v>
      </c>
      <c r="BD179" s="91">
        <v>15</v>
      </c>
      <c r="BE179" s="91">
        <v>9</v>
      </c>
      <c r="BF179" s="91">
        <v>15</v>
      </c>
      <c r="BG179" s="91">
        <v>12</v>
      </c>
      <c r="BH179" s="91"/>
    </row>
    <row r="180" spans="1:60" x14ac:dyDescent="0.25">
      <c r="A180" s="91" t="s">
        <v>274</v>
      </c>
      <c r="B180" s="129">
        <f t="shared" si="10"/>
        <v>449</v>
      </c>
      <c r="C180" s="91">
        <f t="shared" si="11"/>
        <v>48</v>
      </c>
      <c r="D180" s="130">
        <f t="shared" si="12"/>
        <v>0.96</v>
      </c>
      <c r="E180" s="131">
        <v>46262</v>
      </c>
      <c r="F180" s="131">
        <v>46310</v>
      </c>
      <c r="G180" s="91">
        <f t="shared" si="13"/>
        <v>48</v>
      </c>
      <c r="H180" s="91">
        <v>10</v>
      </c>
      <c r="I180" s="91">
        <v>10</v>
      </c>
      <c r="J180" s="91">
        <v>10</v>
      </c>
      <c r="K180" s="91">
        <v>10</v>
      </c>
      <c r="L180" s="91">
        <v>10</v>
      </c>
      <c r="M180" s="91"/>
      <c r="N180" s="91">
        <v>10</v>
      </c>
      <c r="O180" s="91">
        <v>10</v>
      </c>
      <c r="P180" s="91">
        <v>10</v>
      </c>
      <c r="Q180" s="91">
        <v>8</v>
      </c>
      <c r="R180" s="91">
        <v>10</v>
      </c>
      <c r="S180" s="91">
        <v>10</v>
      </c>
      <c r="T180" s="91">
        <v>10</v>
      </c>
      <c r="U180" s="91">
        <v>8</v>
      </c>
      <c r="V180" s="91">
        <v>10</v>
      </c>
      <c r="W180" s="91">
        <v>8</v>
      </c>
      <c r="X180" s="91">
        <v>10</v>
      </c>
      <c r="Y180" s="91">
        <v>1</v>
      </c>
      <c r="Z180" s="91">
        <v>8</v>
      </c>
      <c r="AA180" s="91">
        <v>8</v>
      </c>
      <c r="AB180" s="91">
        <v>10</v>
      </c>
      <c r="AC180" s="91">
        <v>10</v>
      </c>
      <c r="AD180" s="91">
        <v>10</v>
      </c>
      <c r="AE180" s="91">
        <v>8</v>
      </c>
      <c r="AF180" s="91">
        <v>8</v>
      </c>
      <c r="AG180" s="91">
        <v>10</v>
      </c>
      <c r="AH180" s="91">
        <v>8</v>
      </c>
      <c r="AI180" s="91">
        <v>8</v>
      </c>
      <c r="AJ180" s="91">
        <v>10</v>
      </c>
      <c r="AK180" s="91">
        <v>8</v>
      </c>
      <c r="AL180" s="91">
        <v>10</v>
      </c>
      <c r="AM180" s="91">
        <v>10</v>
      </c>
      <c r="AN180" s="91">
        <v>8</v>
      </c>
      <c r="AO180" s="91">
        <v>10</v>
      </c>
      <c r="AP180" s="91">
        <v>9</v>
      </c>
      <c r="AQ180" s="91">
        <v>10</v>
      </c>
      <c r="AR180" s="91">
        <v>8</v>
      </c>
      <c r="AS180" s="91">
        <v>10</v>
      </c>
      <c r="AT180" s="91">
        <v>8</v>
      </c>
      <c r="AU180" s="91">
        <v>10</v>
      </c>
      <c r="AV180" s="91">
        <v>8</v>
      </c>
      <c r="AW180" s="91">
        <v>10</v>
      </c>
      <c r="AX180" s="91">
        <v>8</v>
      </c>
      <c r="AY180" s="91"/>
      <c r="AZ180" s="91">
        <v>8</v>
      </c>
      <c r="BA180" s="91">
        <v>8</v>
      </c>
      <c r="BB180" s="91">
        <v>8</v>
      </c>
      <c r="BC180" s="91">
        <v>10</v>
      </c>
      <c r="BD180" s="91">
        <v>10</v>
      </c>
      <c r="BE180" s="91">
        <v>10</v>
      </c>
      <c r="BF180" s="91">
        <v>2</v>
      </c>
      <c r="BG180" s="91">
        <v>13</v>
      </c>
      <c r="BH180" s="91"/>
    </row>
    <row r="181" spans="1:60" x14ac:dyDescent="0.25">
      <c r="A181" s="91" t="s">
        <v>137</v>
      </c>
      <c r="B181" s="129">
        <f t="shared" si="10"/>
        <v>448</v>
      </c>
      <c r="C181" s="91">
        <f t="shared" si="11"/>
        <v>47</v>
      </c>
      <c r="D181" s="130">
        <f t="shared" si="12"/>
        <v>0.94</v>
      </c>
      <c r="E181" s="131">
        <v>46219</v>
      </c>
      <c r="F181" s="131">
        <v>46280</v>
      </c>
      <c r="G181" s="91">
        <f t="shared" si="13"/>
        <v>61</v>
      </c>
      <c r="H181" s="91">
        <v>8</v>
      </c>
      <c r="I181" s="91">
        <v>8</v>
      </c>
      <c r="J181" s="91">
        <v>8</v>
      </c>
      <c r="K181" s="91">
        <v>8</v>
      </c>
      <c r="L181" s="91">
        <v>8</v>
      </c>
      <c r="M181" s="91"/>
      <c r="N181" s="91">
        <v>8</v>
      </c>
      <c r="O181" s="91">
        <v>8</v>
      </c>
      <c r="P181" s="91">
        <v>8</v>
      </c>
      <c r="Q181" s="91">
        <v>8</v>
      </c>
      <c r="R181" s="91">
        <v>20</v>
      </c>
      <c r="S181" s="91">
        <v>8</v>
      </c>
      <c r="T181" s="91">
        <v>8</v>
      </c>
      <c r="U181" s="91">
        <v>8</v>
      </c>
      <c r="V181" s="91">
        <v>8</v>
      </c>
      <c r="W181" s="91">
        <v>8</v>
      </c>
      <c r="X181" s="91">
        <v>8</v>
      </c>
      <c r="Y181" s="91"/>
      <c r="Z181" s="91">
        <v>8</v>
      </c>
      <c r="AA181" s="91">
        <v>8</v>
      </c>
      <c r="AB181" s="91">
        <v>8</v>
      </c>
      <c r="AC181" s="91">
        <v>8</v>
      </c>
      <c r="AD181" s="91">
        <v>8</v>
      </c>
      <c r="AE181" s="91">
        <v>8</v>
      </c>
      <c r="AF181" s="91">
        <v>8</v>
      </c>
      <c r="AG181" s="91">
        <v>20</v>
      </c>
      <c r="AH181" s="91">
        <v>8</v>
      </c>
      <c r="AI181" s="91">
        <v>8</v>
      </c>
      <c r="AJ181" s="91">
        <v>20</v>
      </c>
      <c r="AK181" s="91">
        <v>8</v>
      </c>
      <c r="AL181" s="91">
        <v>8</v>
      </c>
      <c r="AM181" s="91">
        <v>8</v>
      </c>
      <c r="AN181" s="91">
        <v>8</v>
      </c>
      <c r="AO181" s="91">
        <v>16</v>
      </c>
      <c r="AP181" s="91">
        <v>20</v>
      </c>
      <c r="AQ181" s="91">
        <v>8</v>
      </c>
      <c r="AR181" s="91">
        <v>8</v>
      </c>
      <c r="AS181" s="91">
        <v>16</v>
      </c>
      <c r="AT181" s="91">
        <v>8</v>
      </c>
      <c r="AU181" s="91">
        <v>16</v>
      </c>
      <c r="AV181" s="91">
        <v>8</v>
      </c>
      <c r="AW181" s="91">
        <v>8</v>
      </c>
      <c r="AX181" s="91">
        <v>8</v>
      </c>
      <c r="AY181" s="91"/>
      <c r="AZ181" s="91">
        <v>8</v>
      </c>
      <c r="BA181" s="91">
        <v>8</v>
      </c>
      <c r="BB181" s="91">
        <v>8</v>
      </c>
      <c r="BC181" s="91">
        <v>8</v>
      </c>
      <c r="BD181" s="91">
        <v>8</v>
      </c>
      <c r="BE181" s="91">
        <v>8</v>
      </c>
      <c r="BF181" s="91"/>
      <c r="BG181" s="91"/>
      <c r="BH181" s="91"/>
    </row>
    <row r="182" spans="1:60" x14ac:dyDescent="0.25">
      <c r="A182" s="91" t="s">
        <v>388</v>
      </c>
      <c r="B182" s="129">
        <f t="shared" si="10"/>
        <v>448</v>
      </c>
      <c r="C182" s="91">
        <f t="shared" si="11"/>
        <v>48</v>
      </c>
      <c r="D182" s="130">
        <f t="shared" si="12"/>
        <v>0.96</v>
      </c>
      <c r="E182" s="131">
        <v>46225</v>
      </c>
      <c r="F182" s="131">
        <v>46266</v>
      </c>
      <c r="G182" s="91">
        <f t="shared" si="13"/>
        <v>41</v>
      </c>
      <c r="H182" s="91">
        <v>9</v>
      </c>
      <c r="I182" s="91">
        <v>9</v>
      </c>
      <c r="J182" s="91">
        <v>9</v>
      </c>
      <c r="K182" s="91">
        <v>9</v>
      </c>
      <c r="L182" s="91">
        <v>9</v>
      </c>
      <c r="M182" s="91"/>
      <c r="N182" s="91">
        <v>9</v>
      </c>
      <c r="O182" s="91">
        <v>9</v>
      </c>
      <c r="P182" s="91">
        <v>9</v>
      </c>
      <c r="Q182" s="91">
        <v>9</v>
      </c>
      <c r="R182" s="91">
        <v>9</v>
      </c>
      <c r="S182" s="91">
        <v>9</v>
      </c>
      <c r="T182" s="91">
        <v>9</v>
      </c>
      <c r="U182" s="91">
        <v>9</v>
      </c>
      <c r="V182" s="91">
        <v>9</v>
      </c>
      <c r="W182" s="91">
        <v>9</v>
      </c>
      <c r="X182" s="91">
        <v>9</v>
      </c>
      <c r="Y182" s="91">
        <v>11</v>
      </c>
      <c r="Z182" s="91">
        <v>9</v>
      </c>
      <c r="AA182" s="91">
        <v>9</v>
      </c>
      <c r="AB182" s="91">
        <v>9</v>
      </c>
      <c r="AC182" s="91">
        <v>9</v>
      </c>
      <c r="AD182" s="91">
        <v>9</v>
      </c>
      <c r="AE182" s="91">
        <v>9</v>
      </c>
      <c r="AF182" s="91">
        <v>9</v>
      </c>
      <c r="AG182" s="91">
        <v>9</v>
      </c>
      <c r="AH182" s="91">
        <v>9</v>
      </c>
      <c r="AI182" s="91">
        <v>9</v>
      </c>
      <c r="AJ182" s="91">
        <v>9</v>
      </c>
      <c r="AK182" s="91">
        <v>9</v>
      </c>
      <c r="AL182" s="91">
        <v>9</v>
      </c>
      <c r="AM182" s="91">
        <v>9</v>
      </c>
      <c r="AN182" s="91">
        <v>9</v>
      </c>
      <c r="AO182" s="91">
        <v>9</v>
      </c>
      <c r="AP182" s="91">
        <v>9</v>
      </c>
      <c r="AQ182" s="91">
        <v>9</v>
      </c>
      <c r="AR182" s="91">
        <v>9</v>
      </c>
      <c r="AS182" s="91">
        <v>9</v>
      </c>
      <c r="AT182" s="91">
        <v>10</v>
      </c>
      <c r="AU182" s="91">
        <v>9</v>
      </c>
      <c r="AV182" s="91">
        <v>9</v>
      </c>
      <c r="AW182" s="91">
        <v>9</v>
      </c>
      <c r="AX182" s="91">
        <v>9</v>
      </c>
      <c r="AY182" s="91"/>
      <c r="AZ182" s="91">
        <v>9</v>
      </c>
      <c r="BA182" s="91">
        <v>9</v>
      </c>
      <c r="BB182" s="91">
        <v>9</v>
      </c>
      <c r="BC182" s="91">
        <v>9</v>
      </c>
      <c r="BD182" s="91">
        <v>9</v>
      </c>
      <c r="BE182" s="91">
        <v>9</v>
      </c>
      <c r="BF182" s="91">
        <v>1</v>
      </c>
      <c r="BG182" s="91">
        <v>12</v>
      </c>
      <c r="BH182" s="91"/>
    </row>
    <row r="183" spans="1:60" x14ac:dyDescent="0.25">
      <c r="A183" s="91" t="s">
        <v>415</v>
      </c>
      <c r="B183" s="129">
        <f t="shared" si="10"/>
        <v>448</v>
      </c>
      <c r="C183" s="91">
        <f t="shared" si="11"/>
        <v>48</v>
      </c>
      <c r="D183" s="130">
        <f t="shared" si="12"/>
        <v>0.96</v>
      </c>
      <c r="E183" s="131">
        <v>46262</v>
      </c>
      <c r="F183" s="131">
        <v>46302</v>
      </c>
      <c r="G183" s="91">
        <f t="shared" si="13"/>
        <v>40</v>
      </c>
      <c r="H183" s="91">
        <v>10</v>
      </c>
      <c r="I183" s="91">
        <v>10</v>
      </c>
      <c r="J183" s="91">
        <v>10</v>
      </c>
      <c r="K183" s="91">
        <v>10</v>
      </c>
      <c r="L183" s="91">
        <v>10</v>
      </c>
      <c r="M183" s="91"/>
      <c r="N183" s="91">
        <v>10</v>
      </c>
      <c r="O183" s="91">
        <v>10</v>
      </c>
      <c r="P183" s="91">
        <v>10</v>
      </c>
      <c r="Q183" s="91">
        <v>8</v>
      </c>
      <c r="R183" s="91">
        <v>10</v>
      </c>
      <c r="S183" s="91">
        <v>10</v>
      </c>
      <c r="T183" s="91">
        <v>10</v>
      </c>
      <c r="U183" s="91">
        <v>8</v>
      </c>
      <c r="V183" s="91">
        <v>10</v>
      </c>
      <c r="W183" s="91">
        <v>8</v>
      </c>
      <c r="X183" s="91">
        <v>10</v>
      </c>
      <c r="Y183" s="91">
        <v>1</v>
      </c>
      <c r="Z183" s="91">
        <v>8</v>
      </c>
      <c r="AA183" s="91">
        <v>8</v>
      </c>
      <c r="AB183" s="91">
        <v>10</v>
      </c>
      <c r="AC183" s="91">
        <v>10</v>
      </c>
      <c r="AD183" s="91">
        <v>10</v>
      </c>
      <c r="AE183" s="91">
        <v>8</v>
      </c>
      <c r="AF183" s="91">
        <v>8</v>
      </c>
      <c r="AG183" s="91">
        <v>10</v>
      </c>
      <c r="AH183" s="91">
        <v>8</v>
      </c>
      <c r="AI183" s="91">
        <v>8</v>
      </c>
      <c r="AJ183" s="91">
        <v>10</v>
      </c>
      <c r="AK183" s="91">
        <v>8</v>
      </c>
      <c r="AL183" s="91">
        <v>10</v>
      </c>
      <c r="AM183" s="91">
        <v>10</v>
      </c>
      <c r="AN183" s="91">
        <v>10</v>
      </c>
      <c r="AO183" s="91">
        <v>10</v>
      </c>
      <c r="AP183" s="91">
        <v>10</v>
      </c>
      <c r="AQ183" s="91">
        <v>10</v>
      </c>
      <c r="AR183" s="91">
        <v>8</v>
      </c>
      <c r="AS183" s="91">
        <v>10</v>
      </c>
      <c r="AT183" s="91">
        <v>8</v>
      </c>
      <c r="AU183" s="91">
        <v>10</v>
      </c>
      <c r="AV183" s="91">
        <v>7</v>
      </c>
      <c r="AW183" s="91">
        <v>10</v>
      </c>
      <c r="AX183" s="91">
        <v>8</v>
      </c>
      <c r="AY183" s="91"/>
      <c r="AZ183" s="91">
        <v>8</v>
      </c>
      <c r="BA183" s="91">
        <v>8</v>
      </c>
      <c r="BB183" s="91">
        <v>7</v>
      </c>
      <c r="BC183" s="91">
        <v>10</v>
      </c>
      <c r="BD183" s="91">
        <v>10</v>
      </c>
      <c r="BE183" s="91">
        <v>10</v>
      </c>
      <c r="BF183" s="91">
        <v>1</v>
      </c>
      <c r="BG183" s="91">
        <v>12</v>
      </c>
      <c r="BH183" s="91"/>
    </row>
    <row r="184" spans="1:60" x14ac:dyDescent="0.25">
      <c r="A184" s="91" t="s">
        <v>154</v>
      </c>
      <c r="B184" s="129">
        <f t="shared" si="10"/>
        <v>448</v>
      </c>
      <c r="C184" s="91">
        <f t="shared" si="11"/>
        <v>48</v>
      </c>
      <c r="D184" s="130">
        <f t="shared" si="12"/>
        <v>0.96</v>
      </c>
      <c r="E184" s="131">
        <v>46304</v>
      </c>
      <c r="F184" s="131">
        <v>46315</v>
      </c>
      <c r="G184" s="91">
        <f t="shared" si="13"/>
        <v>11</v>
      </c>
      <c r="H184" s="91">
        <v>9</v>
      </c>
      <c r="I184" s="91">
        <v>9</v>
      </c>
      <c r="J184" s="91">
        <v>9</v>
      </c>
      <c r="K184" s="91">
        <v>9</v>
      </c>
      <c r="L184" s="91">
        <v>9</v>
      </c>
      <c r="M184" s="91"/>
      <c r="N184" s="91">
        <v>9</v>
      </c>
      <c r="O184" s="91">
        <v>9</v>
      </c>
      <c r="P184" s="91">
        <v>9</v>
      </c>
      <c r="Q184" s="91">
        <v>9</v>
      </c>
      <c r="R184" s="91">
        <v>9</v>
      </c>
      <c r="S184" s="91">
        <v>9</v>
      </c>
      <c r="T184" s="91">
        <v>9</v>
      </c>
      <c r="U184" s="91">
        <v>9</v>
      </c>
      <c r="V184" s="91">
        <v>9</v>
      </c>
      <c r="W184" s="91">
        <v>9</v>
      </c>
      <c r="X184" s="91">
        <v>9</v>
      </c>
      <c r="Y184" s="91">
        <v>9</v>
      </c>
      <c r="Z184" s="91">
        <v>9</v>
      </c>
      <c r="AA184" s="91">
        <v>9</v>
      </c>
      <c r="AB184" s="91">
        <v>9</v>
      </c>
      <c r="AC184" s="91">
        <v>9</v>
      </c>
      <c r="AD184" s="91">
        <v>9</v>
      </c>
      <c r="AE184" s="91">
        <v>9</v>
      </c>
      <c r="AF184" s="91">
        <v>9</v>
      </c>
      <c r="AG184" s="91">
        <v>9</v>
      </c>
      <c r="AH184" s="91">
        <v>9</v>
      </c>
      <c r="AI184" s="91">
        <v>9</v>
      </c>
      <c r="AJ184" s="91">
        <v>9</v>
      </c>
      <c r="AK184" s="91">
        <v>9</v>
      </c>
      <c r="AL184" s="91">
        <v>9</v>
      </c>
      <c r="AM184" s="91">
        <v>9</v>
      </c>
      <c r="AN184" s="91">
        <v>9</v>
      </c>
      <c r="AO184" s="91">
        <v>9</v>
      </c>
      <c r="AP184" s="91">
        <v>9</v>
      </c>
      <c r="AQ184" s="91">
        <v>9</v>
      </c>
      <c r="AR184" s="91">
        <v>9</v>
      </c>
      <c r="AS184" s="91">
        <v>9</v>
      </c>
      <c r="AT184" s="91">
        <v>9</v>
      </c>
      <c r="AU184" s="91">
        <v>9</v>
      </c>
      <c r="AV184" s="91">
        <v>9</v>
      </c>
      <c r="AW184" s="91">
        <v>9</v>
      </c>
      <c r="AX184" s="91">
        <v>9</v>
      </c>
      <c r="AY184" s="91"/>
      <c r="AZ184" s="91">
        <v>9</v>
      </c>
      <c r="BA184" s="91">
        <v>9</v>
      </c>
      <c r="BB184" s="91">
        <v>9</v>
      </c>
      <c r="BC184" s="91">
        <v>9</v>
      </c>
      <c r="BD184" s="91">
        <v>9</v>
      </c>
      <c r="BE184" s="91">
        <v>9</v>
      </c>
      <c r="BF184" s="91">
        <v>16</v>
      </c>
      <c r="BG184" s="91"/>
      <c r="BH184" s="91"/>
    </row>
    <row r="185" spans="1:60" x14ac:dyDescent="0.25">
      <c r="A185" s="91" t="s">
        <v>430</v>
      </c>
      <c r="B185" s="129">
        <f t="shared" si="10"/>
        <v>447</v>
      </c>
      <c r="C185" s="91">
        <f t="shared" si="11"/>
        <v>48</v>
      </c>
      <c r="D185" s="130">
        <f t="shared" si="12"/>
        <v>0.96</v>
      </c>
      <c r="E185" s="131">
        <v>46258</v>
      </c>
      <c r="F185" s="131">
        <v>46302</v>
      </c>
      <c r="G185" s="91">
        <f t="shared" si="13"/>
        <v>44</v>
      </c>
      <c r="H185" s="91">
        <v>9</v>
      </c>
      <c r="I185" s="91">
        <v>9</v>
      </c>
      <c r="J185" s="91">
        <v>9</v>
      </c>
      <c r="K185" s="91">
        <v>9</v>
      </c>
      <c r="L185" s="91">
        <v>9</v>
      </c>
      <c r="M185" s="91"/>
      <c r="N185" s="91">
        <v>9</v>
      </c>
      <c r="O185" s="91">
        <v>9</v>
      </c>
      <c r="P185" s="91">
        <v>9</v>
      </c>
      <c r="Q185" s="91">
        <v>9</v>
      </c>
      <c r="R185" s="91">
        <v>9</v>
      </c>
      <c r="S185" s="91">
        <v>9</v>
      </c>
      <c r="T185" s="91">
        <v>9</v>
      </c>
      <c r="U185" s="91">
        <v>9</v>
      </c>
      <c r="V185" s="91">
        <v>9</v>
      </c>
      <c r="W185" s="91">
        <v>9</v>
      </c>
      <c r="X185" s="91">
        <v>9</v>
      </c>
      <c r="Y185" s="91">
        <v>1</v>
      </c>
      <c r="Z185" s="91">
        <v>9</v>
      </c>
      <c r="AA185" s="91">
        <v>9</v>
      </c>
      <c r="AB185" s="91">
        <v>9</v>
      </c>
      <c r="AC185" s="91">
        <v>9</v>
      </c>
      <c r="AD185" s="91">
        <v>9</v>
      </c>
      <c r="AE185" s="91">
        <v>9</v>
      </c>
      <c r="AF185" s="91">
        <v>9</v>
      </c>
      <c r="AG185" s="91">
        <v>9</v>
      </c>
      <c r="AH185" s="91">
        <v>9</v>
      </c>
      <c r="AI185" s="91">
        <v>9</v>
      </c>
      <c r="AJ185" s="91">
        <v>9</v>
      </c>
      <c r="AK185" s="91">
        <v>9</v>
      </c>
      <c r="AL185" s="91">
        <v>9</v>
      </c>
      <c r="AM185" s="91">
        <v>9</v>
      </c>
      <c r="AN185" s="91">
        <v>9</v>
      </c>
      <c r="AO185" s="91">
        <v>9</v>
      </c>
      <c r="AP185" s="91">
        <v>9</v>
      </c>
      <c r="AQ185" s="91">
        <v>9</v>
      </c>
      <c r="AR185" s="91">
        <v>9</v>
      </c>
      <c r="AS185" s="91">
        <v>9</v>
      </c>
      <c r="AT185" s="91">
        <v>9</v>
      </c>
      <c r="AU185" s="91">
        <v>9</v>
      </c>
      <c r="AV185" s="91">
        <v>9</v>
      </c>
      <c r="AW185" s="91">
        <v>9</v>
      </c>
      <c r="AX185" s="91">
        <v>9</v>
      </c>
      <c r="AY185" s="91"/>
      <c r="AZ185" s="91">
        <v>9</v>
      </c>
      <c r="BA185" s="91">
        <v>9</v>
      </c>
      <c r="BB185" s="91">
        <v>9</v>
      </c>
      <c r="BC185" s="91">
        <v>9</v>
      </c>
      <c r="BD185" s="91">
        <v>9</v>
      </c>
      <c r="BE185" s="91">
        <v>9</v>
      </c>
      <c r="BF185" s="91">
        <v>10</v>
      </c>
      <c r="BG185" s="91">
        <v>13</v>
      </c>
      <c r="BH185" s="91"/>
    </row>
    <row r="186" spans="1:60" x14ac:dyDescent="0.25">
      <c r="A186" s="91" t="s">
        <v>590</v>
      </c>
      <c r="B186" s="129">
        <f t="shared" si="10"/>
        <v>446</v>
      </c>
      <c r="C186" s="91">
        <f t="shared" si="11"/>
        <v>49</v>
      </c>
      <c r="D186" s="130">
        <f t="shared" si="12"/>
        <v>0.98</v>
      </c>
      <c r="E186" s="131">
        <v>46262</v>
      </c>
      <c r="F186" s="131">
        <v>46302</v>
      </c>
      <c r="G186" s="91">
        <f t="shared" si="13"/>
        <v>40</v>
      </c>
      <c r="H186" s="91">
        <v>9</v>
      </c>
      <c r="I186" s="91">
        <v>9</v>
      </c>
      <c r="J186" s="91">
        <v>9</v>
      </c>
      <c r="K186" s="91">
        <v>9</v>
      </c>
      <c r="L186" s="91">
        <v>9</v>
      </c>
      <c r="M186" s="91">
        <v>6</v>
      </c>
      <c r="N186" s="91">
        <v>9</v>
      </c>
      <c r="O186" s="91">
        <v>9</v>
      </c>
      <c r="P186" s="91">
        <v>9</v>
      </c>
      <c r="Q186" s="91">
        <v>9</v>
      </c>
      <c r="R186" s="91">
        <v>9</v>
      </c>
      <c r="S186" s="91">
        <v>9</v>
      </c>
      <c r="T186" s="91">
        <v>9</v>
      </c>
      <c r="U186" s="91">
        <v>9</v>
      </c>
      <c r="V186" s="91">
        <v>9</v>
      </c>
      <c r="W186" s="91">
        <v>9</v>
      </c>
      <c r="X186" s="91">
        <v>9</v>
      </c>
      <c r="Y186" s="91">
        <v>1</v>
      </c>
      <c r="Z186" s="91">
        <v>9</v>
      </c>
      <c r="AA186" s="91">
        <v>9</v>
      </c>
      <c r="AB186" s="91">
        <v>9</v>
      </c>
      <c r="AC186" s="91">
        <v>9</v>
      </c>
      <c r="AD186" s="91">
        <v>9</v>
      </c>
      <c r="AE186" s="91">
        <v>9</v>
      </c>
      <c r="AF186" s="91">
        <v>9</v>
      </c>
      <c r="AG186" s="91">
        <v>9</v>
      </c>
      <c r="AH186" s="91">
        <v>9</v>
      </c>
      <c r="AI186" s="91">
        <v>9</v>
      </c>
      <c r="AJ186" s="91">
        <v>9</v>
      </c>
      <c r="AK186" s="91">
        <v>9</v>
      </c>
      <c r="AL186" s="91">
        <v>9</v>
      </c>
      <c r="AM186" s="91">
        <v>9</v>
      </c>
      <c r="AN186" s="91">
        <v>9</v>
      </c>
      <c r="AO186" s="91">
        <v>9</v>
      </c>
      <c r="AP186" s="91">
        <v>9</v>
      </c>
      <c r="AQ186" s="91">
        <v>9</v>
      </c>
      <c r="AR186" s="91">
        <v>9</v>
      </c>
      <c r="AS186" s="91">
        <v>9</v>
      </c>
      <c r="AT186" s="91">
        <v>9</v>
      </c>
      <c r="AU186" s="91">
        <v>9</v>
      </c>
      <c r="AV186" s="91">
        <v>10</v>
      </c>
      <c r="AW186" s="91">
        <v>9</v>
      </c>
      <c r="AX186" s="91">
        <v>9</v>
      </c>
      <c r="AY186" s="91"/>
      <c r="AZ186" s="91">
        <v>9</v>
      </c>
      <c r="BA186" s="91">
        <v>9</v>
      </c>
      <c r="BB186" s="91">
        <v>9</v>
      </c>
      <c r="BC186" s="91">
        <v>9</v>
      </c>
      <c r="BD186" s="91">
        <v>9</v>
      </c>
      <c r="BE186" s="91">
        <v>9</v>
      </c>
      <c r="BF186" s="91"/>
      <c r="BG186" s="91">
        <v>15</v>
      </c>
      <c r="BH186" s="91"/>
    </row>
    <row r="187" spans="1:60" x14ac:dyDescent="0.25">
      <c r="A187" s="91" t="s">
        <v>479</v>
      </c>
      <c r="B187" s="129">
        <f t="shared" si="10"/>
        <v>441</v>
      </c>
      <c r="C187" s="91">
        <f t="shared" si="11"/>
        <v>48</v>
      </c>
      <c r="D187" s="130">
        <f t="shared" si="12"/>
        <v>0.96</v>
      </c>
      <c r="E187" s="131">
        <v>46252</v>
      </c>
      <c r="F187" s="131">
        <v>46254</v>
      </c>
      <c r="G187" s="91">
        <f t="shared" si="13"/>
        <v>2</v>
      </c>
      <c r="H187" s="91">
        <v>9</v>
      </c>
      <c r="I187" s="91">
        <v>9</v>
      </c>
      <c r="J187" s="91">
        <v>9</v>
      </c>
      <c r="K187" s="91">
        <v>9</v>
      </c>
      <c r="L187" s="91">
        <v>9</v>
      </c>
      <c r="M187" s="91">
        <v>6</v>
      </c>
      <c r="N187" s="91">
        <v>9</v>
      </c>
      <c r="O187" s="91">
        <v>9</v>
      </c>
      <c r="P187" s="91">
        <v>9</v>
      </c>
      <c r="Q187" s="91">
        <v>9</v>
      </c>
      <c r="R187" s="91">
        <v>9</v>
      </c>
      <c r="S187" s="91">
        <v>9</v>
      </c>
      <c r="T187" s="91">
        <v>9</v>
      </c>
      <c r="U187" s="91">
        <v>9</v>
      </c>
      <c r="V187" s="91">
        <v>9</v>
      </c>
      <c r="W187" s="91">
        <v>9</v>
      </c>
      <c r="X187" s="91">
        <v>9</v>
      </c>
      <c r="Y187" s="91"/>
      <c r="Z187" s="91">
        <v>9</v>
      </c>
      <c r="AA187" s="91">
        <v>9</v>
      </c>
      <c r="AB187" s="91">
        <v>9</v>
      </c>
      <c r="AC187" s="91">
        <v>9</v>
      </c>
      <c r="AD187" s="91">
        <v>9</v>
      </c>
      <c r="AE187" s="91">
        <v>9</v>
      </c>
      <c r="AF187" s="91">
        <v>9</v>
      </c>
      <c r="AG187" s="91">
        <v>9</v>
      </c>
      <c r="AH187" s="91">
        <v>9</v>
      </c>
      <c r="AI187" s="91">
        <v>9</v>
      </c>
      <c r="AJ187" s="91">
        <v>9</v>
      </c>
      <c r="AK187" s="91">
        <v>9</v>
      </c>
      <c r="AL187" s="91">
        <v>9</v>
      </c>
      <c r="AM187" s="91">
        <v>9</v>
      </c>
      <c r="AN187" s="91">
        <v>9</v>
      </c>
      <c r="AO187" s="91">
        <v>9</v>
      </c>
      <c r="AP187" s="91">
        <v>9</v>
      </c>
      <c r="AQ187" s="91">
        <v>9</v>
      </c>
      <c r="AR187" s="91">
        <v>9</v>
      </c>
      <c r="AS187" s="91">
        <v>9</v>
      </c>
      <c r="AT187" s="91">
        <v>9</v>
      </c>
      <c r="AU187" s="91">
        <v>9</v>
      </c>
      <c r="AV187" s="91">
        <v>9</v>
      </c>
      <c r="AW187" s="91">
        <v>9</v>
      </c>
      <c r="AX187" s="91">
        <v>9</v>
      </c>
      <c r="AY187" s="91"/>
      <c r="AZ187" s="91">
        <v>9</v>
      </c>
      <c r="BA187" s="91">
        <v>9</v>
      </c>
      <c r="BB187" s="91">
        <v>9</v>
      </c>
      <c r="BC187" s="91">
        <v>9</v>
      </c>
      <c r="BD187" s="91">
        <v>9</v>
      </c>
      <c r="BE187" s="91">
        <v>9</v>
      </c>
      <c r="BF187" s="91"/>
      <c r="BG187" s="91">
        <v>12</v>
      </c>
      <c r="BH187" s="91"/>
    </row>
    <row r="188" spans="1:60" x14ac:dyDescent="0.25">
      <c r="A188" s="91" t="s">
        <v>250</v>
      </c>
      <c r="B188" s="129">
        <f t="shared" si="10"/>
        <v>441</v>
      </c>
      <c r="C188" s="91">
        <f t="shared" si="11"/>
        <v>48</v>
      </c>
      <c r="D188" s="130">
        <f t="shared" si="12"/>
        <v>0.96</v>
      </c>
      <c r="E188" s="131">
        <v>46258</v>
      </c>
      <c r="F188" s="131">
        <v>46310</v>
      </c>
      <c r="G188" s="91">
        <f t="shared" si="13"/>
        <v>52</v>
      </c>
      <c r="H188" s="91">
        <v>8</v>
      </c>
      <c r="I188" s="91">
        <v>8</v>
      </c>
      <c r="J188" s="91">
        <v>10</v>
      </c>
      <c r="K188" s="91">
        <v>8</v>
      </c>
      <c r="L188" s="91">
        <v>10</v>
      </c>
      <c r="M188" s="91"/>
      <c r="N188" s="91">
        <v>10</v>
      </c>
      <c r="O188" s="91">
        <v>10</v>
      </c>
      <c r="P188" s="91">
        <v>8</v>
      </c>
      <c r="Q188" s="91">
        <v>10</v>
      </c>
      <c r="R188" s="91">
        <v>8</v>
      </c>
      <c r="S188" s="91">
        <v>10</v>
      </c>
      <c r="T188" s="91">
        <v>10</v>
      </c>
      <c r="U188" s="91">
        <v>8</v>
      </c>
      <c r="V188" s="91">
        <v>8</v>
      </c>
      <c r="W188" s="91">
        <v>10</v>
      </c>
      <c r="X188" s="91">
        <v>10</v>
      </c>
      <c r="Y188" s="91">
        <v>1</v>
      </c>
      <c r="Z188" s="91">
        <v>10</v>
      </c>
      <c r="AA188" s="91">
        <v>8</v>
      </c>
      <c r="AB188" s="91">
        <v>10</v>
      </c>
      <c r="AC188" s="91">
        <v>8</v>
      </c>
      <c r="AD188" s="91">
        <v>8</v>
      </c>
      <c r="AE188" s="91">
        <v>8</v>
      </c>
      <c r="AF188" s="91">
        <v>8</v>
      </c>
      <c r="AG188" s="91">
        <v>8</v>
      </c>
      <c r="AH188" s="91">
        <v>8</v>
      </c>
      <c r="AI188" s="91">
        <v>10</v>
      </c>
      <c r="AJ188" s="91">
        <v>10</v>
      </c>
      <c r="AK188" s="91">
        <v>8</v>
      </c>
      <c r="AL188" s="91">
        <v>8</v>
      </c>
      <c r="AM188" s="91">
        <v>8</v>
      </c>
      <c r="AN188" s="91">
        <v>8</v>
      </c>
      <c r="AO188" s="91">
        <v>8</v>
      </c>
      <c r="AP188" s="91">
        <v>8</v>
      </c>
      <c r="AQ188" s="91">
        <v>8</v>
      </c>
      <c r="AR188" s="91">
        <v>8</v>
      </c>
      <c r="AS188" s="91">
        <v>8</v>
      </c>
      <c r="AT188" s="91">
        <v>10</v>
      </c>
      <c r="AU188" s="91">
        <v>8</v>
      </c>
      <c r="AV188" s="91">
        <v>8</v>
      </c>
      <c r="AW188" s="91">
        <v>8</v>
      </c>
      <c r="AX188" s="91">
        <v>10</v>
      </c>
      <c r="AY188" s="91"/>
      <c r="AZ188" s="91">
        <v>8</v>
      </c>
      <c r="BA188" s="91">
        <v>10</v>
      </c>
      <c r="BB188" s="91">
        <v>8</v>
      </c>
      <c r="BC188" s="91">
        <v>8</v>
      </c>
      <c r="BD188" s="91">
        <v>8</v>
      </c>
      <c r="BE188" s="91">
        <v>10</v>
      </c>
      <c r="BF188" s="91">
        <v>16</v>
      </c>
      <c r="BG188" s="91">
        <v>14</v>
      </c>
      <c r="BH188" s="91"/>
    </row>
    <row r="189" spans="1:60" x14ac:dyDescent="0.25">
      <c r="A189" s="91" t="s">
        <v>222</v>
      </c>
      <c r="B189" s="129">
        <f t="shared" si="10"/>
        <v>440</v>
      </c>
      <c r="C189" s="91">
        <f t="shared" si="11"/>
        <v>48</v>
      </c>
      <c r="D189" s="130">
        <f t="shared" si="12"/>
        <v>0.96</v>
      </c>
      <c r="E189" s="131">
        <v>46219</v>
      </c>
      <c r="F189" s="131">
        <v>46318</v>
      </c>
      <c r="G189" s="91">
        <f t="shared" si="13"/>
        <v>99</v>
      </c>
      <c r="H189" s="91">
        <v>9</v>
      </c>
      <c r="I189" s="91">
        <v>9</v>
      </c>
      <c r="J189" s="91">
        <v>9</v>
      </c>
      <c r="K189" s="91">
        <v>9</v>
      </c>
      <c r="L189" s="91">
        <v>9</v>
      </c>
      <c r="M189" s="91"/>
      <c r="N189" s="91">
        <v>9</v>
      </c>
      <c r="O189" s="91">
        <v>9</v>
      </c>
      <c r="P189" s="91">
        <v>9</v>
      </c>
      <c r="Q189" s="91">
        <v>9</v>
      </c>
      <c r="R189" s="91">
        <v>9</v>
      </c>
      <c r="S189" s="91">
        <v>9</v>
      </c>
      <c r="T189" s="91">
        <v>9</v>
      </c>
      <c r="U189" s="91">
        <v>9</v>
      </c>
      <c r="V189" s="91">
        <v>9</v>
      </c>
      <c r="W189" s="91">
        <v>9</v>
      </c>
      <c r="X189" s="91">
        <v>9</v>
      </c>
      <c r="Y189" s="91">
        <v>1</v>
      </c>
      <c r="Z189" s="91">
        <v>9</v>
      </c>
      <c r="AA189" s="91">
        <v>9</v>
      </c>
      <c r="AB189" s="91">
        <v>9</v>
      </c>
      <c r="AC189" s="91">
        <v>9</v>
      </c>
      <c r="AD189" s="91">
        <v>9</v>
      </c>
      <c r="AE189" s="91">
        <v>9</v>
      </c>
      <c r="AF189" s="91">
        <v>9</v>
      </c>
      <c r="AG189" s="91">
        <v>9</v>
      </c>
      <c r="AH189" s="91">
        <v>9</v>
      </c>
      <c r="AI189" s="91">
        <v>9</v>
      </c>
      <c r="AJ189" s="91">
        <v>9</v>
      </c>
      <c r="AK189" s="91">
        <v>9</v>
      </c>
      <c r="AL189" s="91">
        <v>9</v>
      </c>
      <c r="AM189" s="91">
        <v>9</v>
      </c>
      <c r="AN189" s="91">
        <v>9</v>
      </c>
      <c r="AO189" s="91">
        <v>9</v>
      </c>
      <c r="AP189" s="91">
        <v>9</v>
      </c>
      <c r="AQ189" s="91">
        <v>9</v>
      </c>
      <c r="AR189" s="91">
        <v>9</v>
      </c>
      <c r="AS189" s="91">
        <v>9</v>
      </c>
      <c r="AT189" s="91">
        <v>9</v>
      </c>
      <c r="AU189" s="91">
        <v>9</v>
      </c>
      <c r="AV189" s="91">
        <v>9</v>
      </c>
      <c r="AW189" s="91">
        <v>9</v>
      </c>
      <c r="AX189" s="91">
        <v>9</v>
      </c>
      <c r="AY189" s="91"/>
      <c r="AZ189" s="91">
        <v>9</v>
      </c>
      <c r="BA189" s="91">
        <v>9</v>
      </c>
      <c r="BB189" s="91">
        <v>9</v>
      </c>
      <c r="BC189" s="91">
        <v>9</v>
      </c>
      <c r="BD189" s="91">
        <v>9</v>
      </c>
      <c r="BE189" s="91">
        <v>9</v>
      </c>
      <c r="BF189" s="91">
        <v>4</v>
      </c>
      <c r="BG189" s="91">
        <v>12</v>
      </c>
      <c r="BH189" s="91"/>
    </row>
    <row r="190" spans="1:60" x14ac:dyDescent="0.25">
      <c r="A190" s="91" t="s">
        <v>420</v>
      </c>
      <c r="B190" s="129">
        <f t="shared" si="10"/>
        <v>440</v>
      </c>
      <c r="C190" s="91">
        <f t="shared" si="11"/>
        <v>47</v>
      </c>
      <c r="D190" s="130">
        <f t="shared" si="12"/>
        <v>0.94</v>
      </c>
      <c r="E190" s="131">
        <v>46258</v>
      </c>
      <c r="F190" s="131">
        <v>46275</v>
      </c>
      <c r="G190" s="91">
        <f t="shared" si="13"/>
        <v>17</v>
      </c>
      <c r="H190" s="91">
        <v>9</v>
      </c>
      <c r="I190" s="91">
        <v>9</v>
      </c>
      <c r="J190" s="91">
        <v>9</v>
      </c>
      <c r="K190" s="91">
        <v>9</v>
      </c>
      <c r="L190" s="91">
        <v>9</v>
      </c>
      <c r="M190" s="91"/>
      <c r="N190" s="91">
        <v>9</v>
      </c>
      <c r="O190" s="91">
        <v>9</v>
      </c>
      <c r="P190" s="91">
        <v>9</v>
      </c>
      <c r="Q190" s="91">
        <v>9</v>
      </c>
      <c r="R190" s="91">
        <v>9</v>
      </c>
      <c r="S190" s="91">
        <v>9</v>
      </c>
      <c r="T190" s="91">
        <v>9</v>
      </c>
      <c r="U190" s="91">
        <v>9</v>
      </c>
      <c r="V190" s="91">
        <v>9</v>
      </c>
      <c r="W190" s="91">
        <v>9</v>
      </c>
      <c r="X190" s="91">
        <v>9</v>
      </c>
      <c r="Y190" s="91"/>
      <c r="Z190" s="91">
        <v>9</v>
      </c>
      <c r="AA190" s="91">
        <v>9</v>
      </c>
      <c r="AB190" s="91">
        <v>9</v>
      </c>
      <c r="AC190" s="91">
        <v>9</v>
      </c>
      <c r="AD190" s="91">
        <v>9</v>
      </c>
      <c r="AE190" s="91">
        <v>9</v>
      </c>
      <c r="AF190" s="91">
        <v>9</v>
      </c>
      <c r="AG190" s="91">
        <v>9</v>
      </c>
      <c r="AH190" s="91">
        <v>9</v>
      </c>
      <c r="AI190" s="91">
        <v>9</v>
      </c>
      <c r="AJ190" s="91">
        <v>9</v>
      </c>
      <c r="AK190" s="91">
        <v>9</v>
      </c>
      <c r="AL190" s="91">
        <v>9</v>
      </c>
      <c r="AM190" s="91">
        <v>9</v>
      </c>
      <c r="AN190" s="91">
        <v>9</v>
      </c>
      <c r="AO190" s="91">
        <v>9</v>
      </c>
      <c r="AP190" s="91">
        <v>9</v>
      </c>
      <c r="AQ190" s="91">
        <v>9</v>
      </c>
      <c r="AR190" s="91">
        <v>9</v>
      </c>
      <c r="AS190" s="91">
        <v>9</v>
      </c>
      <c r="AT190" s="91">
        <v>9</v>
      </c>
      <c r="AU190" s="91">
        <v>9</v>
      </c>
      <c r="AV190" s="91">
        <v>10</v>
      </c>
      <c r="AW190" s="91">
        <v>9</v>
      </c>
      <c r="AX190" s="91">
        <v>9</v>
      </c>
      <c r="AY190" s="91"/>
      <c r="AZ190" s="91">
        <v>9</v>
      </c>
      <c r="BA190" s="91">
        <v>8</v>
      </c>
      <c r="BB190" s="91">
        <v>9</v>
      </c>
      <c r="BC190" s="91">
        <v>9</v>
      </c>
      <c r="BD190" s="91">
        <v>10</v>
      </c>
      <c r="BE190" s="91">
        <v>9</v>
      </c>
      <c r="BF190" s="91">
        <v>1</v>
      </c>
      <c r="BG190" s="91">
        <v>15</v>
      </c>
      <c r="BH190" s="91"/>
    </row>
    <row r="191" spans="1:60" x14ac:dyDescent="0.25">
      <c r="A191" s="91" t="s">
        <v>387</v>
      </c>
      <c r="B191" s="129">
        <f t="shared" si="10"/>
        <v>440</v>
      </c>
      <c r="C191" s="91">
        <f t="shared" si="11"/>
        <v>47</v>
      </c>
      <c r="D191" s="130">
        <f t="shared" si="12"/>
        <v>0.94</v>
      </c>
      <c r="E191" s="131">
        <v>46258</v>
      </c>
      <c r="F191" s="131">
        <v>46258</v>
      </c>
      <c r="G191" s="91">
        <f t="shared" si="13"/>
        <v>0</v>
      </c>
      <c r="H191" s="91">
        <v>9</v>
      </c>
      <c r="I191" s="91">
        <v>9</v>
      </c>
      <c r="J191" s="91">
        <v>9</v>
      </c>
      <c r="K191" s="91">
        <v>9</v>
      </c>
      <c r="L191" s="91">
        <v>9</v>
      </c>
      <c r="M191" s="91"/>
      <c r="N191" s="91">
        <v>9</v>
      </c>
      <c r="O191" s="91">
        <v>9</v>
      </c>
      <c r="P191" s="91">
        <v>9</v>
      </c>
      <c r="Q191" s="91">
        <v>9</v>
      </c>
      <c r="R191" s="91">
        <v>9</v>
      </c>
      <c r="S191" s="91">
        <v>9</v>
      </c>
      <c r="T191" s="91">
        <v>9</v>
      </c>
      <c r="U191" s="91">
        <v>10</v>
      </c>
      <c r="V191" s="91">
        <v>9</v>
      </c>
      <c r="W191" s="91">
        <v>9</v>
      </c>
      <c r="X191" s="91">
        <v>9</v>
      </c>
      <c r="Y191" s="91"/>
      <c r="Z191" s="91">
        <v>9</v>
      </c>
      <c r="AA191" s="91">
        <v>9</v>
      </c>
      <c r="AB191" s="91">
        <v>9</v>
      </c>
      <c r="AC191" s="91">
        <v>9</v>
      </c>
      <c r="AD191" s="91">
        <v>10</v>
      </c>
      <c r="AE191" s="91">
        <v>9</v>
      </c>
      <c r="AF191" s="91">
        <v>9</v>
      </c>
      <c r="AG191" s="91">
        <v>9</v>
      </c>
      <c r="AH191" s="91">
        <v>9</v>
      </c>
      <c r="AI191" s="91">
        <v>9</v>
      </c>
      <c r="AJ191" s="91">
        <v>9</v>
      </c>
      <c r="AK191" s="91">
        <v>9</v>
      </c>
      <c r="AL191" s="91">
        <v>9</v>
      </c>
      <c r="AM191" s="91">
        <v>9</v>
      </c>
      <c r="AN191" s="91">
        <v>9</v>
      </c>
      <c r="AO191" s="91">
        <v>9</v>
      </c>
      <c r="AP191" s="91">
        <v>9</v>
      </c>
      <c r="AQ191" s="91">
        <v>9</v>
      </c>
      <c r="AR191" s="91">
        <v>9</v>
      </c>
      <c r="AS191" s="91">
        <v>9</v>
      </c>
      <c r="AT191" s="91">
        <v>9</v>
      </c>
      <c r="AU191" s="91">
        <v>10</v>
      </c>
      <c r="AV191" s="91">
        <v>9</v>
      </c>
      <c r="AW191" s="91">
        <v>9</v>
      </c>
      <c r="AX191" s="91">
        <v>9</v>
      </c>
      <c r="AY191" s="91"/>
      <c r="AZ191" s="91">
        <v>9</v>
      </c>
      <c r="BA191" s="91">
        <v>9</v>
      </c>
      <c r="BB191" s="91">
        <v>9</v>
      </c>
      <c r="BC191" s="91">
        <v>9</v>
      </c>
      <c r="BD191" s="91">
        <v>9</v>
      </c>
      <c r="BE191" s="91">
        <v>9</v>
      </c>
      <c r="BF191" s="91">
        <v>1</v>
      </c>
      <c r="BG191" s="91">
        <v>13</v>
      </c>
      <c r="BH191" s="91"/>
    </row>
    <row r="192" spans="1:60" x14ac:dyDescent="0.25">
      <c r="A192" s="91" t="s">
        <v>218</v>
      </c>
      <c r="B192" s="129">
        <f t="shared" si="10"/>
        <v>440</v>
      </c>
      <c r="C192" s="91">
        <f t="shared" si="11"/>
        <v>47</v>
      </c>
      <c r="D192" s="130">
        <f t="shared" si="12"/>
        <v>0.94</v>
      </c>
      <c r="E192" s="131">
        <v>46275</v>
      </c>
      <c r="F192" s="131">
        <v>46281</v>
      </c>
      <c r="G192" s="91">
        <f t="shared" si="13"/>
        <v>6</v>
      </c>
      <c r="H192" s="91">
        <v>8</v>
      </c>
      <c r="I192" s="91">
        <v>8</v>
      </c>
      <c r="J192" s="91">
        <v>16</v>
      </c>
      <c r="K192" s="91">
        <v>8</v>
      </c>
      <c r="L192" s="91">
        <v>8</v>
      </c>
      <c r="M192" s="91"/>
      <c r="N192" s="91">
        <v>8</v>
      </c>
      <c r="O192" s="91">
        <v>8</v>
      </c>
      <c r="P192" s="91">
        <v>8</v>
      </c>
      <c r="Q192" s="91">
        <v>8</v>
      </c>
      <c r="R192" s="91">
        <v>8</v>
      </c>
      <c r="S192" s="91">
        <v>8</v>
      </c>
      <c r="T192" s="91">
        <v>16</v>
      </c>
      <c r="U192" s="91">
        <v>8</v>
      </c>
      <c r="V192" s="91">
        <v>8</v>
      </c>
      <c r="W192" s="91">
        <v>16</v>
      </c>
      <c r="X192" s="91">
        <v>8</v>
      </c>
      <c r="Y192" s="91"/>
      <c r="Z192" s="91">
        <v>8</v>
      </c>
      <c r="AA192" s="91">
        <v>8</v>
      </c>
      <c r="AB192" s="91">
        <v>16</v>
      </c>
      <c r="AC192" s="91">
        <v>8</v>
      </c>
      <c r="AD192" s="91">
        <v>8</v>
      </c>
      <c r="AE192" s="91">
        <v>8</v>
      </c>
      <c r="AF192" s="91">
        <v>8</v>
      </c>
      <c r="AG192" s="91">
        <v>8</v>
      </c>
      <c r="AH192" s="91">
        <v>16</v>
      </c>
      <c r="AI192" s="91">
        <v>8</v>
      </c>
      <c r="AJ192" s="91">
        <v>8</v>
      </c>
      <c r="AK192" s="91">
        <v>8</v>
      </c>
      <c r="AL192" s="91">
        <v>16</v>
      </c>
      <c r="AM192" s="91">
        <v>8</v>
      </c>
      <c r="AN192" s="91">
        <v>8</v>
      </c>
      <c r="AO192" s="91">
        <v>16</v>
      </c>
      <c r="AP192" s="91">
        <v>8</v>
      </c>
      <c r="AQ192" s="91">
        <v>8</v>
      </c>
      <c r="AR192" s="91">
        <v>8</v>
      </c>
      <c r="AS192" s="91">
        <v>8</v>
      </c>
      <c r="AT192" s="91">
        <v>8</v>
      </c>
      <c r="AU192" s="91">
        <v>8</v>
      </c>
      <c r="AV192" s="91">
        <v>8</v>
      </c>
      <c r="AW192" s="91">
        <v>8</v>
      </c>
      <c r="AX192" s="91">
        <v>8</v>
      </c>
      <c r="AY192" s="91"/>
      <c r="AZ192" s="91">
        <v>8</v>
      </c>
      <c r="BA192" s="91">
        <v>8</v>
      </c>
      <c r="BB192" s="91">
        <v>16</v>
      </c>
      <c r="BC192" s="91">
        <v>8</v>
      </c>
      <c r="BD192" s="91">
        <v>8</v>
      </c>
      <c r="BE192" s="91">
        <v>8</v>
      </c>
      <c r="BF192" s="91"/>
      <c r="BG192" s="91"/>
      <c r="BH192" s="91"/>
    </row>
    <row r="193" spans="1:60" x14ac:dyDescent="0.25">
      <c r="A193" s="91" t="s">
        <v>202</v>
      </c>
      <c r="B193" s="129">
        <f t="shared" si="10"/>
        <v>440</v>
      </c>
      <c r="C193" s="91">
        <f t="shared" si="11"/>
        <v>45</v>
      </c>
      <c r="D193" s="130">
        <f t="shared" si="12"/>
        <v>0.9</v>
      </c>
      <c r="E193" s="131">
        <v>46310</v>
      </c>
      <c r="F193" s="131">
        <v>46317</v>
      </c>
      <c r="G193" s="91">
        <f t="shared" si="13"/>
        <v>7</v>
      </c>
      <c r="H193" s="91">
        <v>9</v>
      </c>
      <c r="I193" s="91">
        <v>9</v>
      </c>
      <c r="J193" s="91">
        <v>9</v>
      </c>
      <c r="K193" s="91">
        <v>9</v>
      </c>
      <c r="L193" s="91">
        <v>9</v>
      </c>
      <c r="M193" s="91"/>
      <c r="N193" s="91">
        <v>9</v>
      </c>
      <c r="O193" s="91">
        <v>9</v>
      </c>
      <c r="P193" s="91">
        <v>9</v>
      </c>
      <c r="Q193" s="91">
        <v>9</v>
      </c>
      <c r="R193" s="91">
        <v>10</v>
      </c>
      <c r="S193" s="91">
        <v>9</v>
      </c>
      <c r="T193" s="91">
        <v>9</v>
      </c>
      <c r="U193" s="91">
        <v>9</v>
      </c>
      <c r="V193" s="91">
        <v>9</v>
      </c>
      <c r="W193" s="91">
        <v>9</v>
      </c>
      <c r="X193" s="91">
        <v>9</v>
      </c>
      <c r="Y193" s="91">
        <v>9</v>
      </c>
      <c r="Z193" s="91">
        <v>9</v>
      </c>
      <c r="AA193" s="91">
        <v>9</v>
      </c>
      <c r="AB193" s="91">
        <v>9</v>
      </c>
      <c r="AC193" s="91">
        <v>9</v>
      </c>
      <c r="AD193" s="91">
        <v>9</v>
      </c>
      <c r="AE193" s="91">
        <v>9</v>
      </c>
      <c r="AF193" s="91">
        <v>9</v>
      </c>
      <c r="AG193" s="91">
        <v>9</v>
      </c>
      <c r="AH193" s="91">
        <v>9</v>
      </c>
      <c r="AI193" s="91">
        <v>9</v>
      </c>
      <c r="AJ193" s="91">
        <v>9</v>
      </c>
      <c r="AK193" s="91">
        <v>9</v>
      </c>
      <c r="AL193" s="91">
        <v>9</v>
      </c>
      <c r="AM193" s="91">
        <v>9</v>
      </c>
      <c r="AN193" s="91">
        <v>9</v>
      </c>
      <c r="AO193" s="91">
        <v>9</v>
      </c>
      <c r="AP193" s="91">
        <v>9</v>
      </c>
      <c r="AQ193" s="91">
        <v>9</v>
      </c>
      <c r="AR193" s="91">
        <v>9</v>
      </c>
      <c r="AS193" s="91">
        <v>9</v>
      </c>
      <c r="AT193" s="91">
        <v>9</v>
      </c>
      <c r="AU193" s="91">
        <v>9</v>
      </c>
      <c r="AV193" s="91"/>
      <c r="AW193" s="91">
        <v>9</v>
      </c>
      <c r="AX193" s="91">
        <v>9</v>
      </c>
      <c r="AY193" s="91"/>
      <c r="AZ193" s="91">
        <v>9</v>
      </c>
      <c r="BA193" s="91">
        <v>9</v>
      </c>
      <c r="BB193" s="91">
        <v>9</v>
      </c>
      <c r="BC193" s="91"/>
      <c r="BD193" s="91"/>
      <c r="BE193" s="91">
        <v>9</v>
      </c>
      <c r="BF193" s="91">
        <v>17</v>
      </c>
      <c r="BG193" s="91">
        <v>17</v>
      </c>
      <c r="BH193" s="91"/>
    </row>
    <row r="194" spans="1:60" x14ac:dyDescent="0.25">
      <c r="A194" s="91" t="s">
        <v>67</v>
      </c>
      <c r="B194" s="129">
        <f t="shared" si="10"/>
        <v>439</v>
      </c>
      <c r="C194" s="91">
        <f t="shared" si="11"/>
        <v>49</v>
      </c>
      <c r="D194" s="130">
        <f t="shared" si="12"/>
        <v>0.98</v>
      </c>
      <c r="E194" s="131">
        <v>46304</v>
      </c>
      <c r="F194" s="131">
        <v>46315</v>
      </c>
      <c r="G194" s="91">
        <f t="shared" si="13"/>
        <v>11</v>
      </c>
      <c r="H194" s="91">
        <v>9</v>
      </c>
      <c r="I194" s="91">
        <v>9</v>
      </c>
      <c r="J194" s="91">
        <v>9</v>
      </c>
      <c r="K194" s="91">
        <v>9</v>
      </c>
      <c r="L194" s="91">
        <v>9</v>
      </c>
      <c r="M194" s="91"/>
      <c r="N194" s="91">
        <v>9</v>
      </c>
      <c r="O194" s="91">
        <v>9</v>
      </c>
      <c r="P194" s="91">
        <v>9</v>
      </c>
      <c r="Q194" s="91">
        <v>9</v>
      </c>
      <c r="R194" s="91">
        <v>9</v>
      </c>
      <c r="S194" s="91">
        <v>9</v>
      </c>
      <c r="T194" s="91">
        <v>9</v>
      </c>
      <c r="U194" s="91">
        <v>9</v>
      </c>
      <c r="V194" s="91">
        <v>9</v>
      </c>
      <c r="W194" s="91">
        <v>9</v>
      </c>
      <c r="X194" s="91">
        <v>9</v>
      </c>
      <c r="Y194" s="91">
        <v>9</v>
      </c>
      <c r="Z194" s="91">
        <v>9</v>
      </c>
      <c r="AA194" s="91">
        <v>9</v>
      </c>
      <c r="AB194" s="91">
        <v>9</v>
      </c>
      <c r="AC194" s="91">
        <v>9</v>
      </c>
      <c r="AD194" s="91">
        <v>9</v>
      </c>
      <c r="AE194" s="91">
        <v>9</v>
      </c>
      <c r="AF194" s="91">
        <v>9</v>
      </c>
      <c r="AG194" s="91">
        <v>9</v>
      </c>
      <c r="AH194" s="91">
        <v>9</v>
      </c>
      <c r="AI194" s="91">
        <v>9</v>
      </c>
      <c r="AJ194" s="91">
        <v>9</v>
      </c>
      <c r="AK194" s="91">
        <v>9</v>
      </c>
      <c r="AL194" s="91">
        <v>9</v>
      </c>
      <c r="AM194" s="91">
        <v>9</v>
      </c>
      <c r="AN194" s="91">
        <v>9</v>
      </c>
      <c r="AO194" s="91">
        <v>9</v>
      </c>
      <c r="AP194" s="91">
        <v>9</v>
      </c>
      <c r="AQ194" s="91">
        <v>9</v>
      </c>
      <c r="AR194" s="91">
        <v>9</v>
      </c>
      <c r="AS194" s="91">
        <v>9</v>
      </c>
      <c r="AT194" s="91">
        <v>9</v>
      </c>
      <c r="AU194" s="91">
        <v>9</v>
      </c>
      <c r="AV194" s="91">
        <v>9</v>
      </c>
      <c r="AW194" s="91">
        <v>9</v>
      </c>
      <c r="AX194" s="91">
        <v>9</v>
      </c>
      <c r="AY194" s="91">
        <v>7</v>
      </c>
      <c r="AZ194" s="91">
        <v>9</v>
      </c>
      <c r="BA194" s="91">
        <v>9</v>
      </c>
      <c r="BB194" s="91">
        <v>9</v>
      </c>
      <c r="BC194" s="91">
        <v>9</v>
      </c>
      <c r="BD194" s="91">
        <v>9</v>
      </c>
      <c r="BE194" s="91">
        <v>9</v>
      </c>
      <c r="BF194" s="91"/>
      <c r="BG194" s="91"/>
      <c r="BH194" s="91"/>
    </row>
    <row r="195" spans="1:60" x14ac:dyDescent="0.25">
      <c r="A195" s="91" t="s">
        <v>386</v>
      </c>
      <c r="B195" s="129">
        <f t="shared" si="10"/>
        <v>438</v>
      </c>
      <c r="C195" s="91">
        <f t="shared" si="11"/>
        <v>48</v>
      </c>
      <c r="D195" s="130">
        <f t="shared" si="12"/>
        <v>0.96</v>
      </c>
      <c r="E195" s="131">
        <v>46225</v>
      </c>
      <c r="F195" s="131">
        <v>46266</v>
      </c>
      <c r="G195" s="91">
        <f t="shared" si="13"/>
        <v>41</v>
      </c>
      <c r="H195" s="91">
        <v>8</v>
      </c>
      <c r="I195" s="91">
        <v>8</v>
      </c>
      <c r="J195" s="91">
        <v>8</v>
      </c>
      <c r="K195" s="91">
        <v>14</v>
      </c>
      <c r="L195" s="91">
        <v>8</v>
      </c>
      <c r="M195" s="91"/>
      <c r="N195" s="91">
        <v>8</v>
      </c>
      <c r="O195" s="91">
        <v>8</v>
      </c>
      <c r="P195" s="91">
        <v>8</v>
      </c>
      <c r="Q195" s="91">
        <v>8</v>
      </c>
      <c r="R195" s="91">
        <v>15</v>
      </c>
      <c r="S195" s="91">
        <v>8</v>
      </c>
      <c r="T195" s="91">
        <v>8</v>
      </c>
      <c r="U195" s="91">
        <v>8</v>
      </c>
      <c r="V195" s="91">
        <v>8</v>
      </c>
      <c r="W195" s="91">
        <v>8</v>
      </c>
      <c r="X195" s="91">
        <v>8</v>
      </c>
      <c r="Y195" s="91">
        <v>8</v>
      </c>
      <c r="Z195" s="91">
        <v>8</v>
      </c>
      <c r="AA195" s="91">
        <v>8</v>
      </c>
      <c r="AB195" s="91">
        <v>8</v>
      </c>
      <c r="AC195" s="91">
        <v>8</v>
      </c>
      <c r="AD195" s="91">
        <v>8</v>
      </c>
      <c r="AE195" s="91">
        <v>8</v>
      </c>
      <c r="AF195" s="91">
        <v>8</v>
      </c>
      <c r="AG195" s="91">
        <v>8</v>
      </c>
      <c r="AH195" s="91">
        <v>8</v>
      </c>
      <c r="AI195" s="91">
        <v>8</v>
      </c>
      <c r="AJ195" s="91">
        <v>8</v>
      </c>
      <c r="AK195" s="91">
        <v>8</v>
      </c>
      <c r="AL195" s="91">
        <v>8</v>
      </c>
      <c r="AM195" s="91">
        <v>16</v>
      </c>
      <c r="AN195" s="91">
        <v>8</v>
      </c>
      <c r="AO195" s="91">
        <v>8</v>
      </c>
      <c r="AP195" s="91">
        <v>16</v>
      </c>
      <c r="AQ195" s="91">
        <v>8</v>
      </c>
      <c r="AR195" s="91">
        <v>8</v>
      </c>
      <c r="AS195" s="91">
        <v>8</v>
      </c>
      <c r="AT195" s="91">
        <v>8</v>
      </c>
      <c r="AU195" s="91">
        <v>8</v>
      </c>
      <c r="AV195" s="91">
        <v>8</v>
      </c>
      <c r="AW195" s="91">
        <v>8</v>
      </c>
      <c r="AX195" s="91">
        <v>17</v>
      </c>
      <c r="AY195" s="91"/>
      <c r="AZ195" s="91">
        <v>8</v>
      </c>
      <c r="BA195" s="91">
        <v>8</v>
      </c>
      <c r="BB195" s="91">
        <v>8</v>
      </c>
      <c r="BC195" s="91">
        <v>8</v>
      </c>
      <c r="BD195" s="91">
        <v>8</v>
      </c>
      <c r="BE195" s="91">
        <v>6</v>
      </c>
      <c r="BF195" s="91">
        <v>4</v>
      </c>
      <c r="BG195" s="91">
        <v>14</v>
      </c>
      <c r="BH195" s="91"/>
    </row>
    <row r="196" spans="1:60" x14ac:dyDescent="0.25">
      <c r="A196" s="91" t="s">
        <v>364</v>
      </c>
      <c r="B196" s="129">
        <f t="shared" si="10"/>
        <v>438</v>
      </c>
      <c r="C196" s="91">
        <f t="shared" si="11"/>
        <v>48</v>
      </c>
      <c r="D196" s="130">
        <f t="shared" si="12"/>
        <v>0.96</v>
      </c>
      <c r="E196" s="131">
        <v>46246</v>
      </c>
      <c r="F196" s="131">
        <v>46301</v>
      </c>
      <c r="G196" s="91">
        <f t="shared" si="13"/>
        <v>55</v>
      </c>
      <c r="H196" s="91">
        <v>9</v>
      </c>
      <c r="I196" s="91">
        <v>9</v>
      </c>
      <c r="J196" s="91">
        <v>9</v>
      </c>
      <c r="K196" s="91">
        <v>9</v>
      </c>
      <c r="L196" s="91">
        <v>9</v>
      </c>
      <c r="M196" s="91"/>
      <c r="N196" s="91">
        <v>9</v>
      </c>
      <c r="O196" s="91">
        <v>9</v>
      </c>
      <c r="P196" s="91">
        <v>9</v>
      </c>
      <c r="Q196" s="91">
        <v>9</v>
      </c>
      <c r="R196" s="91">
        <v>9</v>
      </c>
      <c r="S196" s="91">
        <v>9</v>
      </c>
      <c r="T196" s="91">
        <v>9</v>
      </c>
      <c r="U196" s="91">
        <v>9</v>
      </c>
      <c r="V196" s="91">
        <v>9</v>
      </c>
      <c r="W196" s="91">
        <v>9</v>
      </c>
      <c r="X196" s="91">
        <v>9</v>
      </c>
      <c r="Y196" s="91">
        <v>2</v>
      </c>
      <c r="Z196" s="91">
        <v>9</v>
      </c>
      <c r="AA196" s="91">
        <v>9</v>
      </c>
      <c r="AB196" s="91">
        <v>9</v>
      </c>
      <c r="AC196" s="91">
        <v>9</v>
      </c>
      <c r="AD196" s="91">
        <v>9</v>
      </c>
      <c r="AE196" s="91">
        <v>9</v>
      </c>
      <c r="AF196" s="91">
        <v>9</v>
      </c>
      <c r="AG196" s="91">
        <v>9</v>
      </c>
      <c r="AH196" s="91">
        <v>9</v>
      </c>
      <c r="AI196" s="91">
        <v>9</v>
      </c>
      <c r="AJ196" s="91">
        <v>9</v>
      </c>
      <c r="AK196" s="91">
        <v>9</v>
      </c>
      <c r="AL196" s="91">
        <v>9</v>
      </c>
      <c r="AM196" s="91">
        <v>9</v>
      </c>
      <c r="AN196" s="91">
        <v>9</v>
      </c>
      <c r="AO196" s="91">
        <v>9</v>
      </c>
      <c r="AP196" s="91">
        <v>9</v>
      </c>
      <c r="AQ196" s="91">
        <v>9</v>
      </c>
      <c r="AR196" s="91">
        <v>9</v>
      </c>
      <c r="AS196" s="91">
        <v>9</v>
      </c>
      <c r="AT196" s="91">
        <v>9</v>
      </c>
      <c r="AU196" s="91">
        <v>9</v>
      </c>
      <c r="AV196" s="91">
        <v>9</v>
      </c>
      <c r="AW196" s="91">
        <v>9</v>
      </c>
      <c r="AX196" s="91">
        <v>9</v>
      </c>
      <c r="AY196" s="91"/>
      <c r="AZ196" s="91">
        <v>9</v>
      </c>
      <c r="BA196" s="91">
        <v>9</v>
      </c>
      <c r="BB196" s="91">
        <v>9</v>
      </c>
      <c r="BC196" s="91">
        <v>9</v>
      </c>
      <c r="BD196" s="91">
        <v>9</v>
      </c>
      <c r="BE196" s="91">
        <v>9</v>
      </c>
      <c r="BF196" s="91"/>
      <c r="BG196" s="91">
        <v>13</v>
      </c>
      <c r="BH196" s="91"/>
    </row>
    <row r="197" spans="1:60" x14ac:dyDescent="0.25">
      <c r="A197" s="91" t="s">
        <v>378</v>
      </c>
      <c r="B197" s="129">
        <f t="shared" si="10"/>
        <v>436</v>
      </c>
      <c r="C197" s="91">
        <f t="shared" si="11"/>
        <v>48</v>
      </c>
      <c r="D197" s="130">
        <f t="shared" si="12"/>
        <v>0.96</v>
      </c>
      <c r="E197" s="131">
        <v>46213</v>
      </c>
      <c r="F197" s="131">
        <v>46252</v>
      </c>
      <c r="G197" s="91">
        <f t="shared" si="13"/>
        <v>39</v>
      </c>
      <c r="H197" s="91">
        <v>8</v>
      </c>
      <c r="I197" s="91">
        <v>8</v>
      </c>
      <c r="J197" s="91">
        <v>8</v>
      </c>
      <c r="K197" s="91">
        <v>8</v>
      </c>
      <c r="L197" s="91">
        <v>8</v>
      </c>
      <c r="M197" s="91"/>
      <c r="N197" s="91">
        <v>8</v>
      </c>
      <c r="O197" s="91">
        <v>8</v>
      </c>
      <c r="P197" s="91">
        <v>8</v>
      </c>
      <c r="Q197" s="91">
        <v>8</v>
      </c>
      <c r="R197" s="91">
        <v>14</v>
      </c>
      <c r="S197" s="91">
        <v>8</v>
      </c>
      <c r="T197" s="91">
        <v>8</v>
      </c>
      <c r="U197" s="91">
        <v>8</v>
      </c>
      <c r="V197" s="91">
        <v>8</v>
      </c>
      <c r="W197" s="91">
        <v>9</v>
      </c>
      <c r="X197" s="91">
        <v>8</v>
      </c>
      <c r="Y197" s="91">
        <v>14</v>
      </c>
      <c r="Z197" s="91">
        <v>8</v>
      </c>
      <c r="AA197" s="91">
        <v>8</v>
      </c>
      <c r="AB197" s="91">
        <v>8</v>
      </c>
      <c r="AC197" s="91">
        <v>8</v>
      </c>
      <c r="AD197" s="91">
        <v>8</v>
      </c>
      <c r="AE197" s="91">
        <v>8</v>
      </c>
      <c r="AF197" s="91">
        <v>8</v>
      </c>
      <c r="AG197" s="91">
        <v>8</v>
      </c>
      <c r="AH197" s="91">
        <v>8</v>
      </c>
      <c r="AI197" s="91">
        <v>8</v>
      </c>
      <c r="AJ197" s="91">
        <v>8</v>
      </c>
      <c r="AK197" s="91">
        <v>8</v>
      </c>
      <c r="AL197" s="91">
        <v>8</v>
      </c>
      <c r="AM197" s="91">
        <v>8</v>
      </c>
      <c r="AN197" s="91">
        <v>8</v>
      </c>
      <c r="AO197" s="91">
        <v>8</v>
      </c>
      <c r="AP197" s="91">
        <v>8</v>
      </c>
      <c r="AQ197" s="91">
        <v>8</v>
      </c>
      <c r="AR197" s="91">
        <v>8</v>
      </c>
      <c r="AS197" s="91">
        <v>8</v>
      </c>
      <c r="AT197" s="91">
        <v>8</v>
      </c>
      <c r="AU197" s="91">
        <v>14</v>
      </c>
      <c r="AV197" s="91">
        <v>6</v>
      </c>
      <c r="AW197" s="91">
        <v>8</v>
      </c>
      <c r="AX197" s="91">
        <v>14</v>
      </c>
      <c r="AY197" s="91"/>
      <c r="AZ197" s="91">
        <v>8</v>
      </c>
      <c r="BA197" s="91">
        <v>6</v>
      </c>
      <c r="BB197" s="91">
        <v>8</v>
      </c>
      <c r="BC197" s="91">
        <v>8</v>
      </c>
      <c r="BD197" s="91">
        <v>14</v>
      </c>
      <c r="BE197" s="91">
        <v>6</v>
      </c>
      <c r="BF197" s="91">
        <v>13</v>
      </c>
      <c r="BG197" s="91">
        <v>14</v>
      </c>
      <c r="BH197" s="91"/>
    </row>
    <row r="198" spans="1:60" x14ac:dyDescent="0.25">
      <c r="A198" s="91" t="s">
        <v>459</v>
      </c>
      <c r="B198" s="129">
        <f t="shared" si="10"/>
        <v>435</v>
      </c>
      <c r="C198" s="91">
        <f t="shared" si="11"/>
        <v>47</v>
      </c>
      <c r="D198" s="130">
        <f t="shared" si="12"/>
        <v>0.94</v>
      </c>
      <c r="E198" s="131">
        <v>46225</v>
      </c>
      <c r="F198" s="131">
        <v>46282</v>
      </c>
      <c r="G198" s="91">
        <f t="shared" si="13"/>
        <v>57</v>
      </c>
      <c r="H198" s="91">
        <v>9</v>
      </c>
      <c r="I198" s="91">
        <v>9</v>
      </c>
      <c r="J198" s="91">
        <v>9</v>
      </c>
      <c r="K198" s="91">
        <v>9</v>
      </c>
      <c r="L198" s="91">
        <v>9</v>
      </c>
      <c r="M198" s="91"/>
      <c r="N198" s="91">
        <v>9</v>
      </c>
      <c r="O198" s="91">
        <v>9</v>
      </c>
      <c r="P198" s="91">
        <v>9</v>
      </c>
      <c r="Q198" s="91">
        <v>9</v>
      </c>
      <c r="R198" s="91">
        <v>9</v>
      </c>
      <c r="S198" s="91">
        <v>9</v>
      </c>
      <c r="T198" s="91">
        <v>9</v>
      </c>
      <c r="U198" s="91">
        <v>9</v>
      </c>
      <c r="V198" s="91">
        <v>9</v>
      </c>
      <c r="W198" s="91">
        <v>9</v>
      </c>
      <c r="X198" s="91">
        <v>9</v>
      </c>
      <c r="Y198" s="91"/>
      <c r="Z198" s="91">
        <v>9</v>
      </c>
      <c r="AA198" s="91">
        <v>9</v>
      </c>
      <c r="AB198" s="91">
        <v>9</v>
      </c>
      <c r="AC198" s="91">
        <v>9</v>
      </c>
      <c r="AD198" s="91">
        <v>9</v>
      </c>
      <c r="AE198" s="91">
        <v>9</v>
      </c>
      <c r="AF198" s="91">
        <v>9</v>
      </c>
      <c r="AG198" s="91">
        <v>9</v>
      </c>
      <c r="AH198" s="91">
        <v>9</v>
      </c>
      <c r="AI198" s="91">
        <v>9</v>
      </c>
      <c r="AJ198" s="91">
        <v>9</v>
      </c>
      <c r="AK198" s="91">
        <v>9</v>
      </c>
      <c r="AL198" s="91">
        <v>9</v>
      </c>
      <c r="AM198" s="91">
        <v>9</v>
      </c>
      <c r="AN198" s="91">
        <v>9</v>
      </c>
      <c r="AO198" s="91">
        <v>9</v>
      </c>
      <c r="AP198" s="91">
        <v>9</v>
      </c>
      <c r="AQ198" s="91">
        <v>9</v>
      </c>
      <c r="AR198" s="91">
        <v>9</v>
      </c>
      <c r="AS198" s="91">
        <v>9</v>
      </c>
      <c r="AT198" s="91">
        <v>9</v>
      </c>
      <c r="AU198" s="91">
        <v>9</v>
      </c>
      <c r="AV198" s="91">
        <v>9</v>
      </c>
      <c r="AW198" s="91">
        <v>9</v>
      </c>
      <c r="AX198" s="91">
        <v>9</v>
      </c>
      <c r="AY198" s="91"/>
      <c r="AZ198" s="91">
        <v>9</v>
      </c>
      <c r="BA198" s="91">
        <v>9</v>
      </c>
      <c r="BB198" s="91">
        <v>9</v>
      </c>
      <c r="BC198" s="91">
        <v>9</v>
      </c>
      <c r="BD198" s="91">
        <v>9</v>
      </c>
      <c r="BE198" s="91">
        <v>9</v>
      </c>
      <c r="BF198" s="91"/>
      <c r="BG198" s="91">
        <v>12</v>
      </c>
      <c r="BH198" s="91"/>
    </row>
    <row r="199" spans="1:60" x14ac:dyDescent="0.25">
      <c r="A199" s="91" t="s">
        <v>140</v>
      </c>
      <c r="B199" s="129">
        <f t="shared" si="10"/>
        <v>432</v>
      </c>
      <c r="C199" s="91">
        <f t="shared" si="11"/>
        <v>32</v>
      </c>
      <c r="D199" s="130">
        <f t="shared" si="12"/>
        <v>0.64</v>
      </c>
      <c r="E199" s="131">
        <v>46287</v>
      </c>
      <c r="F199" s="131">
        <v>46308</v>
      </c>
      <c r="G199" s="91">
        <f t="shared" si="13"/>
        <v>21</v>
      </c>
      <c r="H199" s="91"/>
      <c r="I199" s="91"/>
      <c r="J199" s="91">
        <v>12</v>
      </c>
      <c r="K199" s="91">
        <v>12</v>
      </c>
      <c r="L199" s="91">
        <v>12</v>
      </c>
      <c r="M199" s="91"/>
      <c r="N199" s="91">
        <v>12</v>
      </c>
      <c r="O199" s="91">
        <v>12</v>
      </c>
      <c r="P199" s="91">
        <v>12</v>
      </c>
      <c r="Q199" s="91">
        <v>12</v>
      </c>
      <c r="R199" s="91"/>
      <c r="S199" s="91">
        <v>12</v>
      </c>
      <c r="T199" s="91">
        <v>12</v>
      </c>
      <c r="U199" s="91"/>
      <c r="V199" s="91">
        <v>12</v>
      </c>
      <c r="W199" s="91">
        <v>12</v>
      </c>
      <c r="X199" s="91">
        <v>12</v>
      </c>
      <c r="Y199" s="91"/>
      <c r="Z199" s="91"/>
      <c r="AA199" s="91"/>
      <c r="AB199" s="91">
        <v>12</v>
      </c>
      <c r="AC199" s="91">
        <v>12</v>
      </c>
      <c r="AD199" s="91">
        <v>12</v>
      </c>
      <c r="AE199" s="91"/>
      <c r="AF199" s="91">
        <v>12</v>
      </c>
      <c r="AG199" s="91">
        <v>12</v>
      </c>
      <c r="AH199" s="91">
        <v>12</v>
      </c>
      <c r="AI199" s="91">
        <v>12</v>
      </c>
      <c r="AJ199" s="91">
        <v>12</v>
      </c>
      <c r="AK199" s="91"/>
      <c r="AL199" s="91">
        <v>12</v>
      </c>
      <c r="AM199" s="91">
        <v>12</v>
      </c>
      <c r="AN199" s="91">
        <v>12</v>
      </c>
      <c r="AO199" s="91">
        <v>12</v>
      </c>
      <c r="AP199" s="91">
        <v>12</v>
      </c>
      <c r="AQ199" s="91"/>
      <c r="AR199" s="91"/>
      <c r="AS199" s="91">
        <v>12</v>
      </c>
      <c r="AT199" s="91">
        <v>12</v>
      </c>
      <c r="AU199" s="91"/>
      <c r="AV199" s="91"/>
      <c r="AW199" s="91">
        <v>12</v>
      </c>
      <c r="AX199" s="91"/>
      <c r="AY199" s="91"/>
      <c r="AZ199" s="91"/>
      <c r="BA199" s="91"/>
      <c r="BB199" s="91">
        <v>12</v>
      </c>
      <c r="BC199" s="91">
        <v>12</v>
      </c>
      <c r="BD199" s="91">
        <v>12</v>
      </c>
      <c r="BE199" s="91">
        <v>12</v>
      </c>
      <c r="BF199" s="91">
        <v>24</v>
      </c>
      <c r="BG199" s="91">
        <v>24</v>
      </c>
      <c r="BH199" s="91"/>
    </row>
    <row r="200" spans="1:60" x14ac:dyDescent="0.25">
      <c r="A200" s="91" t="s">
        <v>346</v>
      </c>
      <c r="B200" s="129">
        <f t="shared" ref="B200:B263" si="14">SUM(H200:BH200)</f>
        <v>431</v>
      </c>
      <c r="C200" s="91">
        <f t="shared" ref="C200:C263" si="15">COUNTIF(H200:BE200,"&gt;0")</f>
        <v>45</v>
      </c>
      <c r="D200" s="130">
        <f t="shared" ref="D200:D263" si="16">IFERROR(C200/TIENDAS,0)</f>
        <v>0.9</v>
      </c>
      <c r="E200" s="131">
        <v>46220</v>
      </c>
      <c r="F200" s="131">
        <v>46267</v>
      </c>
      <c r="G200" s="91">
        <f t="shared" ref="G200:G263" si="17">F200-E200</f>
        <v>47</v>
      </c>
      <c r="H200" s="91">
        <v>9</v>
      </c>
      <c r="I200" s="91">
        <v>9</v>
      </c>
      <c r="J200" s="91">
        <v>9</v>
      </c>
      <c r="K200" s="91">
        <v>9</v>
      </c>
      <c r="L200" s="91">
        <v>9</v>
      </c>
      <c r="M200" s="91"/>
      <c r="N200" s="91">
        <v>9</v>
      </c>
      <c r="O200" s="91">
        <v>9</v>
      </c>
      <c r="P200" s="91">
        <v>9</v>
      </c>
      <c r="Q200" s="91">
        <v>8</v>
      </c>
      <c r="R200" s="91">
        <v>8</v>
      </c>
      <c r="S200" s="91">
        <v>9</v>
      </c>
      <c r="T200" s="91">
        <v>9</v>
      </c>
      <c r="U200" s="91">
        <v>8</v>
      </c>
      <c r="V200" s="91">
        <v>9</v>
      </c>
      <c r="W200" s="91">
        <v>8</v>
      </c>
      <c r="X200" s="91">
        <v>9</v>
      </c>
      <c r="Y200" s="91">
        <v>9</v>
      </c>
      <c r="Z200" s="91">
        <v>9</v>
      </c>
      <c r="AA200" s="91">
        <v>9</v>
      </c>
      <c r="AB200" s="91">
        <v>9</v>
      </c>
      <c r="AC200" s="91">
        <v>9</v>
      </c>
      <c r="AD200" s="91">
        <v>9</v>
      </c>
      <c r="AE200" s="91">
        <v>8</v>
      </c>
      <c r="AF200" s="91">
        <v>9</v>
      </c>
      <c r="AG200" s="91">
        <v>9</v>
      </c>
      <c r="AH200" s="91">
        <v>9</v>
      </c>
      <c r="AI200" s="91">
        <v>9</v>
      </c>
      <c r="AJ200" s="91">
        <v>9</v>
      </c>
      <c r="AK200" s="91">
        <v>8</v>
      </c>
      <c r="AL200" s="91">
        <v>9</v>
      </c>
      <c r="AM200" s="91">
        <v>9</v>
      </c>
      <c r="AN200" s="91"/>
      <c r="AO200" s="91">
        <v>9</v>
      </c>
      <c r="AP200" s="91">
        <v>9</v>
      </c>
      <c r="AQ200" s="91">
        <v>8</v>
      </c>
      <c r="AR200" s="91">
        <v>9</v>
      </c>
      <c r="AS200" s="91">
        <v>8</v>
      </c>
      <c r="AT200" s="91">
        <v>9</v>
      </c>
      <c r="AU200" s="91">
        <v>9</v>
      </c>
      <c r="AV200" s="91"/>
      <c r="AW200" s="91">
        <v>8</v>
      </c>
      <c r="AX200" s="91">
        <v>8</v>
      </c>
      <c r="AY200" s="91"/>
      <c r="AZ200" s="91">
        <v>8</v>
      </c>
      <c r="BA200" s="91"/>
      <c r="BB200" s="91">
        <v>9</v>
      </c>
      <c r="BC200" s="91">
        <v>8</v>
      </c>
      <c r="BD200" s="91">
        <v>15</v>
      </c>
      <c r="BE200" s="91">
        <v>9</v>
      </c>
      <c r="BF200" s="91">
        <v>16</v>
      </c>
      <c r="BG200" s="91">
        <v>16</v>
      </c>
      <c r="BH200" s="91"/>
    </row>
    <row r="201" spans="1:60" x14ac:dyDescent="0.25">
      <c r="A201" s="91" t="s">
        <v>208</v>
      </c>
      <c r="B201" s="129">
        <f t="shared" si="14"/>
        <v>431</v>
      </c>
      <c r="C201" s="91">
        <f t="shared" si="15"/>
        <v>45</v>
      </c>
      <c r="D201" s="130">
        <f t="shared" si="16"/>
        <v>0.9</v>
      </c>
      <c r="E201" s="131">
        <v>46286</v>
      </c>
      <c r="F201" s="131">
        <v>46315</v>
      </c>
      <c r="G201" s="91">
        <f t="shared" si="17"/>
        <v>29</v>
      </c>
      <c r="H201" s="91">
        <v>9</v>
      </c>
      <c r="I201" s="91">
        <v>9</v>
      </c>
      <c r="J201" s="91">
        <v>9</v>
      </c>
      <c r="K201" s="91">
        <v>10</v>
      </c>
      <c r="L201" s="91">
        <v>9</v>
      </c>
      <c r="M201" s="91"/>
      <c r="N201" s="91">
        <v>9</v>
      </c>
      <c r="O201" s="91">
        <v>9</v>
      </c>
      <c r="P201" s="91">
        <v>9</v>
      </c>
      <c r="Q201" s="91">
        <v>9</v>
      </c>
      <c r="R201" s="91">
        <v>9</v>
      </c>
      <c r="S201" s="91">
        <v>9</v>
      </c>
      <c r="T201" s="91">
        <v>9</v>
      </c>
      <c r="U201" s="91"/>
      <c r="V201" s="91">
        <v>9</v>
      </c>
      <c r="W201" s="91">
        <v>9</v>
      </c>
      <c r="X201" s="91">
        <v>9</v>
      </c>
      <c r="Y201" s="91">
        <v>1</v>
      </c>
      <c r="Z201" s="91">
        <v>9</v>
      </c>
      <c r="AA201" s="91">
        <v>9</v>
      </c>
      <c r="AB201" s="91">
        <v>9</v>
      </c>
      <c r="AC201" s="91">
        <v>9</v>
      </c>
      <c r="AD201" s="91">
        <v>9</v>
      </c>
      <c r="AE201" s="91">
        <v>9</v>
      </c>
      <c r="AF201" s="91">
        <v>9</v>
      </c>
      <c r="AG201" s="91">
        <v>9</v>
      </c>
      <c r="AH201" s="91">
        <v>9</v>
      </c>
      <c r="AI201" s="91">
        <v>9</v>
      </c>
      <c r="AJ201" s="91">
        <v>9</v>
      </c>
      <c r="AK201" s="91"/>
      <c r="AL201" s="91">
        <v>9</v>
      </c>
      <c r="AM201" s="91">
        <v>9</v>
      </c>
      <c r="AN201" s="91">
        <v>9</v>
      </c>
      <c r="AO201" s="91">
        <v>9</v>
      </c>
      <c r="AP201" s="91">
        <v>9</v>
      </c>
      <c r="AQ201" s="91">
        <v>9</v>
      </c>
      <c r="AR201" s="91"/>
      <c r="AS201" s="91">
        <v>9</v>
      </c>
      <c r="AT201" s="91">
        <v>9</v>
      </c>
      <c r="AU201" s="91">
        <v>9</v>
      </c>
      <c r="AV201" s="91">
        <v>9</v>
      </c>
      <c r="AW201" s="91">
        <v>9</v>
      </c>
      <c r="AX201" s="91">
        <v>9</v>
      </c>
      <c r="AY201" s="91"/>
      <c r="AZ201" s="91">
        <v>9</v>
      </c>
      <c r="BA201" s="91">
        <v>9</v>
      </c>
      <c r="BB201" s="91">
        <v>9</v>
      </c>
      <c r="BC201" s="91">
        <v>9</v>
      </c>
      <c r="BD201" s="91">
        <v>9</v>
      </c>
      <c r="BE201" s="91">
        <v>10</v>
      </c>
      <c r="BF201" s="91">
        <v>17</v>
      </c>
      <c r="BG201" s="91">
        <v>15</v>
      </c>
      <c r="BH201" s="91"/>
    </row>
    <row r="202" spans="1:60" x14ac:dyDescent="0.25">
      <c r="A202" s="91" t="s">
        <v>457</v>
      </c>
      <c r="B202" s="129">
        <f t="shared" si="14"/>
        <v>429</v>
      </c>
      <c r="C202" s="91">
        <f t="shared" si="15"/>
        <v>48</v>
      </c>
      <c r="D202" s="130">
        <f t="shared" si="16"/>
        <v>0.96</v>
      </c>
      <c r="E202" s="131">
        <v>46248</v>
      </c>
      <c r="F202" s="131">
        <v>46287</v>
      </c>
      <c r="G202" s="91">
        <f t="shared" si="17"/>
        <v>39</v>
      </c>
      <c r="H202" s="91">
        <v>9</v>
      </c>
      <c r="I202" s="91">
        <v>7</v>
      </c>
      <c r="J202" s="91">
        <v>7</v>
      </c>
      <c r="K202" s="91">
        <v>8</v>
      </c>
      <c r="L202" s="91">
        <v>7</v>
      </c>
      <c r="M202" s="91"/>
      <c r="N202" s="91">
        <v>8</v>
      </c>
      <c r="O202" s="91">
        <v>9</v>
      </c>
      <c r="P202" s="91">
        <v>7</v>
      </c>
      <c r="Q202" s="91">
        <v>9</v>
      </c>
      <c r="R202" s="91">
        <v>9</v>
      </c>
      <c r="S202" s="91">
        <v>9</v>
      </c>
      <c r="T202" s="91">
        <v>14</v>
      </c>
      <c r="U202" s="91">
        <v>8</v>
      </c>
      <c r="V202" s="91">
        <v>9</v>
      </c>
      <c r="W202" s="91">
        <v>14</v>
      </c>
      <c r="X202" s="91">
        <v>9</v>
      </c>
      <c r="Y202" s="91">
        <v>2</v>
      </c>
      <c r="Z202" s="91">
        <v>8</v>
      </c>
      <c r="AA202" s="91">
        <v>8</v>
      </c>
      <c r="AB202" s="91">
        <v>14</v>
      </c>
      <c r="AC202" s="91">
        <v>9</v>
      </c>
      <c r="AD202" s="91">
        <v>8</v>
      </c>
      <c r="AE202" s="91">
        <v>8</v>
      </c>
      <c r="AF202" s="91">
        <v>7</v>
      </c>
      <c r="AG202" s="91">
        <v>9</v>
      </c>
      <c r="AH202" s="91">
        <v>7</v>
      </c>
      <c r="AI202" s="91">
        <v>9</v>
      </c>
      <c r="AJ202" s="91">
        <v>9</v>
      </c>
      <c r="AK202" s="91">
        <v>7</v>
      </c>
      <c r="AL202" s="91">
        <v>8</v>
      </c>
      <c r="AM202" s="91">
        <v>9</v>
      </c>
      <c r="AN202" s="91">
        <v>7</v>
      </c>
      <c r="AO202" s="91">
        <v>14</v>
      </c>
      <c r="AP202" s="91">
        <v>9</v>
      </c>
      <c r="AQ202" s="91">
        <v>7</v>
      </c>
      <c r="AR202" s="91">
        <v>9</v>
      </c>
      <c r="AS202" s="91">
        <v>10</v>
      </c>
      <c r="AT202" s="91">
        <v>7</v>
      </c>
      <c r="AU202" s="91">
        <v>9</v>
      </c>
      <c r="AV202" s="91">
        <v>9</v>
      </c>
      <c r="AW202" s="91">
        <v>9</v>
      </c>
      <c r="AX202" s="91">
        <v>8</v>
      </c>
      <c r="AY202" s="91"/>
      <c r="AZ202" s="91">
        <v>9</v>
      </c>
      <c r="BA202" s="91">
        <v>7</v>
      </c>
      <c r="BB202" s="91">
        <v>9</v>
      </c>
      <c r="BC202" s="91">
        <v>10</v>
      </c>
      <c r="BD202" s="91">
        <v>9</v>
      </c>
      <c r="BE202" s="91">
        <v>8</v>
      </c>
      <c r="BF202" s="91">
        <v>1</v>
      </c>
      <c r="BG202" s="91">
        <v>13</v>
      </c>
      <c r="BH202" s="91"/>
    </row>
    <row r="203" spans="1:60" x14ac:dyDescent="0.25">
      <c r="A203" s="91" t="s">
        <v>440</v>
      </c>
      <c r="B203" s="129">
        <f t="shared" si="14"/>
        <v>427</v>
      </c>
      <c r="C203" s="91">
        <f t="shared" si="15"/>
        <v>48</v>
      </c>
      <c r="D203" s="130">
        <f t="shared" si="16"/>
        <v>0.96</v>
      </c>
      <c r="E203" s="131">
        <v>46254</v>
      </c>
      <c r="F203" s="131">
        <v>46281</v>
      </c>
      <c r="G203" s="91">
        <f t="shared" si="17"/>
        <v>27</v>
      </c>
      <c r="H203" s="91">
        <v>7</v>
      </c>
      <c r="I203" s="91">
        <v>9</v>
      </c>
      <c r="J203" s="91">
        <v>9</v>
      </c>
      <c r="K203" s="91">
        <v>9</v>
      </c>
      <c r="L203" s="91">
        <v>9</v>
      </c>
      <c r="M203" s="91">
        <v>4</v>
      </c>
      <c r="N203" s="91">
        <v>6</v>
      </c>
      <c r="O203" s="91">
        <v>9</v>
      </c>
      <c r="P203" s="91">
        <v>9</v>
      </c>
      <c r="Q203" s="91">
        <v>5</v>
      </c>
      <c r="R203" s="91">
        <v>9</v>
      </c>
      <c r="S203" s="91">
        <v>9</v>
      </c>
      <c r="T203" s="91">
        <v>9</v>
      </c>
      <c r="U203" s="91">
        <v>9</v>
      </c>
      <c r="V203" s="91">
        <v>9</v>
      </c>
      <c r="W203" s="91">
        <v>9</v>
      </c>
      <c r="X203" s="91">
        <v>9</v>
      </c>
      <c r="Y203" s="91"/>
      <c r="Z203" s="91">
        <v>7</v>
      </c>
      <c r="AA203" s="91">
        <v>6</v>
      </c>
      <c r="AB203" s="91">
        <v>7</v>
      </c>
      <c r="AC203" s="91">
        <v>9</v>
      </c>
      <c r="AD203" s="91">
        <v>9</v>
      </c>
      <c r="AE203" s="91">
        <v>5</v>
      </c>
      <c r="AF203" s="91">
        <v>6</v>
      </c>
      <c r="AG203" s="91">
        <v>9</v>
      </c>
      <c r="AH203" s="91">
        <v>9</v>
      </c>
      <c r="AI203" s="91">
        <v>9</v>
      </c>
      <c r="AJ203" s="91">
        <v>7</v>
      </c>
      <c r="AK203" s="91">
        <v>5</v>
      </c>
      <c r="AL203" s="91">
        <v>9</v>
      </c>
      <c r="AM203" s="91">
        <v>9</v>
      </c>
      <c r="AN203" s="91">
        <v>9</v>
      </c>
      <c r="AO203" s="91">
        <v>9</v>
      </c>
      <c r="AP203" s="91">
        <v>9</v>
      </c>
      <c r="AQ203" s="91">
        <v>9</v>
      </c>
      <c r="AR203" s="91">
        <v>9</v>
      </c>
      <c r="AS203" s="91">
        <v>7</v>
      </c>
      <c r="AT203" s="91">
        <v>9</v>
      </c>
      <c r="AU203" s="91">
        <v>9</v>
      </c>
      <c r="AV203" s="91">
        <v>10</v>
      </c>
      <c r="AW203" s="91">
        <v>9</v>
      </c>
      <c r="AX203" s="91">
        <v>7</v>
      </c>
      <c r="AY203" s="91"/>
      <c r="AZ203" s="91">
        <v>9</v>
      </c>
      <c r="BA203" s="91">
        <v>7</v>
      </c>
      <c r="BB203" s="91">
        <v>10</v>
      </c>
      <c r="BC203" s="91">
        <v>10</v>
      </c>
      <c r="BD203" s="91">
        <v>10</v>
      </c>
      <c r="BE203" s="91">
        <v>7</v>
      </c>
      <c r="BF203" s="91">
        <v>18</v>
      </c>
      <c r="BG203" s="91">
        <v>15</v>
      </c>
      <c r="BH203" s="91"/>
    </row>
    <row r="204" spans="1:60" x14ac:dyDescent="0.25">
      <c r="A204" s="91" t="s">
        <v>425</v>
      </c>
      <c r="B204" s="129">
        <f t="shared" si="14"/>
        <v>425</v>
      </c>
      <c r="C204" s="91">
        <f t="shared" si="15"/>
        <v>49</v>
      </c>
      <c r="D204" s="130">
        <f t="shared" si="16"/>
        <v>0.98</v>
      </c>
      <c r="E204" s="131">
        <v>46225</v>
      </c>
      <c r="F204" s="131">
        <v>46274</v>
      </c>
      <c r="G204" s="91">
        <f t="shared" si="17"/>
        <v>49</v>
      </c>
      <c r="H204" s="91">
        <v>8</v>
      </c>
      <c r="I204" s="91">
        <v>8</v>
      </c>
      <c r="J204" s="91">
        <v>8</v>
      </c>
      <c r="K204" s="91">
        <v>14</v>
      </c>
      <c r="L204" s="91">
        <v>8</v>
      </c>
      <c r="M204" s="91">
        <v>5</v>
      </c>
      <c r="N204" s="91">
        <v>8</v>
      </c>
      <c r="O204" s="91">
        <v>8</v>
      </c>
      <c r="P204" s="91">
        <v>8</v>
      </c>
      <c r="Q204" s="91">
        <v>8</v>
      </c>
      <c r="R204" s="91">
        <v>14</v>
      </c>
      <c r="S204" s="91">
        <v>8</v>
      </c>
      <c r="T204" s="91">
        <v>8</v>
      </c>
      <c r="U204" s="91">
        <v>8</v>
      </c>
      <c r="V204" s="91">
        <v>8</v>
      </c>
      <c r="W204" s="91">
        <v>8</v>
      </c>
      <c r="X204" s="91">
        <v>8</v>
      </c>
      <c r="Y204" s="91">
        <v>8</v>
      </c>
      <c r="Z204" s="91">
        <v>14</v>
      </c>
      <c r="AA204" s="91">
        <v>8</v>
      </c>
      <c r="AB204" s="91">
        <v>8</v>
      </c>
      <c r="AC204" s="91">
        <v>8</v>
      </c>
      <c r="AD204" s="91">
        <v>8</v>
      </c>
      <c r="AE204" s="91">
        <v>8</v>
      </c>
      <c r="AF204" s="91">
        <v>8</v>
      </c>
      <c r="AG204" s="91">
        <v>8</v>
      </c>
      <c r="AH204" s="91">
        <v>8</v>
      </c>
      <c r="AI204" s="91">
        <v>8</v>
      </c>
      <c r="AJ204" s="91">
        <v>8</v>
      </c>
      <c r="AK204" s="91">
        <v>8</v>
      </c>
      <c r="AL204" s="91">
        <v>8</v>
      </c>
      <c r="AM204" s="91">
        <v>16</v>
      </c>
      <c r="AN204" s="91">
        <v>8</v>
      </c>
      <c r="AO204" s="91">
        <v>8</v>
      </c>
      <c r="AP204" s="91">
        <v>16</v>
      </c>
      <c r="AQ204" s="91">
        <v>8</v>
      </c>
      <c r="AR204" s="91">
        <v>8</v>
      </c>
      <c r="AS204" s="91">
        <v>8</v>
      </c>
      <c r="AT204" s="91">
        <v>8</v>
      </c>
      <c r="AU204" s="91">
        <v>8</v>
      </c>
      <c r="AV204" s="91">
        <v>6</v>
      </c>
      <c r="AW204" s="91">
        <v>8</v>
      </c>
      <c r="AX204" s="91">
        <v>14</v>
      </c>
      <c r="AY204" s="91"/>
      <c r="AZ204" s="91">
        <v>8</v>
      </c>
      <c r="BA204" s="91">
        <v>8</v>
      </c>
      <c r="BB204" s="91">
        <v>8</v>
      </c>
      <c r="BC204" s="91">
        <v>8</v>
      </c>
      <c r="BD204" s="91">
        <v>8</v>
      </c>
      <c r="BE204" s="91">
        <v>6</v>
      </c>
      <c r="BF204" s="91"/>
      <c r="BG204" s="91"/>
      <c r="BH204" s="91"/>
    </row>
    <row r="205" spans="1:60" x14ac:dyDescent="0.25">
      <c r="A205" s="91" t="s">
        <v>353</v>
      </c>
      <c r="B205" s="129">
        <f t="shared" si="14"/>
        <v>425</v>
      </c>
      <c r="C205" s="91">
        <f t="shared" si="15"/>
        <v>47</v>
      </c>
      <c r="D205" s="130">
        <f t="shared" si="16"/>
        <v>0.94</v>
      </c>
      <c r="E205" s="131">
        <v>46262</v>
      </c>
      <c r="F205" s="131">
        <v>46310</v>
      </c>
      <c r="G205" s="91">
        <f t="shared" si="17"/>
        <v>48</v>
      </c>
      <c r="H205" s="91">
        <v>10</v>
      </c>
      <c r="I205" s="91">
        <v>10</v>
      </c>
      <c r="J205" s="91">
        <v>10</v>
      </c>
      <c r="K205" s="91">
        <v>8</v>
      </c>
      <c r="L205" s="91">
        <v>10</v>
      </c>
      <c r="M205" s="91"/>
      <c r="N205" s="91">
        <v>10</v>
      </c>
      <c r="O205" s="91">
        <v>10</v>
      </c>
      <c r="P205" s="91">
        <v>8</v>
      </c>
      <c r="Q205" s="91">
        <v>8</v>
      </c>
      <c r="R205" s="91">
        <v>8</v>
      </c>
      <c r="S205" s="91">
        <v>8</v>
      </c>
      <c r="T205" s="91">
        <v>8</v>
      </c>
      <c r="U205" s="91">
        <v>8</v>
      </c>
      <c r="V205" s="91">
        <v>10</v>
      </c>
      <c r="W205" s="91">
        <v>8</v>
      </c>
      <c r="X205" s="91">
        <v>8</v>
      </c>
      <c r="Y205" s="91">
        <v>1</v>
      </c>
      <c r="Z205" s="91">
        <v>8</v>
      </c>
      <c r="AA205" s="91">
        <v>10</v>
      </c>
      <c r="AB205" s="91">
        <v>8</v>
      </c>
      <c r="AC205" s="91">
        <v>10</v>
      </c>
      <c r="AD205" s="91">
        <v>10</v>
      </c>
      <c r="AE205" s="91">
        <v>10</v>
      </c>
      <c r="AF205" s="91">
        <v>8</v>
      </c>
      <c r="AG205" s="91">
        <v>8</v>
      </c>
      <c r="AH205" s="91">
        <v>10</v>
      </c>
      <c r="AI205" s="91">
        <v>10</v>
      </c>
      <c r="AJ205" s="91">
        <v>8</v>
      </c>
      <c r="AK205" s="91">
        <v>8</v>
      </c>
      <c r="AL205" s="91">
        <v>8</v>
      </c>
      <c r="AM205" s="91">
        <v>10</v>
      </c>
      <c r="AN205" s="91">
        <v>8</v>
      </c>
      <c r="AO205" s="91">
        <v>8</v>
      </c>
      <c r="AP205" s="91">
        <v>8</v>
      </c>
      <c r="AQ205" s="91">
        <v>8</v>
      </c>
      <c r="AR205" s="91">
        <v>8</v>
      </c>
      <c r="AS205" s="91">
        <v>8</v>
      </c>
      <c r="AT205" s="91">
        <v>8</v>
      </c>
      <c r="AU205" s="91">
        <v>8</v>
      </c>
      <c r="AV205" s="91"/>
      <c r="AW205" s="91">
        <v>8</v>
      </c>
      <c r="AX205" s="91">
        <v>8</v>
      </c>
      <c r="AY205" s="91"/>
      <c r="AZ205" s="91">
        <v>8</v>
      </c>
      <c r="BA205" s="91">
        <v>8</v>
      </c>
      <c r="BB205" s="91">
        <v>8</v>
      </c>
      <c r="BC205" s="91">
        <v>8</v>
      </c>
      <c r="BD205" s="91">
        <v>8</v>
      </c>
      <c r="BE205" s="91">
        <v>8</v>
      </c>
      <c r="BF205" s="91">
        <v>14</v>
      </c>
      <c r="BG205" s="91">
        <v>14</v>
      </c>
      <c r="BH205" s="91"/>
    </row>
    <row r="206" spans="1:60" x14ac:dyDescent="0.25">
      <c r="A206" s="91" t="s">
        <v>494</v>
      </c>
      <c r="B206" s="129">
        <f t="shared" si="14"/>
        <v>424</v>
      </c>
      <c r="C206" s="91">
        <f t="shared" si="15"/>
        <v>47</v>
      </c>
      <c r="D206" s="130">
        <f t="shared" si="16"/>
        <v>0.94</v>
      </c>
      <c r="E206" s="131">
        <v>46246</v>
      </c>
      <c r="F206" s="131">
        <v>46262</v>
      </c>
      <c r="G206" s="91">
        <f t="shared" si="17"/>
        <v>16</v>
      </c>
      <c r="H206" s="91">
        <v>9</v>
      </c>
      <c r="I206" s="91">
        <v>9</v>
      </c>
      <c r="J206" s="91">
        <v>9</v>
      </c>
      <c r="K206" s="91">
        <v>9</v>
      </c>
      <c r="L206" s="91">
        <v>9</v>
      </c>
      <c r="M206" s="91"/>
      <c r="N206" s="91">
        <v>9</v>
      </c>
      <c r="O206" s="91">
        <v>9</v>
      </c>
      <c r="P206" s="91">
        <v>9</v>
      </c>
      <c r="Q206" s="91">
        <v>9</v>
      </c>
      <c r="R206" s="91">
        <v>9</v>
      </c>
      <c r="S206" s="91">
        <v>9</v>
      </c>
      <c r="T206" s="91">
        <v>9</v>
      </c>
      <c r="U206" s="91">
        <v>9</v>
      </c>
      <c r="V206" s="91">
        <v>9</v>
      </c>
      <c r="W206" s="91">
        <v>9</v>
      </c>
      <c r="X206" s="91">
        <v>9</v>
      </c>
      <c r="Y206" s="91"/>
      <c r="Z206" s="91">
        <v>9</v>
      </c>
      <c r="AA206" s="91">
        <v>9</v>
      </c>
      <c r="AB206" s="91">
        <v>9</v>
      </c>
      <c r="AC206" s="91">
        <v>9</v>
      </c>
      <c r="AD206" s="91">
        <v>9</v>
      </c>
      <c r="AE206" s="91">
        <v>9</v>
      </c>
      <c r="AF206" s="91">
        <v>9</v>
      </c>
      <c r="AG206" s="91">
        <v>9</v>
      </c>
      <c r="AH206" s="91">
        <v>9</v>
      </c>
      <c r="AI206" s="91">
        <v>9</v>
      </c>
      <c r="AJ206" s="91">
        <v>9</v>
      </c>
      <c r="AK206" s="91">
        <v>9</v>
      </c>
      <c r="AL206" s="91">
        <v>9</v>
      </c>
      <c r="AM206" s="91">
        <v>9</v>
      </c>
      <c r="AN206" s="91">
        <v>9</v>
      </c>
      <c r="AO206" s="91">
        <v>9</v>
      </c>
      <c r="AP206" s="91">
        <v>9</v>
      </c>
      <c r="AQ206" s="91">
        <v>9</v>
      </c>
      <c r="AR206" s="91">
        <v>9</v>
      </c>
      <c r="AS206" s="91">
        <v>10</v>
      </c>
      <c r="AT206" s="91">
        <v>9</v>
      </c>
      <c r="AU206" s="91">
        <v>9</v>
      </c>
      <c r="AV206" s="91">
        <v>9</v>
      </c>
      <c r="AW206" s="91">
        <v>9</v>
      </c>
      <c r="AX206" s="91">
        <v>9</v>
      </c>
      <c r="AY206" s="91"/>
      <c r="AZ206" s="91">
        <v>9</v>
      </c>
      <c r="BA206" s="91">
        <v>9</v>
      </c>
      <c r="BB206" s="91">
        <v>9</v>
      </c>
      <c r="BC206" s="91">
        <v>9</v>
      </c>
      <c r="BD206" s="91">
        <v>9</v>
      </c>
      <c r="BE206" s="91">
        <v>9</v>
      </c>
      <c r="BF206" s="91"/>
      <c r="BG206" s="91"/>
      <c r="BH206" s="91"/>
    </row>
    <row r="207" spans="1:60" x14ac:dyDescent="0.25">
      <c r="A207" s="91" t="s">
        <v>82</v>
      </c>
      <c r="B207" s="129">
        <f t="shared" si="14"/>
        <v>423</v>
      </c>
      <c r="C207" s="91">
        <f t="shared" si="15"/>
        <v>48</v>
      </c>
      <c r="D207" s="130">
        <f t="shared" si="16"/>
        <v>0.96</v>
      </c>
      <c r="E207" s="131">
        <v>46304</v>
      </c>
      <c r="F207" s="131">
        <v>46315</v>
      </c>
      <c r="G207" s="91">
        <f t="shared" si="17"/>
        <v>11</v>
      </c>
      <c r="H207" s="91">
        <v>8</v>
      </c>
      <c r="I207" s="91">
        <v>8</v>
      </c>
      <c r="J207" s="91">
        <v>8</v>
      </c>
      <c r="K207" s="91">
        <v>8</v>
      </c>
      <c r="L207" s="91">
        <v>8</v>
      </c>
      <c r="M207" s="91"/>
      <c r="N207" s="91">
        <v>8</v>
      </c>
      <c r="O207" s="91">
        <v>8</v>
      </c>
      <c r="P207" s="91">
        <v>8</v>
      </c>
      <c r="Q207" s="91">
        <v>8</v>
      </c>
      <c r="R207" s="91">
        <v>8</v>
      </c>
      <c r="S207" s="91">
        <v>8</v>
      </c>
      <c r="T207" s="91">
        <v>8</v>
      </c>
      <c r="U207" s="91">
        <v>8</v>
      </c>
      <c r="V207" s="91">
        <v>8</v>
      </c>
      <c r="W207" s="91">
        <v>8</v>
      </c>
      <c r="X207" s="91">
        <v>8</v>
      </c>
      <c r="Y207" s="91">
        <v>16</v>
      </c>
      <c r="Z207" s="91">
        <v>8</v>
      </c>
      <c r="AA207" s="91">
        <v>8</v>
      </c>
      <c r="AB207" s="91">
        <v>8</v>
      </c>
      <c r="AC207" s="91">
        <v>8</v>
      </c>
      <c r="AD207" s="91">
        <v>8</v>
      </c>
      <c r="AE207" s="91">
        <v>8</v>
      </c>
      <c r="AF207" s="91">
        <v>8</v>
      </c>
      <c r="AG207" s="91">
        <v>8</v>
      </c>
      <c r="AH207" s="91">
        <v>8</v>
      </c>
      <c r="AI207" s="91">
        <v>8</v>
      </c>
      <c r="AJ207" s="91">
        <v>8</v>
      </c>
      <c r="AK207" s="91">
        <v>8</v>
      </c>
      <c r="AL207" s="91">
        <v>8</v>
      </c>
      <c r="AM207" s="91">
        <v>8</v>
      </c>
      <c r="AN207" s="91">
        <v>8</v>
      </c>
      <c r="AO207" s="91">
        <v>8</v>
      </c>
      <c r="AP207" s="91">
        <v>8</v>
      </c>
      <c r="AQ207" s="91">
        <v>8</v>
      </c>
      <c r="AR207" s="91">
        <v>8</v>
      </c>
      <c r="AS207" s="91">
        <v>8</v>
      </c>
      <c r="AT207" s="91">
        <v>8</v>
      </c>
      <c r="AU207" s="91">
        <v>8</v>
      </c>
      <c r="AV207" s="91">
        <v>8</v>
      </c>
      <c r="AW207" s="91">
        <v>8</v>
      </c>
      <c r="AX207" s="91">
        <v>8</v>
      </c>
      <c r="AY207" s="91"/>
      <c r="AZ207" s="91">
        <v>8</v>
      </c>
      <c r="BA207" s="91">
        <v>8</v>
      </c>
      <c r="BB207" s="91">
        <v>8</v>
      </c>
      <c r="BC207" s="91">
        <v>8</v>
      </c>
      <c r="BD207" s="91">
        <v>8</v>
      </c>
      <c r="BE207" s="91">
        <v>8</v>
      </c>
      <c r="BF207" s="91">
        <v>31</v>
      </c>
      <c r="BG207" s="91"/>
      <c r="BH207" s="91"/>
    </row>
    <row r="208" spans="1:60" x14ac:dyDescent="0.25">
      <c r="A208" s="91" t="s">
        <v>383</v>
      </c>
      <c r="B208" s="129">
        <f t="shared" si="14"/>
        <v>422</v>
      </c>
      <c r="C208" s="91">
        <f t="shared" si="15"/>
        <v>43</v>
      </c>
      <c r="D208" s="130">
        <f t="shared" si="16"/>
        <v>0.86</v>
      </c>
      <c r="E208" s="131">
        <v>46225</v>
      </c>
      <c r="F208" s="131">
        <v>46286</v>
      </c>
      <c r="G208" s="91">
        <f t="shared" si="17"/>
        <v>61</v>
      </c>
      <c r="H208" s="91">
        <v>9</v>
      </c>
      <c r="I208" s="91">
        <v>9</v>
      </c>
      <c r="J208" s="91">
        <v>9</v>
      </c>
      <c r="K208" s="91">
        <v>10</v>
      </c>
      <c r="L208" s="91">
        <v>9</v>
      </c>
      <c r="M208" s="91"/>
      <c r="N208" s="91">
        <v>9</v>
      </c>
      <c r="O208" s="91">
        <v>9</v>
      </c>
      <c r="P208" s="91">
        <v>9</v>
      </c>
      <c r="Q208" s="91">
        <v>9</v>
      </c>
      <c r="R208" s="91">
        <v>10</v>
      </c>
      <c r="S208" s="91">
        <v>9</v>
      </c>
      <c r="T208" s="91">
        <v>9</v>
      </c>
      <c r="U208" s="91">
        <v>10</v>
      </c>
      <c r="V208" s="91">
        <v>9</v>
      </c>
      <c r="W208" s="91">
        <v>9</v>
      </c>
      <c r="X208" s="91">
        <v>9</v>
      </c>
      <c r="Y208" s="91">
        <v>9</v>
      </c>
      <c r="Z208" s="91">
        <v>10</v>
      </c>
      <c r="AA208" s="91">
        <v>9</v>
      </c>
      <c r="AB208" s="91">
        <v>9</v>
      </c>
      <c r="AC208" s="91">
        <v>9</v>
      </c>
      <c r="AD208" s="91">
        <v>9</v>
      </c>
      <c r="AE208" s="91"/>
      <c r="AF208" s="91">
        <v>9</v>
      </c>
      <c r="AG208" s="91">
        <v>9</v>
      </c>
      <c r="AH208" s="91">
        <v>9</v>
      </c>
      <c r="AI208" s="91">
        <v>9</v>
      </c>
      <c r="AJ208" s="91">
        <v>10</v>
      </c>
      <c r="AK208" s="91"/>
      <c r="AL208" s="91">
        <v>9</v>
      </c>
      <c r="AM208" s="91">
        <v>9</v>
      </c>
      <c r="AN208" s="91">
        <v>9</v>
      </c>
      <c r="AO208" s="91">
        <v>9</v>
      </c>
      <c r="AP208" s="91">
        <v>9</v>
      </c>
      <c r="AQ208" s="91">
        <v>9</v>
      </c>
      <c r="AR208" s="91">
        <v>9</v>
      </c>
      <c r="AS208" s="91">
        <v>9</v>
      </c>
      <c r="AT208" s="91">
        <v>9</v>
      </c>
      <c r="AU208" s="91">
        <v>9</v>
      </c>
      <c r="AV208" s="91"/>
      <c r="AW208" s="91">
        <v>9</v>
      </c>
      <c r="AX208" s="91"/>
      <c r="AY208" s="91"/>
      <c r="AZ208" s="91">
        <v>9</v>
      </c>
      <c r="BA208" s="91">
        <v>10</v>
      </c>
      <c r="BB208" s="91">
        <v>9</v>
      </c>
      <c r="BC208" s="91">
        <v>10</v>
      </c>
      <c r="BD208" s="91">
        <v>9</v>
      </c>
      <c r="BE208" s="91"/>
      <c r="BF208" s="91">
        <v>16</v>
      </c>
      <c r="BG208" s="91">
        <v>12</v>
      </c>
      <c r="BH208" s="91"/>
    </row>
    <row r="209" spans="1:60" x14ac:dyDescent="0.25">
      <c r="A209" s="91" t="s">
        <v>157</v>
      </c>
      <c r="B209" s="129">
        <f t="shared" si="14"/>
        <v>422</v>
      </c>
      <c r="C209" s="91">
        <f t="shared" si="15"/>
        <v>49</v>
      </c>
      <c r="D209" s="130">
        <f t="shared" si="16"/>
        <v>0.98</v>
      </c>
      <c r="E209" s="131">
        <v>46282</v>
      </c>
      <c r="F209" s="131">
        <v>46311</v>
      </c>
      <c r="G209" s="91">
        <f t="shared" si="17"/>
        <v>29</v>
      </c>
      <c r="H209" s="91">
        <v>8</v>
      </c>
      <c r="I209" s="91">
        <v>8</v>
      </c>
      <c r="J209" s="91">
        <v>8</v>
      </c>
      <c r="K209" s="91">
        <v>8</v>
      </c>
      <c r="L209" s="91">
        <v>8</v>
      </c>
      <c r="M209" s="91"/>
      <c r="N209" s="91">
        <v>8</v>
      </c>
      <c r="O209" s="91">
        <v>8</v>
      </c>
      <c r="P209" s="91">
        <v>8</v>
      </c>
      <c r="Q209" s="91">
        <v>8</v>
      </c>
      <c r="R209" s="91">
        <v>8</v>
      </c>
      <c r="S209" s="91">
        <v>8</v>
      </c>
      <c r="T209" s="91">
        <v>8</v>
      </c>
      <c r="U209" s="91">
        <v>8</v>
      </c>
      <c r="V209" s="91">
        <v>8</v>
      </c>
      <c r="W209" s="91">
        <v>8</v>
      </c>
      <c r="X209" s="91">
        <v>8</v>
      </c>
      <c r="Y209" s="91">
        <v>8</v>
      </c>
      <c r="Z209" s="91">
        <v>8</v>
      </c>
      <c r="AA209" s="91">
        <v>8</v>
      </c>
      <c r="AB209" s="91">
        <v>8</v>
      </c>
      <c r="AC209" s="91">
        <v>8</v>
      </c>
      <c r="AD209" s="91">
        <v>8</v>
      </c>
      <c r="AE209" s="91">
        <v>8</v>
      </c>
      <c r="AF209" s="91">
        <v>8</v>
      </c>
      <c r="AG209" s="91">
        <v>8</v>
      </c>
      <c r="AH209" s="91">
        <v>8</v>
      </c>
      <c r="AI209" s="91">
        <v>8</v>
      </c>
      <c r="AJ209" s="91">
        <v>8</v>
      </c>
      <c r="AK209" s="91">
        <v>8</v>
      </c>
      <c r="AL209" s="91">
        <v>8</v>
      </c>
      <c r="AM209" s="91">
        <v>8</v>
      </c>
      <c r="AN209" s="91">
        <v>8</v>
      </c>
      <c r="AO209" s="91">
        <v>8</v>
      </c>
      <c r="AP209" s="91">
        <v>8</v>
      </c>
      <c r="AQ209" s="91">
        <v>8</v>
      </c>
      <c r="AR209" s="91">
        <v>8</v>
      </c>
      <c r="AS209" s="91">
        <v>8</v>
      </c>
      <c r="AT209" s="91">
        <v>8</v>
      </c>
      <c r="AU209" s="91">
        <v>8</v>
      </c>
      <c r="AV209" s="91">
        <v>8</v>
      </c>
      <c r="AW209" s="91">
        <v>8</v>
      </c>
      <c r="AX209" s="91">
        <v>8</v>
      </c>
      <c r="AY209" s="91">
        <v>11</v>
      </c>
      <c r="AZ209" s="91">
        <v>8</v>
      </c>
      <c r="BA209" s="91">
        <v>8</v>
      </c>
      <c r="BB209" s="91">
        <v>8</v>
      </c>
      <c r="BC209" s="91">
        <v>8</v>
      </c>
      <c r="BD209" s="91">
        <v>8</v>
      </c>
      <c r="BE209" s="91">
        <v>8</v>
      </c>
      <c r="BF209" s="91">
        <v>7</v>
      </c>
      <c r="BG209" s="91">
        <v>20</v>
      </c>
      <c r="BH209" s="91"/>
    </row>
    <row r="210" spans="1:60" x14ac:dyDescent="0.25">
      <c r="A210" s="91" t="s">
        <v>245</v>
      </c>
      <c r="B210" s="129">
        <f t="shared" si="14"/>
        <v>421</v>
      </c>
      <c r="C210" s="91">
        <f t="shared" si="15"/>
        <v>49</v>
      </c>
      <c r="D210" s="130">
        <f t="shared" si="16"/>
        <v>0.98</v>
      </c>
      <c r="E210" s="131">
        <v>46275</v>
      </c>
      <c r="F210" s="131">
        <v>46309</v>
      </c>
      <c r="G210" s="91">
        <f t="shared" si="17"/>
        <v>34</v>
      </c>
      <c r="H210" s="91">
        <v>8</v>
      </c>
      <c r="I210" s="91">
        <v>8</v>
      </c>
      <c r="J210" s="91">
        <v>8</v>
      </c>
      <c r="K210" s="91">
        <v>8</v>
      </c>
      <c r="L210" s="91">
        <v>8</v>
      </c>
      <c r="M210" s="91"/>
      <c r="N210" s="91">
        <v>8</v>
      </c>
      <c r="O210" s="91">
        <v>8</v>
      </c>
      <c r="P210" s="91">
        <v>8</v>
      </c>
      <c r="Q210" s="91">
        <v>8</v>
      </c>
      <c r="R210" s="91">
        <v>8</v>
      </c>
      <c r="S210" s="91">
        <v>8</v>
      </c>
      <c r="T210" s="91">
        <v>8</v>
      </c>
      <c r="U210" s="91">
        <v>8</v>
      </c>
      <c r="V210" s="91">
        <v>8</v>
      </c>
      <c r="W210" s="91">
        <v>8</v>
      </c>
      <c r="X210" s="91">
        <v>8</v>
      </c>
      <c r="Y210" s="91">
        <v>8</v>
      </c>
      <c r="Z210" s="91">
        <v>8</v>
      </c>
      <c r="AA210" s="91">
        <v>8</v>
      </c>
      <c r="AB210" s="91">
        <v>8</v>
      </c>
      <c r="AC210" s="91">
        <v>8</v>
      </c>
      <c r="AD210" s="91">
        <v>8</v>
      </c>
      <c r="AE210" s="91">
        <v>8</v>
      </c>
      <c r="AF210" s="91">
        <v>8</v>
      </c>
      <c r="AG210" s="91">
        <v>8</v>
      </c>
      <c r="AH210" s="91">
        <v>8</v>
      </c>
      <c r="AI210" s="91">
        <v>8</v>
      </c>
      <c r="AJ210" s="91">
        <v>8</v>
      </c>
      <c r="AK210" s="91">
        <v>8</v>
      </c>
      <c r="AL210" s="91">
        <v>8</v>
      </c>
      <c r="AM210" s="91">
        <v>8</v>
      </c>
      <c r="AN210" s="91">
        <v>8</v>
      </c>
      <c r="AO210" s="91">
        <v>8</v>
      </c>
      <c r="AP210" s="91">
        <v>8</v>
      </c>
      <c r="AQ210" s="91">
        <v>8</v>
      </c>
      <c r="AR210" s="91">
        <v>8</v>
      </c>
      <c r="AS210" s="91">
        <v>8</v>
      </c>
      <c r="AT210" s="91">
        <v>8</v>
      </c>
      <c r="AU210" s="91">
        <v>8</v>
      </c>
      <c r="AV210" s="91">
        <v>8</v>
      </c>
      <c r="AW210" s="91">
        <v>8</v>
      </c>
      <c r="AX210" s="91">
        <v>8</v>
      </c>
      <c r="AY210" s="91">
        <v>7</v>
      </c>
      <c r="AZ210" s="91">
        <v>8</v>
      </c>
      <c r="BA210" s="91">
        <v>8</v>
      </c>
      <c r="BB210" s="91">
        <v>8</v>
      </c>
      <c r="BC210" s="91">
        <v>8</v>
      </c>
      <c r="BD210" s="91">
        <v>8</v>
      </c>
      <c r="BE210" s="91">
        <v>8</v>
      </c>
      <c r="BF210" s="91">
        <v>15</v>
      </c>
      <c r="BG210" s="91">
        <v>15</v>
      </c>
      <c r="BH210" s="91"/>
    </row>
    <row r="211" spans="1:60" x14ac:dyDescent="0.25">
      <c r="A211" s="91" t="s">
        <v>545</v>
      </c>
      <c r="B211" s="129">
        <f t="shared" si="14"/>
        <v>419</v>
      </c>
      <c r="C211" s="91">
        <f t="shared" si="15"/>
        <v>47</v>
      </c>
      <c r="D211" s="130">
        <f t="shared" si="16"/>
        <v>0.94</v>
      </c>
      <c r="E211" s="131">
        <v>46280</v>
      </c>
      <c r="F211" s="131">
        <v>46281</v>
      </c>
      <c r="G211" s="91">
        <f t="shared" si="17"/>
        <v>1</v>
      </c>
      <c r="H211" s="91">
        <v>6</v>
      </c>
      <c r="I211" s="91">
        <v>8</v>
      </c>
      <c r="J211" s="91">
        <v>12</v>
      </c>
      <c r="K211" s="91">
        <v>8</v>
      </c>
      <c r="L211" s="91">
        <v>12</v>
      </c>
      <c r="M211" s="91"/>
      <c r="N211" s="91">
        <v>8</v>
      </c>
      <c r="O211" s="91">
        <v>12</v>
      </c>
      <c r="P211" s="91">
        <v>12</v>
      </c>
      <c r="Q211" s="91">
        <v>6</v>
      </c>
      <c r="R211" s="91">
        <v>12</v>
      </c>
      <c r="S211" s="91">
        <v>12</v>
      </c>
      <c r="T211" s="91">
        <v>8</v>
      </c>
      <c r="U211" s="91">
        <v>8</v>
      </c>
      <c r="V211" s="91">
        <v>8</v>
      </c>
      <c r="W211" s="91">
        <v>8</v>
      </c>
      <c r="X211" s="91">
        <v>12</v>
      </c>
      <c r="Y211" s="91"/>
      <c r="Z211" s="91">
        <v>8</v>
      </c>
      <c r="AA211" s="91">
        <v>6</v>
      </c>
      <c r="AB211" s="91">
        <v>8</v>
      </c>
      <c r="AC211" s="91">
        <v>12</v>
      </c>
      <c r="AD211" s="91">
        <v>8</v>
      </c>
      <c r="AE211" s="91">
        <v>6</v>
      </c>
      <c r="AF211" s="91">
        <v>8</v>
      </c>
      <c r="AG211" s="91">
        <v>8</v>
      </c>
      <c r="AH211" s="91">
        <v>8</v>
      </c>
      <c r="AI211" s="91">
        <v>12</v>
      </c>
      <c r="AJ211" s="91">
        <v>12</v>
      </c>
      <c r="AK211" s="91">
        <v>5</v>
      </c>
      <c r="AL211" s="91">
        <v>8</v>
      </c>
      <c r="AM211" s="91">
        <v>8</v>
      </c>
      <c r="AN211" s="91">
        <v>8</v>
      </c>
      <c r="AO211" s="91">
        <v>12</v>
      </c>
      <c r="AP211" s="91">
        <v>8</v>
      </c>
      <c r="AQ211" s="91">
        <v>8</v>
      </c>
      <c r="AR211" s="91">
        <v>5</v>
      </c>
      <c r="AS211" s="91">
        <v>8</v>
      </c>
      <c r="AT211" s="91">
        <v>8</v>
      </c>
      <c r="AU211" s="91">
        <v>8</v>
      </c>
      <c r="AV211" s="91">
        <v>6</v>
      </c>
      <c r="AW211" s="91">
        <v>8</v>
      </c>
      <c r="AX211" s="91">
        <v>8</v>
      </c>
      <c r="AY211" s="91"/>
      <c r="AZ211" s="91">
        <v>8</v>
      </c>
      <c r="BA211" s="91">
        <v>6</v>
      </c>
      <c r="BB211" s="91">
        <v>8</v>
      </c>
      <c r="BC211" s="91">
        <v>8</v>
      </c>
      <c r="BD211" s="91">
        <v>8</v>
      </c>
      <c r="BE211" s="91">
        <v>8</v>
      </c>
      <c r="BF211" s="91">
        <v>3</v>
      </c>
      <c r="BG211" s="91">
        <v>14</v>
      </c>
      <c r="BH211" s="91"/>
    </row>
    <row r="212" spans="1:60" x14ac:dyDescent="0.25">
      <c r="A212" s="91" t="s">
        <v>447</v>
      </c>
      <c r="B212" s="129">
        <f t="shared" si="14"/>
        <v>418</v>
      </c>
      <c r="C212" s="91">
        <f t="shared" si="15"/>
        <v>48</v>
      </c>
      <c r="D212" s="130">
        <f t="shared" si="16"/>
        <v>0.96</v>
      </c>
      <c r="E212" s="131">
        <v>46225</v>
      </c>
      <c r="F212" s="131">
        <v>46266</v>
      </c>
      <c r="G212" s="91">
        <f t="shared" si="17"/>
        <v>41</v>
      </c>
      <c r="H212" s="91">
        <v>8</v>
      </c>
      <c r="I212" s="91">
        <v>8</v>
      </c>
      <c r="J212" s="91">
        <v>8</v>
      </c>
      <c r="K212" s="91">
        <v>8</v>
      </c>
      <c r="L212" s="91">
        <v>8</v>
      </c>
      <c r="M212" s="91"/>
      <c r="N212" s="91">
        <v>8</v>
      </c>
      <c r="O212" s="91">
        <v>8</v>
      </c>
      <c r="P212" s="91">
        <v>8</v>
      </c>
      <c r="Q212" s="91">
        <v>8</v>
      </c>
      <c r="R212" s="91">
        <v>8</v>
      </c>
      <c r="S212" s="91">
        <v>8</v>
      </c>
      <c r="T212" s="91">
        <v>8</v>
      </c>
      <c r="U212" s="91">
        <v>8</v>
      </c>
      <c r="V212" s="91">
        <v>8</v>
      </c>
      <c r="W212" s="91">
        <v>8</v>
      </c>
      <c r="X212" s="91">
        <v>8</v>
      </c>
      <c r="Y212" s="91">
        <v>8</v>
      </c>
      <c r="Z212" s="91">
        <v>8</v>
      </c>
      <c r="AA212" s="91">
        <v>8</v>
      </c>
      <c r="AB212" s="91">
        <v>8</v>
      </c>
      <c r="AC212" s="91">
        <v>8</v>
      </c>
      <c r="AD212" s="91">
        <v>8</v>
      </c>
      <c r="AE212" s="91">
        <v>8</v>
      </c>
      <c r="AF212" s="91">
        <v>8</v>
      </c>
      <c r="AG212" s="91">
        <v>8</v>
      </c>
      <c r="AH212" s="91">
        <v>8</v>
      </c>
      <c r="AI212" s="91">
        <v>8</v>
      </c>
      <c r="AJ212" s="91">
        <v>8</v>
      </c>
      <c r="AK212" s="91">
        <v>8</v>
      </c>
      <c r="AL212" s="91">
        <v>8</v>
      </c>
      <c r="AM212" s="91">
        <v>8</v>
      </c>
      <c r="AN212" s="91">
        <v>8</v>
      </c>
      <c r="AO212" s="91">
        <v>8</v>
      </c>
      <c r="AP212" s="91">
        <v>8</v>
      </c>
      <c r="AQ212" s="91">
        <v>8</v>
      </c>
      <c r="AR212" s="91">
        <v>8</v>
      </c>
      <c r="AS212" s="91">
        <v>8</v>
      </c>
      <c r="AT212" s="91">
        <v>10</v>
      </c>
      <c r="AU212" s="91">
        <v>8</v>
      </c>
      <c r="AV212" s="91">
        <v>8</v>
      </c>
      <c r="AW212" s="91">
        <v>8</v>
      </c>
      <c r="AX212" s="91">
        <v>8</v>
      </c>
      <c r="AY212" s="91"/>
      <c r="AZ212" s="91">
        <v>8</v>
      </c>
      <c r="BA212" s="91">
        <v>8</v>
      </c>
      <c r="BB212" s="91">
        <v>8</v>
      </c>
      <c r="BC212" s="91">
        <v>8</v>
      </c>
      <c r="BD212" s="91">
        <v>8</v>
      </c>
      <c r="BE212" s="91">
        <v>8</v>
      </c>
      <c r="BF212" s="91">
        <v>16</v>
      </c>
      <c r="BG212" s="91">
        <v>16</v>
      </c>
      <c r="BH212" s="91"/>
    </row>
    <row r="213" spans="1:60" x14ac:dyDescent="0.25">
      <c r="A213" s="91" t="s">
        <v>177</v>
      </c>
      <c r="B213" s="129">
        <f t="shared" si="14"/>
        <v>418</v>
      </c>
      <c r="C213" s="91">
        <f t="shared" si="15"/>
        <v>48</v>
      </c>
      <c r="D213" s="130">
        <f t="shared" si="16"/>
        <v>0.96</v>
      </c>
      <c r="E213" s="131">
        <v>46300</v>
      </c>
      <c r="F213" s="131">
        <v>46309</v>
      </c>
      <c r="G213" s="91">
        <f t="shared" si="17"/>
        <v>9</v>
      </c>
      <c r="H213" s="91">
        <v>8</v>
      </c>
      <c r="I213" s="91">
        <v>8</v>
      </c>
      <c r="J213" s="91">
        <v>8</v>
      </c>
      <c r="K213" s="91">
        <v>8</v>
      </c>
      <c r="L213" s="91">
        <v>8</v>
      </c>
      <c r="M213" s="91"/>
      <c r="N213" s="91">
        <v>8</v>
      </c>
      <c r="O213" s="91">
        <v>8</v>
      </c>
      <c r="P213" s="91">
        <v>8</v>
      </c>
      <c r="Q213" s="91">
        <v>8</v>
      </c>
      <c r="R213" s="91">
        <v>8</v>
      </c>
      <c r="S213" s="91">
        <v>8</v>
      </c>
      <c r="T213" s="91">
        <v>8</v>
      </c>
      <c r="U213" s="91">
        <v>8</v>
      </c>
      <c r="V213" s="91">
        <v>8</v>
      </c>
      <c r="W213" s="91">
        <v>8</v>
      </c>
      <c r="X213" s="91">
        <v>8</v>
      </c>
      <c r="Y213" s="91">
        <v>8</v>
      </c>
      <c r="Z213" s="91">
        <v>8</v>
      </c>
      <c r="AA213" s="91">
        <v>8</v>
      </c>
      <c r="AB213" s="91">
        <v>8</v>
      </c>
      <c r="AC213" s="91">
        <v>8</v>
      </c>
      <c r="AD213" s="91">
        <v>8</v>
      </c>
      <c r="AE213" s="91">
        <v>8</v>
      </c>
      <c r="AF213" s="91">
        <v>8</v>
      </c>
      <c r="AG213" s="91">
        <v>8</v>
      </c>
      <c r="AH213" s="91">
        <v>8</v>
      </c>
      <c r="AI213" s="91">
        <v>8</v>
      </c>
      <c r="AJ213" s="91">
        <v>8</v>
      </c>
      <c r="AK213" s="91">
        <v>8</v>
      </c>
      <c r="AL213" s="91">
        <v>8</v>
      </c>
      <c r="AM213" s="91">
        <v>8</v>
      </c>
      <c r="AN213" s="91">
        <v>8</v>
      </c>
      <c r="AO213" s="91">
        <v>8</v>
      </c>
      <c r="AP213" s="91">
        <v>8</v>
      </c>
      <c r="AQ213" s="91">
        <v>8</v>
      </c>
      <c r="AR213" s="91">
        <v>8</v>
      </c>
      <c r="AS213" s="91">
        <v>8</v>
      </c>
      <c r="AT213" s="91">
        <v>8</v>
      </c>
      <c r="AU213" s="91">
        <v>8</v>
      </c>
      <c r="AV213" s="91">
        <v>10</v>
      </c>
      <c r="AW213" s="91">
        <v>8</v>
      </c>
      <c r="AX213" s="91">
        <v>8</v>
      </c>
      <c r="AY213" s="91"/>
      <c r="AZ213" s="91">
        <v>8</v>
      </c>
      <c r="BA213" s="91">
        <v>8</v>
      </c>
      <c r="BB213" s="91">
        <v>8</v>
      </c>
      <c r="BC213" s="91">
        <v>8</v>
      </c>
      <c r="BD213" s="91">
        <v>8</v>
      </c>
      <c r="BE213" s="91">
        <v>8</v>
      </c>
      <c r="BF213" s="91">
        <v>16</v>
      </c>
      <c r="BG213" s="91">
        <v>16</v>
      </c>
      <c r="BH213" s="91"/>
    </row>
    <row r="214" spans="1:60" x14ac:dyDescent="0.25">
      <c r="A214" s="91" t="s">
        <v>362</v>
      </c>
      <c r="B214" s="129">
        <f t="shared" si="14"/>
        <v>416</v>
      </c>
      <c r="C214" s="91">
        <f t="shared" si="15"/>
        <v>49</v>
      </c>
      <c r="D214" s="130">
        <f t="shared" si="16"/>
        <v>0.98</v>
      </c>
      <c r="E214" s="131">
        <v>46225</v>
      </c>
      <c r="F214" s="131">
        <v>46310</v>
      </c>
      <c r="G214" s="91">
        <f t="shared" si="17"/>
        <v>85</v>
      </c>
      <c r="H214" s="91">
        <v>8</v>
      </c>
      <c r="I214" s="91">
        <v>8</v>
      </c>
      <c r="J214" s="91">
        <v>8</v>
      </c>
      <c r="K214" s="91">
        <v>8</v>
      </c>
      <c r="L214" s="91">
        <v>8</v>
      </c>
      <c r="M214" s="91">
        <v>6</v>
      </c>
      <c r="N214" s="91">
        <v>8</v>
      </c>
      <c r="O214" s="91">
        <v>8</v>
      </c>
      <c r="P214" s="91">
        <v>8</v>
      </c>
      <c r="Q214" s="91">
        <v>8</v>
      </c>
      <c r="R214" s="91">
        <v>8</v>
      </c>
      <c r="S214" s="91">
        <v>8</v>
      </c>
      <c r="T214" s="91">
        <v>8</v>
      </c>
      <c r="U214" s="91">
        <v>8</v>
      </c>
      <c r="V214" s="91">
        <v>8</v>
      </c>
      <c r="W214" s="91">
        <v>8</v>
      </c>
      <c r="X214" s="91">
        <v>8</v>
      </c>
      <c r="Y214" s="91">
        <v>2</v>
      </c>
      <c r="Z214" s="91">
        <v>8</v>
      </c>
      <c r="AA214" s="91">
        <v>8</v>
      </c>
      <c r="AB214" s="91">
        <v>8</v>
      </c>
      <c r="AC214" s="91">
        <v>8</v>
      </c>
      <c r="AD214" s="91">
        <v>8</v>
      </c>
      <c r="AE214" s="91">
        <v>8</v>
      </c>
      <c r="AF214" s="91">
        <v>8</v>
      </c>
      <c r="AG214" s="91">
        <v>8</v>
      </c>
      <c r="AH214" s="91">
        <v>8</v>
      </c>
      <c r="AI214" s="91">
        <v>8</v>
      </c>
      <c r="AJ214" s="91">
        <v>8</v>
      </c>
      <c r="AK214" s="91">
        <v>8</v>
      </c>
      <c r="AL214" s="91">
        <v>8</v>
      </c>
      <c r="AM214" s="91">
        <v>8</v>
      </c>
      <c r="AN214" s="91">
        <v>8</v>
      </c>
      <c r="AO214" s="91">
        <v>8</v>
      </c>
      <c r="AP214" s="91">
        <v>8</v>
      </c>
      <c r="AQ214" s="91">
        <v>10</v>
      </c>
      <c r="AR214" s="91">
        <v>8</v>
      </c>
      <c r="AS214" s="91">
        <v>8</v>
      </c>
      <c r="AT214" s="91">
        <v>8</v>
      </c>
      <c r="AU214" s="91">
        <v>8</v>
      </c>
      <c r="AV214" s="91">
        <v>8</v>
      </c>
      <c r="AW214" s="91">
        <v>8</v>
      </c>
      <c r="AX214" s="91">
        <v>8</v>
      </c>
      <c r="AY214" s="91"/>
      <c r="AZ214" s="91">
        <v>8</v>
      </c>
      <c r="BA214" s="91">
        <v>8</v>
      </c>
      <c r="BB214" s="91">
        <v>8</v>
      </c>
      <c r="BC214" s="91">
        <v>8</v>
      </c>
      <c r="BD214" s="91">
        <v>8</v>
      </c>
      <c r="BE214" s="91">
        <v>8</v>
      </c>
      <c r="BF214" s="91">
        <v>14</v>
      </c>
      <c r="BG214" s="91">
        <v>16</v>
      </c>
      <c r="BH214" s="91"/>
    </row>
    <row r="215" spans="1:60" x14ac:dyDescent="0.25">
      <c r="A215" s="91" t="s">
        <v>439</v>
      </c>
      <c r="B215" s="129">
        <f t="shared" si="14"/>
        <v>416</v>
      </c>
      <c r="C215" s="91">
        <f t="shared" si="15"/>
        <v>48</v>
      </c>
      <c r="D215" s="130">
        <f t="shared" si="16"/>
        <v>0.96</v>
      </c>
      <c r="E215" s="131">
        <v>46225</v>
      </c>
      <c r="F215" s="131">
        <v>46310</v>
      </c>
      <c r="G215" s="91">
        <f t="shared" si="17"/>
        <v>85</v>
      </c>
      <c r="H215" s="91">
        <v>8</v>
      </c>
      <c r="I215" s="91">
        <v>8</v>
      </c>
      <c r="J215" s="91">
        <v>8</v>
      </c>
      <c r="K215" s="91">
        <v>8</v>
      </c>
      <c r="L215" s="91">
        <v>8</v>
      </c>
      <c r="M215" s="91"/>
      <c r="N215" s="91">
        <v>8</v>
      </c>
      <c r="O215" s="91">
        <v>8</v>
      </c>
      <c r="P215" s="91">
        <v>8</v>
      </c>
      <c r="Q215" s="91">
        <v>8</v>
      </c>
      <c r="R215" s="91">
        <v>8</v>
      </c>
      <c r="S215" s="91">
        <v>8</v>
      </c>
      <c r="T215" s="91">
        <v>8</v>
      </c>
      <c r="U215" s="91">
        <v>8</v>
      </c>
      <c r="V215" s="91">
        <v>8</v>
      </c>
      <c r="W215" s="91">
        <v>8</v>
      </c>
      <c r="X215" s="91">
        <v>8</v>
      </c>
      <c r="Y215" s="91">
        <v>2</v>
      </c>
      <c r="Z215" s="91">
        <v>8</v>
      </c>
      <c r="AA215" s="91">
        <v>8</v>
      </c>
      <c r="AB215" s="91">
        <v>8</v>
      </c>
      <c r="AC215" s="91">
        <v>8</v>
      </c>
      <c r="AD215" s="91">
        <v>8</v>
      </c>
      <c r="AE215" s="91">
        <v>8</v>
      </c>
      <c r="AF215" s="91">
        <v>8</v>
      </c>
      <c r="AG215" s="91">
        <v>8</v>
      </c>
      <c r="AH215" s="91">
        <v>8</v>
      </c>
      <c r="AI215" s="91">
        <v>8</v>
      </c>
      <c r="AJ215" s="91">
        <v>8</v>
      </c>
      <c r="AK215" s="91">
        <v>8</v>
      </c>
      <c r="AL215" s="91">
        <v>8</v>
      </c>
      <c r="AM215" s="91">
        <v>8</v>
      </c>
      <c r="AN215" s="91">
        <v>8</v>
      </c>
      <c r="AO215" s="91">
        <v>8</v>
      </c>
      <c r="AP215" s="91">
        <v>8</v>
      </c>
      <c r="AQ215" s="91">
        <v>8</v>
      </c>
      <c r="AR215" s="91">
        <v>8</v>
      </c>
      <c r="AS215" s="91">
        <v>8</v>
      </c>
      <c r="AT215" s="91">
        <v>8</v>
      </c>
      <c r="AU215" s="91">
        <v>8</v>
      </c>
      <c r="AV215" s="91">
        <v>10</v>
      </c>
      <c r="AW215" s="91">
        <v>8</v>
      </c>
      <c r="AX215" s="91">
        <v>8</v>
      </c>
      <c r="AY215" s="91"/>
      <c r="AZ215" s="91">
        <v>8</v>
      </c>
      <c r="BA215" s="91">
        <v>8</v>
      </c>
      <c r="BB215" s="91">
        <v>10</v>
      </c>
      <c r="BC215" s="91">
        <v>10</v>
      </c>
      <c r="BD215" s="91">
        <v>8</v>
      </c>
      <c r="BE215" s="91">
        <v>8</v>
      </c>
      <c r="BF215" s="91">
        <v>16</v>
      </c>
      <c r="BG215" s="91">
        <v>16</v>
      </c>
      <c r="BH215" s="91"/>
    </row>
    <row r="216" spans="1:60" x14ac:dyDescent="0.25">
      <c r="A216" s="91" t="s">
        <v>123</v>
      </c>
      <c r="B216" s="129">
        <f t="shared" si="14"/>
        <v>416</v>
      </c>
      <c r="C216" s="91">
        <f t="shared" si="15"/>
        <v>33</v>
      </c>
      <c r="D216" s="130">
        <f t="shared" si="16"/>
        <v>0.66</v>
      </c>
      <c r="E216" s="131">
        <v>46287</v>
      </c>
      <c r="F216" s="131">
        <v>46322</v>
      </c>
      <c r="G216" s="91">
        <f t="shared" si="17"/>
        <v>35</v>
      </c>
      <c r="H216" s="91"/>
      <c r="I216" s="91"/>
      <c r="J216" s="91">
        <v>12</v>
      </c>
      <c r="K216" s="91">
        <v>12</v>
      </c>
      <c r="L216" s="91">
        <v>12</v>
      </c>
      <c r="M216" s="91"/>
      <c r="N216" s="91">
        <v>12</v>
      </c>
      <c r="O216" s="91">
        <v>12</v>
      </c>
      <c r="P216" s="91">
        <v>12</v>
      </c>
      <c r="Q216" s="91">
        <v>12</v>
      </c>
      <c r="R216" s="91"/>
      <c r="S216" s="91">
        <v>12</v>
      </c>
      <c r="T216" s="91">
        <v>12</v>
      </c>
      <c r="U216" s="91"/>
      <c r="V216" s="91">
        <v>12</v>
      </c>
      <c r="W216" s="91">
        <v>12</v>
      </c>
      <c r="X216" s="91">
        <v>12</v>
      </c>
      <c r="Y216" s="91">
        <v>1</v>
      </c>
      <c r="Z216" s="91"/>
      <c r="AA216" s="91"/>
      <c r="AB216" s="91">
        <v>12</v>
      </c>
      <c r="AC216" s="91">
        <v>12</v>
      </c>
      <c r="AD216" s="91">
        <v>12</v>
      </c>
      <c r="AE216" s="91"/>
      <c r="AF216" s="91">
        <v>12</v>
      </c>
      <c r="AG216" s="91">
        <v>12</v>
      </c>
      <c r="AH216" s="91">
        <v>12</v>
      </c>
      <c r="AI216" s="91">
        <v>12</v>
      </c>
      <c r="AJ216" s="91">
        <v>12</v>
      </c>
      <c r="AK216" s="91"/>
      <c r="AL216" s="91">
        <v>12</v>
      </c>
      <c r="AM216" s="91">
        <v>12</v>
      </c>
      <c r="AN216" s="91">
        <v>12</v>
      </c>
      <c r="AO216" s="91">
        <v>12</v>
      </c>
      <c r="AP216" s="91">
        <v>12</v>
      </c>
      <c r="AQ216" s="91"/>
      <c r="AR216" s="91"/>
      <c r="AS216" s="91">
        <v>12</v>
      </c>
      <c r="AT216" s="91">
        <v>12</v>
      </c>
      <c r="AU216" s="91"/>
      <c r="AV216" s="91"/>
      <c r="AW216" s="91">
        <v>12</v>
      </c>
      <c r="AX216" s="91"/>
      <c r="AY216" s="91"/>
      <c r="AZ216" s="91"/>
      <c r="BA216" s="91"/>
      <c r="BB216" s="91">
        <v>12</v>
      </c>
      <c r="BC216" s="91">
        <v>12</v>
      </c>
      <c r="BD216" s="91">
        <v>12</v>
      </c>
      <c r="BE216" s="91">
        <v>12</v>
      </c>
      <c r="BF216" s="91">
        <v>8</v>
      </c>
      <c r="BG216" s="91">
        <v>23</v>
      </c>
      <c r="BH216" s="91"/>
    </row>
    <row r="217" spans="1:60" x14ac:dyDescent="0.25">
      <c r="A217" s="91" t="s">
        <v>253</v>
      </c>
      <c r="B217" s="129">
        <f t="shared" si="14"/>
        <v>415</v>
      </c>
      <c r="C217" s="91">
        <f t="shared" si="15"/>
        <v>49</v>
      </c>
      <c r="D217" s="130">
        <f t="shared" si="16"/>
        <v>0.98</v>
      </c>
      <c r="E217" s="131">
        <v>46245</v>
      </c>
      <c r="F217" s="131">
        <v>46301</v>
      </c>
      <c r="G217" s="91">
        <f t="shared" si="17"/>
        <v>56</v>
      </c>
      <c r="H217" s="91">
        <v>8</v>
      </c>
      <c r="I217" s="91">
        <v>8</v>
      </c>
      <c r="J217" s="91">
        <v>8</v>
      </c>
      <c r="K217" s="91">
        <v>8</v>
      </c>
      <c r="L217" s="91">
        <v>8</v>
      </c>
      <c r="M217" s="91">
        <v>7</v>
      </c>
      <c r="N217" s="91">
        <v>8</v>
      </c>
      <c r="O217" s="91">
        <v>8</v>
      </c>
      <c r="P217" s="91">
        <v>8</v>
      </c>
      <c r="Q217" s="91">
        <v>8</v>
      </c>
      <c r="R217" s="91">
        <v>8</v>
      </c>
      <c r="S217" s="91">
        <v>8</v>
      </c>
      <c r="T217" s="91">
        <v>8</v>
      </c>
      <c r="U217" s="91">
        <v>8</v>
      </c>
      <c r="V217" s="91">
        <v>9</v>
      </c>
      <c r="W217" s="91">
        <v>8</v>
      </c>
      <c r="X217" s="91">
        <v>8</v>
      </c>
      <c r="Y217" s="91">
        <v>2</v>
      </c>
      <c r="Z217" s="91">
        <v>8</v>
      </c>
      <c r="AA217" s="91">
        <v>8</v>
      </c>
      <c r="AB217" s="91">
        <v>8</v>
      </c>
      <c r="AC217" s="91">
        <v>8</v>
      </c>
      <c r="AD217" s="91">
        <v>8</v>
      </c>
      <c r="AE217" s="91">
        <v>8</v>
      </c>
      <c r="AF217" s="91">
        <v>8</v>
      </c>
      <c r="AG217" s="91">
        <v>8</v>
      </c>
      <c r="AH217" s="91">
        <v>8</v>
      </c>
      <c r="AI217" s="91">
        <v>8</v>
      </c>
      <c r="AJ217" s="91">
        <v>8</v>
      </c>
      <c r="AK217" s="91">
        <v>8</v>
      </c>
      <c r="AL217" s="91">
        <v>8</v>
      </c>
      <c r="AM217" s="91">
        <v>8</v>
      </c>
      <c r="AN217" s="91">
        <v>8</v>
      </c>
      <c r="AO217" s="91">
        <v>8</v>
      </c>
      <c r="AP217" s="91">
        <v>8</v>
      </c>
      <c r="AQ217" s="91">
        <v>8</v>
      </c>
      <c r="AR217" s="91">
        <v>8</v>
      </c>
      <c r="AS217" s="91">
        <v>8</v>
      </c>
      <c r="AT217" s="91">
        <v>8</v>
      </c>
      <c r="AU217" s="91">
        <v>8</v>
      </c>
      <c r="AV217" s="91">
        <v>8</v>
      </c>
      <c r="AW217" s="91">
        <v>8</v>
      </c>
      <c r="AX217" s="91">
        <v>8</v>
      </c>
      <c r="AY217" s="91"/>
      <c r="AZ217" s="91">
        <v>8</v>
      </c>
      <c r="BA217" s="91">
        <v>8</v>
      </c>
      <c r="BB217" s="91">
        <v>8</v>
      </c>
      <c r="BC217" s="91">
        <v>8</v>
      </c>
      <c r="BD217" s="91">
        <v>8</v>
      </c>
      <c r="BE217" s="91">
        <v>8</v>
      </c>
      <c r="BF217" s="91">
        <v>16</v>
      </c>
      <c r="BG217" s="91">
        <v>13</v>
      </c>
      <c r="BH217" s="91"/>
    </row>
    <row r="218" spans="1:60" x14ac:dyDescent="0.25">
      <c r="A218" s="91" t="s">
        <v>584</v>
      </c>
      <c r="B218" s="129">
        <f t="shared" si="14"/>
        <v>414</v>
      </c>
      <c r="C218" s="91">
        <f t="shared" si="15"/>
        <v>48</v>
      </c>
      <c r="D218" s="130">
        <f t="shared" si="16"/>
        <v>0.96</v>
      </c>
      <c r="E218" s="131">
        <v>46213</v>
      </c>
      <c r="F218" s="131">
        <v>46301</v>
      </c>
      <c r="G218" s="91">
        <f t="shared" si="17"/>
        <v>88</v>
      </c>
      <c r="H218" s="91">
        <v>8</v>
      </c>
      <c r="I218" s="91">
        <v>8</v>
      </c>
      <c r="J218" s="91">
        <v>8</v>
      </c>
      <c r="K218" s="91">
        <v>8</v>
      </c>
      <c r="L218" s="91">
        <v>8</v>
      </c>
      <c r="M218" s="91"/>
      <c r="N218" s="91">
        <v>8</v>
      </c>
      <c r="O218" s="91">
        <v>8</v>
      </c>
      <c r="P218" s="91">
        <v>8</v>
      </c>
      <c r="Q218" s="91">
        <v>8</v>
      </c>
      <c r="R218" s="91">
        <v>8</v>
      </c>
      <c r="S218" s="91">
        <v>8</v>
      </c>
      <c r="T218" s="91">
        <v>8</v>
      </c>
      <c r="U218" s="91">
        <v>8</v>
      </c>
      <c r="V218" s="91">
        <v>8</v>
      </c>
      <c r="W218" s="91">
        <v>10</v>
      </c>
      <c r="X218" s="91">
        <v>8</v>
      </c>
      <c r="Y218" s="91">
        <v>1</v>
      </c>
      <c r="Z218" s="91">
        <v>8</v>
      </c>
      <c r="AA218" s="91">
        <v>8</v>
      </c>
      <c r="AB218" s="91">
        <v>8</v>
      </c>
      <c r="AC218" s="91">
        <v>8</v>
      </c>
      <c r="AD218" s="91">
        <v>8</v>
      </c>
      <c r="AE218" s="91">
        <v>8</v>
      </c>
      <c r="AF218" s="91">
        <v>8</v>
      </c>
      <c r="AG218" s="91">
        <v>8</v>
      </c>
      <c r="AH218" s="91">
        <v>8</v>
      </c>
      <c r="AI218" s="91">
        <v>8</v>
      </c>
      <c r="AJ218" s="91">
        <v>8</v>
      </c>
      <c r="AK218" s="91">
        <v>8</v>
      </c>
      <c r="AL218" s="91">
        <v>8</v>
      </c>
      <c r="AM218" s="91">
        <v>8</v>
      </c>
      <c r="AN218" s="91">
        <v>8</v>
      </c>
      <c r="AO218" s="91">
        <v>8</v>
      </c>
      <c r="AP218" s="91">
        <v>8</v>
      </c>
      <c r="AQ218" s="91">
        <v>8</v>
      </c>
      <c r="AR218" s="91">
        <v>8</v>
      </c>
      <c r="AS218" s="91">
        <v>8</v>
      </c>
      <c r="AT218" s="91">
        <v>8</v>
      </c>
      <c r="AU218" s="91">
        <v>8</v>
      </c>
      <c r="AV218" s="91">
        <v>8</v>
      </c>
      <c r="AW218" s="91">
        <v>8</v>
      </c>
      <c r="AX218" s="91">
        <v>8</v>
      </c>
      <c r="AY218" s="91"/>
      <c r="AZ218" s="91">
        <v>8</v>
      </c>
      <c r="BA218" s="91">
        <v>8</v>
      </c>
      <c r="BB218" s="91">
        <v>8</v>
      </c>
      <c r="BC218" s="91">
        <v>8</v>
      </c>
      <c r="BD218" s="91">
        <v>14</v>
      </c>
      <c r="BE218" s="91">
        <v>8</v>
      </c>
      <c r="BF218" s="91">
        <v>14</v>
      </c>
      <c r="BG218" s="91">
        <v>14</v>
      </c>
      <c r="BH218" s="91">
        <v>1</v>
      </c>
    </row>
    <row r="219" spans="1:60" x14ac:dyDescent="0.25">
      <c r="A219" s="91" t="s">
        <v>298</v>
      </c>
      <c r="B219" s="129">
        <f t="shared" si="14"/>
        <v>414</v>
      </c>
      <c r="C219" s="91">
        <f t="shared" si="15"/>
        <v>47</v>
      </c>
      <c r="D219" s="130">
        <f t="shared" si="16"/>
        <v>0.94</v>
      </c>
      <c r="E219" s="131">
        <v>46219</v>
      </c>
      <c r="F219" s="131">
        <v>46282</v>
      </c>
      <c r="G219" s="91">
        <f t="shared" si="17"/>
        <v>63</v>
      </c>
      <c r="H219" s="91">
        <v>8</v>
      </c>
      <c r="I219" s="91">
        <v>8</v>
      </c>
      <c r="J219" s="91">
        <v>8</v>
      </c>
      <c r="K219" s="91">
        <v>8</v>
      </c>
      <c r="L219" s="91">
        <v>8</v>
      </c>
      <c r="M219" s="91"/>
      <c r="N219" s="91">
        <v>8</v>
      </c>
      <c r="O219" s="91">
        <v>8</v>
      </c>
      <c r="P219" s="91">
        <v>8</v>
      </c>
      <c r="Q219" s="91">
        <v>8</v>
      </c>
      <c r="R219" s="91">
        <v>8</v>
      </c>
      <c r="S219" s="91">
        <v>8</v>
      </c>
      <c r="T219" s="91">
        <v>8</v>
      </c>
      <c r="U219" s="91">
        <v>8</v>
      </c>
      <c r="V219" s="91">
        <v>8</v>
      </c>
      <c r="W219" s="91">
        <v>8</v>
      </c>
      <c r="X219" s="91">
        <v>8</v>
      </c>
      <c r="Y219" s="91"/>
      <c r="Z219" s="91">
        <v>8</v>
      </c>
      <c r="AA219" s="91">
        <v>8</v>
      </c>
      <c r="AB219" s="91">
        <v>8</v>
      </c>
      <c r="AC219" s="91">
        <v>8</v>
      </c>
      <c r="AD219" s="91">
        <v>8</v>
      </c>
      <c r="AE219" s="91">
        <v>8</v>
      </c>
      <c r="AF219" s="91">
        <v>8</v>
      </c>
      <c r="AG219" s="91">
        <v>8</v>
      </c>
      <c r="AH219" s="91">
        <v>8</v>
      </c>
      <c r="AI219" s="91">
        <v>8</v>
      </c>
      <c r="AJ219" s="91">
        <v>8</v>
      </c>
      <c r="AK219" s="91">
        <v>8</v>
      </c>
      <c r="AL219" s="91">
        <v>8</v>
      </c>
      <c r="AM219" s="91">
        <v>8</v>
      </c>
      <c r="AN219" s="91">
        <v>8</v>
      </c>
      <c r="AO219" s="91">
        <v>8</v>
      </c>
      <c r="AP219" s="91">
        <v>8</v>
      </c>
      <c r="AQ219" s="91">
        <v>8</v>
      </c>
      <c r="AR219" s="91">
        <v>8</v>
      </c>
      <c r="AS219" s="91">
        <v>8</v>
      </c>
      <c r="AT219" s="91">
        <v>8</v>
      </c>
      <c r="AU219" s="91">
        <v>8</v>
      </c>
      <c r="AV219" s="91">
        <v>8</v>
      </c>
      <c r="AW219" s="91">
        <v>8</v>
      </c>
      <c r="AX219" s="91">
        <v>8</v>
      </c>
      <c r="AY219" s="91"/>
      <c r="AZ219" s="91">
        <v>8</v>
      </c>
      <c r="BA219" s="91">
        <v>8</v>
      </c>
      <c r="BB219" s="91">
        <v>8</v>
      </c>
      <c r="BC219" s="91">
        <v>8</v>
      </c>
      <c r="BD219" s="91">
        <v>14</v>
      </c>
      <c r="BE219" s="91">
        <v>8</v>
      </c>
      <c r="BF219" s="91">
        <v>16</v>
      </c>
      <c r="BG219" s="91">
        <v>16</v>
      </c>
      <c r="BH219" s="91"/>
    </row>
    <row r="220" spans="1:60" x14ac:dyDescent="0.25">
      <c r="A220" s="91" t="s">
        <v>379</v>
      </c>
      <c r="B220" s="129">
        <f t="shared" si="14"/>
        <v>413</v>
      </c>
      <c r="C220" s="91">
        <f t="shared" si="15"/>
        <v>48</v>
      </c>
      <c r="D220" s="130">
        <f t="shared" si="16"/>
        <v>0.96</v>
      </c>
      <c r="E220" s="131">
        <v>46213</v>
      </c>
      <c r="F220" s="131">
        <v>46310</v>
      </c>
      <c r="G220" s="91">
        <f t="shared" si="17"/>
        <v>97</v>
      </c>
      <c r="H220" s="91">
        <v>8</v>
      </c>
      <c r="I220" s="91">
        <v>8</v>
      </c>
      <c r="J220" s="91">
        <v>8</v>
      </c>
      <c r="K220" s="91">
        <v>8</v>
      </c>
      <c r="L220" s="91">
        <v>8</v>
      </c>
      <c r="M220" s="91"/>
      <c r="N220" s="91">
        <v>8</v>
      </c>
      <c r="O220" s="91">
        <v>8</v>
      </c>
      <c r="P220" s="91">
        <v>8</v>
      </c>
      <c r="Q220" s="91">
        <v>8</v>
      </c>
      <c r="R220" s="91">
        <v>8</v>
      </c>
      <c r="S220" s="91">
        <v>8</v>
      </c>
      <c r="T220" s="91">
        <v>8</v>
      </c>
      <c r="U220" s="91">
        <v>8</v>
      </c>
      <c r="V220" s="91">
        <v>8</v>
      </c>
      <c r="W220" s="91">
        <v>10</v>
      </c>
      <c r="X220" s="91">
        <v>8</v>
      </c>
      <c r="Y220" s="91">
        <v>1</v>
      </c>
      <c r="Z220" s="91">
        <v>8</v>
      </c>
      <c r="AA220" s="91">
        <v>8</v>
      </c>
      <c r="AB220" s="91">
        <v>8</v>
      </c>
      <c r="AC220" s="91">
        <v>8</v>
      </c>
      <c r="AD220" s="91">
        <v>8</v>
      </c>
      <c r="AE220" s="91">
        <v>8</v>
      </c>
      <c r="AF220" s="91">
        <v>8</v>
      </c>
      <c r="AG220" s="91">
        <v>8</v>
      </c>
      <c r="AH220" s="91">
        <v>8</v>
      </c>
      <c r="AI220" s="91">
        <v>8</v>
      </c>
      <c r="AJ220" s="91">
        <v>8</v>
      </c>
      <c r="AK220" s="91">
        <v>8</v>
      </c>
      <c r="AL220" s="91">
        <v>8</v>
      </c>
      <c r="AM220" s="91">
        <v>8</v>
      </c>
      <c r="AN220" s="91">
        <v>8</v>
      </c>
      <c r="AO220" s="91">
        <v>8</v>
      </c>
      <c r="AP220" s="91">
        <v>8</v>
      </c>
      <c r="AQ220" s="91">
        <v>8</v>
      </c>
      <c r="AR220" s="91">
        <v>8</v>
      </c>
      <c r="AS220" s="91">
        <v>8</v>
      </c>
      <c r="AT220" s="91">
        <v>8</v>
      </c>
      <c r="AU220" s="91">
        <v>8</v>
      </c>
      <c r="AV220" s="91">
        <v>8</v>
      </c>
      <c r="AW220" s="91">
        <v>8</v>
      </c>
      <c r="AX220" s="91">
        <v>8</v>
      </c>
      <c r="AY220" s="91"/>
      <c r="AZ220" s="91">
        <v>8</v>
      </c>
      <c r="BA220" s="91">
        <v>8</v>
      </c>
      <c r="BB220" s="91">
        <v>8</v>
      </c>
      <c r="BC220" s="91">
        <v>8</v>
      </c>
      <c r="BD220" s="91">
        <v>14</v>
      </c>
      <c r="BE220" s="91">
        <v>8</v>
      </c>
      <c r="BF220" s="91">
        <v>14</v>
      </c>
      <c r="BG220" s="91">
        <v>14</v>
      </c>
      <c r="BH220" s="91"/>
    </row>
    <row r="221" spans="1:60" x14ac:dyDescent="0.25">
      <c r="A221" s="91" t="s">
        <v>451</v>
      </c>
      <c r="B221" s="129">
        <f t="shared" si="14"/>
        <v>412</v>
      </c>
      <c r="C221" s="91">
        <f t="shared" si="15"/>
        <v>48</v>
      </c>
      <c r="D221" s="130">
        <f t="shared" si="16"/>
        <v>0.96</v>
      </c>
      <c r="E221" s="131">
        <v>46219</v>
      </c>
      <c r="F221" s="131">
        <v>46253</v>
      </c>
      <c r="G221" s="91">
        <f t="shared" si="17"/>
        <v>34</v>
      </c>
      <c r="H221" s="91">
        <v>8</v>
      </c>
      <c r="I221" s="91">
        <v>8</v>
      </c>
      <c r="J221" s="91">
        <v>8</v>
      </c>
      <c r="K221" s="91">
        <v>8</v>
      </c>
      <c r="L221" s="91">
        <v>8</v>
      </c>
      <c r="M221" s="91"/>
      <c r="N221" s="91">
        <v>8</v>
      </c>
      <c r="O221" s="91">
        <v>8</v>
      </c>
      <c r="P221" s="91">
        <v>8</v>
      </c>
      <c r="Q221" s="91">
        <v>8</v>
      </c>
      <c r="R221" s="91">
        <v>8</v>
      </c>
      <c r="S221" s="91">
        <v>8</v>
      </c>
      <c r="T221" s="91">
        <v>8</v>
      </c>
      <c r="U221" s="91">
        <v>8</v>
      </c>
      <c r="V221" s="91">
        <v>8</v>
      </c>
      <c r="W221" s="91">
        <v>8</v>
      </c>
      <c r="X221" s="91">
        <v>8</v>
      </c>
      <c r="Y221" s="91">
        <v>8</v>
      </c>
      <c r="Z221" s="91">
        <v>8</v>
      </c>
      <c r="AA221" s="91">
        <v>8</v>
      </c>
      <c r="AB221" s="91">
        <v>8</v>
      </c>
      <c r="AC221" s="91">
        <v>8</v>
      </c>
      <c r="AD221" s="91">
        <v>8</v>
      </c>
      <c r="AE221" s="91">
        <v>8</v>
      </c>
      <c r="AF221" s="91">
        <v>8</v>
      </c>
      <c r="AG221" s="91">
        <v>8</v>
      </c>
      <c r="AH221" s="91">
        <v>8</v>
      </c>
      <c r="AI221" s="91">
        <v>8</v>
      </c>
      <c r="AJ221" s="91">
        <v>8</v>
      </c>
      <c r="AK221" s="91">
        <v>8</v>
      </c>
      <c r="AL221" s="91">
        <v>8</v>
      </c>
      <c r="AM221" s="91">
        <v>8</v>
      </c>
      <c r="AN221" s="91">
        <v>8</v>
      </c>
      <c r="AO221" s="91">
        <v>8</v>
      </c>
      <c r="AP221" s="91">
        <v>8</v>
      </c>
      <c r="AQ221" s="91">
        <v>8</v>
      </c>
      <c r="AR221" s="91">
        <v>8</v>
      </c>
      <c r="AS221" s="91">
        <v>8</v>
      </c>
      <c r="AT221" s="91">
        <v>8</v>
      </c>
      <c r="AU221" s="91">
        <v>8</v>
      </c>
      <c r="AV221" s="91">
        <v>8</v>
      </c>
      <c r="AW221" s="91">
        <v>8</v>
      </c>
      <c r="AX221" s="91">
        <v>8</v>
      </c>
      <c r="AY221" s="91"/>
      <c r="AZ221" s="91">
        <v>8</v>
      </c>
      <c r="BA221" s="91">
        <v>8</v>
      </c>
      <c r="BB221" s="91">
        <v>8</v>
      </c>
      <c r="BC221" s="91">
        <v>8</v>
      </c>
      <c r="BD221" s="91">
        <v>14</v>
      </c>
      <c r="BE221" s="91">
        <v>8</v>
      </c>
      <c r="BF221" s="91">
        <v>10</v>
      </c>
      <c r="BG221" s="91">
        <v>12</v>
      </c>
      <c r="BH221" s="91"/>
    </row>
    <row r="222" spans="1:60" x14ac:dyDescent="0.25">
      <c r="A222" s="91" t="s">
        <v>460</v>
      </c>
      <c r="B222" s="129">
        <f t="shared" si="14"/>
        <v>412</v>
      </c>
      <c r="C222" s="91">
        <f t="shared" si="15"/>
        <v>48</v>
      </c>
      <c r="D222" s="130">
        <f t="shared" si="16"/>
        <v>0.96</v>
      </c>
      <c r="E222" s="131">
        <v>46225</v>
      </c>
      <c r="F222" s="131">
        <v>46254</v>
      </c>
      <c r="G222" s="91">
        <f t="shared" si="17"/>
        <v>29</v>
      </c>
      <c r="H222" s="91">
        <v>8</v>
      </c>
      <c r="I222" s="91">
        <v>8</v>
      </c>
      <c r="J222" s="91">
        <v>8</v>
      </c>
      <c r="K222" s="91">
        <v>8</v>
      </c>
      <c r="L222" s="91">
        <v>8</v>
      </c>
      <c r="M222" s="91">
        <v>4</v>
      </c>
      <c r="N222" s="91">
        <v>8</v>
      </c>
      <c r="O222" s="91">
        <v>8</v>
      </c>
      <c r="P222" s="91">
        <v>8</v>
      </c>
      <c r="Q222" s="91">
        <v>8</v>
      </c>
      <c r="R222" s="91">
        <v>8</v>
      </c>
      <c r="S222" s="91">
        <v>8</v>
      </c>
      <c r="T222" s="91">
        <v>8</v>
      </c>
      <c r="U222" s="91">
        <v>8</v>
      </c>
      <c r="V222" s="91">
        <v>8</v>
      </c>
      <c r="W222" s="91">
        <v>8</v>
      </c>
      <c r="X222" s="91">
        <v>8</v>
      </c>
      <c r="Y222" s="91"/>
      <c r="Z222" s="91">
        <v>8</v>
      </c>
      <c r="AA222" s="91">
        <v>8</v>
      </c>
      <c r="AB222" s="91">
        <v>8</v>
      </c>
      <c r="AC222" s="91">
        <v>8</v>
      </c>
      <c r="AD222" s="91">
        <v>8</v>
      </c>
      <c r="AE222" s="91">
        <v>8</v>
      </c>
      <c r="AF222" s="91">
        <v>8</v>
      </c>
      <c r="AG222" s="91">
        <v>8</v>
      </c>
      <c r="AH222" s="91">
        <v>8</v>
      </c>
      <c r="AI222" s="91">
        <v>8</v>
      </c>
      <c r="AJ222" s="91">
        <v>8</v>
      </c>
      <c r="AK222" s="91">
        <v>8</v>
      </c>
      <c r="AL222" s="91">
        <v>8</v>
      </c>
      <c r="AM222" s="91">
        <v>8</v>
      </c>
      <c r="AN222" s="91">
        <v>8</v>
      </c>
      <c r="AO222" s="91">
        <v>8</v>
      </c>
      <c r="AP222" s="91">
        <v>8</v>
      </c>
      <c r="AQ222" s="91">
        <v>8</v>
      </c>
      <c r="AR222" s="91">
        <v>8</v>
      </c>
      <c r="AS222" s="91">
        <v>8</v>
      </c>
      <c r="AT222" s="91">
        <v>8</v>
      </c>
      <c r="AU222" s="91">
        <v>8</v>
      </c>
      <c r="AV222" s="91">
        <v>8</v>
      </c>
      <c r="AW222" s="91">
        <v>8</v>
      </c>
      <c r="AX222" s="91">
        <v>8</v>
      </c>
      <c r="AY222" s="91"/>
      <c r="AZ222" s="91">
        <v>8</v>
      </c>
      <c r="BA222" s="91">
        <v>8</v>
      </c>
      <c r="BB222" s="91">
        <v>9</v>
      </c>
      <c r="BC222" s="91">
        <v>8</v>
      </c>
      <c r="BD222" s="91">
        <v>8</v>
      </c>
      <c r="BE222" s="91">
        <v>8</v>
      </c>
      <c r="BF222" s="91">
        <v>15</v>
      </c>
      <c r="BG222" s="91">
        <v>16</v>
      </c>
      <c r="BH222" s="91"/>
    </row>
    <row r="223" spans="1:60" x14ac:dyDescent="0.25">
      <c r="A223" s="91" t="s">
        <v>397</v>
      </c>
      <c r="B223" s="129">
        <f t="shared" si="14"/>
        <v>412</v>
      </c>
      <c r="C223" s="91">
        <f t="shared" si="15"/>
        <v>43</v>
      </c>
      <c r="D223" s="130">
        <f t="shared" si="16"/>
        <v>0.86</v>
      </c>
      <c r="E223" s="131">
        <v>46225</v>
      </c>
      <c r="F223" s="131">
        <v>46310</v>
      </c>
      <c r="G223" s="91">
        <f t="shared" si="17"/>
        <v>85</v>
      </c>
      <c r="H223" s="91">
        <v>9</v>
      </c>
      <c r="I223" s="91">
        <v>9</v>
      </c>
      <c r="J223" s="91">
        <v>9</v>
      </c>
      <c r="K223" s="91">
        <v>9</v>
      </c>
      <c r="L223" s="91">
        <v>9</v>
      </c>
      <c r="M223" s="91"/>
      <c r="N223" s="91">
        <v>9</v>
      </c>
      <c r="O223" s="91">
        <v>9</v>
      </c>
      <c r="P223" s="91">
        <v>9</v>
      </c>
      <c r="Q223" s="91">
        <v>9</v>
      </c>
      <c r="R223" s="91"/>
      <c r="S223" s="91">
        <v>9</v>
      </c>
      <c r="T223" s="91">
        <v>9</v>
      </c>
      <c r="U223" s="91">
        <v>9</v>
      </c>
      <c r="V223" s="91">
        <v>9</v>
      </c>
      <c r="W223" s="91">
        <v>9</v>
      </c>
      <c r="X223" s="91">
        <v>9</v>
      </c>
      <c r="Y223" s="91">
        <v>2</v>
      </c>
      <c r="Z223" s="91">
        <v>9</v>
      </c>
      <c r="AA223" s="91">
        <v>9</v>
      </c>
      <c r="AB223" s="91">
        <v>9</v>
      </c>
      <c r="AC223" s="91">
        <v>9</v>
      </c>
      <c r="AD223" s="91">
        <v>9</v>
      </c>
      <c r="AE223" s="91">
        <v>9</v>
      </c>
      <c r="AF223" s="91">
        <v>9</v>
      </c>
      <c r="AG223" s="91">
        <v>9</v>
      </c>
      <c r="AH223" s="91">
        <v>9</v>
      </c>
      <c r="AI223" s="91">
        <v>9</v>
      </c>
      <c r="AJ223" s="91">
        <v>9</v>
      </c>
      <c r="AK223" s="91">
        <v>9</v>
      </c>
      <c r="AL223" s="91">
        <v>9</v>
      </c>
      <c r="AM223" s="91">
        <v>9</v>
      </c>
      <c r="AN223" s="91"/>
      <c r="AO223" s="91">
        <v>9</v>
      </c>
      <c r="AP223" s="91">
        <v>9</v>
      </c>
      <c r="AQ223" s="91"/>
      <c r="AR223" s="91">
        <v>9</v>
      </c>
      <c r="AS223" s="91">
        <v>9</v>
      </c>
      <c r="AT223" s="91">
        <v>9</v>
      </c>
      <c r="AU223" s="91"/>
      <c r="AV223" s="91">
        <v>10</v>
      </c>
      <c r="AW223" s="91">
        <v>9</v>
      </c>
      <c r="AX223" s="91">
        <v>9</v>
      </c>
      <c r="AY223" s="91"/>
      <c r="AZ223" s="91"/>
      <c r="BA223" s="91">
        <v>9</v>
      </c>
      <c r="BB223" s="91">
        <v>9</v>
      </c>
      <c r="BC223" s="91">
        <v>9</v>
      </c>
      <c r="BD223" s="91">
        <v>9</v>
      </c>
      <c r="BE223" s="91">
        <v>9</v>
      </c>
      <c r="BF223" s="91">
        <v>17</v>
      </c>
      <c r="BG223" s="91">
        <v>14</v>
      </c>
      <c r="BH223" s="91"/>
    </row>
    <row r="224" spans="1:60" x14ac:dyDescent="0.25">
      <c r="A224" s="91" t="s">
        <v>552</v>
      </c>
      <c r="B224" s="129">
        <f t="shared" si="14"/>
        <v>411</v>
      </c>
      <c r="C224" s="91">
        <f t="shared" si="15"/>
        <v>48</v>
      </c>
      <c r="D224" s="130">
        <f t="shared" si="16"/>
        <v>0.96</v>
      </c>
      <c r="E224" s="131">
        <v>46252</v>
      </c>
      <c r="F224" s="131">
        <v>46254</v>
      </c>
      <c r="G224" s="91">
        <f t="shared" si="17"/>
        <v>2</v>
      </c>
      <c r="H224" s="91">
        <v>8</v>
      </c>
      <c r="I224" s="91">
        <v>8</v>
      </c>
      <c r="J224" s="91">
        <v>8</v>
      </c>
      <c r="K224" s="91">
        <v>8</v>
      </c>
      <c r="L224" s="91">
        <v>8</v>
      </c>
      <c r="M224" s="91">
        <v>4</v>
      </c>
      <c r="N224" s="91">
        <v>8</v>
      </c>
      <c r="O224" s="91">
        <v>8</v>
      </c>
      <c r="P224" s="91">
        <v>8</v>
      </c>
      <c r="Q224" s="91">
        <v>8</v>
      </c>
      <c r="R224" s="91">
        <v>8</v>
      </c>
      <c r="S224" s="91">
        <v>8</v>
      </c>
      <c r="T224" s="91">
        <v>8</v>
      </c>
      <c r="U224" s="91">
        <v>8</v>
      </c>
      <c r="V224" s="91">
        <v>8</v>
      </c>
      <c r="W224" s="91">
        <v>8</v>
      </c>
      <c r="X224" s="91">
        <v>9</v>
      </c>
      <c r="Y224" s="91"/>
      <c r="Z224" s="91">
        <v>8</v>
      </c>
      <c r="AA224" s="91">
        <v>8</v>
      </c>
      <c r="AB224" s="91">
        <v>8</v>
      </c>
      <c r="AC224" s="91">
        <v>8</v>
      </c>
      <c r="AD224" s="91">
        <v>8</v>
      </c>
      <c r="AE224" s="91">
        <v>9</v>
      </c>
      <c r="AF224" s="91">
        <v>8</v>
      </c>
      <c r="AG224" s="91">
        <v>8</v>
      </c>
      <c r="AH224" s="91">
        <v>8</v>
      </c>
      <c r="AI224" s="91">
        <v>8</v>
      </c>
      <c r="AJ224" s="91">
        <v>8</v>
      </c>
      <c r="AK224" s="91">
        <v>8</v>
      </c>
      <c r="AL224" s="91">
        <v>8</v>
      </c>
      <c r="AM224" s="91">
        <v>8</v>
      </c>
      <c r="AN224" s="91">
        <v>8</v>
      </c>
      <c r="AO224" s="91">
        <v>8</v>
      </c>
      <c r="AP224" s="91">
        <v>8</v>
      </c>
      <c r="AQ224" s="91">
        <v>8</v>
      </c>
      <c r="AR224" s="91">
        <v>8</v>
      </c>
      <c r="AS224" s="91">
        <v>8</v>
      </c>
      <c r="AT224" s="91">
        <v>8</v>
      </c>
      <c r="AU224" s="91">
        <v>8</v>
      </c>
      <c r="AV224" s="91">
        <v>8</v>
      </c>
      <c r="AW224" s="91">
        <v>8</v>
      </c>
      <c r="AX224" s="91">
        <v>9</v>
      </c>
      <c r="AY224" s="91"/>
      <c r="AZ224" s="91">
        <v>8</v>
      </c>
      <c r="BA224" s="91">
        <v>8</v>
      </c>
      <c r="BB224" s="91">
        <v>9</v>
      </c>
      <c r="BC224" s="91">
        <v>8</v>
      </c>
      <c r="BD224" s="91">
        <v>8</v>
      </c>
      <c r="BE224" s="91">
        <v>8</v>
      </c>
      <c r="BF224" s="91">
        <v>13</v>
      </c>
      <c r="BG224" s="91">
        <v>14</v>
      </c>
      <c r="BH224" s="91"/>
    </row>
    <row r="225" spans="1:60" x14ac:dyDescent="0.25">
      <c r="A225" s="91" t="s">
        <v>532</v>
      </c>
      <c r="B225" s="129">
        <f t="shared" si="14"/>
        <v>411</v>
      </c>
      <c r="C225" s="91">
        <f t="shared" si="15"/>
        <v>48</v>
      </c>
      <c r="D225" s="130">
        <f t="shared" si="16"/>
        <v>0.96</v>
      </c>
      <c r="E225" s="131">
        <v>46262</v>
      </c>
      <c r="F225" s="131">
        <v>46310</v>
      </c>
      <c r="G225" s="91">
        <f t="shared" si="17"/>
        <v>48</v>
      </c>
      <c r="H225" s="91">
        <v>8</v>
      </c>
      <c r="I225" s="91">
        <v>8</v>
      </c>
      <c r="J225" s="91">
        <v>8</v>
      </c>
      <c r="K225" s="91">
        <v>8</v>
      </c>
      <c r="L225" s="91">
        <v>8</v>
      </c>
      <c r="M225" s="91"/>
      <c r="N225" s="91">
        <v>8</v>
      </c>
      <c r="O225" s="91">
        <v>8</v>
      </c>
      <c r="P225" s="91">
        <v>8</v>
      </c>
      <c r="Q225" s="91">
        <v>8</v>
      </c>
      <c r="R225" s="91">
        <v>8</v>
      </c>
      <c r="S225" s="91">
        <v>8</v>
      </c>
      <c r="T225" s="91">
        <v>8</v>
      </c>
      <c r="U225" s="91">
        <v>8</v>
      </c>
      <c r="V225" s="91">
        <v>8</v>
      </c>
      <c r="W225" s="91">
        <v>8</v>
      </c>
      <c r="X225" s="91">
        <v>8</v>
      </c>
      <c r="Y225" s="91">
        <v>1</v>
      </c>
      <c r="Z225" s="91">
        <v>8</v>
      </c>
      <c r="AA225" s="91">
        <v>8</v>
      </c>
      <c r="AB225" s="91">
        <v>8</v>
      </c>
      <c r="AC225" s="91">
        <v>8</v>
      </c>
      <c r="AD225" s="91">
        <v>8</v>
      </c>
      <c r="AE225" s="91">
        <v>8</v>
      </c>
      <c r="AF225" s="91">
        <v>8</v>
      </c>
      <c r="AG225" s="91">
        <v>8</v>
      </c>
      <c r="AH225" s="91">
        <v>8</v>
      </c>
      <c r="AI225" s="91">
        <v>8</v>
      </c>
      <c r="AJ225" s="91">
        <v>8</v>
      </c>
      <c r="AK225" s="91">
        <v>8</v>
      </c>
      <c r="AL225" s="91">
        <v>8</v>
      </c>
      <c r="AM225" s="91">
        <v>8</v>
      </c>
      <c r="AN225" s="91">
        <v>8</v>
      </c>
      <c r="AO225" s="91">
        <v>8</v>
      </c>
      <c r="AP225" s="91">
        <v>8</v>
      </c>
      <c r="AQ225" s="91">
        <v>8</v>
      </c>
      <c r="AR225" s="91">
        <v>8</v>
      </c>
      <c r="AS225" s="91">
        <v>8</v>
      </c>
      <c r="AT225" s="91">
        <v>8</v>
      </c>
      <c r="AU225" s="91">
        <v>8</v>
      </c>
      <c r="AV225" s="91">
        <v>8</v>
      </c>
      <c r="AW225" s="91">
        <v>8</v>
      </c>
      <c r="AX225" s="91">
        <v>8</v>
      </c>
      <c r="AY225" s="91"/>
      <c r="AZ225" s="91">
        <v>8</v>
      </c>
      <c r="BA225" s="91">
        <v>8</v>
      </c>
      <c r="BB225" s="91">
        <v>10</v>
      </c>
      <c r="BC225" s="91">
        <v>8</v>
      </c>
      <c r="BD225" s="91">
        <v>8</v>
      </c>
      <c r="BE225" s="91">
        <v>8</v>
      </c>
      <c r="BF225" s="91">
        <v>16</v>
      </c>
      <c r="BG225" s="91">
        <v>16</v>
      </c>
      <c r="BH225" s="91"/>
    </row>
    <row r="226" spans="1:60" x14ac:dyDescent="0.25">
      <c r="A226" s="91" t="s">
        <v>581</v>
      </c>
      <c r="B226" s="129">
        <f t="shared" si="14"/>
        <v>410</v>
      </c>
      <c r="C226" s="91">
        <f t="shared" si="15"/>
        <v>47</v>
      </c>
      <c r="D226" s="130">
        <f t="shared" si="16"/>
        <v>0.94</v>
      </c>
      <c r="E226" s="131">
        <v>46213</v>
      </c>
      <c r="F226" s="131">
        <v>46282</v>
      </c>
      <c r="G226" s="91">
        <f t="shared" si="17"/>
        <v>69</v>
      </c>
      <c r="H226" s="91">
        <v>8</v>
      </c>
      <c r="I226" s="91">
        <v>8</v>
      </c>
      <c r="J226" s="91">
        <v>8</v>
      </c>
      <c r="K226" s="91">
        <v>8</v>
      </c>
      <c r="L226" s="91">
        <v>8</v>
      </c>
      <c r="M226" s="91"/>
      <c r="N226" s="91">
        <v>8</v>
      </c>
      <c r="O226" s="91">
        <v>8</v>
      </c>
      <c r="P226" s="91">
        <v>8</v>
      </c>
      <c r="Q226" s="91">
        <v>8</v>
      </c>
      <c r="R226" s="91">
        <v>8</v>
      </c>
      <c r="S226" s="91">
        <v>8</v>
      </c>
      <c r="T226" s="91">
        <v>8</v>
      </c>
      <c r="U226" s="91">
        <v>8</v>
      </c>
      <c r="V226" s="91">
        <v>8</v>
      </c>
      <c r="W226" s="91">
        <v>10</v>
      </c>
      <c r="X226" s="91">
        <v>8</v>
      </c>
      <c r="Y226" s="91"/>
      <c r="Z226" s="91">
        <v>8</v>
      </c>
      <c r="AA226" s="91">
        <v>8</v>
      </c>
      <c r="AB226" s="91">
        <v>8</v>
      </c>
      <c r="AC226" s="91">
        <v>8</v>
      </c>
      <c r="AD226" s="91">
        <v>8</v>
      </c>
      <c r="AE226" s="91">
        <v>8</v>
      </c>
      <c r="AF226" s="91">
        <v>8</v>
      </c>
      <c r="AG226" s="91">
        <v>8</v>
      </c>
      <c r="AH226" s="91">
        <v>8</v>
      </c>
      <c r="AI226" s="91">
        <v>8</v>
      </c>
      <c r="AJ226" s="91">
        <v>8</v>
      </c>
      <c r="AK226" s="91">
        <v>8</v>
      </c>
      <c r="AL226" s="91">
        <v>8</v>
      </c>
      <c r="AM226" s="91">
        <v>8</v>
      </c>
      <c r="AN226" s="91">
        <v>8</v>
      </c>
      <c r="AO226" s="91">
        <v>8</v>
      </c>
      <c r="AP226" s="91">
        <v>8</v>
      </c>
      <c r="AQ226" s="91">
        <v>8</v>
      </c>
      <c r="AR226" s="91">
        <v>8</v>
      </c>
      <c r="AS226" s="91">
        <v>8</v>
      </c>
      <c r="AT226" s="91">
        <v>8</v>
      </c>
      <c r="AU226" s="91">
        <v>8</v>
      </c>
      <c r="AV226" s="91">
        <v>8</v>
      </c>
      <c r="AW226" s="91">
        <v>8</v>
      </c>
      <c r="AX226" s="91">
        <v>8</v>
      </c>
      <c r="AY226" s="91"/>
      <c r="AZ226" s="91">
        <v>8</v>
      </c>
      <c r="BA226" s="91">
        <v>8</v>
      </c>
      <c r="BB226" s="91">
        <v>8</v>
      </c>
      <c r="BC226" s="91">
        <v>8</v>
      </c>
      <c r="BD226" s="91">
        <v>14</v>
      </c>
      <c r="BE226" s="91">
        <v>8</v>
      </c>
      <c r="BF226" s="91">
        <v>14</v>
      </c>
      <c r="BG226" s="91">
        <v>12</v>
      </c>
      <c r="BH226" s="91"/>
    </row>
    <row r="227" spans="1:60" x14ac:dyDescent="0.25">
      <c r="A227" s="91" t="s">
        <v>533</v>
      </c>
      <c r="B227" s="129">
        <f t="shared" si="14"/>
        <v>410</v>
      </c>
      <c r="C227" s="91">
        <f t="shared" si="15"/>
        <v>48</v>
      </c>
      <c r="D227" s="130">
        <f t="shared" si="16"/>
        <v>0.96</v>
      </c>
      <c r="E227" s="131">
        <v>46262</v>
      </c>
      <c r="F227" s="131">
        <v>46302</v>
      </c>
      <c r="G227" s="91">
        <f t="shared" si="17"/>
        <v>40</v>
      </c>
      <c r="H227" s="91">
        <v>8</v>
      </c>
      <c r="I227" s="91">
        <v>8</v>
      </c>
      <c r="J227" s="91">
        <v>10</v>
      </c>
      <c r="K227" s="91">
        <v>8</v>
      </c>
      <c r="L227" s="91">
        <v>8</v>
      </c>
      <c r="M227" s="91">
        <v>6</v>
      </c>
      <c r="N227" s="91">
        <v>8</v>
      </c>
      <c r="O227" s="91">
        <v>10</v>
      </c>
      <c r="P227" s="91">
        <v>8</v>
      </c>
      <c r="Q227" s="91">
        <v>8</v>
      </c>
      <c r="R227" s="91">
        <v>8</v>
      </c>
      <c r="S227" s="91">
        <v>8</v>
      </c>
      <c r="T227" s="91">
        <v>8</v>
      </c>
      <c r="U227" s="91">
        <v>8</v>
      </c>
      <c r="V227" s="91">
        <v>8</v>
      </c>
      <c r="W227" s="91">
        <v>8</v>
      </c>
      <c r="X227" s="91">
        <v>8</v>
      </c>
      <c r="Y227" s="91"/>
      <c r="Z227" s="91">
        <v>8</v>
      </c>
      <c r="AA227" s="91">
        <v>8</v>
      </c>
      <c r="AB227" s="91">
        <v>8</v>
      </c>
      <c r="AC227" s="91">
        <v>8</v>
      </c>
      <c r="AD227" s="91">
        <v>8</v>
      </c>
      <c r="AE227" s="91">
        <v>8</v>
      </c>
      <c r="AF227" s="91">
        <v>8</v>
      </c>
      <c r="AG227" s="91">
        <v>10</v>
      </c>
      <c r="AH227" s="91">
        <v>8</v>
      </c>
      <c r="AI227" s="91">
        <v>8</v>
      </c>
      <c r="AJ227" s="91">
        <v>8</v>
      </c>
      <c r="AK227" s="91">
        <v>8</v>
      </c>
      <c r="AL227" s="91">
        <v>8</v>
      </c>
      <c r="AM227" s="91">
        <v>8</v>
      </c>
      <c r="AN227" s="91">
        <v>10</v>
      </c>
      <c r="AO227" s="91">
        <v>8</v>
      </c>
      <c r="AP227" s="91">
        <v>8</v>
      </c>
      <c r="AQ227" s="91">
        <v>8</v>
      </c>
      <c r="AR227" s="91">
        <v>10</v>
      </c>
      <c r="AS227" s="91">
        <v>8</v>
      </c>
      <c r="AT227" s="91">
        <v>8</v>
      </c>
      <c r="AU227" s="91">
        <v>8</v>
      </c>
      <c r="AV227" s="91">
        <v>8</v>
      </c>
      <c r="AW227" s="91">
        <v>8</v>
      </c>
      <c r="AX227" s="91">
        <v>10</v>
      </c>
      <c r="AY227" s="91"/>
      <c r="AZ227" s="91">
        <v>8</v>
      </c>
      <c r="BA227" s="91">
        <v>8</v>
      </c>
      <c r="BB227" s="91">
        <v>8</v>
      </c>
      <c r="BC227" s="91">
        <v>8</v>
      </c>
      <c r="BD227" s="91">
        <v>8</v>
      </c>
      <c r="BE227" s="91">
        <v>8</v>
      </c>
      <c r="BF227" s="91">
        <v>2</v>
      </c>
      <c r="BG227" s="91">
        <v>14</v>
      </c>
      <c r="BH227" s="91"/>
    </row>
    <row r="228" spans="1:60" x14ac:dyDescent="0.25">
      <c r="A228" s="91" t="s">
        <v>474</v>
      </c>
      <c r="B228" s="129">
        <f t="shared" si="14"/>
        <v>410</v>
      </c>
      <c r="C228" s="91">
        <f t="shared" si="15"/>
        <v>48</v>
      </c>
      <c r="D228" s="130">
        <f t="shared" si="16"/>
        <v>0.96</v>
      </c>
      <c r="E228" s="131">
        <v>46282</v>
      </c>
      <c r="F228" s="131">
        <v>46310</v>
      </c>
      <c r="G228" s="91">
        <f t="shared" si="17"/>
        <v>28</v>
      </c>
      <c r="H228" s="91">
        <v>8</v>
      </c>
      <c r="I228" s="91">
        <v>8</v>
      </c>
      <c r="J228" s="91">
        <v>8</v>
      </c>
      <c r="K228" s="91">
        <v>8</v>
      </c>
      <c r="L228" s="91">
        <v>8</v>
      </c>
      <c r="M228" s="91"/>
      <c r="N228" s="91">
        <v>8</v>
      </c>
      <c r="O228" s="91">
        <v>8</v>
      </c>
      <c r="P228" s="91">
        <v>8</v>
      </c>
      <c r="Q228" s="91">
        <v>8</v>
      </c>
      <c r="R228" s="91">
        <v>8</v>
      </c>
      <c r="S228" s="91">
        <v>8</v>
      </c>
      <c r="T228" s="91">
        <v>8</v>
      </c>
      <c r="U228" s="91">
        <v>8</v>
      </c>
      <c r="V228" s="91">
        <v>8</v>
      </c>
      <c r="W228" s="91">
        <v>9</v>
      </c>
      <c r="X228" s="91">
        <v>8</v>
      </c>
      <c r="Y228" s="91">
        <v>1</v>
      </c>
      <c r="Z228" s="91">
        <v>8</v>
      </c>
      <c r="AA228" s="91">
        <v>8</v>
      </c>
      <c r="AB228" s="91">
        <v>8</v>
      </c>
      <c r="AC228" s="91">
        <v>8</v>
      </c>
      <c r="AD228" s="91">
        <v>8</v>
      </c>
      <c r="AE228" s="91">
        <v>8</v>
      </c>
      <c r="AF228" s="91">
        <v>8</v>
      </c>
      <c r="AG228" s="91">
        <v>8</v>
      </c>
      <c r="AH228" s="91">
        <v>8</v>
      </c>
      <c r="AI228" s="91">
        <v>8</v>
      </c>
      <c r="AJ228" s="91">
        <v>8</v>
      </c>
      <c r="AK228" s="91">
        <v>8</v>
      </c>
      <c r="AL228" s="91">
        <v>8</v>
      </c>
      <c r="AM228" s="91">
        <v>8</v>
      </c>
      <c r="AN228" s="91">
        <v>8</v>
      </c>
      <c r="AO228" s="91">
        <v>8</v>
      </c>
      <c r="AP228" s="91">
        <v>8</v>
      </c>
      <c r="AQ228" s="91">
        <v>8</v>
      </c>
      <c r="AR228" s="91">
        <v>8</v>
      </c>
      <c r="AS228" s="91">
        <v>8</v>
      </c>
      <c r="AT228" s="91">
        <v>8</v>
      </c>
      <c r="AU228" s="91">
        <v>8</v>
      </c>
      <c r="AV228" s="91">
        <v>8</v>
      </c>
      <c r="AW228" s="91">
        <v>8</v>
      </c>
      <c r="AX228" s="91">
        <v>8</v>
      </c>
      <c r="AY228" s="91"/>
      <c r="AZ228" s="91">
        <v>8</v>
      </c>
      <c r="BA228" s="91">
        <v>8</v>
      </c>
      <c r="BB228" s="91">
        <v>8</v>
      </c>
      <c r="BC228" s="91">
        <v>8</v>
      </c>
      <c r="BD228" s="91">
        <v>8</v>
      </c>
      <c r="BE228" s="91">
        <v>8</v>
      </c>
      <c r="BF228" s="91">
        <v>16</v>
      </c>
      <c r="BG228" s="91">
        <v>16</v>
      </c>
      <c r="BH228" s="91"/>
    </row>
    <row r="229" spans="1:60" x14ac:dyDescent="0.25">
      <c r="A229" s="91" t="s">
        <v>320</v>
      </c>
      <c r="B229" s="129">
        <f t="shared" si="14"/>
        <v>410</v>
      </c>
      <c r="C229" s="91">
        <f t="shared" si="15"/>
        <v>48</v>
      </c>
      <c r="D229" s="130">
        <f t="shared" si="16"/>
        <v>0.96</v>
      </c>
      <c r="E229" s="131">
        <v>46282</v>
      </c>
      <c r="F229" s="131">
        <v>46317</v>
      </c>
      <c r="G229" s="91">
        <f t="shared" si="17"/>
        <v>35</v>
      </c>
      <c r="H229" s="91">
        <v>8</v>
      </c>
      <c r="I229" s="91">
        <v>8</v>
      </c>
      <c r="J229" s="91">
        <v>8</v>
      </c>
      <c r="K229" s="91">
        <v>8</v>
      </c>
      <c r="L229" s="91">
        <v>8</v>
      </c>
      <c r="M229" s="91"/>
      <c r="N229" s="91">
        <v>8</v>
      </c>
      <c r="O229" s="91">
        <v>8</v>
      </c>
      <c r="P229" s="91">
        <v>8</v>
      </c>
      <c r="Q229" s="91">
        <v>8</v>
      </c>
      <c r="R229" s="91">
        <v>8</v>
      </c>
      <c r="S229" s="91">
        <v>8</v>
      </c>
      <c r="T229" s="91">
        <v>8</v>
      </c>
      <c r="U229" s="91">
        <v>8</v>
      </c>
      <c r="V229" s="91">
        <v>8</v>
      </c>
      <c r="W229" s="91">
        <v>8</v>
      </c>
      <c r="X229" s="91">
        <v>8</v>
      </c>
      <c r="Y229" s="91">
        <v>2</v>
      </c>
      <c r="Z229" s="91">
        <v>8</v>
      </c>
      <c r="AA229" s="91">
        <v>8</v>
      </c>
      <c r="AB229" s="91">
        <v>8</v>
      </c>
      <c r="AC229" s="91">
        <v>8</v>
      </c>
      <c r="AD229" s="91">
        <v>8</v>
      </c>
      <c r="AE229" s="91">
        <v>8</v>
      </c>
      <c r="AF229" s="91">
        <v>8</v>
      </c>
      <c r="AG229" s="91">
        <v>8</v>
      </c>
      <c r="AH229" s="91">
        <v>8</v>
      </c>
      <c r="AI229" s="91">
        <v>8</v>
      </c>
      <c r="AJ229" s="91">
        <v>8</v>
      </c>
      <c r="AK229" s="91">
        <v>8</v>
      </c>
      <c r="AL229" s="91">
        <v>8</v>
      </c>
      <c r="AM229" s="91">
        <v>8</v>
      </c>
      <c r="AN229" s="91">
        <v>8</v>
      </c>
      <c r="AO229" s="91">
        <v>8</v>
      </c>
      <c r="AP229" s="91">
        <v>8</v>
      </c>
      <c r="AQ229" s="91">
        <v>8</v>
      </c>
      <c r="AR229" s="91">
        <v>8</v>
      </c>
      <c r="AS229" s="91">
        <v>8</v>
      </c>
      <c r="AT229" s="91">
        <v>8</v>
      </c>
      <c r="AU229" s="91">
        <v>8</v>
      </c>
      <c r="AV229" s="91">
        <v>8</v>
      </c>
      <c r="AW229" s="91">
        <v>8</v>
      </c>
      <c r="AX229" s="91">
        <v>8</v>
      </c>
      <c r="AY229" s="91"/>
      <c r="AZ229" s="91">
        <v>8</v>
      </c>
      <c r="BA229" s="91">
        <v>8</v>
      </c>
      <c r="BB229" s="91">
        <v>8</v>
      </c>
      <c r="BC229" s="91">
        <v>8</v>
      </c>
      <c r="BD229" s="91">
        <v>8</v>
      </c>
      <c r="BE229" s="91">
        <v>8</v>
      </c>
      <c r="BF229" s="91">
        <v>16</v>
      </c>
      <c r="BG229" s="91">
        <v>16</v>
      </c>
      <c r="BH229" s="91"/>
    </row>
    <row r="230" spans="1:60" x14ac:dyDescent="0.25">
      <c r="A230" s="91" t="s">
        <v>406</v>
      </c>
      <c r="B230" s="129">
        <f t="shared" si="14"/>
        <v>409</v>
      </c>
      <c r="C230" s="91">
        <f t="shared" si="15"/>
        <v>48</v>
      </c>
      <c r="D230" s="130">
        <f t="shared" si="16"/>
        <v>0.96</v>
      </c>
      <c r="E230" s="131">
        <v>46219</v>
      </c>
      <c r="F230" s="131">
        <v>46322</v>
      </c>
      <c r="G230" s="91">
        <f t="shared" si="17"/>
        <v>103</v>
      </c>
      <c r="H230" s="91">
        <v>8</v>
      </c>
      <c r="I230" s="91">
        <v>8</v>
      </c>
      <c r="J230" s="91">
        <v>8</v>
      </c>
      <c r="K230" s="91">
        <v>8</v>
      </c>
      <c r="L230" s="91">
        <v>8</v>
      </c>
      <c r="M230" s="91"/>
      <c r="N230" s="91">
        <v>8</v>
      </c>
      <c r="O230" s="91">
        <v>8</v>
      </c>
      <c r="P230" s="91">
        <v>8</v>
      </c>
      <c r="Q230" s="91">
        <v>8</v>
      </c>
      <c r="R230" s="91">
        <v>8</v>
      </c>
      <c r="S230" s="91">
        <v>8</v>
      </c>
      <c r="T230" s="91">
        <v>8</v>
      </c>
      <c r="U230" s="91">
        <v>8</v>
      </c>
      <c r="V230" s="91">
        <v>8</v>
      </c>
      <c r="W230" s="91">
        <v>8</v>
      </c>
      <c r="X230" s="91">
        <v>8</v>
      </c>
      <c r="Y230" s="91">
        <v>1</v>
      </c>
      <c r="Z230" s="91">
        <v>8</v>
      </c>
      <c r="AA230" s="91">
        <v>8</v>
      </c>
      <c r="AB230" s="91">
        <v>8</v>
      </c>
      <c r="AC230" s="91">
        <v>8</v>
      </c>
      <c r="AD230" s="91">
        <v>8</v>
      </c>
      <c r="AE230" s="91">
        <v>8</v>
      </c>
      <c r="AF230" s="91">
        <v>8</v>
      </c>
      <c r="AG230" s="91">
        <v>8</v>
      </c>
      <c r="AH230" s="91">
        <v>8</v>
      </c>
      <c r="AI230" s="91">
        <v>8</v>
      </c>
      <c r="AJ230" s="91">
        <v>8</v>
      </c>
      <c r="AK230" s="91">
        <v>8</v>
      </c>
      <c r="AL230" s="91">
        <v>8</v>
      </c>
      <c r="AM230" s="91">
        <v>8</v>
      </c>
      <c r="AN230" s="91">
        <v>8</v>
      </c>
      <c r="AO230" s="91">
        <v>8</v>
      </c>
      <c r="AP230" s="91">
        <v>8</v>
      </c>
      <c r="AQ230" s="91">
        <v>8</v>
      </c>
      <c r="AR230" s="91">
        <v>8</v>
      </c>
      <c r="AS230" s="91">
        <v>8</v>
      </c>
      <c r="AT230" s="91">
        <v>8</v>
      </c>
      <c r="AU230" s="91">
        <v>8</v>
      </c>
      <c r="AV230" s="91">
        <v>8</v>
      </c>
      <c r="AW230" s="91">
        <v>8</v>
      </c>
      <c r="AX230" s="91">
        <v>8</v>
      </c>
      <c r="AY230" s="91"/>
      <c r="AZ230" s="91">
        <v>8</v>
      </c>
      <c r="BA230" s="91">
        <v>8</v>
      </c>
      <c r="BB230" s="91">
        <v>8</v>
      </c>
      <c r="BC230" s="91">
        <v>8</v>
      </c>
      <c r="BD230" s="91">
        <v>14</v>
      </c>
      <c r="BE230" s="91">
        <v>8</v>
      </c>
      <c r="BF230" s="91">
        <v>14</v>
      </c>
      <c r="BG230" s="91">
        <v>12</v>
      </c>
      <c r="BH230" s="91"/>
    </row>
    <row r="231" spans="1:60" x14ac:dyDescent="0.25">
      <c r="A231" s="91" t="s">
        <v>348</v>
      </c>
      <c r="B231" s="129">
        <f t="shared" si="14"/>
        <v>409</v>
      </c>
      <c r="C231" s="91">
        <f t="shared" si="15"/>
        <v>48</v>
      </c>
      <c r="D231" s="130">
        <f t="shared" si="16"/>
        <v>0.96</v>
      </c>
      <c r="E231" s="131">
        <v>46252</v>
      </c>
      <c r="F231" s="131">
        <v>46301</v>
      </c>
      <c r="G231" s="91">
        <f t="shared" si="17"/>
        <v>49</v>
      </c>
      <c r="H231" s="91">
        <v>8</v>
      </c>
      <c r="I231" s="91">
        <v>8</v>
      </c>
      <c r="J231" s="91">
        <v>8</v>
      </c>
      <c r="K231" s="91">
        <v>8</v>
      </c>
      <c r="L231" s="91">
        <v>8</v>
      </c>
      <c r="M231" s="91"/>
      <c r="N231" s="91">
        <v>8</v>
      </c>
      <c r="O231" s="91">
        <v>8</v>
      </c>
      <c r="P231" s="91">
        <v>8</v>
      </c>
      <c r="Q231" s="91">
        <v>8</v>
      </c>
      <c r="R231" s="91">
        <v>8</v>
      </c>
      <c r="S231" s="91">
        <v>8</v>
      </c>
      <c r="T231" s="91">
        <v>8</v>
      </c>
      <c r="U231" s="91">
        <v>8</v>
      </c>
      <c r="V231" s="91">
        <v>8</v>
      </c>
      <c r="W231" s="91">
        <v>8</v>
      </c>
      <c r="X231" s="91">
        <v>8</v>
      </c>
      <c r="Y231" s="91">
        <v>1</v>
      </c>
      <c r="Z231" s="91">
        <v>8</v>
      </c>
      <c r="AA231" s="91">
        <v>8</v>
      </c>
      <c r="AB231" s="91">
        <v>8</v>
      </c>
      <c r="AC231" s="91">
        <v>8</v>
      </c>
      <c r="AD231" s="91">
        <v>8</v>
      </c>
      <c r="AE231" s="91">
        <v>10</v>
      </c>
      <c r="AF231" s="91">
        <v>8</v>
      </c>
      <c r="AG231" s="91">
        <v>8</v>
      </c>
      <c r="AH231" s="91">
        <v>8</v>
      </c>
      <c r="AI231" s="91">
        <v>8</v>
      </c>
      <c r="AJ231" s="91">
        <v>8</v>
      </c>
      <c r="AK231" s="91">
        <v>8</v>
      </c>
      <c r="AL231" s="91">
        <v>8</v>
      </c>
      <c r="AM231" s="91">
        <v>8</v>
      </c>
      <c r="AN231" s="91">
        <v>8</v>
      </c>
      <c r="AO231" s="91">
        <v>8</v>
      </c>
      <c r="AP231" s="91">
        <v>8</v>
      </c>
      <c r="AQ231" s="91">
        <v>8</v>
      </c>
      <c r="AR231" s="91">
        <v>8</v>
      </c>
      <c r="AS231" s="91">
        <v>8</v>
      </c>
      <c r="AT231" s="91">
        <v>8</v>
      </c>
      <c r="AU231" s="91">
        <v>9</v>
      </c>
      <c r="AV231" s="91">
        <v>8</v>
      </c>
      <c r="AW231" s="91">
        <v>8</v>
      </c>
      <c r="AX231" s="91">
        <v>8</v>
      </c>
      <c r="AY231" s="91"/>
      <c r="AZ231" s="91">
        <v>8</v>
      </c>
      <c r="BA231" s="91">
        <v>8</v>
      </c>
      <c r="BB231" s="91">
        <v>9</v>
      </c>
      <c r="BC231" s="91">
        <v>8</v>
      </c>
      <c r="BD231" s="91">
        <v>8</v>
      </c>
      <c r="BE231" s="91">
        <v>8</v>
      </c>
      <c r="BF231" s="91">
        <v>14</v>
      </c>
      <c r="BG231" s="91">
        <v>14</v>
      </c>
      <c r="BH231" s="91"/>
    </row>
    <row r="232" spans="1:60" x14ac:dyDescent="0.25">
      <c r="A232" s="91" t="s">
        <v>531</v>
      </c>
      <c r="B232" s="129">
        <f t="shared" si="14"/>
        <v>409</v>
      </c>
      <c r="C232" s="91">
        <f t="shared" si="15"/>
        <v>47</v>
      </c>
      <c r="D232" s="130">
        <f t="shared" si="16"/>
        <v>0.94</v>
      </c>
      <c r="E232" s="131">
        <v>46262</v>
      </c>
      <c r="F232" s="131">
        <v>46281</v>
      </c>
      <c r="G232" s="91">
        <f t="shared" si="17"/>
        <v>19</v>
      </c>
      <c r="H232" s="91">
        <v>8</v>
      </c>
      <c r="I232" s="91">
        <v>8</v>
      </c>
      <c r="J232" s="91">
        <v>8</v>
      </c>
      <c r="K232" s="91">
        <v>8</v>
      </c>
      <c r="L232" s="91">
        <v>8</v>
      </c>
      <c r="M232" s="91"/>
      <c r="N232" s="91">
        <v>8</v>
      </c>
      <c r="O232" s="91">
        <v>8</v>
      </c>
      <c r="P232" s="91">
        <v>8</v>
      </c>
      <c r="Q232" s="91">
        <v>8</v>
      </c>
      <c r="R232" s="91">
        <v>8</v>
      </c>
      <c r="S232" s="91">
        <v>8</v>
      </c>
      <c r="T232" s="91">
        <v>11</v>
      </c>
      <c r="U232" s="91">
        <v>10</v>
      </c>
      <c r="V232" s="91">
        <v>8</v>
      </c>
      <c r="W232" s="91">
        <v>8</v>
      </c>
      <c r="X232" s="91">
        <v>8</v>
      </c>
      <c r="Y232" s="91"/>
      <c r="Z232" s="91">
        <v>8</v>
      </c>
      <c r="AA232" s="91">
        <v>8</v>
      </c>
      <c r="AB232" s="91">
        <v>8</v>
      </c>
      <c r="AC232" s="91">
        <v>8</v>
      </c>
      <c r="AD232" s="91">
        <v>8</v>
      </c>
      <c r="AE232" s="91">
        <v>8</v>
      </c>
      <c r="AF232" s="91">
        <v>8</v>
      </c>
      <c r="AG232" s="91">
        <v>8</v>
      </c>
      <c r="AH232" s="91">
        <v>8</v>
      </c>
      <c r="AI232" s="91">
        <v>8</v>
      </c>
      <c r="AJ232" s="91">
        <v>8</v>
      </c>
      <c r="AK232" s="91">
        <v>8</v>
      </c>
      <c r="AL232" s="91">
        <v>8</v>
      </c>
      <c r="AM232" s="91">
        <v>10</v>
      </c>
      <c r="AN232" s="91">
        <v>8</v>
      </c>
      <c r="AO232" s="91">
        <v>8</v>
      </c>
      <c r="AP232" s="91">
        <v>8</v>
      </c>
      <c r="AQ232" s="91">
        <v>8</v>
      </c>
      <c r="AR232" s="91">
        <v>8</v>
      </c>
      <c r="AS232" s="91">
        <v>8</v>
      </c>
      <c r="AT232" s="91">
        <v>8</v>
      </c>
      <c r="AU232" s="91">
        <v>8</v>
      </c>
      <c r="AV232" s="91">
        <v>8</v>
      </c>
      <c r="AW232" s="91">
        <v>8</v>
      </c>
      <c r="AX232" s="91">
        <v>8</v>
      </c>
      <c r="AY232" s="91"/>
      <c r="AZ232" s="91">
        <v>8</v>
      </c>
      <c r="BA232" s="91">
        <v>8</v>
      </c>
      <c r="BB232" s="91">
        <v>8</v>
      </c>
      <c r="BC232" s="91">
        <v>8</v>
      </c>
      <c r="BD232" s="91">
        <v>16</v>
      </c>
      <c r="BE232" s="91">
        <v>8</v>
      </c>
      <c r="BF232" s="91">
        <v>4</v>
      </c>
      <c r="BG232" s="91">
        <v>14</v>
      </c>
      <c r="BH232" s="91"/>
    </row>
    <row r="233" spans="1:60" x14ac:dyDescent="0.25">
      <c r="A233" s="91" t="s">
        <v>486</v>
      </c>
      <c r="B233" s="129">
        <f t="shared" si="14"/>
        <v>409</v>
      </c>
      <c r="C233" s="91">
        <f t="shared" si="15"/>
        <v>48</v>
      </c>
      <c r="D233" s="130">
        <f t="shared" si="16"/>
        <v>0.96</v>
      </c>
      <c r="E233" s="131">
        <v>46274</v>
      </c>
      <c r="F233" s="131">
        <v>46310</v>
      </c>
      <c r="G233" s="91">
        <f t="shared" si="17"/>
        <v>36</v>
      </c>
      <c r="H233" s="91">
        <v>8</v>
      </c>
      <c r="I233" s="91">
        <v>8</v>
      </c>
      <c r="J233" s="91">
        <v>8</v>
      </c>
      <c r="K233" s="91">
        <v>8</v>
      </c>
      <c r="L233" s="91">
        <v>8</v>
      </c>
      <c r="M233" s="91"/>
      <c r="N233" s="91">
        <v>8</v>
      </c>
      <c r="O233" s="91">
        <v>8</v>
      </c>
      <c r="P233" s="91">
        <v>8</v>
      </c>
      <c r="Q233" s="91">
        <v>8</v>
      </c>
      <c r="R233" s="91">
        <v>8</v>
      </c>
      <c r="S233" s="91">
        <v>8</v>
      </c>
      <c r="T233" s="91">
        <v>8</v>
      </c>
      <c r="U233" s="91">
        <v>8</v>
      </c>
      <c r="V233" s="91">
        <v>8</v>
      </c>
      <c r="W233" s="91">
        <v>8</v>
      </c>
      <c r="X233" s="91">
        <v>8</v>
      </c>
      <c r="Y233" s="91">
        <v>3</v>
      </c>
      <c r="Z233" s="91">
        <v>8</v>
      </c>
      <c r="AA233" s="91">
        <v>8</v>
      </c>
      <c r="AB233" s="91">
        <v>8</v>
      </c>
      <c r="AC233" s="91">
        <v>8</v>
      </c>
      <c r="AD233" s="91">
        <v>8</v>
      </c>
      <c r="AE233" s="91">
        <v>8</v>
      </c>
      <c r="AF233" s="91">
        <v>8</v>
      </c>
      <c r="AG233" s="91">
        <v>8</v>
      </c>
      <c r="AH233" s="91">
        <v>8</v>
      </c>
      <c r="AI233" s="91">
        <v>8</v>
      </c>
      <c r="AJ233" s="91">
        <v>8</v>
      </c>
      <c r="AK233" s="91">
        <v>8</v>
      </c>
      <c r="AL233" s="91">
        <v>8</v>
      </c>
      <c r="AM233" s="91">
        <v>8</v>
      </c>
      <c r="AN233" s="91">
        <v>8</v>
      </c>
      <c r="AO233" s="91">
        <v>8</v>
      </c>
      <c r="AP233" s="91">
        <v>8</v>
      </c>
      <c r="AQ233" s="91">
        <v>8</v>
      </c>
      <c r="AR233" s="91">
        <v>8</v>
      </c>
      <c r="AS233" s="91">
        <v>8</v>
      </c>
      <c r="AT233" s="91">
        <v>8</v>
      </c>
      <c r="AU233" s="91">
        <v>8</v>
      </c>
      <c r="AV233" s="91">
        <v>8</v>
      </c>
      <c r="AW233" s="91">
        <v>8</v>
      </c>
      <c r="AX233" s="91">
        <v>8</v>
      </c>
      <c r="AY233" s="91"/>
      <c r="AZ233" s="91">
        <v>8</v>
      </c>
      <c r="BA233" s="91">
        <v>8</v>
      </c>
      <c r="BB233" s="91">
        <v>8</v>
      </c>
      <c r="BC233" s="91">
        <v>8</v>
      </c>
      <c r="BD233" s="91">
        <v>8</v>
      </c>
      <c r="BE233" s="91">
        <v>8</v>
      </c>
      <c r="BF233" s="91">
        <v>16</v>
      </c>
      <c r="BG233" s="91">
        <v>14</v>
      </c>
      <c r="BH233" s="91"/>
    </row>
    <row r="234" spans="1:60" x14ac:dyDescent="0.25">
      <c r="A234" s="91" t="s">
        <v>355</v>
      </c>
      <c r="B234" s="129">
        <f t="shared" si="14"/>
        <v>409</v>
      </c>
      <c r="C234" s="91">
        <f t="shared" si="15"/>
        <v>48</v>
      </c>
      <c r="D234" s="130">
        <f t="shared" si="16"/>
        <v>0.96</v>
      </c>
      <c r="E234" s="131">
        <v>46282</v>
      </c>
      <c r="F234" s="131">
        <v>46317</v>
      </c>
      <c r="G234" s="91">
        <f t="shared" si="17"/>
        <v>35</v>
      </c>
      <c r="H234" s="91">
        <v>8</v>
      </c>
      <c r="I234" s="91">
        <v>8</v>
      </c>
      <c r="J234" s="91">
        <v>8</v>
      </c>
      <c r="K234" s="91">
        <v>8</v>
      </c>
      <c r="L234" s="91">
        <v>8</v>
      </c>
      <c r="M234" s="91"/>
      <c r="N234" s="91">
        <v>8</v>
      </c>
      <c r="O234" s="91">
        <v>8</v>
      </c>
      <c r="P234" s="91">
        <v>8</v>
      </c>
      <c r="Q234" s="91">
        <v>8</v>
      </c>
      <c r="R234" s="91">
        <v>8</v>
      </c>
      <c r="S234" s="91">
        <v>8</v>
      </c>
      <c r="T234" s="91">
        <v>8</v>
      </c>
      <c r="U234" s="91">
        <v>8</v>
      </c>
      <c r="V234" s="91">
        <v>8</v>
      </c>
      <c r="W234" s="91">
        <v>8</v>
      </c>
      <c r="X234" s="91">
        <v>8</v>
      </c>
      <c r="Y234" s="91">
        <v>1</v>
      </c>
      <c r="Z234" s="91">
        <v>8</v>
      </c>
      <c r="AA234" s="91">
        <v>8</v>
      </c>
      <c r="AB234" s="91">
        <v>8</v>
      </c>
      <c r="AC234" s="91">
        <v>8</v>
      </c>
      <c r="AD234" s="91">
        <v>8</v>
      </c>
      <c r="AE234" s="91">
        <v>8</v>
      </c>
      <c r="AF234" s="91">
        <v>8</v>
      </c>
      <c r="AG234" s="91">
        <v>8</v>
      </c>
      <c r="AH234" s="91">
        <v>8</v>
      </c>
      <c r="AI234" s="91">
        <v>8</v>
      </c>
      <c r="AJ234" s="91">
        <v>8</v>
      </c>
      <c r="AK234" s="91">
        <v>8</v>
      </c>
      <c r="AL234" s="91">
        <v>8</v>
      </c>
      <c r="AM234" s="91">
        <v>8</v>
      </c>
      <c r="AN234" s="91">
        <v>8</v>
      </c>
      <c r="AO234" s="91">
        <v>8</v>
      </c>
      <c r="AP234" s="91">
        <v>8</v>
      </c>
      <c r="AQ234" s="91">
        <v>8</v>
      </c>
      <c r="AR234" s="91">
        <v>8</v>
      </c>
      <c r="AS234" s="91">
        <v>8</v>
      </c>
      <c r="AT234" s="91">
        <v>8</v>
      </c>
      <c r="AU234" s="91">
        <v>8</v>
      </c>
      <c r="AV234" s="91">
        <v>8</v>
      </c>
      <c r="AW234" s="91">
        <v>8</v>
      </c>
      <c r="AX234" s="91">
        <v>8</v>
      </c>
      <c r="AY234" s="91"/>
      <c r="AZ234" s="91">
        <v>8</v>
      </c>
      <c r="BA234" s="91">
        <v>8</v>
      </c>
      <c r="BB234" s="91">
        <v>8</v>
      </c>
      <c r="BC234" s="91">
        <v>8</v>
      </c>
      <c r="BD234" s="91">
        <v>8</v>
      </c>
      <c r="BE234" s="91">
        <v>8</v>
      </c>
      <c r="BF234" s="91">
        <v>16</v>
      </c>
      <c r="BG234" s="91">
        <v>16</v>
      </c>
      <c r="BH234" s="91"/>
    </row>
    <row r="235" spans="1:60" x14ac:dyDescent="0.25">
      <c r="A235" s="91" t="s">
        <v>190</v>
      </c>
      <c r="B235" s="129">
        <f t="shared" si="14"/>
        <v>409</v>
      </c>
      <c r="C235" s="91">
        <f t="shared" si="15"/>
        <v>47</v>
      </c>
      <c r="D235" s="130">
        <f t="shared" si="16"/>
        <v>0.94</v>
      </c>
      <c r="E235" s="131">
        <v>46274</v>
      </c>
      <c r="F235" s="131">
        <v>46309</v>
      </c>
      <c r="G235" s="91">
        <f t="shared" si="17"/>
        <v>35</v>
      </c>
      <c r="H235" s="91">
        <v>8</v>
      </c>
      <c r="I235" s="91">
        <v>8</v>
      </c>
      <c r="J235" s="91">
        <v>8</v>
      </c>
      <c r="K235" s="91">
        <v>8</v>
      </c>
      <c r="L235" s="91">
        <v>8</v>
      </c>
      <c r="M235" s="91"/>
      <c r="N235" s="91">
        <v>8</v>
      </c>
      <c r="O235" s="91">
        <v>8</v>
      </c>
      <c r="P235" s="91">
        <v>8</v>
      </c>
      <c r="Q235" s="91">
        <v>8</v>
      </c>
      <c r="R235" s="91">
        <v>8</v>
      </c>
      <c r="S235" s="91">
        <v>8</v>
      </c>
      <c r="T235" s="91">
        <v>8</v>
      </c>
      <c r="U235" s="91">
        <v>8</v>
      </c>
      <c r="V235" s="91">
        <v>8</v>
      </c>
      <c r="W235" s="91">
        <v>8</v>
      </c>
      <c r="X235" s="91">
        <v>8</v>
      </c>
      <c r="Y235" s="91"/>
      <c r="Z235" s="91">
        <v>8</v>
      </c>
      <c r="AA235" s="91">
        <v>8</v>
      </c>
      <c r="AB235" s="91">
        <v>8</v>
      </c>
      <c r="AC235" s="91">
        <v>8</v>
      </c>
      <c r="AD235" s="91">
        <v>8</v>
      </c>
      <c r="AE235" s="91">
        <v>8</v>
      </c>
      <c r="AF235" s="91">
        <v>8</v>
      </c>
      <c r="AG235" s="91">
        <v>8</v>
      </c>
      <c r="AH235" s="91">
        <v>8</v>
      </c>
      <c r="AI235" s="91">
        <v>8</v>
      </c>
      <c r="AJ235" s="91">
        <v>8</v>
      </c>
      <c r="AK235" s="91">
        <v>8</v>
      </c>
      <c r="AL235" s="91">
        <v>8</v>
      </c>
      <c r="AM235" s="91">
        <v>8</v>
      </c>
      <c r="AN235" s="91">
        <v>8</v>
      </c>
      <c r="AO235" s="91">
        <v>8</v>
      </c>
      <c r="AP235" s="91">
        <v>8</v>
      </c>
      <c r="AQ235" s="91">
        <v>8</v>
      </c>
      <c r="AR235" s="91">
        <v>8</v>
      </c>
      <c r="AS235" s="91">
        <v>8</v>
      </c>
      <c r="AT235" s="91">
        <v>8</v>
      </c>
      <c r="AU235" s="91">
        <v>8</v>
      </c>
      <c r="AV235" s="91">
        <v>8</v>
      </c>
      <c r="AW235" s="91">
        <v>8</v>
      </c>
      <c r="AX235" s="91">
        <v>9</v>
      </c>
      <c r="AY235" s="91"/>
      <c r="AZ235" s="91">
        <v>8</v>
      </c>
      <c r="BA235" s="91">
        <v>8</v>
      </c>
      <c r="BB235" s="91">
        <v>8</v>
      </c>
      <c r="BC235" s="91">
        <v>8</v>
      </c>
      <c r="BD235" s="91">
        <v>8</v>
      </c>
      <c r="BE235" s="91">
        <v>8</v>
      </c>
      <c r="BF235" s="91">
        <v>16</v>
      </c>
      <c r="BG235" s="91">
        <v>16</v>
      </c>
      <c r="BH235" s="91"/>
    </row>
    <row r="236" spans="1:60" x14ac:dyDescent="0.25">
      <c r="A236" s="91" t="s">
        <v>366</v>
      </c>
      <c r="B236" s="129">
        <f t="shared" si="14"/>
        <v>409</v>
      </c>
      <c r="C236" s="91">
        <f t="shared" si="15"/>
        <v>48</v>
      </c>
      <c r="D236" s="130">
        <f t="shared" si="16"/>
        <v>0.96</v>
      </c>
      <c r="E236" s="131">
        <v>46304</v>
      </c>
      <c r="F236" s="131">
        <v>46322</v>
      </c>
      <c r="G236" s="91">
        <f t="shared" si="17"/>
        <v>18</v>
      </c>
      <c r="H236" s="91">
        <v>8</v>
      </c>
      <c r="I236" s="91">
        <v>8</v>
      </c>
      <c r="J236" s="91">
        <v>8</v>
      </c>
      <c r="K236" s="91">
        <v>8</v>
      </c>
      <c r="L236" s="91">
        <v>8</v>
      </c>
      <c r="M236" s="91"/>
      <c r="N236" s="91">
        <v>8</v>
      </c>
      <c r="O236" s="91">
        <v>8</v>
      </c>
      <c r="P236" s="91">
        <v>8</v>
      </c>
      <c r="Q236" s="91">
        <v>8</v>
      </c>
      <c r="R236" s="91">
        <v>8</v>
      </c>
      <c r="S236" s="91">
        <v>8</v>
      </c>
      <c r="T236" s="91">
        <v>8</v>
      </c>
      <c r="U236" s="91">
        <v>8</v>
      </c>
      <c r="V236" s="91">
        <v>8</v>
      </c>
      <c r="W236" s="91">
        <v>8</v>
      </c>
      <c r="X236" s="91">
        <v>8</v>
      </c>
      <c r="Y236" s="91">
        <v>1</v>
      </c>
      <c r="Z236" s="91">
        <v>8</v>
      </c>
      <c r="AA236" s="91">
        <v>8</v>
      </c>
      <c r="AB236" s="91">
        <v>8</v>
      </c>
      <c r="AC236" s="91">
        <v>8</v>
      </c>
      <c r="AD236" s="91">
        <v>8</v>
      </c>
      <c r="AE236" s="91">
        <v>8</v>
      </c>
      <c r="AF236" s="91">
        <v>8</v>
      </c>
      <c r="AG236" s="91">
        <v>8</v>
      </c>
      <c r="AH236" s="91">
        <v>8</v>
      </c>
      <c r="AI236" s="91">
        <v>8</v>
      </c>
      <c r="AJ236" s="91">
        <v>8</v>
      </c>
      <c r="AK236" s="91">
        <v>8</v>
      </c>
      <c r="AL236" s="91">
        <v>8</v>
      </c>
      <c r="AM236" s="91">
        <v>8</v>
      </c>
      <c r="AN236" s="91">
        <v>8</v>
      </c>
      <c r="AO236" s="91">
        <v>8</v>
      </c>
      <c r="AP236" s="91">
        <v>8</v>
      </c>
      <c r="AQ236" s="91">
        <v>8</v>
      </c>
      <c r="AR236" s="91">
        <v>8</v>
      </c>
      <c r="AS236" s="91">
        <v>8</v>
      </c>
      <c r="AT236" s="91">
        <v>8</v>
      </c>
      <c r="AU236" s="91">
        <v>8</v>
      </c>
      <c r="AV236" s="91">
        <v>8</v>
      </c>
      <c r="AW236" s="91">
        <v>8</v>
      </c>
      <c r="AX236" s="91">
        <v>8</v>
      </c>
      <c r="AY236" s="91"/>
      <c r="AZ236" s="91">
        <v>8</v>
      </c>
      <c r="BA236" s="91">
        <v>8</v>
      </c>
      <c r="BB236" s="91">
        <v>8</v>
      </c>
      <c r="BC236" s="91">
        <v>8</v>
      </c>
      <c r="BD236" s="91">
        <v>8</v>
      </c>
      <c r="BE236" s="91">
        <v>8</v>
      </c>
      <c r="BF236" s="91">
        <v>16</v>
      </c>
      <c r="BG236" s="91">
        <v>16</v>
      </c>
      <c r="BH236" s="91"/>
    </row>
    <row r="237" spans="1:60" x14ac:dyDescent="0.25">
      <c r="A237" s="91" t="s">
        <v>158</v>
      </c>
      <c r="B237" s="129">
        <f t="shared" si="14"/>
        <v>409</v>
      </c>
      <c r="C237" s="91">
        <f t="shared" si="15"/>
        <v>33</v>
      </c>
      <c r="D237" s="130">
        <f t="shared" si="16"/>
        <v>0.66</v>
      </c>
      <c r="E237" s="131">
        <v>46287</v>
      </c>
      <c r="F237" s="131">
        <v>46310</v>
      </c>
      <c r="G237" s="91">
        <f t="shared" si="17"/>
        <v>23</v>
      </c>
      <c r="H237" s="91"/>
      <c r="I237" s="91"/>
      <c r="J237" s="91">
        <v>12</v>
      </c>
      <c r="K237" s="91">
        <v>12</v>
      </c>
      <c r="L237" s="91">
        <v>12</v>
      </c>
      <c r="M237" s="91"/>
      <c r="N237" s="91">
        <v>12</v>
      </c>
      <c r="O237" s="91">
        <v>12</v>
      </c>
      <c r="P237" s="91">
        <v>12</v>
      </c>
      <c r="Q237" s="91">
        <v>12</v>
      </c>
      <c r="R237" s="91"/>
      <c r="S237" s="91">
        <v>12</v>
      </c>
      <c r="T237" s="91">
        <v>12</v>
      </c>
      <c r="U237" s="91"/>
      <c r="V237" s="91">
        <v>12</v>
      </c>
      <c r="W237" s="91">
        <v>12</v>
      </c>
      <c r="X237" s="91">
        <v>12</v>
      </c>
      <c r="Y237" s="91">
        <v>1</v>
      </c>
      <c r="Z237" s="91"/>
      <c r="AA237" s="91"/>
      <c r="AB237" s="91">
        <v>12</v>
      </c>
      <c r="AC237" s="91">
        <v>12</v>
      </c>
      <c r="AD237" s="91">
        <v>12</v>
      </c>
      <c r="AE237" s="91"/>
      <c r="AF237" s="91">
        <v>12</v>
      </c>
      <c r="AG237" s="91">
        <v>12</v>
      </c>
      <c r="AH237" s="91">
        <v>12</v>
      </c>
      <c r="AI237" s="91">
        <v>12</v>
      </c>
      <c r="AJ237" s="91">
        <v>12</v>
      </c>
      <c r="AK237" s="91"/>
      <c r="AL237" s="91">
        <v>12</v>
      </c>
      <c r="AM237" s="91">
        <v>12</v>
      </c>
      <c r="AN237" s="91">
        <v>12</v>
      </c>
      <c r="AO237" s="91">
        <v>12</v>
      </c>
      <c r="AP237" s="91">
        <v>12</v>
      </c>
      <c r="AQ237" s="91"/>
      <c r="AR237" s="91"/>
      <c r="AS237" s="91">
        <v>12</v>
      </c>
      <c r="AT237" s="91">
        <v>12</v>
      </c>
      <c r="AU237" s="91"/>
      <c r="AV237" s="91"/>
      <c r="AW237" s="91">
        <v>12</v>
      </c>
      <c r="AX237" s="91"/>
      <c r="AY237" s="91"/>
      <c r="AZ237" s="91"/>
      <c r="BA237" s="91"/>
      <c r="BB237" s="91">
        <v>12</v>
      </c>
      <c r="BC237" s="91">
        <v>12</v>
      </c>
      <c r="BD237" s="91">
        <v>12</v>
      </c>
      <c r="BE237" s="91">
        <v>12</v>
      </c>
      <c r="BF237" s="91">
        <v>24</v>
      </c>
      <c r="BG237" s="91"/>
      <c r="BH237" s="91"/>
    </row>
    <row r="238" spans="1:60" x14ac:dyDescent="0.25">
      <c r="A238" s="91" t="s">
        <v>342</v>
      </c>
      <c r="B238" s="129">
        <f t="shared" si="14"/>
        <v>408</v>
      </c>
      <c r="C238" s="91">
        <f t="shared" si="15"/>
        <v>47</v>
      </c>
      <c r="D238" s="130">
        <f t="shared" si="16"/>
        <v>0.94</v>
      </c>
      <c r="E238" s="131">
        <v>46282</v>
      </c>
      <c r="F238" s="131">
        <v>46315</v>
      </c>
      <c r="G238" s="91">
        <f t="shared" si="17"/>
        <v>33</v>
      </c>
      <c r="H238" s="91">
        <v>8</v>
      </c>
      <c r="I238" s="91">
        <v>8</v>
      </c>
      <c r="J238" s="91">
        <v>8</v>
      </c>
      <c r="K238" s="91">
        <v>8</v>
      </c>
      <c r="L238" s="91">
        <v>8</v>
      </c>
      <c r="M238" s="91"/>
      <c r="N238" s="91">
        <v>8</v>
      </c>
      <c r="O238" s="91">
        <v>8</v>
      </c>
      <c r="P238" s="91">
        <v>8</v>
      </c>
      <c r="Q238" s="91">
        <v>8</v>
      </c>
      <c r="R238" s="91">
        <v>8</v>
      </c>
      <c r="S238" s="91">
        <v>8</v>
      </c>
      <c r="T238" s="91">
        <v>8</v>
      </c>
      <c r="U238" s="91">
        <v>8</v>
      </c>
      <c r="V238" s="91">
        <v>8</v>
      </c>
      <c r="W238" s="91">
        <v>8</v>
      </c>
      <c r="X238" s="91">
        <v>8</v>
      </c>
      <c r="Y238" s="91"/>
      <c r="Z238" s="91">
        <v>8</v>
      </c>
      <c r="AA238" s="91">
        <v>8</v>
      </c>
      <c r="AB238" s="91">
        <v>8</v>
      </c>
      <c r="AC238" s="91">
        <v>8</v>
      </c>
      <c r="AD238" s="91">
        <v>8</v>
      </c>
      <c r="AE238" s="91">
        <v>8</v>
      </c>
      <c r="AF238" s="91">
        <v>8</v>
      </c>
      <c r="AG238" s="91">
        <v>8</v>
      </c>
      <c r="AH238" s="91">
        <v>8</v>
      </c>
      <c r="AI238" s="91">
        <v>8</v>
      </c>
      <c r="AJ238" s="91">
        <v>8</v>
      </c>
      <c r="AK238" s="91">
        <v>8</v>
      </c>
      <c r="AL238" s="91">
        <v>8</v>
      </c>
      <c r="AM238" s="91">
        <v>8</v>
      </c>
      <c r="AN238" s="91">
        <v>8</v>
      </c>
      <c r="AO238" s="91">
        <v>8</v>
      </c>
      <c r="AP238" s="91">
        <v>8</v>
      </c>
      <c r="AQ238" s="91">
        <v>8</v>
      </c>
      <c r="AR238" s="91">
        <v>8</v>
      </c>
      <c r="AS238" s="91">
        <v>8</v>
      </c>
      <c r="AT238" s="91">
        <v>8</v>
      </c>
      <c r="AU238" s="91">
        <v>8</v>
      </c>
      <c r="AV238" s="91">
        <v>8</v>
      </c>
      <c r="AW238" s="91">
        <v>8</v>
      </c>
      <c r="AX238" s="91">
        <v>8</v>
      </c>
      <c r="AY238" s="91"/>
      <c r="AZ238" s="91">
        <v>8</v>
      </c>
      <c r="BA238" s="91">
        <v>8</v>
      </c>
      <c r="BB238" s="91">
        <v>8</v>
      </c>
      <c r="BC238" s="91">
        <v>8</v>
      </c>
      <c r="BD238" s="91">
        <v>8</v>
      </c>
      <c r="BE238" s="91">
        <v>8</v>
      </c>
      <c r="BF238" s="91">
        <v>16</v>
      </c>
      <c r="BG238" s="91">
        <v>16</v>
      </c>
      <c r="BH238" s="91"/>
    </row>
    <row r="239" spans="1:60" x14ac:dyDescent="0.25">
      <c r="A239" s="91" t="s">
        <v>483</v>
      </c>
      <c r="B239" s="129">
        <f t="shared" si="14"/>
        <v>408</v>
      </c>
      <c r="C239" s="91">
        <f t="shared" si="15"/>
        <v>47</v>
      </c>
      <c r="D239" s="130">
        <f t="shared" si="16"/>
        <v>0.94</v>
      </c>
      <c r="E239" s="131">
        <v>46280</v>
      </c>
      <c r="F239" s="131">
        <v>46288</v>
      </c>
      <c r="G239" s="91">
        <f t="shared" si="17"/>
        <v>8</v>
      </c>
      <c r="H239" s="91">
        <v>8</v>
      </c>
      <c r="I239" s="91">
        <v>8</v>
      </c>
      <c r="J239" s="91">
        <v>8</v>
      </c>
      <c r="K239" s="91">
        <v>8</v>
      </c>
      <c r="L239" s="91">
        <v>8</v>
      </c>
      <c r="M239" s="91"/>
      <c r="N239" s="91">
        <v>8</v>
      </c>
      <c r="O239" s="91">
        <v>8</v>
      </c>
      <c r="P239" s="91">
        <v>8</v>
      </c>
      <c r="Q239" s="91">
        <v>8</v>
      </c>
      <c r="R239" s="91">
        <v>8</v>
      </c>
      <c r="S239" s="91">
        <v>8</v>
      </c>
      <c r="T239" s="91">
        <v>8</v>
      </c>
      <c r="U239" s="91">
        <v>8</v>
      </c>
      <c r="V239" s="91">
        <v>8</v>
      </c>
      <c r="W239" s="91">
        <v>8</v>
      </c>
      <c r="X239" s="91">
        <v>8</v>
      </c>
      <c r="Y239" s="91"/>
      <c r="Z239" s="91">
        <v>8</v>
      </c>
      <c r="AA239" s="91">
        <v>8</v>
      </c>
      <c r="AB239" s="91">
        <v>8</v>
      </c>
      <c r="AC239" s="91">
        <v>8</v>
      </c>
      <c r="AD239" s="91">
        <v>8</v>
      </c>
      <c r="AE239" s="91">
        <v>8</v>
      </c>
      <c r="AF239" s="91">
        <v>8</v>
      </c>
      <c r="AG239" s="91">
        <v>8</v>
      </c>
      <c r="AH239" s="91">
        <v>8</v>
      </c>
      <c r="AI239" s="91">
        <v>8</v>
      </c>
      <c r="AJ239" s="91">
        <v>8</v>
      </c>
      <c r="AK239" s="91">
        <v>8</v>
      </c>
      <c r="AL239" s="91">
        <v>8</v>
      </c>
      <c r="AM239" s="91">
        <v>8</v>
      </c>
      <c r="AN239" s="91">
        <v>8</v>
      </c>
      <c r="AO239" s="91">
        <v>8</v>
      </c>
      <c r="AP239" s="91">
        <v>8</v>
      </c>
      <c r="AQ239" s="91">
        <v>8</v>
      </c>
      <c r="AR239" s="91">
        <v>8</v>
      </c>
      <c r="AS239" s="91">
        <v>8</v>
      </c>
      <c r="AT239" s="91">
        <v>8</v>
      </c>
      <c r="AU239" s="91">
        <v>8</v>
      </c>
      <c r="AV239" s="91">
        <v>8</v>
      </c>
      <c r="AW239" s="91">
        <v>8</v>
      </c>
      <c r="AX239" s="91">
        <v>8</v>
      </c>
      <c r="AY239" s="91"/>
      <c r="AZ239" s="91">
        <v>8</v>
      </c>
      <c r="BA239" s="91">
        <v>8</v>
      </c>
      <c r="BB239" s="91">
        <v>8</v>
      </c>
      <c r="BC239" s="91">
        <v>8</v>
      </c>
      <c r="BD239" s="91">
        <v>8</v>
      </c>
      <c r="BE239" s="91">
        <v>8</v>
      </c>
      <c r="BF239" s="91">
        <v>16</v>
      </c>
      <c r="BG239" s="91">
        <v>16</v>
      </c>
      <c r="BH239" s="91"/>
    </row>
    <row r="240" spans="1:60" x14ac:dyDescent="0.25">
      <c r="A240" s="91" t="s">
        <v>394</v>
      </c>
      <c r="B240" s="129">
        <f t="shared" si="14"/>
        <v>408</v>
      </c>
      <c r="C240" s="91">
        <f t="shared" si="15"/>
        <v>34</v>
      </c>
      <c r="D240" s="130">
        <f t="shared" si="16"/>
        <v>0.68</v>
      </c>
      <c r="E240" s="131">
        <v>46293</v>
      </c>
      <c r="F240" s="131">
        <v>46296</v>
      </c>
      <c r="G240" s="91">
        <f t="shared" si="17"/>
        <v>3</v>
      </c>
      <c r="H240" s="91"/>
      <c r="I240" s="91"/>
      <c r="J240" s="91">
        <v>12</v>
      </c>
      <c r="K240" s="91">
        <v>12</v>
      </c>
      <c r="L240" s="91">
        <v>12</v>
      </c>
      <c r="M240" s="91"/>
      <c r="N240" s="91">
        <v>12</v>
      </c>
      <c r="O240" s="91">
        <v>12</v>
      </c>
      <c r="P240" s="91">
        <v>12</v>
      </c>
      <c r="Q240" s="91">
        <v>12</v>
      </c>
      <c r="R240" s="91"/>
      <c r="S240" s="91">
        <v>12</v>
      </c>
      <c r="T240" s="91">
        <v>12</v>
      </c>
      <c r="U240" s="91"/>
      <c r="V240" s="91">
        <v>12</v>
      </c>
      <c r="W240" s="91">
        <v>12</v>
      </c>
      <c r="X240" s="91">
        <v>12</v>
      </c>
      <c r="Y240" s="91">
        <v>12</v>
      </c>
      <c r="Z240" s="91"/>
      <c r="AA240" s="91"/>
      <c r="AB240" s="91">
        <v>12</v>
      </c>
      <c r="AC240" s="91">
        <v>12</v>
      </c>
      <c r="AD240" s="91">
        <v>12</v>
      </c>
      <c r="AE240" s="91"/>
      <c r="AF240" s="91">
        <v>12</v>
      </c>
      <c r="AG240" s="91">
        <v>12</v>
      </c>
      <c r="AH240" s="91">
        <v>12</v>
      </c>
      <c r="AI240" s="91">
        <v>12</v>
      </c>
      <c r="AJ240" s="91">
        <v>12</v>
      </c>
      <c r="AK240" s="91"/>
      <c r="AL240" s="91">
        <v>12</v>
      </c>
      <c r="AM240" s="91">
        <v>12</v>
      </c>
      <c r="AN240" s="91">
        <v>12</v>
      </c>
      <c r="AO240" s="91">
        <v>12</v>
      </c>
      <c r="AP240" s="91">
        <v>12</v>
      </c>
      <c r="AQ240" s="91"/>
      <c r="AR240" s="91"/>
      <c r="AS240" s="91">
        <v>12</v>
      </c>
      <c r="AT240" s="91">
        <v>12</v>
      </c>
      <c r="AU240" s="91"/>
      <c r="AV240" s="91">
        <v>12</v>
      </c>
      <c r="AW240" s="91">
        <v>12</v>
      </c>
      <c r="AX240" s="91"/>
      <c r="AY240" s="91"/>
      <c r="AZ240" s="91"/>
      <c r="BA240" s="91"/>
      <c r="BB240" s="91">
        <v>12</v>
      </c>
      <c r="BC240" s="91">
        <v>12</v>
      </c>
      <c r="BD240" s="91">
        <v>12</v>
      </c>
      <c r="BE240" s="91">
        <v>12</v>
      </c>
      <c r="BF240" s="91"/>
      <c r="BG240" s="91"/>
      <c r="BH240" s="91"/>
    </row>
    <row r="241" spans="1:60" x14ac:dyDescent="0.25">
      <c r="A241" s="91" t="s">
        <v>371</v>
      </c>
      <c r="B241" s="129">
        <f t="shared" si="14"/>
        <v>407</v>
      </c>
      <c r="C241" s="91">
        <f t="shared" si="15"/>
        <v>47</v>
      </c>
      <c r="D241" s="130">
        <f t="shared" si="16"/>
        <v>0.94</v>
      </c>
      <c r="E241" s="131">
        <v>46219</v>
      </c>
      <c r="F241" s="131">
        <v>46266</v>
      </c>
      <c r="G241" s="91">
        <f t="shared" si="17"/>
        <v>47</v>
      </c>
      <c r="H241" s="91">
        <v>8</v>
      </c>
      <c r="I241" s="91">
        <v>8</v>
      </c>
      <c r="J241" s="91">
        <v>8</v>
      </c>
      <c r="K241" s="91">
        <v>8</v>
      </c>
      <c r="L241" s="91">
        <v>8</v>
      </c>
      <c r="M241" s="91"/>
      <c r="N241" s="91">
        <v>8</v>
      </c>
      <c r="O241" s="91">
        <v>8</v>
      </c>
      <c r="P241" s="91">
        <v>8</v>
      </c>
      <c r="Q241" s="91">
        <v>8</v>
      </c>
      <c r="R241" s="91">
        <v>8</v>
      </c>
      <c r="S241" s="91">
        <v>8</v>
      </c>
      <c r="T241" s="91">
        <v>8</v>
      </c>
      <c r="U241" s="91">
        <v>8</v>
      </c>
      <c r="V241" s="91">
        <v>8</v>
      </c>
      <c r="W241" s="91">
        <v>8</v>
      </c>
      <c r="X241" s="91">
        <v>8</v>
      </c>
      <c r="Y241" s="91"/>
      <c r="Z241" s="91">
        <v>8</v>
      </c>
      <c r="AA241" s="91">
        <v>8</v>
      </c>
      <c r="AB241" s="91">
        <v>8</v>
      </c>
      <c r="AC241" s="91">
        <v>8</v>
      </c>
      <c r="AD241" s="91">
        <v>8</v>
      </c>
      <c r="AE241" s="91">
        <v>8</v>
      </c>
      <c r="AF241" s="91">
        <v>8</v>
      </c>
      <c r="AG241" s="91">
        <v>8</v>
      </c>
      <c r="AH241" s="91">
        <v>8</v>
      </c>
      <c r="AI241" s="91">
        <v>8</v>
      </c>
      <c r="AJ241" s="91">
        <v>8</v>
      </c>
      <c r="AK241" s="91">
        <v>8</v>
      </c>
      <c r="AL241" s="91">
        <v>8</v>
      </c>
      <c r="AM241" s="91">
        <v>8</v>
      </c>
      <c r="AN241" s="91">
        <v>8</v>
      </c>
      <c r="AO241" s="91">
        <v>8</v>
      </c>
      <c r="AP241" s="91">
        <v>8</v>
      </c>
      <c r="AQ241" s="91">
        <v>8</v>
      </c>
      <c r="AR241" s="91">
        <v>8</v>
      </c>
      <c r="AS241" s="91">
        <v>8</v>
      </c>
      <c r="AT241" s="91">
        <v>8</v>
      </c>
      <c r="AU241" s="91">
        <v>8</v>
      </c>
      <c r="AV241" s="91">
        <v>8</v>
      </c>
      <c r="AW241" s="91">
        <v>8</v>
      </c>
      <c r="AX241" s="91">
        <v>8</v>
      </c>
      <c r="AY241" s="91"/>
      <c r="AZ241" s="91">
        <v>8</v>
      </c>
      <c r="BA241" s="91">
        <v>8</v>
      </c>
      <c r="BB241" s="91">
        <v>8</v>
      </c>
      <c r="BC241" s="91">
        <v>8</v>
      </c>
      <c r="BD241" s="91">
        <v>14</v>
      </c>
      <c r="BE241" s="91">
        <v>8</v>
      </c>
      <c r="BF241" s="91">
        <v>13</v>
      </c>
      <c r="BG241" s="91">
        <v>12</v>
      </c>
      <c r="BH241" s="91"/>
    </row>
    <row r="242" spans="1:60" x14ac:dyDescent="0.25">
      <c r="A242" s="91" t="s">
        <v>446</v>
      </c>
      <c r="B242" s="129">
        <f t="shared" si="14"/>
        <v>407</v>
      </c>
      <c r="C242" s="91">
        <f t="shared" si="15"/>
        <v>48</v>
      </c>
      <c r="D242" s="130">
        <f t="shared" si="16"/>
        <v>0.96</v>
      </c>
      <c r="E242" s="131">
        <v>46225</v>
      </c>
      <c r="F242" s="131">
        <v>46301</v>
      </c>
      <c r="G242" s="91">
        <f t="shared" si="17"/>
        <v>76</v>
      </c>
      <c r="H242" s="91">
        <v>8</v>
      </c>
      <c r="I242" s="91">
        <v>8</v>
      </c>
      <c r="J242" s="91">
        <v>8</v>
      </c>
      <c r="K242" s="91">
        <v>8</v>
      </c>
      <c r="L242" s="91">
        <v>8</v>
      </c>
      <c r="M242" s="91"/>
      <c r="N242" s="91">
        <v>8</v>
      </c>
      <c r="O242" s="91">
        <v>8</v>
      </c>
      <c r="P242" s="91">
        <v>8</v>
      </c>
      <c r="Q242" s="91">
        <v>8</v>
      </c>
      <c r="R242" s="91">
        <v>8</v>
      </c>
      <c r="S242" s="91">
        <v>8</v>
      </c>
      <c r="T242" s="91">
        <v>8</v>
      </c>
      <c r="U242" s="91">
        <v>8</v>
      </c>
      <c r="V242" s="91">
        <v>8</v>
      </c>
      <c r="W242" s="91">
        <v>8</v>
      </c>
      <c r="X242" s="91">
        <v>8</v>
      </c>
      <c r="Y242" s="91">
        <v>1</v>
      </c>
      <c r="Z242" s="91">
        <v>8</v>
      </c>
      <c r="AA242" s="91">
        <v>8</v>
      </c>
      <c r="AB242" s="91">
        <v>8</v>
      </c>
      <c r="AC242" s="91">
        <v>8</v>
      </c>
      <c r="AD242" s="91">
        <v>8</v>
      </c>
      <c r="AE242" s="91">
        <v>8</v>
      </c>
      <c r="AF242" s="91">
        <v>8</v>
      </c>
      <c r="AG242" s="91">
        <v>8</v>
      </c>
      <c r="AH242" s="91">
        <v>8</v>
      </c>
      <c r="AI242" s="91">
        <v>8</v>
      </c>
      <c r="AJ242" s="91">
        <v>8</v>
      </c>
      <c r="AK242" s="91">
        <v>8</v>
      </c>
      <c r="AL242" s="91">
        <v>8</v>
      </c>
      <c r="AM242" s="91">
        <v>8</v>
      </c>
      <c r="AN242" s="91">
        <v>8</v>
      </c>
      <c r="AO242" s="91">
        <v>8</v>
      </c>
      <c r="AP242" s="91">
        <v>8</v>
      </c>
      <c r="AQ242" s="91">
        <v>8</v>
      </c>
      <c r="AR242" s="91">
        <v>8</v>
      </c>
      <c r="AS242" s="91">
        <v>8</v>
      </c>
      <c r="AT242" s="91">
        <v>8</v>
      </c>
      <c r="AU242" s="91">
        <v>8</v>
      </c>
      <c r="AV242" s="91">
        <v>8</v>
      </c>
      <c r="AW242" s="91">
        <v>8</v>
      </c>
      <c r="AX242" s="91">
        <v>8</v>
      </c>
      <c r="AY242" s="91"/>
      <c r="AZ242" s="91">
        <v>8</v>
      </c>
      <c r="BA242" s="91">
        <v>8</v>
      </c>
      <c r="BB242" s="91">
        <v>8</v>
      </c>
      <c r="BC242" s="91">
        <v>8</v>
      </c>
      <c r="BD242" s="91">
        <v>8</v>
      </c>
      <c r="BE242" s="91">
        <v>8</v>
      </c>
      <c r="BF242" s="91">
        <v>15</v>
      </c>
      <c r="BG242" s="91">
        <v>15</v>
      </c>
      <c r="BH242" s="91"/>
    </row>
    <row r="243" spans="1:60" x14ac:dyDescent="0.25">
      <c r="A243" s="91" t="s">
        <v>510</v>
      </c>
      <c r="B243" s="129">
        <f t="shared" si="14"/>
        <v>407</v>
      </c>
      <c r="C243" s="91">
        <f t="shared" si="15"/>
        <v>48</v>
      </c>
      <c r="D243" s="130">
        <f t="shared" si="16"/>
        <v>0.96</v>
      </c>
      <c r="E243" s="131">
        <v>46266</v>
      </c>
      <c r="F243" s="131">
        <v>46310</v>
      </c>
      <c r="G243" s="91">
        <f t="shared" si="17"/>
        <v>44</v>
      </c>
      <c r="H243" s="91">
        <v>8</v>
      </c>
      <c r="I243" s="91">
        <v>8</v>
      </c>
      <c r="J243" s="91">
        <v>8</v>
      </c>
      <c r="K243" s="91">
        <v>8</v>
      </c>
      <c r="L243" s="91">
        <v>8</v>
      </c>
      <c r="M243" s="91"/>
      <c r="N243" s="91">
        <v>8</v>
      </c>
      <c r="O243" s="91">
        <v>8</v>
      </c>
      <c r="P243" s="91">
        <v>8</v>
      </c>
      <c r="Q243" s="91">
        <v>8</v>
      </c>
      <c r="R243" s="91">
        <v>8</v>
      </c>
      <c r="S243" s="91">
        <v>8</v>
      </c>
      <c r="T243" s="91">
        <v>8</v>
      </c>
      <c r="U243" s="91">
        <v>8</v>
      </c>
      <c r="V243" s="91">
        <v>8</v>
      </c>
      <c r="W243" s="91">
        <v>8</v>
      </c>
      <c r="X243" s="91">
        <v>8</v>
      </c>
      <c r="Y243" s="91">
        <v>1</v>
      </c>
      <c r="Z243" s="91">
        <v>8</v>
      </c>
      <c r="AA243" s="91">
        <v>8</v>
      </c>
      <c r="AB243" s="91">
        <v>8</v>
      </c>
      <c r="AC243" s="91">
        <v>8</v>
      </c>
      <c r="AD243" s="91">
        <v>8</v>
      </c>
      <c r="AE243" s="91">
        <v>8</v>
      </c>
      <c r="AF243" s="91">
        <v>8</v>
      </c>
      <c r="AG243" s="91">
        <v>8</v>
      </c>
      <c r="AH243" s="91">
        <v>8</v>
      </c>
      <c r="AI243" s="91">
        <v>8</v>
      </c>
      <c r="AJ243" s="91">
        <v>8</v>
      </c>
      <c r="AK243" s="91">
        <v>8</v>
      </c>
      <c r="AL243" s="91">
        <v>8</v>
      </c>
      <c r="AM243" s="91">
        <v>8</v>
      </c>
      <c r="AN243" s="91">
        <v>8</v>
      </c>
      <c r="AO243" s="91">
        <v>8</v>
      </c>
      <c r="AP243" s="91">
        <v>8</v>
      </c>
      <c r="AQ243" s="91">
        <v>8</v>
      </c>
      <c r="AR243" s="91">
        <v>8</v>
      </c>
      <c r="AS243" s="91">
        <v>8</v>
      </c>
      <c r="AT243" s="91">
        <v>8</v>
      </c>
      <c r="AU243" s="91">
        <v>8</v>
      </c>
      <c r="AV243" s="91">
        <v>8</v>
      </c>
      <c r="AW243" s="91">
        <v>8</v>
      </c>
      <c r="AX243" s="91">
        <v>8</v>
      </c>
      <c r="AY243" s="91"/>
      <c r="AZ243" s="91">
        <v>8</v>
      </c>
      <c r="BA243" s="91">
        <v>8</v>
      </c>
      <c r="BB243" s="91">
        <v>8</v>
      </c>
      <c r="BC243" s="91">
        <v>8</v>
      </c>
      <c r="BD243" s="91">
        <v>8</v>
      </c>
      <c r="BE243" s="91">
        <v>8</v>
      </c>
      <c r="BF243" s="91">
        <v>16</v>
      </c>
      <c r="BG243" s="91">
        <v>14</v>
      </c>
      <c r="BH243" s="91"/>
    </row>
    <row r="244" spans="1:60" x14ac:dyDescent="0.25">
      <c r="A244" s="91" t="s">
        <v>419</v>
      </c>
      <c r="B244" s="129">
        <f t="shared" si="14"/>
        <v>407</v>
      </c>
      <c r="C244" s="91">
        <f t="shared" si="15"/>
        <v>48</v>
      </c>
      <c r="D244" s="130">
        <f t="shared" si="16"/>
        <v>0.96</v>
      </c>
      <c r="E244" s="131">
        <v>46274</v>
      </c>
      <c r="F244" s="131">
        <v>46310</v>
      </c>
      <c r="G244" s="91">
        <f t="shared" si="17"/>
        <v>36</v>
      </c>
      <c r="H244" s="91">
        <v>8</v>
      </c>
      <c r="I244" s="91">
        <v>8</v>
      </c>
      <c r="J244" s="91">
        <v>8</v>
      </c>
      <c r="K244" s="91">
        <v>8</v>
      </c>
      <c r="L244" s="91">
        <v>8</v>
      </c>
      <c r="M244" s="91"/>
      <c r="N244" s="91">
        <v>8</v>
      </c>
      <c r="O244" s="91">
        <v>8</v>
      </c>
      <c r="P244" s="91">
        <v>8</v>
      </c>
      <c r="Q244" s="91">
        <v>8</v>
      </c>
      <c r="R244" s="91">
        <v>8</v>
      </c>
      <c r="S244" s="91">
        <v>8</v>
      </c>
      <c r="T244" s="91">
        <v>8</v>
      </c>
      <c r="U244" s="91">
        <v>8</v>
      </c>
      <c r="V244" s="91">
        <v>8</v>
      </c>
      <c r="W244" s="91">
        <v>8</v>
      </c>
      <c r="X244" s="91">
        <v>8</v>
      </c>
      <c r="Y244" s="91">
        <v>1</v>
      </c>
      <c r="Z244" s="91">
        <v>8</v>
      </c>
      <c r="AA244" s="91">
        <v>8</v>
      </c>
      <c r="AB244" s="91">
        <v>8</v>
      </c>
      <c r="AC244" s="91">
        <v>8</v>
      </c>
      <c r="AD244" s="91">
        <v>8</v>
      </c>
      <c r="AE244" s="91">
        <v>8</v>
      </c>
      <c r="AF244" s="91">
        <v>8</v>
      </c>
      <c r="AG244" s="91">
        <v>8</v>
      </c>
      <c r="AH244" s="91">
        <v>8</v>
      </c>
      <c r="AI244" s="91">
        <v>8</v>
      </c>
      <c r="AJ244" s="91">
        <v>8</v>
      </c>
      <c r="AK244" s="91">
        <v>8</v>
      </c>
      <c r="AL244" s="91">
        <v>8</v>
      </c>
      <c r="AM244" s="91">
        <v>8</v>
      </c>
      <c r="AN244" s="91">
        <v>8</v>
      </c>
      <c r="AO244" s="91">
        <v>8</v>
      </c>
      <c r="AP244" s="91">
        <v>8</v>
      </c>
      <c r="AQ244" s="91">
        <v>8</v>
      </c>
      <c r="AR244" s="91">
        <v>8</v>
      </c>
      <c r="AS244" s="91">
        <v>8</v>
      </c>
      <c r="AT244" s="91">
        <v>8</v>
      </c>
      <c r="AU244" s="91">
        <v>8</v>
      </c>
      <c r="AV244" s="91">
        <v>8</v>
      </c>
      <c r="AW244" s="91">
        <v>8</v>
      </c>
      <c r="AX244" s="91">
        <v>8</v>
      </c>
      <c r="AY244" s="91"/>
      <c r="AZ244" s="91">
        <v>8</v>
      </c>
      <c r="BA244" s="91">
        <v>8</v>
      </c>
      <c r="BB244" s="91">
        <v>8</v>
      </c>
      <c r="BC244" s="91">
        <v>8</v>
      </c>
      <c r="BD244" s="91">
        <v>8</v>
      </c>
      <c r="BE244" s="91">
        <v>8</v>
      </c>
      <c r="BF244" s="91">
        <v>16</v>
      </c>
      <c r="BG244" s="91">
        <v>14</v>
      </c>
      <c r="BH244" s="91"/>
    </row>
    <row r="245" spans="1:60" x14ac:dyDescent="0.25">
      <c r="A245" s="91" t="s">
        <v>167</v>
      </c>
      <c r="B245" s="129">
        <f t="shared" si="14"/>
        <v>407</v>
      </c>
      <c r="C245" s="91">
        <f t="shared" si="15"/>
        <v>42</v>
      </c>
      <c r="D245" s="130">
        <f t="shared" si="16"/>
        <v>0.84</v>
      </c>
      <c r="E245" s="131">
        <v>46293</v>
      </c>
      <c r="F245" s="131">
        <v>46315</v>
      </c>
      <c r="G245" s="91">
        <f t="shared" si="17"/>
        <v>22</v>
      </c>
      <c r="H245" s="91"/>
      <c r="I245" s="91">
        <v>9</v>
      </c>
      <c r="J245" s="91">
        <v>9</v>
      </c>
      <c r="K245" s="91">
        <v>9</v>
      </c>
      <c r="L245" s="91">
        <v>9</v>
      </c>
      <c r="M245" s="91"/>
      <c r="N245" s="91">
        <v>9</v>
      </c>
      <c r="O245" s="91">
        <v>9</v>
      </c>
      <c r="P245" s="91">
        <v>9</v>
      </c>
      <c r="Q245" s="91">
        <v>9</v>
      </c>
      <c r="R245" s="91">
        <v>9</v>
      </c>
      <c r="S245" s="91">
        <v>9</v>
      </c>
      <c r="T245" s="91">
        <v>9</v>
      </c>
      <c r="U245" s="91">
        <v>9</v>
      </c>
      <c r="V245" s="91">
        <v>9</v>
      </c>
      <c r="W245" s="91">
        <v>9</v>
      </c>
      <c r="X245" s="91">
        <v>9</v>
      </c>
      <c r="Y245" s="91">
        <v>9</v>
      </c>
      <c r="Z245" s="91"/>
      <c r="AA245" s="91"/>
      <c r="AB245" s="91">
        <v>9</v>
      </c>
      <c r="AC245" s="91">
        <v>9</v>
      </c>
      <c r="AD245" s="91">
        <v>9</v>
      </c>
      <c r="AE245" s="91"/>
      <c r="AF245" s="91">
        <v>9</v>
      </c>
      <c r="AG245" s="91">
        <v>9</v>
      </c>
      <c r="AH245" s="91">
        <v>9</v>
      </c>
      <c r="AI245" s="91">
        <v>9</v>
      </c>
      <c r="AJ245" s="91">
        <v>9</v>
      </c>
      <c r="AK245" s="91"/>
      <c r="AL245" s="91">
        <v>9</v>
      </c>
      <c r="AM245" s="91">
        <v>9</v>
      </c>
      <c r="AN245" s="91">
        <v>9</v>
      </c>
      <c r="AO245" s="91">
        <v>9</v>
      </c>
      <c r="AP245" s="91">
        <v>9</v>
      </c>
      <c r="AQ245" s="91">
        <v>9</v>
      </c>
      <c r="AR245" s="91">
        <v>9</v>
      </c>
      <c r="AS245" s="91">
        <v>9</v>
      </c>
      <c r="AT245" s="91">
        <v>9</v>
      </c>
      <c r="AU245" s="91">
        <v>9</v>
      </c>
      <c r="AV245" s="91"/>
      <c r="AW245" s="91">
        <v>9</v>
      </c>
      <c r="AX245" s="91">
        <v>9</v>
      </c>
      <c r="AY245" s="91">
        <v>7</v>
      </c>
      <c r="AZ245" s="91"/>
      <c r="BA245" s="91">
        <v>9</v>
      </c>
      <c r="BB245" s="91">
        <v>9</v>
      </c>
      <c r="BC245" s="91">
        <v>9</v>
      </c>
      <c r="BD245" s="91">
        <v>9</v>
      </c>
      <c r="BE245" s="91">
        <v>9</v>
      </c>
      <c r="BF245" s="91">
        <v>16</v>
      </c>
      <c r="BG245" s="91">
        <v>15</v>
      </c>
      <c r="BH245" s="91"/>
    </row>
    <row r="246" spans="1:60" x14ac:dyDescent="0.25">
      <c r="A246" s="91" t="s">
        <v>240</v>
      </c>
      <c r="B246" s="129">
        <f t="shared" si="14"/>
        <v>407</v>
      </c>
      <c r="C246" s="91">
        <f t="shared" si="15"/>
        <v>47</v>
      </c>
      <c r="D246" s="130">
        <f t="shared" si="16"/>
        <v>0.94</v>
      </c>
      <c r="E246" s="131">
        <v>46304</v>
      </c>
      <c r="F246" s="131">
        <v>46309</v>
      </c>
      <c r="G246" s="91">
        <f t="shared" si="17"/>
        <v>5</v>
      </c>
      <c r="H246" s="91">
        <v>8</v>
      </c>
      <c r="I246" s="91">
        <v>8</v>
      </c>
      <c r="J246" s="91">
        <v>8</v>
      </c>
      <c r="K246" s="91">
        <v>8</v>
      </c>
      <c r="L246" s="91">
        <v>8</v>
      </c>
      <c r="M246" s="91"/>
      <c r="N246" s="91">
        <v>8</v>
      </c>
      <c r="O246" s="91">
        <v>8</v>
      </c>
      <c r="P246" s="91">
        <v>8</v>
      </c>
      <c r="Q246" s="91">
        <v>8</v>
      </c>
      <c r="R246" s="91">
        <v>8</v>
      </c>
      <c r="S246" s="91">
        <v>8</v>
      </c>
      <c r="T246" s="91">
        <v>8</v>
      </c>
      <c r="U246" s="91">
        <v>8</v>
      </c>
      <c r="V246" s="91">
        <v>8</v>
      </c>
      <c r="W246" s="91">
        <v>8</v>
      </c>
      <c r="X246" s="91">
        <v>8</v>
      </c>
      <c r="Y246" s="91"/>
      <c r="Z246" s="91">
        <v>8</v>
      </c>
      <c r="AA246" s="91">
        <v>8</v>
      </c>
      <c r="AB246" s="91">
        <v>8</v>
      </c>
      <c r="AC246" s="91">
        <v>8</v>
      </c>
      <c r="AD246" s="91">
        <v>8</v>
      </c>
      <c r="AE246" s="91">
        <v>8</v>
      </c>
      <c r="AF246" s="91">
        <v>8</v>
      </c>
      <c r="AG246" s="91">
        <v>8</v>
      </c>
      <c r="AH246" s="91">
        <v>8</v>
      </c>
      <c r="AI246" s="91">
        <v>8</v>
      </c>
      <c r="AJ246" s="91">
        <v>8</v>
      </c>
      <c r="AK246" s="91">
        <v>8</v>
      </c>
      <c r="AL246" s="91">
        <v>8</v>
      </c>
      <c r="AM246" s="91">
        <v>8</v>
      </c>
      <c r="AN246" s="91">
        <v>8</v>
      </c>
      <c r="AO246" s="91">
        <v>8</v>
      </c>
      <c r="AP246" s="91">
        <v>8</v>
      </c>
      <c r="AQ246" s="91">
        <v>8</v>
      </c>
      <c r="AR246" s="91">
        <v>8</v>
      </c>
      <c r="AS246" s="91">
        <v>9</v>
      </c>
      <c r="AT246" s="91">
        <v>8</v>
      </c>
      <c r="AU246" s="91">
        <v>8</v>
      </c>
      <c r="AV246" s="91">
        <v>8</v>
      </c>
      <c r="AW246" s="91">
        <v>8</v>
      </c>
      <c r="AX246" s="91">
        <v>8</v>
      </c>
      <c r="AY246" s="91"/>
      <c r="AZ246" s="91">
        <v>8</v>
      </c>
      <c r="BA246" s="91">
        <v>8</v>
      </c>
      <c r="BB246" s="91">
        <v>8</v>
      </c>
      <c r="BC246" s="91">
        <v>8</v>
      </c>
      <c r="BD246" s="91">
        <v>8</v>
      </c>
      <c r="BE246" s="91">
        <v>8</v>
      </c>
      <c r="BF246" s="91">
        <v>15</v>
      </c>
      <c r="BG246" s="91">
        <v>15</v>
      </c>
      <c r="BH246" s="91"/>
    </row>
    <row r="247" spans="1:60" x14ac:dyDescent="0.25">
      <c r="A247" s="91" t="s">
        <v>146</v>
      </c>
      <c r="B247" s="129">
        <f t="shared" si="14"/>
        <v>406</v>
      </c>
      <c r="C247" s="91">
        <f t="shared" si="15"/>
        <v>47</v>
      </c>
      <c r="D247" s="130">
        <f t="shared" si="16"/>
        <v>0.94</v>
      </c>
      <c r="E247" s="131">
        <v>46266</v>
      </c>
      <c r="F247" s="131">
        <v>46267</v>
      </c>
      <c r="G247" s="91">
        <f t="shared" si="17"/>
        <v>1</v>
      </c>
      <c r="H247" s="91">
        <v>8</v>
      </c>
      <c r="I247" s="91">
        <v>8</v>
      </c>
      <c r="J247" s="91">
        <v>8</v>
      </c>
      <c r="K247" s="91">
        <v>8</v>
      </c>
      <c r="L247" s="91">
        <v>8</v>
      </c>
      <c r="M247" s="91"/>
      <c r="N247" s="91">
        <v>8</v>
      </c>
      <c r="O247" s="91">
        <v>8</v>
      </c>
      <c r="P247" s="91">
        <v>8</v>
      </c>
      <c r="Q247" s="91">
        <v>8</v>
      </c>
      <c r="R247" s="91">
        <v>8</v>
      </c>
      <c r="S247" s="91">
        <v>8</v>
      </c>
      <c r="T247" s="91">
        <v>8</v>
      </c>
      <c r="U247" s="91">
        <v>8</v>
      </c>
      <c r="V247" s="91">
        <v>8</v>
      </c>
      <c r="W247" s="91">
        <v>8</v>
      </c>
      <c r="X247" s="91">
        <v>8</v>
      </c>
      <c r="Y247" s="91"/>
      <c r="Z247" s="91">
        <v>8</v>
      </c>
      <c r="AA247" s="91">
        <v>8</v>
      </c>
      <c r="AB247" s="91">
        <v>8</v>
      </c>
      <c r="AC247" s="91">
        <v>8</v>
      </c>
      <c r="AD247" s="91">
        <v>8</v>
      </c>
      <c r="AE247" s="91">
        <v>8</v>
      </c>
      <c r="AF247" s="91">
        <v>8</v>
      </c>
      <c r="AG247" s="91">
        <v>8</v>
      </c>
      <c r="AH247" s="91">
        <v>8</v>
      </c>
      <c r="AI247" s="91">
        <v>8</v>
      </c>
      <c r="AJ247" s="91">
        <v>8</v>
      </c>
      <c r="AK247" s="91">
        <v>8</v>
      </c>
      <c r="AL247" s="91">
        <v>8</v>
      </c>
      <c r="AM247" s="91">
        <v>8</v>
      </c>
      <c r="AN247" s="91">
        <v>8</v>
      </c>
      <c r="AO247" s="91">
        <v>8</v>
      </c>
      <c r="AP247" s="91">
        <v>8</v>
      </c>
      <c r="AQ247" s="91">
        <v>8</v>
      </c>
      <c r="AR247" s="91">
        <v>8</v>
      </c>
      <c r="AS247" s="91">
        <v>8</v>
      </c>
      <c r="AT247" s="91">
        <v>8</v>
      </c>
      <c r="AU247" s="91">
        <v>8</v>
      </c>
      <c r="AV247" s="91">
        <v>8</v>
      </c>
      <c r="AW247" s="91">
        <v>8</v>
      </c>
      <c r="AX247" s="91">
        <v>8</v>
      </c>
      <c r="AY247" s="91"/>
      <c r="AZ247" s="91">
        <v>8</v>
      </c>
      <c r="BA247" s="91">
        <v>8</v>
      </c>
      <c r="BB247" s="91">
        <v>8</v>
      </c>
      <c r="BC247" s="91">
        <v>8</v>
      </c>
      <c r="BD247" s="91">
        <v>8</v>
      </c>
      <c r="BE247" s="91">
        <v>8</v>
      </c>
      <c r="BF247" s="91">
        <v>15</v>
      </c>
      <c r="BG247" s="91">
        <v>15</v>
      </c>
      <c r="BH247" s="91"/>
    </row>
    <row r="248" spans="1:60" x14ac:dyDescent="0.25">
      <c r="A248" s="91" t="s">
        <v>242</v>
      </c>
      <c r="B248" s="129">
        <f t="shared" si="14"/>
        <v>406</v>
      </c>
      <c r="C248" s="91">
        <f t="shared" si="15"/>
        <v>47</v>
      </c>
      <c r="D248" s="130">
        <f t="shared" si="16"/>
        <v>0.94</v>
      </c>
      <c r="E248" s="131">
        <v>46304</v>
      </c>
      <c r="F248" s="131">
        <v>46309</v>
      </c>
      <c r="G248" s="91">
        <f t="shared" si="17"/>
        <v>5</v>
      </c>
      <c r="H248" s="91">
        <v>8</v>
      </c>
      <c r="I248" s="91">
        <v>8</v>
      </c>
      <c r="J248" s="91">
        <v>8</v>
      </c>
      <c r="K248" s="91">
        <v>8</v>
      </c>
      <c r="L248" s="91">
        <v>8</v>
      </c>
      <c r="M248" s="91"/>
      <c r="N248" s="91">
        <v>8</v>
      </c>
      <c r="O248" s="91">
        <v>8</v>
      </c>
      <c r="P248" s="91">
        <v>8</v>
      </c>
      <c r="Q248" s="91">
        <v>8</v>
      </c>
      <c r="R248" s="91">
        <v>8</v>
      </c>
      <c r="S248" s="91">
        <v>8</v>
      </c>
      <c r="T248" s="91">
        <v>8</v>
      </c>
      <c r="U248" s="91">
        <v>8</v>
      </c>
      <c r="V248" s="91">
        <v>8</v>
      </c>
      <c r="W248" s="91">
        <v>8</v>
      </c>
      <c r="X248" s="91">
        <v>8</v>
      </c>
      <c r="Y248" s="91"/>
      <c r="Z248" s="91">
        <v>8</v>
      </c>
      <c r="AA248" s="91">
        <v>8</v>
      </c>
      <c r="AB248" s="91">
        <v>8</v>
      </c>
      <c r="AC248" s="91">
        <v>8</v>
      </c>
      <c r="AD248" s="91">
        <v>8</v>
      </c>
      <c r="AE248" s="91">
        <v>8</v>
      </c>
      <c r="AF248" s="91">
        <v>8</v>
      </c>
      <c r="AG248" s="91">
        <v>8</v>
      </c>
      <c r="AH248" s="91">
        <v>8</v>
      </c>
      <c r="AI248" s="91">
        <v>8</v>
      </c>
      <c r="AJ248" s="91">
        <v>8</v>
      </c>
      <c r="AK248" s="91">
        <v>8</v>
      </c>
      <c r="AL248" s="91">
        <v>8</v>
      </c>
      <c r="AM248" s="91">
        <v>8</v>
      </c>
      <c r="AN248" s="91">
        <v>8</v>
      </c>
      <c r="AO248" s="91">
        <v>8</v>
      </c>
      <c r="AP248" s="91">
        <v>8</v>
      </c>
      <c r="AQ248" s="91">
        <v>8</v>
      </c>
      <c r="AR248" s="91">
        <v>8</v>
      </c>
      <c r="AS248" s="91">
        <v>8</v>
      </c>
      <c r="AT248" s="91">
        <v>8</v>
      </c>
      <c r="AU248" s="91">
        <v>8</v>
      </c>
      <c r="AV248" s="91">
        <v>8</v>
      </c>
      <c r="AW248" s="91">
        <v>8</v>
      </c>
      <c r="AX248" s="91">
        <v>8</v>
      </c>
      <c r="AY248" s="91"/>
      <c r="AZ248" s="91">
        <v>8</v>
      </c>
      <c r="BA248" s="91">
        <v>8</v>
      </c>
      <c r="BB248" s="91">
        <v>8</v>
      </c>
      <c r="BC248" s="91">
        <v>8</v>
      </c>
      <c r="BD248" s="91">
        <v>8</v>
      </c>
      <c r="BE248" s="91">
        <v>8</v>
      </c>
      <c r="BF248" s="91">
        <v>15</v>
      </c>
      <c r="BG248" s="91">
        <v>15</v>
      </c>
      <c r="BH248" s="91"/>
    </row>
    <row r="249" spans="1:60" x14ac:dyDescent="0.25">
      <c r="A249" s="91" t="s">
        <v>472</v>
      </c>
      <c r="B249" s="129">
        <f t="shared" si="14"/>
        <v>405</v>
      </c>
      <c r="C249" s="91">
        <f t="shared" si="15"/>
        <v>48</v>
      </c>
      <c r="D249" s="130">
        <f t="shared" si="16"/>
        <v>0.96</v>
      </c>
      <c r="E249" s="131">
        <v>46258</v>
      </c>
      <c r="F249" s="131">
        <v>46301</v>
      </c>
      <c r="G249" s="91">
        <f t="shared" si="17"/>
        <v>43</v>
      </c>
      <c r="H249" s="91">
        <v>8</v>
      </c>
      <c r="I249" s="91">
        <v>8</v>
      </c>
      <c r="J249" s="91">
        <v>8</v>
      </c>
      <c r="K249" s="91">
        <v>8</v>
      </c>
      <c r="L249" s="91">
        <v>8</v>
      </c>
      <c r="M249" s="91"/>
      <c r="N249" s="91">
        <v>8</v>
      </c>
      <c r="O249" s="91">
        <v>8</v>
      </c>
      <c r="P249" s="91">
        <v>8</v>
      </c>
      <c r="Q249" s="91">
        <v>8</v>
      </c>
      <c r="R249" s="91">
        <v>8</v>
      </c>
      <c r="S249" s="91">
        <v>8</v>
      </c>
      <c r="T249" s="91">
        <v>8</v>
      </c>
      <c r="U249" s="91">
        <v>8</v>
      </c>
      <c r="V249" s="91">
        <v>8</v>
      </c>
      <c r="W249" s="91">
        <v>8</v>
      </c>
      <c r="X249" s="91">
        <v>8</v>
      </c>
      <c r="Y249" s="91">
        <v>1</v>
      </c>
      <c r="Z249" s="91">
        <v>8</v>
      </c>
      <c r="AA249" s="91">
        <v>8</v>
      </c>
      <c r="AB249" s="91">
        <v>8</v>
      </c>
      <c r="AC249" s="91">
        <v>8</v>
      </c>
      <c r="AD249" s="91">
        <v>8</v>
      </c>
      <c r="AE249" s="91">
        <v>8</v>
      </c>
      <c r="AF249" s="91">
        <v>8</v>
      </c>
      <c r="AG249" s="91">
        <v>8</v>
      </c>
      <c r="AH249" s="91">
        <v>8</v>
      </c>
      <c r="AI249" s="91">
        <v>8</v>
      </c>
      <c r="AJ249" s="91">
        <v>8</v>
      </c>
      <c r="AK249" s="91">
        <v>8</v>
      </c>
      <c r="AL249" s="91">
        <v>8</v>
      </c>
      <c r="AM249" s="91">
        <v>8</v>
      </c>
      <c r="AN249" s="91">
        <v>8</v>
      </c>
      <c r="AO249" s="91">
        <v>8</v>
      </c>
      <c r="AP249" s="91">
        <v>8</v>
      </c>
      <c r="AQ249" s="91">
        <v>8</v>
      </c>
      <c r="AR249" s="91">
        <v>8</v>
      </c>
      <c r="AS249" s="91">
        <v>8</v>
      </c>
      <c r="AT249" s="91">
        <v>8</v>
      </c>
      <c r="AU249" s="91">
        <v>8</v>
      </c>
      <c r="AV249" s="91">
        <v>11</v>
      </c>
      <c r="AW249" s="91">
        <v>8</v>
      </c>
      <c r="AX249" s="91">
        <v>8</v>
      </c>
      <c r="AY249" s="91"/>
      <c r="AZ249" s="91">
        <v>8</v>
      </c>
      <c r="BA249" s="91">
        <v>8</v>
      </c>
      <c r="BB249" s="91">
        <v>10</v>
      </c>
      <c r="BC249" s="91">
        <v>8</v>
      </c>
      <c r="BD249" s="91">
        <v>8</v>
      </c>
      <c r="BE249" s="91">
        <v>8</v>
      </c>
      <c r="BF249" s="91">
        <v>9</v>
      </c>
      <c r="BG249" s="91">
        <v>14</v>
      </c>
      <c r="BH249" s="91"/>
    </row>
    <row r="250" spans="1:60" x14ac:dyDescent="0.25">
      <c r="A250" s="91" t="s">
        <v>262</v>
      </c>
      <c r="B250" s="129">
        <f t="shared" si="14"/>
        <v>405</v>
      </c>
      <c r="C250" s="91">
        <f t="shared" si="15"/>
        <v>47</v>
      </c>
      <c r="D250" s="130">
        <f t="shared" si="16"/>
        <v>0.94</v>
      </c>
      <c r="E250" s="131">
        <v>46266</v>
      </c>
      <c r="F250" s="131">
        <v>46275</v>
      </c>
      <c r="G250" s="91">
        <f t="shared" si="17"/>
        <v>9</v>
      </c>
      <c r="H250" s="91">
        <v>8</v>
      </c>
      <c r="I250" s="91">
        <v>8</v>
      </c>
      <c r="J250" s="91">
        <v>8</v>
      </c>
      <c r="K250" s="91">
        <v>8</v>
      </c>
      <c r="L250" s="91">
        <v>8</v>
      </c>
      <c r="M250" s="91"/>
      <c r="N250" s="91">
        <v>8</v>
      </c>
      <c r="O250" s="91">
        <v>8</v>
      </c>
      <c r="P250" s="91">
        <v>8</v>
      </c>
      <c r="Q250" s="91">
        <v>8</v>
      </c>
      <c r="R250" s="91">
        <v>8</v>
      </c>
      <c r="S250" s="91">
        <v>8</v>
      </c>
      <c r="T250" s="91">
        <v>8</v>
      </c>
      <c r="U250" s="91">
        <v>8</v>
      </c>
      <c r="V250" s="91">
        <v>8</v>
      </c>
      <c r="W250" s="91">
        <v>8</v>
      </c>
      <c r="X250" s="91">
        <v>8</v>
      </c>
      <c r="Y250" s="91"/>
      <c r="Z250" s="91">
        <v>8</v>
      </c>
      <c r="AA250" s="91">
        <v>8</v>
      </c>
      <c r="AB250" s="91">
        <v>8</v>
      </c>
      <c r="AC250" s="91">
        <v>8</v>
      </c>
      <c r="AD250" s="91">
        <v>8</v>
      </c>
      <c r="AE250" s="91">
        <v>8</v>
      </c>
      <c r="AF250" s="91">
        <v>8</v>
      </c>
      <c r="AG250" s="91">
        <v>8</v>
      </c>
      <c r="AH250" s="91">
        <v>8</v>
      </c>
      <c r="AI250" s="91">
        <v>8</v>
      </c>
      <c r="AJ250" s="91">
        <v>8</v>
      </c>
      <c r="AK250" s="91">
        <v>8</v>
      </c>
      <c r="AL250" s="91">
        <v>8</v>
      </c>
      <c r="AM250" s="91">
        <v>8</v>
      </c>
      <c r="AN250" s="91">
        <v>8</v>
      </c>
      <c r="AO250" s="91">
        <v>8</v>
      </c>
      <c r="AP250" s="91">
        <v>8</v>
      </c>
      <c r="AQ250" s="91">
        <v>8</v>
      </c>
      <c r="AR250" s="91">
        <v>8</v>
      </c>
      <c r="AS250" s="91">
        <v>8</v>
      </c>
      <c r="AT250" s="91">
        <v>8</v>
      </c>
      <c r="AU250" s="91">
        <v>8</v>
      </c>
      <c r="AV250" s="91">
        <v>8</v>
      </c>
      <c r="AW250" s="91">
        <v>8</v>
      </c>
      <c r="AX250" s="91">
        <v>8</v>
      </c>
      <c r="AY250" s="91"/>
      <c r="AZ250" s="91">
        <v>8</v>
      </c>
      <c r="BA250" s="91">
        <v>8</v>
      </c>
      <c r="BB250" s="91">
        <v>8</v>
      </c>
      <c r="BC250" s="91">
        <v>8</v>
      </c>
      <c r="BD250" s="91">
        <v>8</v>
      </c>
      <c r="BE250" s="91">
        <v>8</v>
      </c>
      <c r="BF250" s="91">
        <v>16</v>
      </c>
      <c r="BG250" s="91">
        <v>13</v>
      </c>
      <c r="BH250" s="91"/>
    </row>
    <row r="251" spans="1:60" x14ac:dyDescent="0.25">
      <c r="A251" s="91" t="s">
        <v>587</v>
      </c>
      <c r="B251" s="129">
        <f t="shared" si="14"/>
        <v>402</v>
      </c>
      <c r="C251" s="91">
        <f t="shared" si="15"/>
        <v>47</v>
      </c>
      <c r="D251" s="130">
        <f t="shared" si="16"/>
        <v>0.94</v>
      </c>
      <c r="E251" s="131">
        <v>46219</v>
      </c>
      <c r="F251" s="131">
        <v>46310</v>
      </c>
      <c r="G251" s="91">
        <f t="shared" si="17"/>
        <v>91</v>
      </c>
      <c r="H251" s="91">
        <v>7</v>
      </c>
      <c r="I251" s="91">
        <v>8</v>
      </c>
      <c r="J251" s="91">
        <v>8</v>
      </c>
      <c r="K251" s="91">
        <v>8</v>
      </c>
      <c r="L251" s="91">
        <v>8</v>
      </c>
      <c r="M251" s="91"/>
      <c r="N251" s="91">
        <v>8</v>
      </c>
      <c r="O251" s="91">
        <v>8</v>
      </c>
      <c r="P251" s="91">
        <v>8</v>
      </c>
      <c r="Q251" s="91">
        <v>8</v>
      </c>
      <c r="R251" s="91">
        <v>10</v>
      </c>
      <c r="S251" s="91">
        <v>8</v>
      </c>
      <c r="T251" s="91">
        <v>8</v>
      </c>
      <c r="U251" s="91">
        <v>8</v>
      </c>
      <c r="V251" s="91">
        <v>8</v>
      </c>
      <c r="W251" s="91">
        <v>8</v>
      </c>
      <c r="X251" s="91">
        <v>8</v>
      </c>
      <c r="Y251" s="91">
        <v>1</v>
      </c>
      <c r="Z251" s="91">
        <v>8</v>
      </c>
      <c r="AA251" s="91">
        <v>7</v>
      </c>
      <c r="AB251" s="91">
        <v>8</v>
      </c>
      <c r="AC251" s="91">
        <v>8</v>
      </c>
      <c r="AD251" s="91">
        <v>8</v>
      </c>
      <c r="AE251" s="91">
        <v>8</v>
      </c>
      <c r="AF251" s="91">
        <v>8</v>
      </c>
      <c r="AG251" s="91">
        <v>8</v>
      </c>
      <c r="AH251" s="91">
        <v>8</v>
      </c>
      <c r="AI251" s="91">
        <v>8</v>
      </c>
      <c r="AJ251" s="91">
        <v>10</v>
      </c>
      <c r="AK251" s="91">
        <v>10</v>
      </c>
      <c r="AL251" s="91">
        <v>8</v>
      </c>
      <c r="AM251" s="91">
        <v>10</v>
      </c>
      <c r="AN251" s="91">
        <v>7</v>
      </c>
      <c r="AO251" s="91">
        <v>8</v>
      </c>
      <c r="AP251" s="91">
        <v>8</v>
      </c>
      <c r="AQ251" s="91">
        <v>8</v>
      </c>
      <c r="AR251" s="91">
        <v>8</v>
      </c>
      <c r="AS251" s="91">
        <v>8</v>
      </c>
      <c r="AT251" s="91">
        <v>8</v>
      </c>
      <c r="AU251" s="91">
        <v>7</v>
      </c>
      <c r="AV251" s="91"/>
      <c r="AW251" s="91">
        <v>8</v>
      </c>
      <c r="AX251" s="91">
        <v>10</v>
      </c>
      <c r="AY251" s="91"/>
      <c r="AZ251" s="91">
        <v>10</v>
      </c>
      <c r="BA251" s="91">
        <v>7</v>
      </c>
      <c r="BB251" s="91">
        <v>8</v>
      </c>
      <c r="BC251" s="91">
        <v>8</v>
      </c>
      <c r="BD251" s="91">
        <v>14</v>
      </c>
      <c r="BE251" s="91">
        <v>7</v>
      </c>
      <c r="BF251" s="91">
        <v>9</v>
      </c>
      <c r="BG251" s="91">
        <v>12</v>
      </c>
      <c r="BH251" s="91"/>
    </row>
    <row r="252" spans="1:60" x14ac:dyDescent="0.25">
      <c r="A252" s="91" t="s">
        <v>404</v>
      </c>
      <c r="B252" s="129">
        <f t="shared" si="14"/>
        <v>402</v>
      </c>
      <c r="C252" s="91">
        <f t="shared" si="15"/>
        <v>49</v>
      </c>
      <c r="D252" s="130">
        <f t="shared" si="16"/>
        <v>0.98</v>
      </c>
      <c r="E252" s="131">
        <v>46225</v>
      </c>
      <c r="F252" s="131">
        <v>46274</v>
      </c>
      <c r="G252" s="91">
        <f t="shared" si="17"/>
        <v>49</v>
      </c>
      <c r="H252" s="91">
        <v>8</v>
      </c>
      <c r="I252" s="91">
        <v>8</v>
      </c>
      <c r="J252" s="91">
        <v>8</v>
      </c>
      <c r="K252" s="91">
        <v>8</v>
      </c>
      <c r="L252" s="91">
        <v>8</v>
      </c>
      <c r="M252" s="91">
        <v>6</v>
      </c>
      <c r="N252" s="91">
        <v>8</v>
      </c>
      <c r="O252" s="91">
        <v>8</v>
      </c>
      <c r="P252" s="91">
        <v>8</v>
      </c>
      <c r="Q252" s="91">
        <v>8</v>
      </c>
      <c r="R252" s="91">
        <v>8</v>
      </c>
      <c r="S252" s="91">
        <v>8</v>
      </c>
      <c r="T252" s="91">
        <v>8</v>
      </c>
      <c r="U252" s="91">
        <v>8</v>
      </c>
      <c r="V252" s="91">
        <v>8</v>
      </c>
      <c r="W252" s="91">
        <v>8</v>
      </c>
      <c r="X252" s="91">
        <v>8</v>
      </c>
      <c r="Y252" s="91">
        <v>8</v>
      </c>
      <c r="Z252" s="91">
        <v>8</v>
      </c>
      <c r="AA252" s="91">
        <v>8</v>
      </c>
      <c r="AB252" s="91">
        <v>8</v>
      </c>
      <c r="AC252" s="91">
        <v>8</v>
      </c>
      <c r="AD252" s="91">
        <v>8</v>
      </c>
      <c r="AE252" s="91">
        <v>8</v>
      </c>
      <c r="AF252" s="91">
        <v>8</v>
      </c>
      <c r="AG252" s="91">
        <v>8</v>
      </c>
      <c r="AH252" s="91">
        <v>8</v>
      </c>
      <c r="AI252" s="91">
        <v>8</v>
      </c>
      <c r="AJ252" s="91">
        <v>8</v>
      </c>
      <c r="AK252" s="91">
        <v>8</v>
      </c>
      <c r="AL252" s="91">
        <v>8</v>
      </c>
      <c r="AM252" s="91">
        <v>8</v>
      </c>
      <c r="AN252" s="91">
        <v>8</v>
      </c>
      <c r="AO252" s="91">
        <v>8</v>
      </c>
      <c r="AP252" s="91">
        <v>8</v>
      </c>
      <c r="AQ252" s="91">
        <v>8</v>
      </c>
      <c r="AR252" s="91">
        <v>8</v>
      </c>
      <c r="AS252" s="91">
        <v>8</v>
      </c>
      <c r="AT252" s="91">
        <v>8</v>
      </c>
      <c r="AU252" s="91">
        <v>8</v>
      </c>
      <c r="AV252" s="91">
        <v>8</v>
      </c>
      <c r="AW252" s="91">
        <v>8</v>
      </c>
      <c r="AX252" s="91">
        <v>8</v>
      </c>
      <c r="AY252" s="91"/>
      <c r="AZ252" s="91">
        <v>8</v>
      </c>
      <c r="BA252" s="91">
        <v>8</v>
      </c>
      <c r="BB252" s="91">
        <v>8</v>
      </c>
      <c r="BC252" s="91">
        <v>8</v>
      </c>
      <c r="BD252" s="91">
        <v>8</v>
      </c>
      <c r="BE252" s="91">
        <v>8</v>
      </c>
      <c r="BF252" s="91"/>
      <c r="BG252" s="91">
        <v>12</v>
      </c>
      <c r="BH252" s="91"/>
    </row>
    <row r="253" spans="1:60" x14ac:dyDescent="0.25">
      <c r="A253" s="91" t="s">
        <v>335</v>
      </c>
      <c r="B253" s="129">
        <f t="shared" si="14"/>
        <v>402</v>
      </c>
      <c r="C253" s="91">
        <f t="shared" si="15"/>
        <v>48</v>
      </c>
      <c r="D253" s="130">
        <f t="shared" si="16"/>
        <v>0.96</v>
      </c>
      <c r="E253" s="131">
        <v>46262</v>
      </c>
      <c r="F253" s="131">
        <v>46302</v>
      </c>
      <c r="G253" s="91">
        <f t="shared" si="17"/>
        <v>40</v>
      </c>
      <c r="H253" s="91">
        <v>8</v>
      </c>
      <c r="I253" s="91">
        <v>8</v>
      </c>
      <c r="J253" s="91">
        <v>10</v>
      </c>
      <c r="K253" s="91">
        <v>8</v>
      </c>
      <c r="L253" s="91">
        <v>10</v>
      </c>
      <c r="M253" s="91"/>
      <c r="N253" s="91">
        <v>8</v>
      </c>
      <c r="O253" s="91">
        <v>8</v>
      </c>
      <c r="P253" s="91">
        <v>8</v>
      </c>
      <c r="Q253" s="91">
        <v>8</v>
      </c>
      <c r="R253" s="91">
        <v>8</v>
      </c>
      <c r="S253" s="91">
        <v>10</v>
      </c>
      <c r="T253" s="91">
        <v>8</v>
      </c>
      <c r="U253" s="91">
        <v>10</v>
      </c>
      <c r="V253" s="91">
        <v>10</v>
      </c>
      <c r="W253" s="91">
        <v>10</v>
      </c>
      <c r="X253" s="91">
        <v>8</v>
      </c>
      <c r="Y253" s="91">
        <v>1</v>
      </c>
      <c r="Z253" s="91">
        <v>8</v>
      </c>
      <c r="AA253" s="91">
        <v>8</v>
      </c>
      <c r="AB253" s="91">
        <v>8</v>
      </c>
      <c r="AC253" s="91">
        <v>8</v>
      </c>
      <c r="AD253" s="91">
        <v>8</v>
      </c>
      <c r="AE253" s="91">
        <v>8</v>
      </c>
      <c r="AF253" s="91">
        <v>8</v>
      </c>
      <c r="AG253" s="91">
        <v>8</v>
      </c>
      <c r="AH253" s="91">
        <v>8</v>
      </c>
      <c r="AI253" s="91">
        <v>8</v>
      </c>
      <c r="AJ253" s="91">
        <v>8</v>
      </c>
      <c r="AK253" s="91">
        <v>8</v>
      </c>
      <c r="AL253" s="91">
        <v>8</v>
      </c>
      <c r="AM253" s="91">
        <v>8</v>
      </c>
      <c r="AN253" s="91">
        <v>8</v>
      </c>
      <c r="AO253" s="91">
        <v>8</v>
      </c>
      <c r="AP253" s="91">
        <v>8</v>
      </c>
      <c r="AQ253" s="91">
        <v>8</v>
      </c>
      <c r="AR253" s="91">
        <v>8</v>
      </c>
      <c r="AS253" s="91">
        <v>8</v>
      </c>
      <c r="AT253" s="91">
        <v>8</v>
      </c>
      <c r="AU253" s="91">
        <v>8</v>
      </c>
      <c r="AV253" s="91">
        <v>8</v>
      </c>
      <c r="AW253" s="91">
        <v>8</v>
      </c>
      <c r="AX253" s="91">
        <v>8</v>
      </c>
      <c r="AY253" s="91"/>
      <c r="AZ253" s="91">
        <v>8</v>
      </c>
      <c r="BA253" s="91">
        <v>8</v>
      </c>
      <c r="BB253" s="91">
        <v>8</v>
      </c>
      <c r="BC253" s="91">
        <v>8</v>
      </c>
      <c r="BD253" s="91">
        <v>8</v>
      </c>
      <c r="BE253" s="91">
        <v>8</v>
      </c>
      <c r="BF253" s="91">
        <v>1</v>
      </c>
      <c r="BG253" s="91">
        <v>12</v>
      </c>
      <c r="BH253" s="91"/>
    </row>
    <row r="254" spans="1:60" x14ac:dyDescent="0.25">
      <c r="A254" s="91" t="s">
        <v>514</v>
      </c>
      <c r="B254" s="129">
        <f t="shared" si="14"/>
        <v>402</v>
      </c>
      <c r="C254" s="91">
        <f t="shared" si="15"/>
        <v>47</v>
      </c>
      <c r="D254" s="130">
        <f t="shared" si="16"/>
        <v>0.94</v>
      </c>
      <c r="E254" s="131">
        <v>46248</v>
      </c>
      <c r="F254" s="131">
        <v>46281</v>
      </c>
      <c r="G254" s="91">
        <f t="shared" si="17"/>
        <v>33</v>
      </c>
      <c r="H254" s="91">
        <v>9</v>
      </c>
      <c r="I254" s="91">
        <v>7</v>
      </c>
      <c r="J254" s="91">
        <v>8</v>
      </c>
      <c r="K254" s="91">
        <v>8</v>
      </c>
      <c r="L254" s="91">
        <v>9</v>
      </c>
      <c r="M254" s="91"/>
      <c r="N254" s="91">
        <v>8</v>
      </c>
      <c r="O254" s="91">
        <v>8</v>
      </c>
      <c r="P254" s="91">
        <v>7</v>
      </c>
      <c r="Q254" s="91">
        <v>10</v>
      </c>
      <c r="R254" s="91">
        <v>8</v>
      </c>
      <c r="S254" s="91">
        <v>7</v>
      </c>
      <c r="T254" s="91">
        <v>9</v>
      </c>
      <c r="U254" s="91">
        <v>8</v>
      </c>
      <c r="V254" s="91">
        <v>8</v>
      </c>
      <c r="W254" s="91">
        <v>9</v>
      </c>
      <c r="X254" s="91">
        <v>8</v>
      </c>
      <c r="Y254" s="91"/>
      <c r="Z254" s="91">
        <v>8</v>
      </c>
      <c r="AA254" s="91">
        <v>9</v>
      </c>
      <c r="AB254" s="91">
        <v>9</v>
      </c>
      <c r="AC254" s="91">
        <v>7</v>
      </c>
      <c r="AD254" s="91">
        <v>9</v>
      </c>
      <c r="AE254" s="91">
        <v>8</v>
      </c>
      <c r="AF254" s="91">
        <v>9</v>
      </c>
      <c r="AG254" s="91">
        <v>8</v>
      </c>
      <c r="AH254" s="91">
        <v>7</v>
      </c>
      <c r="AI254" s="91">
        <v>8</v>
      </c>
      <c r="AJ254" s="91">
        <v>8</v>
      </c>
      <c r="AK254" s="91">
        <v>7</v>
      </c>
      <c r="AL254" s="91">
        <v>8</v>
      </c>
      <c r="AM254" s="91">
        <v>7</v>
      </c>
      <c r="AN254" s="91">
        <v>7</v>
      </c>
      <c r="AO254" s="91">
        <v>9</v>
      </c>
      <c r="AP254" s="91">
        <v>7</v>
      </c>
      <c r="AQ254" s="91">
        <v>9</v>
      </c>
      <c r="AR254" s="91">
        <v>8</v>
      </c>
      <c r="AS254" s="91">
        <v>9</v>
      </c>
      <c r="AT254" s="91">
        <v>9</v>
      </c>
      <c r="AU254" s="91">
        <v>8</v>
      </c>
      <c r="AV254" s="91">
        <v>9</v>
      </c>
      <c r="AW254" s="91">
        <v>9</v>
      </c>
      <c r="AX254" s="91">
        <v>8</v>
      </c>
      <c r="AY254" s="91"/>
      <c r="AZ254" s="91">
        <v>9</v>
      </c>
      <c r="BA254" s="91">
        <v>9</v>
      </c>
      <c r="BB254" s="91">
        <v>9</v>
      </c>
      <c r="BC254" s="91">
        <v>9</v>
      </c>
      <c r="BD254" s="91">
        <v>9</v>
      </c>
      <c r="BE254" s="91">
        <v>8</v>
      </c>
      <c r="BF254" s="91"/>
      <c r="BG254" s="91">
        <v>14</v>
      </c>
      <c r="BH254" s="91"/>
    </row>
    <row r="255" spans="1:60" x14ac:dyDescent="0.25">
      <c r="A255" s="91" t="s">
        <v>524</v>
      </c>
      <c r="B255" s="129">
        <f t="shared" si="14"/>
        <v>399</v>
      </c>
      <c r="C255" s="91">
        <f t="shared" si="15"/>
        <v>48</v>
      </c>
      <c r="D255" s="130">
        <f t="shared" si="16"/>
        <v>0.96</v>
      </c>
      <c r="E255" s="131">
        <v>46293</v>
      </c>
      <c r="F255" s="131">
        <v>46309</v>
      </c>
      <c r="G255" s="91">
        <f t="shared" si="17"/>
        <v>16</v>
      </c>
      <c r="H255" s="91">
        <v>8</v>
      </c>
      <c r="I255" s="91">
        <v>8</v>
      </c>
      <c r="J255" s="91">
        <v>8</v>
      </c>
      <c r="K255" s="91">
        <v>8</v>
      </c>
      <c r="L255" s="91">
        <v>8</v>
      </c>
      <c r="M255" s="91"/>
      <c r="N255" s="91">
        <v>8</v>
      </c>
      <c r="O255" s="91">
        <v>8</v>
      </c>
      <c r="P255" s="91">
        <v>8</v>
      </c>
      <c r="Q255" s="91">
        <v>8</v>
      </c>
      <c r="R255" s="91">
        <v>8</v>
      </c>
      <c r="S255" s="91">
        <v>8</v>
      </c>
      <c r="T255" s="91">
        <v>8</v>
      </c>
      <c r="U255" s="91">
        <v>8</v>
      </c>
      <c r="V255" s="91">
        <v>8</v>
      </c>
      <c r="W255" s="91">
        <v>8</v>
      </c>
      <c r="X255" s="91">
        <v>8</v>
      </c>
      <c r="Y255" s="91">
        <v>8</v>
      </c>
      <c r="Z255" s="91">
        <v>8</v>
      </c>
      <c r="AA255" s="91">
        <v>8</v>
      </c>
      <c r="AB255" s="91">
        <v>8</v>
      </c>
      <c r="AC255" s="91">
        <v>8</v>
      </c>
      <c r="AD255" s="91">
        <v>8</v>
      </c>
      <c r="AE255" s="91">
        <v>8</v>
      </c>
      <c r="AF255" s="91">
        <v>8</v>
      </c>
      <c r="AG255" s="91">
        <v>8</v>
      </c>
      <c r="AH255" s="91">
        <v>8</v>
      </c>
      <c r="AI255" s="91">
        <v>8</v>
      </c>
      <c r="AJ255" s="91">
        <v>8</v>
      </c>
      <c r="AK255" s="91">
        <v>8</v>
      </c>
      <c r="AL255" s="91">
        <v>8</v>
      </c>
      <c r="AM255" s="91">
        <v>8</v>
      </c>
      <c r="AN255" s="91">
        <v>8</v>
      </c>
      <c r="AO255" s="91">
        <v>8</v>
      </c>
      <c r="AP255" s="91">
        <v>8</v>
      </c>
      <c r="AQ255" s="91">
        <v>8</v>
      </c>
      <c r="AR255" s="91">
        <v>8</v>
      </c>
      <c r="AS255" s="91">
        <v>8</v>
      </c>
      <c r="AT255" s="91">
        <v>8</v>
      </c>
      <c r="AU255" s="91">
        <v>8</v>
      </c>
      <c r="AV255" s="91">
        <v>9</v>
      </c>
      <c r="AW255" s="91">
        <v>8</v>
      </c>
      <c r="AX255" s="91">
        <v>8</v>
      </c>
      <c r="AY255" s="91"/>
      <c r="AZ255" s="91">
        <v>8</v>
      </c>
      <c r="BA255" s="91">
        <v>8</v>
      </c>
      <c r="BB255" s="91">
        <v>8</v>
      </c>
      <c r="BC255" s="91">
        <v>8</v>
      </c>
      <c r="BD255" s="91">
        <v>8</v>
      </c>
      <c r="BE255" s="91">
        <v>8</v>
      </c>
      <c r="BF255" s="91"/>
      <c r="BG255" s="91">
        <v>14</v>
      </c>
      <c r="BH255" s="91"/>
    </row>
    <row r="256" spans="1:60" x14ac:dyDescent="0.25">
      <c r="A256" s="91" t="s">
        <v>463</v>
      </c>
      <c r="B256" s="129">
        <f t="shared" si="14"/>
        <v>398</v>
      </c>
      <c r="C256" s="91">
        <f t="shared" si="15"/>
        <v>47</v>
      </c>
      <c r="D256" s="130">
        <f t="shared" si="16"/>
        <v>0.94</v>
      </c>
      <c r="E256" s="131">
        <v>46225</v>
      </c>
      <c r="F256" s="131">
        <v>46310</v>
      </c>
      <c r="G256" s="91">
        <f t="shared" si="17"/>
        <v>85</v>
      </c>
      <c r="H256" s="91">
        <v>8</v>
      </c>
      <c r="I256" s="91">
        <v>8</v>
      </c>
      <c r="J256" s="91">
        <v>8</v>
      </c>
      <c r="K256" s="91">
        <v>8</v>
      </c>
      <c r="L256" s="91">
        <v>8</v>
      </c>
      <c r="M256" s="91"/>
      <c r="N256" s="91">
        <v>8</v>
      </c>
      <c r="O256" s="91">
        <v>8</v>
      </c>
      <c r="P256" s="91">
        <v>8</v>
      </c>
      <c r="Q256" s="91">
        <v>8</v>
      </c>
      <c r="R256" s="91"/>
      <c r="S256" s="91">
        <v>8</v>
      </c>
      <c r="T256" s="91">
        <v>8</v>
      </c>
      <c r="U256" s="91">
        <v>8</v>
      </c>
      <c r="V256" s="91">
        <v>8</v>
      </c>
      <c r="W256" s="91">
        <v>8</v>
      </c>
      <c r="X256" s="91">
        <v>8</v>
      </c>
      <c r="Y256" s="91">
        <v>2</v>
      </c>
      <c r="Z256" s="91">
        <v>8</v>
      </c>
      <c r="AA256" s="91">
        <v>8</v>
      </c>
      <c r="AB256" s="91">
        <v>8</v>
      </c>
      <c r="AC256" s="91">
        <v>8</v>
      </c>
      <c r="AD256" s="91">
        <v>8</v>
      </c>
      <c r="AE256" s="91">
        <v>8</v>
      </c>
      <c r="AF256" s="91">
        <v>8</v>
      </c>
      <c r="AG256" s="91">
        <v>8</v>
      </c>
      <c r="AH256" s="91">
        <v>8</v>
      </c>
      <c r="AI256" s="91">
        <v>8</v>
      </c>
      <c r="AJ256" s="91">
        <v>8</v>
      </c>
      <c r="AK256" s="91">
        <v>8</v>
      </c>
      <c r="AL256" s="91">
        <v>8</v>
      </c>
      <c r="AM256" s="91">
        <v>8</v>
      </c>
      <c r="AN256" s="91">
        <v>8</v>
      </c>
      <c r="AO256" s="91">
        <v>8</v>
      </c>
      <c r="AP256" s="91">
        <v>8</v>
      </c>
      <c r="AQ256" s="91">
        <v>8</v>
      </c>
      <c r="AR256" s="91">
        <v>8</v>
      </c>
      <c r="AS256" s="91">
        <v>8</v>
      </c>
      <c r="AT256" s="91">
        <v>8</v>
      </c>
      <c r="AU256" s="91">
        <v>8</v>
      </c>
      <c r="AV256" s="91">
        <v>8</v>
      </c>
      <c r="AW256" s="91">
        <v>8</v>
      </c>
      <c r="AX256" s="91">
        <v>8</v>
      </c>
      <c r="AY256" s="91"/>
      <c r="AZ256" s="91">
        <v>8</v>
      </c>
      <c r="BA256" s="91">
        <v>8</v>
      </c>
      <c r="BB256" s="91">
        <v>8</v>
      </c>
      <c r="BC256" s="91">
        <v>8</v>
      </c>
      <c r="BD256" s="91">
        <v>8</v>
      </c>
      <c r="BE256" s="91">
        <v>8</v>
      </c>
      <c r="BF256" s="91">
        <v>14</v>
      </c>
      <c r="BG256" s="91">
        <v>14</v>
      </c>
      <c r="BH256" s="91"/>
    </row>
    <row r="257" spans="1:60" x14ac:dyDescent="0.25">
      <c r="A257" s="91" t="s">
        <v>477</v>
      </c>
      <c r="B257" s="129">
        <f t="shared" si="14"/>
        <v>398</v>
      </c>
      <c r="C257" s="91">
        <f t="shared" si="15"/>
        <v>48</v>
      </c>
      <c r="D257" s="130">
        <f t="shared" si="16"/>
        <v>0.96</v>
      </c>
      <c r="E257" s="131">
        <v>46248</v>
      </c>
      <c r="F257" s="131">
        <v>46302</v>
      </c>
      <c r="G257" s="91">
        <f t="shared" si="17"/>
        <v>54</v>
      </c>
      <c r="H257" s="91">
        <v>8</v>
      </c>
      <c r="I257" s="91">
        <v>7</v>
      </c>
      <c r="J257" s="91">
        <v>8</v>
      </c>
      <c r="K257" s="91">
        <v>8</v>
      </c>
      <c r="L257" s="91">
        <v>6</v>
      </c>
      <c r="M257" s="91">
        <v>6</v>
      </c>
      <c r="N257" s="91">
        <v>8</v>
      </c>
      <c r="O257" s="91">
        <v>6</v>
      </c>
      <c r="P257" s="91">
        <v>8</v>
      </c>
      <c r="Q257" s="91">
        <v>8</v>
      </c>
      <c r="R257" s="91">
        <v>8</v>
      </c>
      <c r="S257" s="91">
        <v>6</v>
      </c>
      <c r="T257" s="91">
        <v>8</v>
      </c>
      <c r="U257" s="91">
        <v>8</v>
      </c>
      <c r="V257" s="91">
        <v>8</v>
      </c>
      <c r="W257" s="91">
        <v>8</v>
      </c>
      <c r="X257" s="91">
        <v>8</v>
      </c>
      <c r="Y257" s="91"/>
      <c r="Z257" s="91">
        <v>7</v>
      </c>
      <c r="AA257" s="91">
        <v>8</v>
      </c>
      <c r="AB257" s="91">
        <v>8</v>
      </c>
      <c r="AC257" s="91">
        <v>6</v>
      </c>
      <c r="AD257" s="91">
        <v>8</v>
      </c>
      <c r="AE257" s="91">
        <v>8</v>
      </c>
      <c r="AF257" s="91">
        <v>8</v>
      </c>
      <c r="AG257" s="91">
        <v>8</v>
      </c>
      <c r="AH257" s="91">
        <v>6</v>
      </c>
      <c r="AI257" s="91">
        <v>8</v>
      </c>
      <c r="AJ257" s="91">
        <v>8</v>
      </c>
      <c r="AK257" s="91">
        <v>8</v>
      </c>
      <c r="AL257" s="91">
        <v>6</v>
      </c>
      <c r="AM257" s="91">
        <v>8</v>
      </c>
      <c r="AN257" s="91">
        <v>8</v>
      </c>
      <c r="AO257" s="91">
        <v>8</v>
      </c>
      <c r="AP257" s="91">
        <v>8</v>
      </c>
      <c r="AQ257" s="91">
        <v>8</v>
      </c>
      <c r="AR257" s="91">
        <v>8</v>
      </c>
      <c r="AS257" s="91">
        <v>8</v>
      </c>
      <c r="AT257" s="91">
        <v>8</v>
      </c>
      <c r="AU257" s="91">
        <v>8</v>
      </c>
      <c r="AV257" s="91">
        <v>8</v>
      </c>
      <c r="AW257" s="91">
        <v>8</v>
      </c>
      <c r="AX257" s="91">
        <v>8</v>
      </c>
      <c r="AY257" s="91"/>
      <c r="AZ257" s="91">
        <v>8</v>
      </c>
      <c r="BA257" s="91">
        <v>8</v>
      </c>
      <c r="BB257" s="91">
        <v>8</v>
      </c>
      <c r="BC257" s="91">
        <v>8</v>
      </c>
      <c r="BD257" s="91">
        <v>8</v>
      </c>
      <c r="BE257" s="91">
        <v>8</v>
      </c>
      <c r="BF257" s="91">
        <v>16</v>
      </c>
      <c r="BG257" s="91">
        <v>14</v>
      </c>
      <c r="BH257" s="91"/>
    </row>
    <row r="258" spans="1:60" x14ac:dyDescent="0.25">
      <c r="A258" s="91" t="s">
        <v>564</v>
      </c>
      <c r="B258" s="129">
        <f t="shared" si="14"/>
        <v>398</v>
      </c>
      <c r="C258" s="91">
        <f t="shared" si="15"/>
        <v>48</v>
      </c>
      <c r="D258" s="130">
        <f t="shared" si="16"/>
        <v>0.96</v>
      </c>
      <c r="E258" s="131">
        <v>46252</v>
      </c>
      <c r="F258" s="131">
        <v>46254</v>
      </c>
      <c r="G258" s="91">
        <f t="shared" si="17"/>
        <v>2</v>
      </c>
      <c r="H258" s="91">
        <v>8</v>
      </c>
      <c r="I258" s="91">
        <v>8</v>
      </c>
      <c r="J258" s="91">
        <v>8</v>
      </c>
      <c r="K258" s="91">
        <v>8</v>
      </c>
      <c r="L258" s="91">
        <v>8</v>
      </c>
      <c r="M258" s="91">
        <v>4</v>
      </c>
      <c r="N258" s="91">
        <v>8</v>
      </c>
      <c r="O258" s="91">
        <v>8</v>
      </c>
      <c r="P258" s="91">
        <v>8</v>
      </c>
      <c r="Q258" s="91">
        <v>8</v>
      </c>
      <c r="R258" s="91">
        <v>8</v>
      </c>
      <c r="S258" s="91">
        <v>8</v>
      </c>
      <c r="T258" s="91">
        <v>8</v>
      </c>
      <c r="U258" s="91">
        <v>8</v>
      </c>
      <c r="V258" s="91">
        <v>8</v>
      </c>
      <c r="W258" s="91">
        <v>8</v>
      </c>
      <c r="X258" s="91">
        <v>8</v>
      </c>
      <c r="Y258" s="91"/>
      <c r="Z258" s="91">
        <v>8</v>
      </c>
      <c r="AA258" s="91">
        <v>8</v>
      </c>
      <c r="AB258" s="91">
        <v>8</v>
      </c>
      <c r="AC258" s="91">
        <v>8</v>
      </c>
      <c r="AD258" s="91">
        <v>8</v>
      </c>
      <c r="AE258" s="91">
        <v>8</v>
      </c>
      <c r="AF258" s="91">
        <v>8</v>
      </c>
      <c r="AG258" s="91">
        <v>8</v>
      </c>
      <c r="AH258" s="91">
        <v>8</v>
      </c>
      <c r="AI258" s="91">
        <v>8</v>
      </c>
      <c r="AJ258" s="91">
        <v>8</v>
      </c>
      <c r="AK258" s="91">
        <v>8</v>
      </c>
      <c r="AL258" s="91">
        <v>8</v>
      </c>
      <c r="AM258" s="91">
        <v>8</v>
      </c>
      <c r="AN258" s="91">
        <v>8</v>
      </c>
      <c r="AO258" s="91">
        <v>8</v>
      </c>
      <c r="AP258" s="91">
        <v>8</v>
      </c>
      <c r="AQ258" s="91">
        <v>8</v>
      </c>
      <c r="AR258" s="91">
        <v>8</v>
      </c>
      <c r="AS258" s="91">
        <v>8</v>
      </c>
      <c r="AT258" s="91">
        <v>8</v>
      </c>
      <c r="AU258" s="91">
        <v>8</v>
      </c>
      <c r="AV258" s="91">
        <v>8</v>
      </c>
      <c r="AW258" s="91">
        <v>8</v>
      </c>
      <c r="AX258" s="91">
        <v>8</v>
      </c>
      <c r="AY258" s="91"/>
      <c r="AZ258" s="91">
        <v>8</v>
      </c>
      <c r="BA258" s="91">
        <v>8</v>
      </c>
      <c r="BB258" s="91">
        <v>8</v>
      </c>
      <c r="BC258" s="91">
        <v>8</v>
      </c>
      <c r="BD258" s="91">
        <v>8</v>
      </c>
      <c r="BE258" s="91">
        <v>8</v>
      </c>
      <c r="BF258" s="91">
        <v>4</v>
      </c>
      <c r="BG258" s="91">
        <v>14</v>
      </c>
      <c r="BH258" s="91"/>
    </row>
    <row r="259" spans="1:60" x14ac:dyDescent="0.25">
      <c r="A259" s="91" t="s">
        <v>563</v>
      </c>
      <c r="B259" s="129">
        <f t="shared" si="14"/>
        <v>398</v>
      </c>
      <c r="C259" s="91">
        <f t="shared" si="15"/>
        <v>47</v>
      </c>
      <c r="D259" s="130">
        <f t="shared" si="16"/>
        <v>0.94</v>
      </c>
      <c r="E259" s="131">
        <v>46252</v>
      </c>
      <c r="F259" s="131">
        <v>46253</v>
      </c>
      <c r="G259" s="91">
        <f t="shared" si="17"/>
        <v>1</v>
      </c>
      <c r="H259" s="91">
        <v>8</v>
      </c>
      <c r="I259" s="91">
        <v>8</v>
      </c>
      <c r="J259" s="91">
        <v>8</v>
      </c>
      <c r="K259" s="91">
        <v>8</v>
      </c>
      <c r="L259" s="91">
        <v>8</v>
      </c>
      <c r="M259" s="91"/>
      <c r="N259" s="91">
        <v>8</v>
      </c>
      <c r="O259" s="91">
        <v>8</v>
      </c>
      <c r="P259" s="91">
        <v>8</v>
      </c>
      <c r="Q259" s="91">
        <v>8</v>
      </c>
      <c r="R259" s="91">
        <v>8</v>
      </c>
      <c r="S259" s="91">
        <v>8</v>
      </c>
      <c r="T259" s="91">
        <v>8</v>
      </c>
      <c r="U259" s="91">
        <v>8</v>
      </c>
      <c r="V259" s="91">
        <v>8</v>
      </c>
      <c r="W259" s="91">
        <v>8</v>
      </c>
      <c r="X259" s="91">
        <v>8</v>
      </c>
      <c r="Y259" s="91"/>
      <c r="Z259" s="91">
        <v>8</v>
      </c>
      <c r="AA259" s="91">
        <v>8</v>
      </c>
      <c r="AB259" s="91">
        <v>8</v>
      </c>
      <c r="AC259" s="91">
        <v>8</v>
      </c>
      <c r="AD259" s="91">
        <v>8</v>
      </c>
      <c r="AE259" s="91">
        <v>9</v>
      </c>
      <c r="AF259" s="91">
        <v>8</v>
      </c>
      <c r="AG259" s="91">
        <v>8</v>
      </c>
      <c r="AH259" s="91">
        <v>8</v>
      </c>
      <c r="AI259" s="91">
        <v>8</v>
      </c>
      <c r="AJ259" s="91">
        <v>8</v>
      </c>
      <c r="AK259" s="91">
        <v>8</v>
      </c>
      <c r="AL259" s="91">
        <v>8</v>
      </c>
      <c r="AM259" s="91">
        <v>8</v>
      </c>
      <c r="AN259" s="91">
        <v>8</v>
      </c>
      <c r="AO259" s="91">
        <v>8</v>
      </c>
      <c r="AP259" s="91">
        <v>8</v>
      </c>
      <c r="AQ259" s="91">
        <v>8</v>
      </c>
      <c r="AR259" s="91">
        <v>8</v>
      </c>
      <c r="AS259" s="91">
        <v>8</v>
      </c>
      <c r="AT259" s="91">
        <v>8</v>
      </c>
      <c r="AU259" s="91">
        <v>8</v>
      </c>
      <c r="AV259" s="91">
        <v>8</v>
      </c>
      <c r="AW259" s="91">
        <v>8</v>
      </c>
      <c r="AX259" s="91">
        <v>8</v>
      </c>
      <c r="AY259" s="91"/>
      <c r="AZ259" s="91">
        <v>8</v>
      </c>
      <c r="BA259" s="91">
        <v>8</v>
      </c>
      <c r="BB259" s="91">
        <v>8</v>
      </c>
      <c r="BC259" s="91">
        <v>8</v>
      </c>
      <c r="BD259" s="91">
        <v>8</v>
      </c>
      <c r="BE259" s="91">
        <v>8</v>
      </c>
      <c r="BF259" s="91">
        <v>7</v>
      </c>
      <c r="BG259" s="91">
        <v>14</v>
      </c>
      <c r="BH259" s="91"/>
    </row>
    <row r="260" spans="1:60" x14ac:dyDescent="0.25">
      <c r="A260" s="91" t="s">
        <v>553</v>
      </c>
      <c r="B260" s="129">
        <f t="shared" si="14"/>
        <v>398</v>
      </c>
      <c r="C260" s="91">
        <f t="shared" si="15"/>
        <v>48</v>
      </c>
      <c r="D260" s="130">
        <f t="shared" si="16"/>
        <v>0.96</v>
      </c>
      <c r="E260" s="131">
        <v>46255</v>
      </c>
      <c r="F260" s="131">
        <v>46275</v>
      </c>
      <c r="G260" s="91">
        <f t="shared" si="17"/>
        <v>20</v>
      </c>
      <c r="H260" s="91">
        <v>8</v>
      </c>
      <c r="I260" s="91">
        <v>8</v>
      </c>
      <c r="J260" s="91">
        <v>8</v>
      </c>
      <c r="K260" s="91">
        <v>8</v>
      </c>
      <c r="L260" s="91">
        <v>8</v>
      </c>
      <c r="M260" s="91">
        <v>6</v>
      </c>
      <c r="N260" s="91">
        <v>8</v>
      </c>
      <c r="O260" s="91">
        <v>8</v>
      </c>
      <c r="P260" s="91">
        <v>8</v>
      </c>
      <c r="Q260" s="91">
        <v>8</v>
      </c>
      <c r="R260" s="91">
        <v>8</v>
      </c>
      <c r="S260" s="91">
        <v>8</v>
      </c>
      <c r="T260" s="91">
        <v>8</v>
      </c>
      <c r="U260" s="91">
        <v>8</v>
      </c>
      <c r="V260" s="91">
        <v>8</v>
      </c>
      <c r="W260" s="91">
        <v>8</v>
      </c>
      <c r="X260" s="91">
        <v>8</v>
      </c>
      <c r="Y260" s="91"/>
      <c r="Z260" s="91">
        <v>8</v>
      </c>
      <c r="AA260" s="91">
        <v>8</v>
      </c>
      <c r="AB260" s="91">
        <v>8</v>
      </c>
      <c r="AC260" s="91">
        <v>8</v>
      </c>
      <c r="AD260" s="91">
        <v>8</v>
      </c>
      <c r="AE260" s="91">
        <v>7</v>
      </c>
      <c r="AF260" s="91">
        <v>8</v>
      </c>
      <c r="AG260" s="91">
        <v>8</v>
      </c>
      <c r="AH260" s="91">
        <v>8</v>
      </c>
      <c r="AI260" s="91">
        <v>8</v>
      </c>
      <c r="AJ260" s="91">
        <v>8</v>
      </c>
      <c r="AK260" s="91">
        <v>8</v>
      </c>
      <c r="AL260" s="91">
        <v>8</v>
      </c>
      <c r="AM260" s="91">
        <v>8</v>
      </c>
      <c r="AN260" s="91">
        <v>8</v>
      </c>
      <c r="AO260" s="91">
        <v>8</v>
      </c>
      <c r="AP260" s="91">
        <v>8</v>
      </c>
      <c r="AQ260" s="91">
        <v>8</v>
      </c>
      <c r="AR260" s="91">
        <v>8</v>
      </c>
      <c r="AS260" s="91">
        <v>8</v>
      </c>
      <c r="AT260" s="91">
        <v>7</v>
      </c>
      <c r="AU260" s="91">
        <v>8</v>
      </c>
      <c r="AV260" s="91">
        <v>8</v>
      </c>
      <c r="AW260" s="91">
        <v>8</v>
      </c>
      <c r="AX260" s="91">
        <v>8</v>
      </c>
      <c r="AY260" s="91"/>
      <c r="AZ260" s="91">
        <v>8</v>
      </c>
      <c r="BA260" s="91">
        <v>8</v>
      </c>
      <c r="BB260" s="91">
        <v>8</v>
      </c>
      <c r="BC260" s="91">
        <v>8</v>
      </c>
      <c r="BD260" s="91">
        <v>10</v>
      </c>
      <c r="BE260" s="91">
        <v>8</v>
      </c>
      <c r="BF260" s="91">
        <v>2</v>
      </c>
      <c r="BG260" s="91">
        <v>14</v>
      </c>
      <c r="BH260" s="91"/>
    </row>
    <row r="261" spans="1:60" x14ac:dyDescent="0.25">
      <c r="A261" s="91" t="s">
        <v>544</v>
      </c>
      <c r="B261" s="129">
        <f t="shared" si="14"/>
        <v>397</v>
      </c>
      <c r="C261" s="91">
        <f t="shared" si="15"/>
        <v>49</v>
      </c>
      <c r="D261" s="130">
        <f t="shared" si="16"/>
        <v>0.98</v>
      </c>
      <c r="E261" s="131">
        <v>46245</v>
      </c>
      <c r="F261" s="131">
        <v>46310</v>
      </c>
      <c r="G261" s="91">
        <f t="shared" si="17"/>
        <v>65</v>
      </c>
      <c r="H261" s="91">
        <v>8</v>
      </c>
      <c r="I261" s="91">
        <v>8</v>
      </c>
      <c r="J261" s="91">
        <v>8</v>
      </c>
      <c r="K261" s="91">
        <v>8</v>
      </c>
      <c r="L261" s="91">
        <v>8</v>
      </c>
      <c r="M261" s="91">
        <v>5</v>
      </c>
      <c r="N261" s="91">
        <v>8</v>
      </c>
      <c r="O261" s="91">
        <v>8</v>
      </c>
      <c r="P261" s="91">
        <v>8</v>
      </c>
      <c r="Q261" s="91">
        <v>8</v>
      </c>
      <c r="R261" s="91">
        <v>8</v>
      </c>
      <c r="S261" s="91">
        <v>8</v>
      </c>
      <c r="T261" s="91">
        <v>8</v>
      </c>
      <c r="U261" s="91">
        <v>8</v>
      </c>
      <c r="V261" s="91">
        <v>8</v>
      </c>
      <c r="W261" s="91">
        <v>8</v>
      </c>
      <c r="X261" s="91">
        <v>8</v>
      </c>
      <c r="Y261" s="91">
        <v>1</v>
      </c>
      <c r="Z261" s="91">
        <v>8</v>
      </c>
      <c r="AA261" s="91">
        <v>8</v>
      </c>
      <c r="AB261" s="91">
        <v>8</v>
      </c>
      <c r="AC261" s="91">
        <v>8</v>
      </c>
      <c r="AD261" s="91">
        <v>8</v>
      </c>
      <c r="AE261" s="91">
        <v>8</v>
      </c>
      <c r="AF261" s="91">
        <v>8</v>
      </c>
      <c r="AG261" s="91">
        <v>8</v>
      </c>
      <c r="AH261" s="91">
        <v>8</v>
      </c>
      <c r="AI261" s="91">
        <v>8</v>
      </c>
      <c r="AJ261" s="91">
        <v>8</v>
      </c>
      <c r="AK261" s="91">
        <v>8</v>
      </c>
      <c r="AL261" s="91">
        <v>8</v>
      </c>
      <c r="AM261" s="91">
        <v>8</v>
      </c>
      <c r="AN261" s="91">
        <v>8</v>
      </c>
      <c r="AO261" s="91">
        <v>8</v>
      </c>
      <c r="AP261" s="91">
        <v>8</v>
      </c>
      <c r="AQ261" s="91">
        <v>8</v>
      </c>
      <c r="AR261" s="91">
        <v>8</v>
      </c>
      <c r="AS261" s="91">
        <v>7</v>
      </c>
      <c r="AT261" s="91">
        <v>8</v>
      </c>
      <c r="AU261" s="91">
        <v>8</v>
      </c>
      <c r="AV261" s="91">
        <v>8</v>
      </c>
      <c r="AW261" s="91">
        <v>8</v>
      </c>
      <c r="AX261" s="91">
        <v>8</v>
      </c>
      <c r="AY261" s="91"/>
      <c r="AZ261" s="91">
        <v>8</v>
      </c>
      <c r="BA261" s="91">
        <v>8</v>
      </c>
      <c r="BB261" s="91">
        <v>8</v>
      </c>
      <c r="BC261" s="91">
        <v>8</v>
      </c>
      <c r="BD261" s="91">
        <v>8</v>
      </c>
      <c r="BE261" s="91">
        <v>8</v>
      </c>
      <c r="BF261" s="91">
        <v>2</v>
      </c>
      <c r="BG261" s="91">
        <v>14</v>
      </c>
      <c r="BH261" s="91"/>
    </row>
    <row r="262" spans="1:60" x14ac:dyDescent="0.25">
      <c r="A262" s="91" t="s">
        <v>559</v>
      </c>
      <c r="B262" s="129">
        <f t="shared" si="14"/>
        <v>397</v>
      </c>
      <c r="C262" s="91">
        <f t="shared" si="15"/>
        <v>49</v>
      </c>
      <c r="D262" s="130">
        <f t="shared" si="16"/>
        <v>0.98</v>
      </c>
      <c r="E262" s="131">
        <v>46252</v>
      </c>
      <c r="F262" s="131">
        <v>46322</v>
      </c>
      <c r="G262" s="91">
        <f t="shared" si="17"/>
        <v>70</v>
      </c>
      <c r="H262" s="91">
        <v>8</v>
      </c>
      <c r="I262" s="91">
        <v>8</v>
      </c>
      <c r="J262" s="91">
        <v>8</v>
      </c>
      <c r="K262" s="91">
        <v>8</v>
      </c>
      <c r="L262" s="91">
        <v>8</v>
      </c>
      <c r="M262" s="91">
        <v>4</v>
      </c>
      <c r="N262" s="91">
        <v>8</v>
      </c>
      <c r="O262" s="91">
        <v>8</v>
      </c>
      <c r="P262" s="91">
        <v>8</v>
      </c>
      <c r="Q262" s="91">
        <v>8</v>
      </c>
      <c r="R262" s="91">
        <v>8</v>
      </c>
      <c r="S262" s="91">
        <v>8</v>
      </c>
      <c r="T262" s="91">
        <v>8</v>
      </c>
      <c r="U262" s="91">
        <v>8</v>
      </c>
      <c r="V262" s="91">
        <v>8</v>
      </c>
      <c r="W262" s="91">
        <v>8</v>
      </c>
      <c r="X262" s="91">
        <v>8</v>
      </c>
      <c r="Y262" s="91">
        <v>1</v>
      </c>
      <c r="Z262" s="91">
        <v>8</v>
      </c>
      <c r="AA262" s="91">
        <v>8</v>
      </c>
      <c r="AB262" s="91">
        <v>8</v>
      </c>
      <c r="AC262" s="91">
        <v>8</v>
      </c>
      <c r="AD262" s="91">
        <v>8</v>
      </c>
      <c r="AE262" s="91">
        <v>8</v>
      </c>
      <c r="AF262" s="91">
        <v>8</v>
      </c>
      <c r="AG262" s="91">
        <v>8</v>
      </c>
      <c r="AH262" s="91">
        <v>8</v>
      </c>
      <c r="AI262" s="91">
        <v>8</v>
      </c>
      <c r="AJ262" s="91">
        <v>8</v>
      </c>
      <c r="AK262" s="91">
        <v>8</v>
      </c>
      <c r="AL262" s="91">
        <v>8</v>
      </c>
      <c r="AM262" s="91">
        <v>8</v>
      </c>
      <c r="AN262" s="91">
        <v>8</v>
      </c>
      <c r="AO262" s="91">
        <v>8</v>
      </c>
      <c r="AP262" s="91">
        <v>8</v>
      </c>
      <c r="AQ262" s="91">
        <v>8</v>
      </c>
      <c r="AR262" s="91">
        <v>8</v>
      </c>
      <c r="AS262" s="91">
        <v>8</v>
      </c>
      <c r="AT262" s="91">
        <v>8</v>
      </c>
      <c r="AU262" s="91">
        <v>8</v>
      </c>
      <c r="AV262" s="91">
        <v>8</v>
      </c>
      <c r="AW262" s="91">
        <v>8</v>
      </c>
      <c r="AX262" s="91">
        <v>8</v>
      </c>
      <c r="AY262" s="91"/>
      <c r="AZ262" s="91">
        <v>8</v>
      </c>
      <c r="BA262" s="91">
        <v>8</v>
      </c>
      <c r="BB262" s="91">
        <v>8</v>
      </c>
      <c r="BC262" s="91">
        <v>8</v>
      </c>
      <c r="BD262" s="91">
        <v>8</v>
      </c>
      <c r="BE262" s="91">
        <v>8</v>
      </c>
      <c r="BF262" s="91">
        <v>2</v>
      </c>
      <c r="BG262" s="91">
        <v>14</v>
      </c>
      <c r="BH262" s="91"/>
    </row>
    <row r="263" spans="1:60" x14ac:dyDescent="0.25">
      <c r="A263" s="91" t="s">
        <v>575</v>
      </c>
      <c r="B263" s="129">
        <f t="shared" si="14"/>
        <v>397</v>
      </c>
      <c r="C263" s="91">
        <f t="shared" si="15"/>
        <v>48</v>
      </c>
      <c r="D263" s="130">
        <f t="shared" si="16"/>
        <v>0.96</v>
      </c>
      <c r="E263" s="131">
        <v>46252</v>
      </c>
      <c r="F263" s="131">
        <v>46254</v>
      </c>
      <c r="G263" s="91">
        <f t="shared" si="17"/>
        <v>2</v>
      </c>
      <c r="H263" s="91">
        <v>8</v>
      </c>
      <c r="I263" s="91">
        <v>8</v>
      </c>
      <c r="J263" s="91">
        <v>8</v>
      </c>
      <c r="K263" s="91">
        <v>8</v>
      </c>
      <c r="L263" s="91">
        <v>8</v>
      </c>
      <c r="M263" s="91">
        <v>4</v>
      </c>
      <c r="N263" s="91">
        <v>8</v>
      </c>
      <c r="O263" s="91">
        <v>8</v>
      </c>
      <c r="P263" s="91">
        <v>8</v>
      </c>
      <c r="Q263" s="91">
        <v>8</v>
      </c>
      <c r="R263" s="91">
        <v>8</v>
      </c>
      <c r="S263" s="91">
        <v>8</v>
      </c>
      <c r="T263" s="91">
        <v>8</v>
      </c>
      <c r="U263" s="91">
        <v>8</v>
      </c>
      <c r="V263" s="91">
        <v>8</v>
      </c>
      <c r="W263" s="91">
        <v>8</v>
      </c>
      <c r="X263" s="91">
        <v>8</v>
      </c>
      <c r="Y263" s="91"/>
      <c r="Z263" s="91">
        <v>8</v>
      </c>
      <c r="AA263" s="91">
        <v>8</v>
      </c>
      <c r="AB263" s="91">
        <v>8</v>
      </c>
      <c r="AC263" s="91">
        <v>8</v>
      </c>
      <c r="AD263" s="91">
        <v>8</v>
      </c>
      <c r="AE263" s="91">
        <v>10</v>
      </c>
      <c r="AF263" s="91">
        <v>8</v>
      </c>
      <c r="AG263" s="91">
        <v>8</v>
      </c>
      <c r="AH263" s="91">
        <v>8</v>
      </c>
      <c r="AI263" s="91">
        <v>8</v>
      </c>
      <c r="AJ263" s="91">
        <v>8</v>
      </c>
      <c r="AK263" s="91">
        <v>8</v>
      </c>
      <c r="AL263" s="91">
        <v>8</v>
      </c>
      <c r="AM263" s="91">
        <v>8</v>
      </c>
      <c r="AN263" s="91">
        <v>8</v>
      </c>
      <c r="AO263" s="91">
        <v>8</v>
      </c>
      <c r="AP263" s="91">
        <v>8</v>
      </c>
      <c r="AQ263" s="91">
        <v>8</v>
      </c>
      <c r="AR263" s="91">
        <v>8</v>
      </c>
      <c r="AS263" s="91">
        <v>8</v>
      </c>
      <c r="AT263" s="91">
        <v>8</v>
      </c>
      <c r="AU263" s="91">
        <v>8</v>
      </c>
      <c r="AV263" s="91">
        <v>8</v>
      </c>
      <c r="AW263" s="91">
        <v>8</v>
      </c>
      <c r="AX263" s="91">
        <v>8</v>
      </c>
      <c r="AY263" s="91"/>
      <c r="AZ263" s="91">
        <v>8</v>
      </c>
      <c r="BA263" s="91">
        <v>8</v>
      </c>
      <c r="BB263" s="91">
        <v>8</v>
      </c>
      <c r="BC263" s="91">
        <v>8</v>
      </c>
      <c r="BD263" s="91">
        <v>8</v>
      </c>
      <c r="BE263" s="91">
        <v>8</v>
      </c>
      <c r="BF263" s="91">
        <v>1</v>
      </c>
      <c r="BG263" s="91">
        <v>14</v>
      </c>
      <c r="BH263" s="91"/>
    </row>
    <row r="264" spans="1:60" x14ac:dyDescent="0.25">
      <c r="A264" s="91" t="s">
        <v>228</v>
      </c>
      <c r="B264" s="129">
        <f t="shared" ref="B264:B327" si="18">SUM(H264:BH264)</f>
        <v>397</v>
      </c>
      <c r="C264" s="91">
        <f t="shared" ref="C264:C327" si="19">COUNTIF(H264:BE264,"&gt;0")</f>
        <v>47</v>
      </c>
      <c r="D264" s="130">
        <f t="shared" ref="D264:D327" si="20">IFERROR(C264/TIENDAS,0)</f>
        <v>0.94</v>
      </c>
      <c r="E264" s="131">
        <v>46293</v>
      </c>
      <c r="F264" s="131">
        <v>46309</v>
      </c>
      <c r="G264" s="91">
        <f t="shared" ref="G264:G327" si="21">F264-E264</f>
        <v>16</v>
      </c>
      <c r="H264" s="91">
        <v>8</v>
      </c>
      <c r="I264" s="91">
        <v>8</v>
      </c>
      <c r="J264" s="91">
        <v>8</v>
      </c>
      <c r="K264" s="91">
        <v>8</v>
      </c>
      <c r="L264" s="91">
        <v>8</v>
      </c>
      <c r="M264" s="91"/>
      <c r="N264" s="91">
        <v>8</v>
      </c>
      <c r="O264" s="91">
        <v>8</v>
      </c>
      <c r="P264" s="91">
        <v>8</v>
      </c>
      <c r="Q264" s="91">
        <v>8</v>
      </c>
      <c r="R264" s="91">
        <v>8</v>
      </c>
      <c r="S264" s="91">
        <v>8</v>
      </c>
      <c r="T264" s="91">
        <v>8</v>
      </c>
      <c r="U264" s="91">
        <v>8</v>
      </c>
      <c r="V264" s="91">
        <v>8</v>
      </c>
      <c r="W264" s="91">
        <v>8</v>
      </c>
      <c r="X264" s="91">
        <v>8</v>
      </c>
      <c r="Y264" s="91"/>
      <c r="Z264" s="91">
        <v>8</v>
      </c>
      <c r="AA264" s="91">
        <v>8</v>
      </c>
      <c r="AB264" s="91">
        <v>8</v>
      </c>
      <c r="AC264" s="91">
        <v>8</v>
      </c>
      <c r="AD264" s="91">
        <v>8</v>
      </c>
      <c r="AE264" s="91">
        <v>8</v>
      </c>
      <c r="AF264" s="91">
        <v>8</v>
      </c>
      <c r="AG264" s="91">
        <v>8</v>
      </c>
      <c r="AH264" s="91">
        <v>8</v>
      </c>
      <c r="AI264" s="91">
        <v>1</v>
      </c>
      <c r="AJ264" s="91">
        <v>8</v>
      </c>
      <c r="AK264" s="91">
        <v>8</v>
      </c>
      <c r="AL264" s="91">
        <v>8</v>
      </c>
      <c r="AM264" s="91">
        <v>8</v>
      </c>
      <c r="AN264" s="91">
        <v>8</v>
      </c>
      <c r="AO264" s="91">
        <v>8</v>
      </c>
      <c r="AP264" s="91">
        <v>8</v>
      </c>
      <c r="AQ264" s="91">
        <v>8</v>
      </c>
      <c r="AR264" s="91">
        <v>8</v>
      </c>
      <c r="AS264" s="91">
        <v>8</v>
      </c>
      <c r="AT264" s="91">
        <v>8</v>
      </c>
      <c r="AU264" s="91">
        <v>8</v>
      </c>
      <c r="AV264" s="91">
        <v>8</v>
      </c>
      <c r="AW264" s="91">
        <v>8</v>
      </c>
      <c r="AX264" s="91">
        <v>8</v>
      </c>
      <c r="AY264" s="91"/>
      <c r="AZ264" s="91">
        <v>8</v>
      </c>
      <c r="BA264" s="91">
        <v>8</v>
      </c>
      <c r="BB264" s="91">
        <v>8</v>
      </c>
      <c r="BC264" s="91">
        <v>8</v>
      </c>
      <c r="BD264" s="91">
        <v>8</v>
      </c>
      <c r="BE264" s="91">
        <v>8</v>
      </c>
      <c r="BF264" s="91">
        <v>14</v>
      </c>
      <c r="BG264" s="91">
        <v>14</v>
      </c>
      <c r="BH264" s="91"/>
    </row>
    <row r="265" spans="1:60" x14ac:dyDescent="0.25">
      <c r="A265" s="91" t="s">
        <v>423</v>
      </c>
      <c r="B265" s="129">
        <f t="shared" si="18"/>
        <v>396</v>
      </c>
      <c r="C265" s="91">
        <f t="shared" si="19"/>
        <v>48</v>
      </c>
      <c r="D265" s="130">
        <f t="shared" si="20"/>
        <v>0.96</v>
      </c>
      <c r="E265" s="131">
        <v>46219</v>
      </c>
      <c r="F265" s="131">
        <v>46310</v>
      </c>
      <c r="G265" s="91">
        <f t="shared" si="21"/>
        <v>91</v>
      </c>
      <c r="H265" s="91">
        <v>8</v>
      </c>
      <c r="I265" s="91">
        <v>8</v>
      </c>
      <c r="J265" s="91">
        <v>8</v>
      </c>
      <c r="K265" s="91">
        <v>8</v>
      </c>
      <c r="L265" s="91">
        <v>8</v>
      </c>
      <c r="M265" s="91"/>
      <c r="N265" s="91">
        <v>8</v>
      </c>
      <c r="O265" s="91">
        <v>8</v>
      </c>
      <c r="P265" s="91">
        <v>8</v>
      </c>
      <c r="Q265" s="91">
        <v>8</v>
      </c>
      <c r="R265" s="91">
        <v>8</v>
      </c>
      <c r="S265" s="91">
        <v>8</v>
      </c>
      <c r="T265" s="91">
        <v>8</v>
      </c>
      <c r="U265" s="91">
        <v>8</v>
      </c>
      <c r="V265" s="91">
        <v>8</v>
      </c>
      <c r="W265" s="91">
        <v>8</v>
      </c>
      <c r="X265" s="91">
        <v>8</v>
      </c>
      <c r="Y265" s="91">
        <v>1</v>
      </c>
      <c r="Z265" s="91">
        <v>8</v>
      </c>
      <c r="AA265" s="91">
        <v>8</v>
      </c>
      <c r="AB265" s="91">
        <v>8</v>
      </c>
      <c r="AC265" s="91">
        <v>8</v>
      </c>
      <c r="AD265" s="91">
        <v>8</v>
      </c>
      <c r="AE265" s="91">
        <v>8</v>
      </c>
      <c r="AF265" s="91">
        <v>8</v>
      </c>
      <c r="AG265" s="91">
        <v>8</v>
      </c>
      <c r="AH265" s="91">
        <v>8</v>
      </c>
      <c r="AI265" s="91">
        <v>8</v>
      </c>
      <c r="AJ265" s="91">
        <v>8</v>
      </c>
      <c r="AK265" s="91">
        <v>8</v>
      </c>
      <c r="AL265" s="91">
        <v>8</v>
      </c>
      <c r="AM265" s="91">
        <v>8</v>
      </c>
      <c r="AN265" s="91">
        <v>8</v>
      </c>
      <c r="AO265" s="91">
        <v>8</v>
      </c>
      <c r="AP265" s="91">
        <v>8</v>
      </c>
      <c r="AQ265" s="91">
        <v>8</v>
      </c>
      <c r="AR265" s="91">
        <v>8</v>
      </c>
      <c r="AS265" s="91">
        <v>8</v>
      </c>
      <c r="AT265" s="91">
        <v>8</v>
      </c>
      <c r="AU265" s="91">
        <v>8</v>
      </c>
      <c r="AV265" s="91">
        <v>8</v>
      </c>
      <c r="AW265" s="91">
        <v>8</v>
      </c>
      <c r="AX265" s="91">
        <v>8</v>
      </c>
      <c r="AY265" s="91"/>
      <c r="AZ265" s="91">
        <v>8</v>
      </c>
      <c r="BA265" s="91">
        <v>8</v>
      </c>
      <c r="BB265" s="91">
        <v>8</v>
      </c>
      <c r="BC265" s="91">
        <v>8</v>
      </c>
      <c r="BD265" s="91">
        <v>14</v>
      </c>
      <c r="BE265" s="91">
        <v>8</v>
      </c>
      <c r="BF265" s="91">
        <v>1</v>
      </c>
      <c r="BG265" s="91">
        <v>12</v>
      </c>
      <c r="BH265" s="91"/>
    </row>
    <row r="266" spans="1:60" x14ac:dyDescent="0.25">
      <c r="A266" s="91" t="s">
        <v>594</v>
      </c>
      <c r="B266" s="129">
        <f t="shared" si="18"/>
        <v>396</v>
      </c>
      <c r="C266" s="91">
        <f t="shared" si="19"/>
        <v>46</v>
      </c>
      <c r="D266" s="130">
        <f t="shared" si="20"/>
        <v>0.92</v>
      </c>
      <c r="E266" s="131">
        <v>46245</v>
      </c>
      <c r="F266" s="131">
        <v>46246</v>
      </c>
      <c r="G266" s="91">
        <f t="shared" si="21"/>
        <v>1</v>
      </c>
      <c r="H266" s="91">
        <v>8</v>
      </c>
      <c r="I266" s="91">
        <v>8</v>
      </c>
      <c r="J266" s="91">
        <v>8</v>
      </c>
      <c r="K266" s="91">
        <v>8</v>
      </c>
      <c r="L266" s="91">
        <v>8</v>
      </c>
      <c r="M266" s="91"/>
      <c r="N266" s="91">
        <v>8</v>
      </c>
      <c r="O266" s="91">
        <v>8</v>
      </c>
      <c r="P266" s="91">
        <v>8</v>
      </c>
      <c r="Q266" s="91">
        <v>8</v>
      </c>
      <c r="R266" s="91">
        <v>8</v>
      </c>
      <c r="S266" s="91">
        <v>8</v>
      </c>
      <c r="T266" s="91">
        <v>8</v>
      </c>
      <c r="U266" s="91">
        <v>8</v>
      </c>
      <c r="V266" s="91">
        <v>8</v>
      </c>
      <c r="W266" s="91">
        <v>8</v>
      </c>
      <c r="X266" s="91">
        <v>8</v>
      </c>
      <c r="Y266" s="91"/>
      <c r="Z266" s="91">
        <v>8</v>
      </c>
      <c r="AA266" s="91">
        <v>8</v>
      </c>
      <c r="AB266" s="91">
        <v>8</v>
      </c>
      <c r="AC266" s="91">
        <v>8</v>
      </c>
      <c r="AD266" s="91">
        <v>8</v>
      </c>
      <c r="AE266" s="91">
        <v>8</v>
      </c>
      <c r="AF266" s="91">
        <v>8</v>
      </c>
      <c r="AG266" s="91">
        <v>8</v>
      </c>
      <c r="AH266" s="91">
        <v>8</v>
      </c>
      <c r="AI266" s="91">
        <v>8</v>
      </c>
      <c r="AJ266" s="91">
        <v>8</v>
      </c>
      <c r="AK266" s="91">
        <v>8</v>
      </c>
      <c r="AL266" s="91">
        <v>8</v>
      </c>
      <c r="AM266" s="91">
        <v>8</v>
      </c>
      <c r="AN266" s="91">
        <v>8</v>
      </c>
      <c r="AO266" s="91">
        <v>8</v>
      </c>
      <c r="AP266" s="91">
        <v>8</v>
      </c>
      <c r="AQ266" s="91">
        <v>8</v>
      </c>
      <c r="AR266" s="91">
        <v>8</v>
      </c>
      <c r="AS266" s="91"/>
      <c r="AT266" s="91">
        <v>8</v>
      </c>
      <c r="AU266" s="91">
        <v>8</v>
      </c>
      <c r="AV266" s="91">
        <v>8</v>
      </c>
      <c r="AW266" s="91">
        <v>8</v>
      </c>
      <c r="AX266" s="91">
        <v>8</v>
      </c>
      <c r="AY266" s="91"/>
      <c r="AZ266" s="91">
        <v>8</v>
      </c>
      <c r="BA266" s="91">
        <v>8</v>
      </c>
      <c r="BB266" s="91">
        <v>8</v>
      </c>
      <c r="BC266" s="91">
        <v>8</v>
      </c>
      <c r="BD266" s="91">
        <v>8</v>
      </c>
      <c r="BE266" s="91">
        <v>8</v>
      </c>
      <c r="BF266" s="91">
        <v>12</v>
      </c>
      <c r="BG266" s="91">
        <v>16</v>
      </c>
      <c r="BH266" s="91"/>
    </row>
    <row r="267" spans="1:60" x14ac:dyDescent="0.25">
      <c r="A267" s="91" t="s">
        <v>562</v>
      </c>
      <c r="B267" s="129">
        <f t="shared" si="18"/>
        <v>396</v>
      </c>
      <c r="C267" s="91">
        <f t="shared" si="19"/>
        <v>48</v>
      </c>
      <c r="D267" s="130">
        <f t="shared" si="20"/>
        <v>0.96</v>
      </c>
      <c r="E267" s="131">
        <v>46266</v>
      </c>
      <c r="F267" s="131">
        <v>46301</v>
      </c>
      <c r="G267" s="91">
        <f t="shared" si="21"/>
        <v>35</v>
      </c>
      <c r="H267" s="91">
        <v>8</v>
      </c>
      <c r="I267" s="91">
        <v>8</v>
      </c>
      <c r="J267" s="91">
        <v>8</v>
      </c>
      <c r="K267" s="91">
        <v>8</v>
      </c>
      <c r="L267" s="91">
        <v>8</v>
      </c>
      <c r="M267" s="91"/>
      <c r="N267" s="91">
        <v>8</v>
      </c>
      <c r="O267" s="91">
        <v>8</v>
      </c>
      <c r="P267" s="91">
        <v>8</v>
      </c>
      <c r="Q267" s="91">
        <v>8</v>
      </c>
      <c r="R267" s="91">
        <v>8</v>
      </c>
      <c r="S267" s="91">
        <v>8</v>
      </c>
      <c r="T267" s="91">
        <v>8</v>
      </c>
      <c r="U267" s="91">
        <v>8</v>
      </c>
      <c r="V267" s="91">
        <v>8</v>
      </c>
      <c r="W267" s="91">
        <v>8</v>
      </c>
      <c r="X267" s="91">
        <v>8</v>
      </c>
      <c r="Y267" s="91">
        <v>1</v>
      </c>
      <c r="Z267" s="91">
        <v>8</v>
      </c>
      <c r="AA267" s="91">
        <v>8</v>
      </c>
      <c r="AB267" s="91">
        <v>8</v>
      </c>
      <c r="AC267" s="91">
        <v>8</v>
      </c>
      <c r="AD267" s="91">
        <v>8</v>
      </c>
      <c r="AE267" s="91">
        <v>8</v>
      </c>
      <c r="AF267" s="91">
        <v>8</v>
      </c>
      <c r="AG267" s="91">
        <v>8</v>
      </c>
      <c r="AH267" s="91">
        <v>8</v>
      </c>
      <c r="AI267" s="91">
        <v>8</v>
      </c>
      <c r="AJ267" s="91">
        <v>8</v>
      </c>
      <c r="AK267" s="91">
        <v>8</v>
      </c>
      <c r="AL267" s="91">
        <v>8</v>
      </c>
      <c r="AM267" s="91">
        <v>8</v>
      </c>
      <c r="AN267" s="91">
        <v>8</v>
      </c>
      <c r="AO267" s="91">
        <v>8</v>
      </c>
      <c r="AP267" s="91">
        <v>8</v>
      </c>
      <c r="AQ267" s="91">
        <v>8</v>
      </c>
      <c r="AR267" s="91">
        <v>8</v>
      </c>
      <c r="AS267" s="91">
        <v>8</v>
      </c>
      <c r="AT267" s="91">
        <v>8</v>
      </c>
      <c r="AU267" s="91">
        <v>8</v>
      </c>
      <c r="AV267" s="91">
        <v>8</v>
      </c>
      <c r="AW267" s="91">
        <v>8</v>
      </c>
      <c r="AX267" s="91">
        <v>8</v>
      </c>
      <c r="AY267" s="91"/>
      <c r="AZ267" s="91">
        <v>8</v>
      </c>
      <c r="BA267" s="91">
        <v>8</v>
      </c>
      <c r="BB267" s="91">
        <v>8</v>
      </c>
      <c r="BC267" s="91">
        <v>8</v>
      </c>
      <c r="BD267" s="91">
        <v>8</v>
      </c>
      <c r="BE267" s="91">
        <v>8</v>
      </c>
      <c r="BF267" s="91">
        <v>5</v>
      </c>
      <c r="BG267" s="91">
        <v>14</v>
      </c>
      <c r="BH267" s="91"/>
    </row>
    <row r="268" spans="1:60" x14ac:dyDescent="0.25">
      <c r="A268" s="91" t="s">
        <v>537</v>
      </c>
      <c r="B268" s="129">
        <f t="shared" si="18"/>
        <v>395</v>
      </c>
      <c r="C268" s="91">
        <f t="shared" si="19"/>
        <v>48</v>
      </c>
      <c r="D268" s="130">
        <f t="shared" si="20"/>
        <v>0.96</v>
      </c>
      <c r="E268" s="131">
        <v>46252</v>
      </c>
      <c r="F268" s="131">
        <v>46254</v>
      </c>
      <c r="G268" s="91">
        <f t="shared" si="21"/>
        <v>2</v>
      </c>
      <c r="H268" s="91">
        <v>8</v>
      </c>
      <c r="I268" s="91">
        <v>8</v>
      </c>
      <c r="J268" s="91">
        <v>8</v>
      </c>
      <c r="K268" s="91">
        <v>8</v>
      </c>
      <c r="L268" s="91">
        <v>8</v>
      </c>
      <c r="M268" s="91">
        <v>4</v>
      </c>
      <c r="N268" s="91">
        <v>8</v>
      </c>
      <c r="O268" s="91">
        <v>8</v>
      </c>
      <c r="P268" s="91">
        <v>8</v>
      </c>
      <c r="Q268" s="91">
        <v>9</v>
      </c>
      <c r="R268" s="91">
        <v>8</v>
      </c>
      <c r="S268" s="91">
        <v>8</v>
      </c>
      <c r="T268" s="91">
        <v>8</v>
      </c>
      <c r="U268" s="91">
        <v>8</v>
      </c>
      <c r="V268" s="91">
        <v>8</v>
      </c>
      <c r="W268" s="91">
        <v>8</v>
      </c>
      <c r="X268" s="91">
        <v>8</v>
      </c>
      <c r="Y268" s="91"/>
      <c r="Z268" s="91">
        <v>8</v>
      </c>
      <c r="AA268" s="91">
        <v>8</v>
      </c>
      <c r="AB268" s="91">
        <v>8</v>
      </c>
      <c r="AC268" s="91">
        <v>8</v>
      </c>
      <c r="AD268" s="91">
        <v>8</v>
      </c>
      <c r="AE268" s="91">
        <v>8</v>
      </c>
      <c r="AF268" s="91">
        <v>8</v>
      </c>
      <c r="AG268" s="91">
        <v>8</v>
      </c>
      <c r="AH268" s="91">
        <v>8</v>
      </c>
      <c r="AI268" s="91">
        <v>8</v>
      </c>
      <c r="AJ268" s="91">
        <v>8</v>
      </c>
      <c r="AK268" s="91">
        <v>8</v>
      </c>
      <c r="AL268" s="91">
        <v>8</v>
      </c>
      <c r="AM268" s="91">
        <v>8</v>
      </c>
      <c r="AN268" s="91">
        <v>8</v>
      </c>
      <c r="AO268" s="91">
        <v>8</v>
      </c>
      <c r="AP268" s="91">
        <v>8</v>
      </c>
      <c r="AQ268" s="91">
        <v>8</v>
      </c>
      <c r="AR268" s="91">
        <v>8</v>
      </c>
      <c r="AS268" s="91">
        <v>8</v>
      </c>
      <c r="AT268" s="91">
        <v>8</v>
      </c>
      <c r="AU268" s="91">
        <v>8</v>
      </c>
      <c r="AV268" s="91">
        <v>8</v>
      </c>
      <c r="AW268" s="91">
        <v>8</v>
      </c>
      <c r="AX268" s="91">
        <v>8</v>
      </c>
      <c r="AY268" s="91"/>
      <c r="AZ268" s="91">
        <v>8</v>
      </c>
      <c r="BA268" s="91">
        <v>8</v>
      </c>
      <c r="BB268" s="91">
        <v>8</v>
      </c>
      <c r="BC268" s="91">
        <v>8</v>
      </c>
      <c r="BD268" s="91">
        <v>8</v>
      </c>
      <c r="BE268" s="91">
        <v>8</v>
      </c>
      <c r="BF268" s="91"/>
      <c r="BG268" s="91">
        <v>14</v>
      </c>
      <c r="BH268" s="91"/>
    </row>
    <row r="269" spans="1:60" x14ac:dyDescent="0.25">
      <c r="A269" s="91" t="s">
        <v>179</v>
      </c>
      <c r="B269" s="129">
        <f t="shared" si="18"/>
        <v>395</v>
      </c>
      <c r="C269" s="91">
        <f t="shared" si="19"/>
        <v>48</v>
      </c>
      <c r="D269" s="130">
        <f t="shared" si="20"/>
        <v>0.96</v>
      </c>
      <c r="E269" s="131">
        <v>46252</v>
      </c>
      <c r="F269" s="131">
        <v>46302</v>
      </c>
      <c r="G269" s="91">
        <f t="shared" si="21"/>
        <v>50</v>
      </c>
      <c r="H269" s="91">
        <v>8</v>
      </c>
      <c r="I269" s="91">
        <v>8</v>
      </c>
      <c r="J269" s="91">
        <v>8</v>
      </c>
      <c r="K269" s="91">
        <v>8</v>
      </c>
      <c r="L269" s="91">
        <v>8</v>
      </c>
      <c r="M269" s="91">
        <v>5</v>
      </c>
      <c r="N269" s="91">
        <v>8</v>
      </c>
      <c r="O269" s="91">
        <v>8</v>
      </c>
      <c r="P269" s="91">
        <v>8</v>
      </c>
      <c r="Q269" s="91">
        <v>8</v>
      </c>
      <c r="R269" s="91">
        <v>8</v>
      </c>
      <c r="S269" s="91">
        <v>8</v>
      </c>
      <c r="T269" s="91">
        <v>8</v>
      </c>
      <c r="U269" s="91">
        <v>8</v>
      </c>
      <c r="V269" s="91">
        <v>8</v>
      </c>
      <c r="W269" s="91">
        <v>8</v>
      </c>
      <c r="X269" s="91">
        <v>8</v>
      </c>
      <c r="Y269" s="91"/>
      <c r="Z269" s="91">
        <v>8</v>
      </c>
      <c r="AA269" s="91">
        <v>8</v>
      </c>
      <c r="AB269" s="91">
        <v>8</v>
      </c>
      <c r="AC269" s="91">
        <v>8</v>
      </c>
      <c r="AD269" s="91">
        <v>8</v>
      </c>
      <c r="AE269" s="91">
        <v>8</v>
      </c>
      <c r="AF269" s="91">
        <v>8</v>
      </c>
      <c r="AG269" s="91">
        <v>8</v>
      </c>
      <c r="AH269" s="91">
        <v>8</v>
      </c>
      <c r="AI269" s="91">
        <v>8</v>
      </c>
      <c r="AJ269" s="91">
        <v>8</v>
      </c>
      <c r="AK269" s="91">
        <v>8</v>
      </c>
      <c r="AL269" s="91">
        <v>8</v>
      </c>
      <c r="AM269" s="91">
        <v>8</v>
      </c>
      <c r="AN269" s="91">
        <v>8</v>
      </c>
      <c r="AO269" s="91">
        <v>8</v>
      </c>
      <c r="AP269" s="91">
        <v>8</v>
      </c>
      <c r="AQ269" s="91">
        <v>8</v>
      </c>
      <c r="AR269" s="91">
        <v>8</v>
      </c>
      <c r="AS269" s="91">
        <v>8</v>
      </c>
      <c r="AT269" s="91">
        <v>8</v>
      </c>
      <c r="AU269" s="91">
        <v>8</v>
      </c>
      <c r="AV269" s="91">
        <v>8</v>
      </c>
      <c r="AW269" s="91">
        <v>8</v>
      </c>
      <c r="AX269" s="91">
        <v>8</v>
      </c>
      <c r="AY269" s="91"/>
      <c r="AZ269" s="91">
        <v>8</v>
      </c>
      <c r="BA269" s="91">
        <v>8</v>
      </c>
      <c r="BB269" s="91">
        <v>8</v>
      </c>
      <c r="BC269" s="91">
        <v>8</v>
      </c>
      <c r="BD269" s="91">
        <v>8</v>
      </c>
      <c r="BE269" s="91">
        <v>8</v>
      </c>
      <c r="BF269" s="91">
        <v>14</v>
      </c>
      <c r="BG269" s="91"/>
      <c r="BH269" s="91"/>
    </row>
    <row r="270" spans="1:60" x14ac:dyDescent="0.25">
      <c r="A270" s="91" t="s">
        <v>578</v>
      </c>
      <c r="B270" s="129">
        <f t="shared" si="18"/>
        <v>395</v>
      </c>
      <c r="C270" s="91">
        <f t="shared" si="19"/>
        <v>48</v>
      </c>
      <c r="D270" s="130">
        <f t="shared" si="20"/>
        <v>0.96</v>
      </c>
      <c r="E270" s="131">
        <v>46255</v>
      </c>
      <c r="F270" s="131">
        <v>46310</v>
      </c>
      <c r="G270" s="91">
        <f t="shared" si="21"/>
        <v>55</v>
      </c>
      <c r="H270" s="91">
        <v>8</v>
      </c>
      <c r="I270" s="91">
        <v>8</v>
      </c>
      <c r="J270" s="91">
        <v>8</v>
      </c>
      <c r="K270" s="91">
        <v>8</v>
      </c>
      <c r="L270" s="91">
        <v>8</v>
      </c>
      <c r="M270" s="91"/>
      <c r="N270" s="91">
        <v>8</v>
      </c>
      <c r="O270" s="91">
        <v>8</v>
      </c>
      <c r="P270" s="91">
        <v>8</v>
      </c>
      <c r="Q270" s="91">
        <v>8</v>
      </c>
      <c r="R270" s="91">
        <v>8</v>
      </c>
      <c r="S270" s="91">
        <v>8</v>
      </c>
      <c r="T270" s="91">
        <v>8</v>
      </c>
      <c r="U270" s="91">
        <v>8</v>
      </c>
      <c r="V270" s="91">
        <v>8</v>
      </c>
      <c r="W270" s="91">
        <v>8</v>
      </c>
      <c r="X270" s="91">
        <v>8</v>
      </c>
      <c r="Y270" s="91">
        <v>1</v>
      </c>
      <c r="Z270" s="91">
        <v>8</v>
      </c>
      <c r="AA270" s="91">
        <v>8</v>
      </c>
      <c r="AB270" s="91">
        <v>8</v>
      </c>
      <c r="AC270" s="91">
        <v>8</v>
      </c>
      <c r="AD270" s="91">
        <v>8</v>
      </c>
      <c r="AE270" s="91">
        <v>8</v>
      </c>
      <c r="AF270" s="91">
        <v>8</v>
      </c>
      <c r="AG270" s="91">
        <v>8</v>
      </c>
      <c r="AH270" s="91">
        <v>8</v>
      </c>
      <c r="AI270" s="91">
        <v>8</v>
      </c>
      <c r="AJ270" s="91">
        <v>8</v>
      </c>
      <c r="AK270" s="91">
        <v>8</v>
      </c>
      <c r="AL270" s="91">
        <v>8</v>
      </c>
      <c r="AM270" s="91">
        <v>8</v>
      </c>
      <c r="AN270" s="91">
        <v>8</v>
      </c>
      <c r="AO270" s="91">
        <v>8</v>
      </c>
      <c r="AP270" s="91">
        <v>8</v>
      </c>
      <c r="AQ270" s="91">
        <v>8</v>
      </c>
      <c r="AR270" s="91">
        <v>8</v>
      </c>
      <c r="AS270" s="91">
        <v>8</v>
      </c>
      <c r="AT270" s="91">
        <v>8</v>
      </c>
      <c r="AU270" s="91">
        <v>8</v>
      </c>
      <c r="AV270" s="91">
        <v>8</v>
      </c>
      <c r="AW270" s="91">
        <v>8</v>
      </c>
      <c r="AX270" s="91">
        <v>8</v>
      </c>
      <c r="AY270" s="91"/>
      <c r="AZ270" s="91">
        <v>8</v>
      </c>
      <c r="BA270" s="91">
        <v>8</v>
      </c>
      <c r="BB270" s="91">
        <v>8</v>
      </c>
      <c r="BC270" s="91">
        <v>10</v>
      </c>
      <c r="BD270" s="91">
        <v>8</v>
      </c>
      <c r="BE270" s="91">
        <v>8</v>
      </c>
      <c r="BF270" s="91">
        <v>2</v>
      </c>
      <c r="BG270" s="91">
        <v>14</v>
      </c>
      <c r="BH270" s="91"/>
    </row>
    <row r="271" spans="1:60" x14ac:dyDescent="0.25">
      <c r="A271" s="91" t="s">
        <v>476</v>
      </c>
      <c r="B271" s="129">
        <f t="shared" si="18"/>
        <v>393</v>
      </c>
      <c r="C271" s="91">
        <f t="shared" si="19"/>
        <v>48</v>
      </c>
      <c r="D271" s="130">
        <f t="shared" si="20"/>
        <v>0.96</v>
      </c>
      <c r="E271" s="131">
        <v>46248</v>
      </c>
      <c r="F271" s="131">
        <v>46310</v>
      </c>
      <c r="G271" s="91">
        <f t="shared" si="21"/>
        <v>62</v>
      </c>
      <c r="H271" s="91">
        <v>8</v>
      </c>
      <c r="I271" s="91">
        <v>7</v>
      </c>
      <c r="J271" s="91">
        <v>8</v>
      </c>
      <c r="K271" s="91">
        <v>8</v>
      </c>
      <c r="L271" s="91">
        <v>6</v>
      </c>
      <c r="M271" s="91"/>
      <c r="N271" s="91">
        <v>8</v>
      </c>
      <c r="O271" s="91">
        <v>6</v>
      </c>
      <c r="P271" s="91">
        <v>8</v>
      </c>
      <c r="Q271" s="91">
        <v>8</v>
      </c>
      <c r="R271" s="91">
        <v>8</v>
      </c>
      <c r="S271" s="91">
        <v>6</v>
      </c>
      <c r="T271" s="91">
        <v>8</v>
      </c>
      <c r="U271" s="91">
        <v>8</v>
      </c>
      <c r="V271" s="91">
        <v>8</v>
      </c>
      <c r="W271" s="91">
        <v>8</v>
      </c>
      <c r="X271" s="91">
        <v>8</v>
      </c>
      <c r="Y271" s="91">
        <v>1</v>
      </c>
      <c r="Z271" s="91">
        <v>7</v>
      </c>
      <c r="AA271" s="91">
        <v>8</v>
      </c>
      <c r="AB271" s="91">
        <v>8</v>
      </c>
      <c r="AC271" s="91">
        <v>6</v>
      </c>
      <c r="AD271" s="91">
        <v>8</v>
      </c>
      <c r="AE271" s="91">
        <v>8</v>
      </c>
      <c r="AF271" s="91">
        <v>8</v>
      </c>
      <c r="AG271" s="91">
        <v>8</v>
      </c>
      <c r="AH271" s="91">
        <v>6</v>
      </c>
      <c r="AI271" s="91">
        <v>8</v>
      </c>
      <c r="AJ271" s="91">
        <v>8</v>
      </c>
      <c r="AK271" s="91">
        <v>8</v>
      </c>
      <c r="AL271" s="91">
        <v>6</v>
      </c>
      <c r="AM271" s="91">
        <v>8</v>
      </c>
      <c r="AN271" s="91">
        <v>8</v>
      </c>
      <c r="AO271" s="91">
        <v>8</v>
      </c>
      <c r="AP271" s="91">
        <v>8</v>
      </c>
      <c r="AQ271" s="91">
        <v>8</v>
      </c>
      <c r="AR271" s="91">
        <v>8</v>
      </c>
      <c r="AS271" s="91">
        <v>8</v>
      </c>
      <c r="AT271" s="91">
        <v>8</v>
      </c>
      <c r="AU271" s="91">
        <v>8</v>
      </c>
      <c r="AV271" s="91">
        <v>8</v>
      </c>
      <c r="AW271" s="91">
        <v>8</v>
      </c>
      <c r="AX271" s="91">
        <v>8</v>
      </c>
      <c r="AY271" s="91"/>
      <c r="AZ271" s="91">
        <v>8</v>
      </c>
      <c r="BA271" s="91">
        <v>8</v>
      </c>
      <c r="BB271" s="91">
        <v>8</v>
      </c>
      <c r="BC271" s="91">
        <v>8</v>
      </c>
      <c r="BD271" s="91">
        <v>8</v>
      </c>
      <c r="BE271" s="91">
        <v>8</v>
      </c>
      <c r="BF271" s="91">
        <v>16</v>
      </c>
      <c r="BG271" s="91">
        <v>14</v>
      </c>
      <c r="BH271" s="91"/>
    </row>
    <row r="272" spans="1:60" x14ac:dyDescent="0.25">
      <c r="A272" s="91" t="s">
        <v>558</v>
      </c>
      <c r="B272" s="129">
        <f t="shared" si="18"/>
        <v>393</v>
      </c>
      <c r="C272" s="91">
        <f t="shared" si="19"/>
        <v>47</v>
      </c>
      <c r="D272" s="130">
        <f t="shared" si="20"/>
        <v>0.94</v>
      </c>
      <c r="E272" s="131">
        <v>46252</v>
      </c>
      <c r="F272" s="131">
        <v>46253</v>
      </c>
      <c r="G272" s="91">
        <f t="shared" si="21"/>
        <v>1</v>
      </c>
      <c r="H272" s="91">
        <v>8</v>
      </c>
      <c r="I272" s="91">
        <v>8</v>
      </c>
      <c r="J272" s="91">
        <v>8</v>
      </c>
      <c r="K272" s="91">
        <v>8</v>
      </c>
      <c r="L272" s="91">
        <v>8</v>
      </c>
      <c r="M272" s="91"/>
      <c r="N272" s="91">
        <v>8</v>
      </c>
      <c r="O272" s="91">
        <v>8</v>
      </c>
      <c r="P272" s="91">
        <v>8</v>
      </c>
      <c r="Q272" s="91">
        <v>8</v>
      </c>
      <c r="R272" s="91">
        <v>8</v>
      </c>
      <c r="S272" s="91">
        <v>8</v>
      </c>
      <c r="T272" s="91">
        <v>8</v>
      </c>
      <c r="U272" s="91">
        <v>8</v>
      </c>
      <c r="V272" s="91">
        <v>8</v>
      </c>
      <c r="W272" s="91">
        <v>8</v>
      </c>
      <c r="X272" s="91">
        <v>8</v>
      </c>
      <c r="Y272" s="91"/>
      <c r="Z272" s="91">
        <v>8</v>
      </c>
      <c r="AA272" s="91">
        <v>8</v>
      </c>
      <c r="AB272" s="91">
        <v>8</v>
      </c>
      <c r="AC272" s="91">
        <v>8</v>
      </c>
      <c r="AD272" s="91">
        <v>8</v>
      </c>
      <c r="AE272" s="91">
        <v>8</v>
      </c>
      <c r="AF272" s="91">
        <v>8</v>
      </c>
      <c r="AG272" s="91">
        <v>8</v>
      </c>
      <c r="AH272" s="91">
        <v>8</v>
      </c>
      <c r="AI272" s="91">
        <v>8</v>
      </c>
      <c r="AJ272" s="91">
        <v>8</v>
      </c>
      <c r="AK272" s="91">
        <v>8</v>
      </c>
      <c r="AL272" s="91">
        <v>8</v>
      </c>
      <c r="AM272" s="91">
        <v>8</v>
      </c>
      <c r="AN272" s="91">
        <v>8</v>
      </c>
      <c r="AO272" s="91">
        <v>8</v>
      </c>
      <c r="AP272" s="91">
        <v>8</v>
      </c>
      <c r="AQ272" s="91">
        <v>8</v>
      </c>
      <c r="AR272" s="91">
        <v>8</v>
      </c>
      <c r="AS272" s="91">
        <v>8</v>
      </c>
      <c r="AT272" s="91">
        <v>8</v>
      </c>
      <c r="AU272" s="91">
        <v>8</v>
      </c>
      <c r="AV272" s="91">
        <v>8</v>
      </c>
      <c r="AW272" s="91">
        <v>8</v>
      </c>
      <c r="AX272" s="91">
        <v>8</v>
      </c>
      <c r="AY272" s="91"/>
      <c r="AZ272" s="91">
        <v>8</v>
      </c>
      <c r="BA272" s="91">
        <v>8</v>
      </c>
      <c r="BB272" s="91">
        <v>8</v>
      </c>
      <c r="BC272" s="91">
        <v>8</v>
      </c>
      <c r="BD272" s="91">
        <v>8</v>
      </c>
      <c r="BE272" s="91">
        <v>8</v>
      </c>
      <c r="BF272" s="91">
        <v>3</v>
      </c>
      <c r="BG272" s="91">
        <v>14</v>
      </c>
      <c r="BH272" s="91"/>
    </row>
    <row r="273" spans="1:60" x14ac:dyDescent="0.25">
      <c r="A273" s="91" t="s">
        <v>550</v>
      </c>
      <c r="B273" s="129">
        <f t="shared" si="18"/>
        <v>393</v>
      </c>
      <c r="C273" s="91">
        <f t="shared" si="19"/>
        <v>47</v>
      </c>
      <c r="D273" s="130">
        <f t="shared" si="20"/>
        <v>0.94</v>
      </c>
      <c r="E273" s="131">
        <v>46252</v>
      </c>
      <c r="F273" s="131">
        <v>46253</v>
      </c>
      <c r="G273" s="91">
        <f t="shared" si="21"/>
        <v>1</v>
      </c>
      <c r="H273" s="91">
        <v>8</v>
      </c>
      <c r="I273" s="91">
        <v>8</v>
      </c>
      <c r="J273" s="91">
        <v>8</v>
      </c>
      <c r="K273" s="91">
        <v>8</v>
      </c>
      <c r="L273" s="91">
        <v>8</v>
      </c>
      <c r="M273" s="91"/>
      <c r="N273" s="91">
        <v>8</v>
      </c>
      <c r="O273" s="91">
        <v>8</v>
      </c>
      <c r="P273" s="91">
        <v>8</v>
      </c>
      <c r="Q273" s="91">
        <v>8</v>
      </c>
      <c r="R273" s="91">
        <v>8</v>
      </c>
      <c r="S273" s="91">
        <v>8</v>
      </c>
      <c r="T273" s="91">
        <v>8</v>
      </c>
      <c r="U273" s="91">
        <v>8</v>
      </c>
      <c r="V273" s="91">
        <v>8</v>
      </c>
      <c r="W273" s="91">
        <v>8</v>
      </c>
      <c r="X273" s="91">
        <v>8</v>
      </c>
      <c r="Y273" s="91"/>
      <c r="Z273" s="91">
        <v>8</v>
      </c>
      <c r="AA273" s="91">
        <v>8</v>
      </c>
      <c r="AB273" s="91">
        <v>8</v>
      </c>
      <c r="AC273" s="91">
        <v>8</v>
      </c>
      <c r="AD273" s="91">
        <v>8</v>
      </c>
      <c r="AE273" s="91">
        <v>8</v>
      </c>
      <c r="AF273" s="91">
        <v>8</v>
      </c>
      <c r="AG273" s="91">
        <v>8</v>
      </c>
      <c r="AH273" s="91">
        <v>10</v>
      </c>
      <c r="AI273" s="91">
        <v>8</v>
      </c>
      <c r="AJ273" s="91">
        <v>8</v>
      </c>
      <c r="AK273" s="91">
        <v>8</v>
      </c>
      <c r="AL273" s="91">
        <v>8</v>
      </c>
      <c r="AM273" s="91">
        <v>8</v>
      </c>
      <c r="AN273" s="91">
        <v>8</v>
      </c>
      <c r="AO273" s="91">
        <v>8</v>
      </c>
      <c r="AP273" s="91">
        <v>8</v>
      </c>
      <c r="AQ273" s="91">
        <v>8</v>
      </c>
      <c r="AR273" s="91">
        <v>8</v>
      </c>
      <c r="AS273" s="91">
        <v>8</v>
      </c>
      <c r="AT273" s="91">
        <v>8</v>
      </c>
      <c r="AU273" s="91">
        <v>8</v>
      </c>
      <c r="AV273" s="91">
        <v>8</v>
      </c>
      <c r="AW273" s="91">
        <v>8</v>
      </c>
      <c r="AX273" s="91">
        <v>8</v>
      </c>
      <c r="AY273" s="91"/>
      <c r="AZ273" s="91">
        <v>8</v>
      </c>
      <c r="BA273" s="91">
        <v>8</v>
      </c>
      <c r="BB273" s="91">
        <v>9</v>
      </c>
      <c r="BC273" s="91">
        <v>8</v>
      </c>
      <c r="BD273" s="91">
        <v>8</v>
      </c>
      <c r="BE273" s="91">
        <v>8</v>
      </c>
      <c r="BF273" s="91"/>
      <c r="BG273" s="91">
        <v>14</v>
      </c>
      <c r="BH273" s="91"/>
    </row>
    <row r="274" spans="1:60" x14ac:dyDescent="0.25">
      <c r="A274" s="91" t="s">
        <v>294</v>
      </c>
      <c r="B274" s="129">
        <f t="shared" si="18"/>
        <v>393</v>
      </c>
      <c r="C274" s="91">
        <f t="shared" si="19"/>
        <v>48</v>
      </c>
      <c r="D274" s="130">
        <f t="shared" si="20"/>
        <v>0.96</v>
      </c>
      <c r="E274" s="131">
        <v>46262</v>
      </c>
      <c r="F274" s="131">
        <v>46302</v>
      </c>
      <c r="G274" s="91">
        <f t="shared" si="21"/>
        <v>40</v>
      </c>
      <c r="H274" s="91">
        <v>8</v>
      </c>
      <c r="I274" s="91">
        <v>8</v>
      </c>
      <c r="J274" s="91">
        <v>8</v>
      </c>
      <c r="K274" s="91">
        <v>8</v>
      </c>
      <c r="L274" s="91">
        <v>8</v>
      </c>
      <c r="M274" s="91">
        <v>6</v>
      </c>
      <c r="N274" s="91">
        <v>8</v>
      </c>
      <c r="O274" s="91">
        <v>8</v>
      </c>
      <c r="P274" s="91">
        <v>8</v>
      </c>
      <c r="Q274" s="91">
        <v>8</v>
      </c>
      <c r="R274" s="91">
        <v>8</v>
      </c>
      <c r="S274" s="91">
        <v>8</v>
      </c>
      <c r="T274" s="91">
        <v>8</v>
      </c>
      <c r="U274" s="91">
        <v>8</v>
      </c>
      <c r="V274" s="91">
        <v>8</v>
      </c>
      <c r="W274" s="91">
        <v>8</v>
      </c>
      <c r="X274" s="91">
        <v>8</v>
      </c>
      <c r="Y274" s="91">
        <v>1</v>
      </c>
      <c r="Z274" s="91">
        <v>8</v>
      </c>
      <c r="AA274" s="91">
        <v>8</v>
      </c>
      <c r="AB274" s="91">
        <v>8</v>
      </c>
      <c r="AC274" s="91">
        <v>8</v>
      </c>
      <c r="AD274" s="91">
        <v>8</v>
      </c>
      <c r="AE274" s="91">
        <v>8</v>
      </c>
      <c r="AF274" s="91">
        <v>8</v>
      </c>
      <c r="AG274" s="91">
        <v>8</v>
      </c>
      <c r="AH274" s="91">
        <v>8</v>
      </c>
      <c r="AI274" s="91">
        <v>8</v>
      </c>
      <c r="AJ274" s="91">
        <v>8</v>
      </c>
      <c r="AK274" s="91">
        <v>8</v>
      </c>
      <c r="AL274" s="91">
        <v>8</v>
      </c>
      <c r="AM274" s="91">
        <v>8</v>
      </c>
      <c r="AN274" s="91">
        <v>8</v>
      </c>
      <c r="AO274" s="91">
        <v>8</v>
      </c>
      <c r="AP274" s="91">
        <v>8</v>
      </c>
      <c r="AQ274" s="91">
        <v>8</v>
      </c>
      <c r="AR274" s="91">
        <v>8</v>
      </c>
      <c r="AS274" s="91">
        <v>8</v>
      </c>
      <c r="AT274" s="91">
        <v>8</v>
      </c>
      <c r="AU274" s="91">
        <v>8</v>
      </c>
      <c r="AV274" s="91"/>
      <c r="AW274" s="91">
        <v>8</v>
      </c>
      <c r="AX274" s="91">
        <v>8</v>
      </c>
      <c r="AY274" s="91"/>
      <c r="AZ274" s="91">
        <v>8</v>
      </c>
      <c r="BA274" s="91">
        <v>8</v>
      </c>
      <c r="BB274" s="91">
        <v>10</v>
      </c>
      <c r="BC274" s="91">
        <v>8</v>
      </c>
      <c r="BD274" s="91">
        <v>8</v>
      </c>
      <c r="BE274" s="91">
        <v>8</v>
      </c>
      <c r="BF274" s="91">
        <v>2</v>
      </c>
      <c r="BG274" s="91">
        <v>14</v>
      </c>
      <c r="BH274" s="91"/>
    </row>
    <row r="275" spans="1:60" x14ac:dyDescent="0.25">
      <c r="A275" s="91" t="s">
        <v>511</v>
      </c>
      <c r="B275" s="129">
        <f t="shared" si="18"/>
        <v>393</v>
      </c>
      <c r="C275" s="91">
        <f t="shared" si="19"/>
        <v>48</v>
      </c>
      <c r="D275" s="130">
        <f t="shared" si="20"/>
        <v>0.96</v>
      </c>
      <c r="E275" s="131">
        <v>46280</v>
      </c>
      <c r="F275" s="131">
        <v>46314</v>
      </c>
      <c r="G275" s="91">
        <f t="shared" si="21"/>
        <v>34</v>
      </c>
      <c r="H275" s="91">
        <v>8</v>
      </c>
      <c r="I275" s="91">
        <v>8</v>
      </c>
      <c r="J275" s="91">
        <v>8</v>
      </c>
      <c r="K275" s="91">
        <v>8</v>
      </c>
      <c r="L275" s="91">
        <v>8</v>
      </c>
      <c r="M275" s="91"/>
      <c r="N275" s="91">
        <v>8</v>
      </c>
      <c r="O275" s="91">
        <v>8</v>
      </c>
      <c r="P275" s="91">
        <v>8</v>
      </c>
      <c r="Q275" s="91">
        <v>8</v>
      </c>
      <c r="R275" s="91">
        <v>8</v>
      </c>
      <c r="S275" s="91">
        <v>8</v>
      </c>
      <c r="T275" s="91">
        <v>8</v>
      </c>
      <c r="U275" s="91">
        <v>8</v>
      </c>
      <c r="V275" s="91">
        <v>8</v>
      </c>
      <c r="W275" s="91">
        <v>8</v>
      </c>
      <c r="X275" s="91">
        <v>8</v>
      </c>
      <c r="Y275" s="91">
        <v>2</v>
      </c>
      <c r="Z275" s="91">
        <v>8</v>
      </c>
      <c r="AA275" s="91">
        <v>8</v>
      </c>
      <c r="AB275" s="91">
        <v>8</v>
      </c>
      <c r="AC275" s="91">
        <v>8</v>
      </c>
      <c r="AD275" s="91">
        <v>8</v>
      </c>
      <c r="AE275" s="91">
        <v>8</v>
      </c>
      <c r="AF275" s="91">
        <v>8</v>
      </c>
      <c r="AG275" s="91">
        <v>8</v>
      </c>
      <c r="AH275" s="91">
        <v>8</v>
      </c>
      <c r="AI275" s="91">
        <v>8</v>
      </c>
      <c r="AJ275" s="91">
        <v>8</v>
      </c>
      <c r="AK275" s="91">
        <v>8</v>
      </c>
      <c r="AL275" s="91">
        <v>8</v>
      </c>
      <c r="AM275" s="91">
        <v>8</v>
      </c>
      <c r="AN275" s="91">
        <v>8</v>
      </c>
      <c r="AO275" s="91">
        <v>8</v>
      </c>
      <c r="AP275" s="91">
        <v>8</v>
      </c>
      <c r="AQ275" s="91">
        <v>8</v>
      </c>
      <c r="AR275" s="91">
        <v>8</v>
      </c>
      <c r="AS275" s="91">
        <v>8</v>
      </c>
      <c r="AT275" s="91">
        <v>8</v>
      </c>
      <c r="AU275" s="91">
        <v>8</v>
      </c>
      <c r="AV275" s="91">
        <v>8</v>
      </c>
      <c r="AW275" s="91">
        <v>8</v>
      </c>
      <c r="AX275" s="91">
        <v>8</v>
      </c>
      <c r="AY275" s="91"/>
      <c r="AZ275" s="91">
        <v>8</v>
      </c>
      <c r="BA275" s="91">
        <v>8</v>
      </c>
      <c r="BB275" s="91">
        <v>8</v>
      </c>
      <c r="BC275" s="91">
        <v>8</v>
      </c>
      <c r="BD275" s="91">
        <v>8</v>
      </c>
      <c r="BE275" s="91">
        <v>8</v>
      </c>
      <c r="BF275" s="91">
        <v>1</v>
      </c>
      <c r="BG275" s="91">
        <v>14</v>
      </c>
      <c r="BH275" s="91"/>
    </row>
    <row r="276" spans="1:60" x14ac:dyDescent="0.25">
      <c r="A276" s="91" t="s">
        <v>473</v>
      </c>
      <c r="B276" s="129">
        <f t="shared" si="18"/>
        <v>392</v>
      </c>
      <c r="C276" s="91">
        <f t="shared" si="19"/>
        <v>48</v>
      </c>
      <c r="D276" s="130">
        <f t="shared" si="20"/>
        <v>0.96</v>
      </c>
      <c r="E276" s="131">
        <v>46234</v>
      </c>
      <c r="F276" s="131">
        <v>46310</v>
      </c>
      <c r="G276" s="91">
        <f t="shared" si="21"/>
        <v>76</v>
      </c>
      <c r="H276" s="91">
        <v>8</v>
      </c>
      <c r="I276" s="91">
        <v>8</v>
      </c>
      <c r="J276" s="91">
        <v>8</v>
      </c>
      <c r="K276" s="91">
        <v>8</v>
      </c>
      <c r="L276" s="91">
        <v>8</v>
      </c>
      <c r="M276" s="91"/>
      <c r="N276" s="91">
        <v>8</v>
      </c>
      <c r="O276" s="91">
        <v>8</v>
      </c>
      <c r="P276" s="91">
        <v>8</v>
      </c>
      <c r="Q276" s="91">
        <v>8</v>
      </c>
      <c r="R276" s="91">
        <v>8</v>
      </c>
      <c r="S276" s="91">
        <v>8</v>
      </c>
      <c r="T276" s="91">
        <v>8</v>
      </c>
      <c r="U276" s="91">
        <v>8</v>
      </c>
      <c r="V276" s="91">
        <v>8</v>
      </c>
      <c r="W276" s="91">
        <v>8</v>
      </c>
      <c r="X276" s="91">
        <v>8</v>
      </c>
      <c r="Y276" s="91">
        <v>3</v>
      </c>
      <c r="Z276" s="91">
        <v>8</v>
      </c>
      <c r="AA276" s="91">
        <v>8</v>
      </c>
      <c r="AB276" s="91">
        <v>8</v>
      </c>
      <c r="AC276" s="91">
        <v>8</v>
      </c>
      <c r="AD276" s="91">
        <v>8</v>
      </c>
      <c r="AE276" s="91">
        <v>8</v>
      </c>
      <c r="AF276" s="91">
        <v>8</v>
      </c>
      <c r="AG276" s="91">
        <v>8</v>
      </c>
      <c r="AH276" s="91">
        <v>8</v>
      </c>
      <c r="AI276" s="91">
        <v>8</v>
      </c>
      <c r="AJ276" s="91">
        <v>8</v>
      </c>
      <c r="AK276" s="91">
        <v>8</v>
      </c>
      <c r="AL276" s="91">
        <v>8</v>
      </c>
      <c r="AM276" s="91">
        <v>8</v>
      </c>
      <c r="AN276" s="91">
        <v>8</v>
      </c>
      <c r="AO276" s="91">
        <v>8</v>
      </c>
      <c r="AP276" s="91">
        <v>8</v>
      </c>
      <c r="AQ276" s="91">
        <v>8</v>
      </c>
      <c r="AR276" s="91">
        <v>8</v>
      </c>
      <c r="AS276" s="91">
        <v>8</v>
      </c>
      <c r="AT276" s="91">
        <v>8</v>
      </c>
      <c r="AU276" s="91">
        <v>8</v>
      </c>
      <c r="AV276" s="91">
        <v>8</v>
      </c>
      <c r="AW276" s="91">
        <v>8</v>
      </c>
      <c r="AX276" s="91">
        <v>8</v>
      </c>
      <c r="AY276" s="91"/>
      <c r="AZ276" s="91">
        <v>8</v>
      </c>
      <c r="BA276" s="91">
        <v>8</v>
      </c>
      <c r="BB276" s="91">
        <v>8</v>
      </c>
      <c r="BC276" s="91">
        <v>8</v>
      </c>
      <c r="BD276" s="91">
        <v>10</v>
      </c>
      <c r="BE276" s="91">
        <v>8</v>
      </c>
      <c r="BF276" s="91">
        <v>1</v>
      </c>
      <c r="BG276" s="91">
        <v>10</v>
      </c>
      <c r="BH276" s="91"/>
    </row>
    <row r="277" spans="1:60" x14ac:dyDescent="0.25">
      <c r="A277" s="91" t="s">
        <v>295</v>
      </c>
      <c r="B277" s="129">
        <f t="shared" si="18"/>
        <v>392</v>
      </c>
      <c r="C277" s="91">
        <f t="shared" si="19"/>
        <v>48</v>
      </c>
      <c r="D277" s="130">
        <f t="shared" si="20"/>
        <v>0.96</v>
      </c>
      <c r="E277" s="131">
        <v>46252</v>
      </c>
      <c r="F277" s="131">
        <v>46310</v>
      </c>
      <c r="G277" s="91">
        <f t="shared" si="21"/>
        <v>58</v>
      </c>
      <c r="H277" s="91">
        <v>8</v>
      </c>
      <c r="I277" s="91">
        <v>8</v>
      </c>
      <c r="J277" s="91">
        <v>8</v>
      </c>
      <c r="K277" s="91">
        <v>8</v>
      </c>
      <c r="L277" s="91">
        <v>8</v>
      </c>
      <c r="M277" s="91"/>
      <c r="N277" s="91">
        <v>8</v>
      </c>
      <c r="O277" s="91">
        <v>8</v>
      </c>
      <c r="P277" s="91">
        <v>8</v>
      </c>
      <c r="Q277" s="91">
        <v>8</v>
      </c>
      <c r="R277" s="91">
        <v>8</v>
      </c>
      <c r="S277" s="91">
        <v>8</v>
      </c>
      <c r="T277" s="91">
        <v>8</v>
      </c>
      <c r="U277" s="91">
        <v>8</v>
      </c>
      <c r="V277" s="91">
        <v>8</v>
      </c>
      <c r="W277" s="91">
        <v>8</v>
      </c>
      <c r="X277" s="91">
        <v>8</v>
      </c>
      <c r="Y277" s="91">
        <v>2</v>
      </c>
      <c r="Z277" s="91">
        <v>8</v>
      </c>
      <c r="AA277" s="91">
        <v>8</v>
      </c>
      <c r="AB277" s="91">
        <v>8</v>
      </c>
      <c r="AC277" s="91">
        <v>8</v>
      </c>
      <c r="AD277" s="91">
        <v>8</v>
      </c>
      <c r="AE277" s="91">
        <v>8</v>
      </c>
      <c r="AF277" s="91">
        <v>8</v>
      </c>
      <c r="AG277" s="91">
        <v>8</v>
      </c>
      <c r="AH277" s="91">
        <v>8</v>
      </c>
      <c r="AI277" s="91">
        <v>8</v>
      </c>
      <c r="AJ277" s="91">
        <v>8</v>
      </c>
      <c r="AK277" s="91">
        <v>8</v>
      </c>
      <c r="AL277" s="91">
        <v>8</v>
      </c>
      <c r="AM277" s="91">
        <v>8</v>
      </c>
      <c r="AN277" s="91">
        <v>8</v>
      </c>
      <c r="AO277" s="91">
        <v>8</v>
      </c>
      <c r="AP277" s="91">
        <v>8</v>
      </c>
      <c r="AQ277" s="91">
        <v>8</v>
      </c>
      <c r="AR277" s="91">
        <v>8</v>
      </c>
      <c r="AS277" s="91">
        <v>8</v>
      </c>
      <c r="AT277" s="91">
        <v>8</v>
      </c>
      <c r="AU277" s="91">
        <v>8</v>
      </c>
      <c r="AV277" s="91">
        <v>8</v>
      </c>
      <c r="AW277" s="91">
        <v>8</v>
      </c>
      <c r="AX277" s="91">
        <v>8</v>
      </c>
      <c r="AY277" s="91"/>
      <c r="AZ277" s="91">
        <v>8</v>
      </c>
      <c r="BA277" s="91">
        <v>8</v>
      </c>
      <c r="BB277" s="91">
        <v>8</v>
      </c>
      <c r="BC277" s="91">
        <v>8</v>
      </c>
      <c r="BD277" s="91">
        <v>8</v>
      </c>
      <c r="BE277" s="91">
        <v>8</v>
      </c>
      <c r="BF277" s="91">
        <v>1</v>
      </c>
      <c r="BG277" s="91">
        <v>13</v>
      </c>
      <c r="BH277" s="91"/>
    </row>
    <row r="278" spans="1:60" x14ac:dyDescent="0.25">
      <c r="A278" s="91" t="s">
        <v>481</v>
      </c>
      <c r="B278" s="129">
        <f t="shared" si="18"/>
        <v>392</v>
      </c>
      <c r="C278" s="91">
        <f t="shared" si="19"/>
        <v>48</v>
      </c>
      <c r="D278" s="130">
        <f t="shared" si="20"/>
        <v>0.96</v>
      </c>
      <c r="E278" s="131">
        <v>46280</v>
      </c>
      <c r="F278" s="131">
        <v>46322</v>
      </c>
      <c r="G278" s="91">
        <f t="shared" si="21"/>
        <v>42</v>
      </c>
      <c r="H278" s="91">
        <v>8</v>
      </c>
      <c r="I278" s="91">
        <v>8</v>
      </c>
      <c r="J278" s="91">
        <v>8</v>
      </c>
      <c r="K278" s="91">
        <v>8</v>
      </c>
      <c r="L278" s="91">
        <v>8</v>
      </c>
      <c r="M278" s="91"/>
      <c r="N278" s="91">
        <v>8</v>
      </c>
      <c r="O278" s="91">
        <v>8</v>
      </c>
      <c r="P278" s="91">
        <v>8</v>
      </c>
      <c r="Q278" s="91">
        <v>8</v>
      </c>
      <c r="R278" s="91">
        <v>8</v>
      </c>
      <c r="S278" s="91">
        <v>8</v>
      </c>
      <c r="T278" s="91">
        <v>8</v>
      </c>
      <c r="U278" s="91">
        <v>8</v>
      </c>
      <c r="V278" s="91">
        <v>8</v>
      </c>
      <c r="W278" s="91">
        <v>8</v>
      </c>
      <c r="X278" s="91">
        <v>8</v>
      </c>
      <c r="Y278" s="91">
        <v>1</v>
      </c>
      <c r="Z278" s="91">
        <v>8</v>
      </c>
      <c r="AA278" s="91">
        <v>8</v>
      </c>
      <c r="AB278" s="91">
        <v>8</v>
      </c>
      <c r="AC278" s="91">
        <v>8</v>
      </c>
      <c r="AD278" s="91">
        <v>8</v>
      </c>
      <c r="AE278" s="91">
        <v>8</v>
      </c>
      <c r="AF278" s="91">
        <v>8</v>
      </c>
      <c r="AG278" s="91">
        <v>8</v>
      </c>
      <c r="AH278" s="91">
        <v>8</v>
      </c>
      <c r="AI278" s="91">
        <v>8</v>
      </c>
      <c r="AJ278" s="91">
        <v>8</v>
      </c>
      <c r="AK278" s="91">
        <v>8</v>
      </c>
      <c r="AL278" s="91">
        <v>8</v>
      </c>
      <c r="AM278" s="91">
        <v>8</v>
      </c>
      <c r="AN278" s="91">
        <v>8</v>
      </c>
      <c r="AO278" s="91">
        <v>8</v>
      </c>
      <c r="AP278" s="91">
        <v>8</v>
      </c>
      <c r="AQ278" s="91">
        <v>8</v>
      </c>
      <c r="AR278" s="91">
        <v>8</v>
      </c>
      <c r="AS278" s="91">
        <v>8</v>
      </c>
      <c r="AT278" s="91">
        <v>8</v>
      </c>
      <c r="AU278" s="91">
        <v>8</v>
      </c>
      <c r="AV278" s="91">
        <v>8</v>
      </c>
      <c r="AW278" s="91">
        <v>8</v>
      </c>
      <c r="AX278" s="91">
        <v>8</v>
      </c>
      <c r="AY278" s="91"/>
      <c r="AZ278" s="91">
        <v>8</v>
      </c>
      <c r="BA278" s="91">
        <v>8</v>
      </c>
      <c r="BB278" s="91">
        <v>8</v>
      </c>
      <c r="BC278" s="91">
        <v>8</v>
      </c>
      <c r="BD278" s="91">
        <v>8</v>
      </c>
      <c r="BE278" s="91">
        <v>8</v>
      </c>
      <c r="BF278" s="91">
        <v>1</v>
      </c>
      <c r="BG278" s="91">
        <v>14</v>
      </c>
      <c r="BH278" s="91"/>
    </row>
    <row r="279" spans="1:60" x14ac:dyDescent="0.25">
      <c r="A279" s="91" t="s">
        <v>923</v>
      </c>
      <c r="B279" s="129">
        <f t="shared" si="18"/>
        <v>392</v>
      </c>
      <c r="C279" s="91">
        <f t="shared" si="19"/>
        <v>47</v>
      </c>
      <c r="D279" s="130">
        <f t="shared" si="20"/>
        <v>0.94</v>
      </c>
      <c r="E279" s="131">
        <v>46321</v>
      </c>
      <c r="F279" s="131">
        <v>46322</v>
      </c>
      <c r="G279" s="91">
        <f t="shared" si="21"/>
        <v>1</v>
      </c>
      <c r="H279" s="91">
        <v>2</v>
      </c>
      <c r="I279" s="91">
        <v>17</v>
      </c>
      <c r="J279" s="91">
        <v>11</v>
      </c>
      <c r="K279" s="91">
        <v>8</v>
      </c>
      <c r="L279" s="91">
        <v>13</v>
      </c>
      <c r="M279" s="91">
        <v>16</v>
      </c>
      <c r="N279" s="91">
        <v>9</v>
      </c>
      <c r="O279" s="91">
        <v>15</v>
      </c>
      <c r="P279" s="91">
        <v>5</v>
      </c>
      <c r="Q279" s="91">
        <v>7</v>
      </c>
      <c r="R279" s="91">
        <v>2</v>
      </c>
      <c r="S279" s="91">
        <v>5</v>
      </c>
      <c r="T279" s="91">
        <v>3</v>
      </c>
      <c r="U279" s="91">
        <v>5</v>
      </c>
      <c r="V279" s="91">
        <v>17</v>
      </c>
      <c r="W279" s="91">
        <v>4</v>
      </c>
      <c r="X279" s="91">
        <v>4</v>
      </c>
      <c r="Y279" s="91">
        <v>8</v>
      </c>
      <c r="Z279" s="91">
        <v>22</v>
      </c>
      <c r="AA279" s="91">
        <v>12</v>
      </c>
      <c r="AB279" s="91">
        <v>10</v>
      </c>
      <c r="AC279" s="91">
        <v>5</v>
      </c>
      <c r="AD279" s="91">
        <v>14</v>
      </c>
      <c r="AE279" s="91">
        <v>6</v>
      </c>
      <c r="AF279" s="91">
        <v>12</v>
      </c>
      <c r="AG279" s="91">
        <v>3</v>
      </c>
      <c r="AH279" s="91">
        <v>10</v>
      </c>
      <c r="AI279" s="91">
        <v>7</v>
      </c>
      <c r="AJ279" s="91">
        <v>6</v>
      </c>
      <c r="AK279" s="91">
        <v>4</v>
      </c>
      <c r="AL279" s="91">
        <v>11</v>
      </c>
      <c r="AM279" s="91">
        <v>12</v>
      </c>
      <c r="AN279" s="91">
        <v>6</v>
      </c>
      <c r="AO279" s="91">
        <v>18</v>
      </c>
      <c r="AP279" s="91">
        <v>10</v>
      </c>
      <c r="AQ279" s="91">
        <v>6</v>
      </c>
      <c r="AR279" s="91">
        <v>2</v>
      </c>
      <c r="AS279" s="91">
        <v>2</v>
      </c>
      <c r="AT279" s="91">
        <v>7</v>
      </c>
      <c r="AU279" s="91">
        <v>12</v>
      </c>
      <c r="AV279" s="91"/>
      <c r="AW279" s="91">
        <v>9</v>
      </c>
      <c r="AX279" s="91">
        <v>4</v>
      </c>
      <c r="AY279" s="91"/>
      <c r="AZ279" s="91"/>
      <c r="BA279" s="91">
        <v>8</v>
      </c>
      <c r="BB279" s="91">
        <v>7</v>
      </c>
      <c r="BC279" s="91">
        <v>5</v>
      </c>
      <c r="BD279" s="91">
        <v>10</v>
      </c>
      <c r="BE279" s="91">
        <v>1</v>
      </c>
      <c r="BF279" s="91"/>
      <c r="BG279" s="91"/>
      <c r="BH279" s="91"/>
    </row>
    <row r="280" spans="1:60" x14ac:dyDescent="0.25">
      <c r="A280" s="91" t="s">
        <v>369</v>
      </c>
      <c r="B280" s="129">
        <f t="shared" si="18"/>
        <v>391</v>
      </c>
      <c r="C280" s="91">
        <f t="shared" si="19"/>
        <v>48</v>
      </c>
      <c r="D280" s="130">
        <f t="shared" si="20"/>
        <v>0.96</v>
      </c>
      <c r="E280" s="131">
        <v>46225</v>
      </c>
      <c r="F280" s="131">
        <v>46314</v>
      </c>
      <c r="G280" s="91">
        <f t="shared" si="21"/>
        <v>89</v>
      </c>
      <c r="H280" s="91">
        <v>8</v>
      </c>
      <c r="I280" s="91">
        <v>8</v>
      </c>
      <c r="J280" s="91">
        <v>8</v>
      </c>
      <c r="K280" s="91">
        <v>8</v>
      </c>
      <c r="L280" s="91">
        <v>8</v>
      </c>
      <c r="M280" s="91"/>
      <c r="N280" s="91">
        <v>8</v>
      </c>
      <c r="O280" s="91">
        <v>8</v>
      </c>
      <c r="P280" s="91">
        <v>8</v>
      </c>
      <c r="Q280" s="91">
        <v>8</v>
      </c>
      <c r="R280" s="91">
        <v>8</v>
      </c>
      <c r="S280" s="91">
        <v>8</v>
      </c>
      <c r="T280" s="91">
        <v>8</v>
      </c>
      <c r="U280" s="91">
        <v>8</v>
      </c>
      <c r="V280" s="91">
        <v>8</v>
      </c>
      <c r="W280" s="91">
        <v>8</v>
      </c>
      <c r="X280" s="91">
        <v>8</v>
      </c>
      <c r="Y280" s="91">
        <v>1</v>
      </c>
      <c r="Z280" s="91">
        <v>8</v>
      </c>
      <c r="AA280" s="91">
        <v>8</v>
      </c>
      <c r="AB280" s="91">
        <v>8</v>
      </c>
      <c r="AC280" s="91">
        <v>8</v>
      </c>
      <c r="AD280" s="91">
        <v>8</v>
      </c>
      <c r="AE280" s="91">
        <v>8</v>
      </c>
      <c r="AF280" s="91">
        <v>8</v>
      </c>
      <c r="AG280" s="91">
        <v>8</v>
      </c>
      <c r="AH280" s="91">
        <v>8</v>
      </c>
      <c r="AI280" s="91">
        <v>8</v>
      </c>
      <c r="AJ280" s="91">
        <v>8</v>
      </c>
      <c r="AK280" s="91">
        <v>8</v>
      </c>
      <c r="AL280" s="91">
        <v>8</v>
      </c>
      <c r="AM280" s="91">
        <v>8</v>
      </c>
      <c r="AN280" s="91">
        <v>8</v>
      </c>
      <c r="AO280" s="91">
        <v>8</v>
      </c>
      <c r="AP280" s="91">
        <v>8</v>
      </c>
      <c r="AQ280" s="91">
        <v>8</v>
      </c>
      <c r="AR280" s="91">
        <v>8</v>
      </c>
      <c r="AS280" s="91">
        <v>8</v>
      </c>
      <c r="AT280" s="91">
        <v>8</v>
      </c>
      <c r="AU280" s="91">
        <v>8</v>
      </c>
      <c r="AV280" s="91">
        <v>10</v>
      </c>
      <c r="AW280" s="91">
        <v>8</v>
      </c>
      <c r="AX280" s="91">
        <v>8</v>
      </c>
      <c r="AY280" s="91"/>
      <c r="AZ280" s="91">
        <v>8</v>
      </c>
      <c r="BA280" s="91">
        <v>8</v>
      </c>
      <c r="BB280" s="91">
        <v>8</v>
      </c>
      <c r="BC280" s="91">
        <v>8</v>
      </c>
      <c r="BD280" s="91">
        <v>8</v>
      </c>
      <c r="BE280" s="91">
        <v>8</v>
      </c>
      <c r="BF280" s="91"/>
      <c r="BG280" s="91">
        <v>12</v>
      </c>
      <c r="BH280" s="91"/>
    </row>
    <row r="281" spans="1:60" x14ac:dyDescent="0.25">
      <c r="A281" s="91" t="s">
        <v>484</v>
      </c>
      <c r="B281" s="129">
        <f t="shared" si="18"/>
        <v>391</v>
      </c>
      <c r="C281" s="91">
        <f t="shared" si="19"/>
        <v>47</v>
      </c>
      <c r="D281" s="130">
        <f t="shared" si="20"/>
        <v>0.94</v>
      </c>
      <c r="E281" s="131">
        <v>46280</v>
      </c>
      <c r="F281" s="131">
        <v>46288</v>
      </c>
      <c r="G281" s="91">
        <f t="shared" si="21"/>
        <v>8</v>
      </c>
      <c r="H281" s="91">
        <v>8</v>
      </c>
      <c r="I281" s="91">
        <v>8</v>
      </c>
      <c r="J281" s="91">
        <v>8</v>
      </c>
      <c r="K281" s="91">
        <v>8</v>
      </c>
      <c r="L281" s="91">
        <v>8</v>
      </c>
      <c r="M281" s="91"/>
      <c r="N281" s="91">
        <v>8</v>
      </c>
      <c r="O281" s="91">
        <v>8</v>
      </c>
      <c r="P281" s="91">
        <v>8</v>
      </c>
      <c r="Q281" s="91">
        <v>8</v>
      </c>
      <c r="R281" s="91">
        <v>8</v>
      </c>
      <c r="S281" s="91">
        <v>8</v>
      </c>
      <c r="T281" s="91">
        <v>8</v>
      </c>
      <c r="U281" s="91">
        <v>8</v>
      </c>
      <c r="V281" s="91">
        <v>8</v>
      </c>
      <c r="W281" s="91">
        <v>8</v>
      </c>
      <c r="X281" s="91">
        <v>8</v>
      </c>
      <c r="Y281" s="91"/>
      <c r="Z281" s="91">
        <v>8</v>
      </c>
      <c r="AA281" s="91">
        <v>8</v>
      </c>
      <c r="AB281" s="91">
        <v>8</v>
      </c>
      <c r="AC281" s="91">
        <v>8</v>
      </c>
      <c r="AD281" s="91">
        <v>8</v>
      </c>
      <c r="AE281" s="91">
        <v>8</v>
      </c>
      <c r="AF281" s="91">
        <v>8</v>
      </c>
      <c r="AG281" s="91">
        <v>8</v>
      </c>
      <c r="AH281" s="91">
        <v>8</v>
      </c>
      <c r="AI281" s="91">
        <v>8</v>
      </c>
      <c r="AJ281" s="91">
        <v>8</v>
      </c>
      <c r="AK281" s="91">
        <v>8</v>
      </c>
      <c r="AL281" s="91">
        <v>8</v>
      </c>
      <c r="AM281" s="91">
        <v>8</v>
      </c>
      <c r="AN281" s="91">
        <v>8</v>
      </c>
      <c r="AO281" s="91">
        <v>8</v>
      </c>
      <c r="AP281" s="91">
        <v>8</v>
      </c>
      <c r="AQ281" s="91">
        <v>8</v>
      </c>
      <c r="AR281" s="91">
        <v>8</v>
      </c>
      <c r="AS281" s="91">
        <v>8</v>
      </c>
      <c r="AT281" s="91">
        <v>8</v>
      </c>
      <c r="AU281" s="91">
        <v>8</v>
      </c>
      <c r="AV281" s="91">
        <v>8</v>
      </c>
      <c r="AW281" s="91">
        <v>8</v>
      </c>
      <c r="AX281" s="91">
        <v>8</v>
      </c>
      <c r="AY281" s="91"/>
      <c r="AZ281" s="91">
        <v>8</v>
      </c>
      <c r="BA281" s="91">
        <v>8</v>
      </c>
      <c r="BB281" s="91">
        <v>8</v>
      </c>
      <c r="BC281" s="91">
        <v>8</v>
      </c>
      <c r="BD281" s="91">
        <v>8</v>
      </c>
      <c r="BE281" s="91">
        <v>8</v>
      </c>
      <c r="BF281" s="91">
        <v>1</v>
      </c>
      <c r="BG281" s="91">
        <v>14</v>
      </c>
      <c r="BH281" s="91"/>
    </row>
    <row r="282" spans="1:60" x14ac:dyDescent="0.25">
      <c r="A282" s="91" t="s">
        <v>438</v>
      </c>
      <c r="B282" s="129">
        <f t="shared" si="18"/>
        <v>391</v>
      </c>
      <c r="C282" s="91">
        <f t="shared" si="19"/>
        <v>47</v>
      </c>
      <c r="D282" s="130">
        <f t="shared" si="20"/>
        <v>0.94</v>
      </c>
      <c r="E282" s="131">
        <v>46266</v>
      </c>
      <c r="F282" s="131">
        <v>46288</v>
      </c>
      <c r="G282" s="91">
        <f t="shared" si="21"/>
        <v>22</v>
      </c>
      <c r="H282" s="91">
        <v>8</v>
      </c>
      <c r="I282" s="91">
        <v>8</v>
      </c>
      <c r="J282" s="91">
        <v>8</v>
      </c>
      <c r="K282" s="91">
        <v>8</v>
      </c>
      <c r="L282" s="91">
        <v>8</v>
      </c>
      <c r="M282" s="91"/>
      <c r="N282" s="91">
        <v>8</v>
      </c>
      <c r="O282" s="91">
        <v>8</v>
      </c>
      <c r="P282" s="91">
        <v>8</v>
      </c>
      <c r="Q282" s="91">
        <v>8</v>
      </c>
      <c r="R282" s="91">
        <v>8</v>
      </c>
      <c r="S282" s="91">
        <v>8</v>
      </c>
      <c r="T282" s="91">
        <v>8</v>
      </c>
      <c r="U282" s="91">
        <v>8</v>
      </c>
      <c r="V282" s="91">
        <v>8</v>
      </c>
      <c r="W282" s="91">
        <v>8</v>
      </c>
      <c r="X282" s="91">
        <v>8</v>
      </c>
      <c r="Y282" s="91"/>
      <c r="Z282" s="91">
        <v>8</v>
      </c>
      <c r="AA282" s="91">
        <v>8</v>
      </c>
      <c r="AB282" s="91">
        <v>8</v>
      </c>
      <c r="AC282" s="91">
        <v>8</v>
      </c>
      <c r="AD282" s="91">
        <v>8</v>
      </c>
      <c r="AE282" s="91">
        <v>8</v>
      </c>
      <c r="AF282" s="91">
        <v>8</v>
      </c>
      <c r="AG282" s="91">
        <v>8</v>
      </c>
      <c r="AH282" s="91">
        <v>8</v>
      </c>
      <c r="AI282" s="91">
        <v>8</v>
      </c>
      <c r="AJ282" s="91">
        <v>8</v>
      </c>
      <c r="AK282" s="91">
        <v>8</v>
      </c>
      <c r="AL282" s="91">
        <v>8</v>
      </c>
      <c r="AM282" s="91">
        <v>8</v>
      </c>
      <c r="AN282" s="91">
        <v>8</v>
      </c>
      <c r="AO282" s="91">
        <v>8</v>
      </c>
      <c r="AP282" s="91">
        <v>8</v>
      </c>
      <c r="AQ282" s="91">
        <v>8</v>
      </c>
      <c r="AR282" s="91">
        <v>8</v>
      </c>
      <c r="AS282" s="91">
        <v>8</v>
      </c>
      <c r="AT282" s="91">
        <v>8</v>
      </c>
      <c r="AU282" s="91">
        <v>8</v>
      </c>
      <c r="AV282" s="91">
        <v>8</v>
      </c>
      <c r="AW282" s="91">
        <v>8</v>
      </c>
      <c r="AX282" s="91">
        <v>8</v>
      </c>
      <c r="AY282" s="91"/>
      <c r="AZ282" s="91">
        <v>8</v>
      </c>
      <c r="BA282" s="91">
        <v>8</v>
      </c>
      <c r="BB282" s="91">
        <v>8</v>
      </c>
      <c r="BC282" s="91">
        <v>8</v>
      </c>
      <c r="BD282" s="91">
        <v>8</v>
      </c>
      <c r="BE282" s="91">
        <v>8</v>
      </c>
      <c r="BF282" s="91">
        <v>1</v>
      </c>
      <c r="BG282" s="91">
        <v>14</v>
      </c>
      <c r="BH282" s="91"/>
    </row>
    <row r="283" spans="1:60" x14ac:dyDescent="0.25">
      <c r="A283" s="91" t="s">
        <v>465</v>
      </c>
      <c r="B283" s="129">
        <f t="shared" si="18"/>
        <v>390</v>
      </c>
      <c r="C283" s="91">
        <f t="shared" si="19"/>
        <v>47</v>
      </c>
      <c r="D283" s="130">
        <f t="shared" si="20"/>
        <v>0.94</v>
      </c>
      <c r="E283" s="131">
        <v>46225</v>
      </c>
      <c r="F283" s="131">
        <v>46275</v>
      </c>
      <c r="G283" s="91">
        <f t="shared" si="21"/>
        <v>50</v>
      </c>
      <c r="H283" s="91">
        <v>8</v>
      </c>
      <c r="I283" s="91">
        <v>8</v>
      </c>
      <c r="J283" s="91">
        <v>8</v>
      </c>
      <c r="K283" s="91">
        <v>8</v>
      </c>
      <c r="L283" s="91">
        <v>8</v>
      </c>
      <c r="M283" s="91"/>
      <c r="N283" s="91">
        <v>8</v>
      </c>
      <c r="O283" s="91">
        <v>8</v>
      </c>
      <c r="P283" s="91">
        <v>8</v>
      </c>
      <c r="Q283" s="91">
        <v>8</v>
      </c>
      <c r="R283" s="91">
        <v>8</v>
      </c>
      <c r="S283" s="91">
        <v>8</v>
      </c>
      <c r="T283" s="91">
        <v>8</v>
      </c>
      <c r="U283" s="91">
        <v>8</v>
      </c>
      <c r="V283" s="91">
        <v>8</v>
      </c>
      <c r="W283" s="91">
        <v>8</v>
      </c>
      <c r="X283" s="91">
        <v>8</v>
      </c>
      <c r="Y283" s="91"/>
      <c r="Z283" s="91">
        <v>8</v>
      </c>
      <c r="AA283" s="91">
        <v>8</v>
      </c>
      <c r="AB283" s="91">
        <v>8</v>
      </c>
      <c r="AC283" s="91">
        <v>8</v>
      </c>
      <c r="AD283" s="91">
        <v>8</v>
      </c>
      <c r="AE283" s="91">
        <v>8</v>
      </c>
      <c r="AF283" s="91">
        <v>8</v>
      </c>
      <c r="AG283" s="91">
        <v>8</v>
      </c>
      <c r="AH283" s="91">
        <v>8</v>
      </c>
      <c r="AI283" s="91">
        <v>8</v>
      </c>
      <c r="AJ283" s="91">
        <v>8</v>
      </c>
      <c r="AK283" s="91">
        <v>8</v>
      </c>
      <c r="AL283" s="91">
        <v>8</v>
      </c>
      <c r="AM283" s="91">
        <v>8</v>
      </c>
      <c r="AN283" s="91">
        <v>8</v>
      </c>
      <c r="AO283" s="91">
        <v>8</v>
      </c>
      <c r="AP283" s="91">
        <v>8</v>
      </c>
      <c r="AQ283" s="91">
        <v>8</v>
      </c>
      <c r="AR283" s="91">
        <v>8</v>
      </c>
      <c r="AS283" s="91">
        <v>8</v>
      </c>
      <c r="AT283" s="91">
        <v>8</v>
      </c>
      <c r="AU283" s="91">
        <v>8</v>
      </c>
      <c r="AV283" s="91">
        <v>8</v>
      </c>
      <c r="AW283" s="91">
        <v>8</v>
      </c>
      <c r="AX283" s="91">
        <v>8</v>
      </c>
      <c r="AY283" s="91"/>
      <c r="AZ283" s="91">
        <v>8</v>
      </c>
      <c r="BA283" s="91">
        <v>8</v>
      </c>
      <c r="BB283" s="91">
        <v>8</v>
      </c>
      <c r="BC283" s="91">
        <v>8</v>
      </c>
      <c r="BD283" s="91">
        <v>8</v>
      </c>
      <c r="BE283" s="91">
        <v>8</v>
      </c>
      <c r="BF283" s="91">
        <v>14</v>
      </c>
      <c r="BG283" s="91"/>
      <c r="BH283" s="91"/>
    </row>
    <row r="284" spans="1:60" x14ac:dyDescent="0.25">
      <c r="A284" s="91" t="s">
        <v>261</v>
      </c>
      <c r="B284" s="129">
        <f t="shared" si="18"/>
        <v>390</v>
      </c>
      <c r="C284" s="91">
        <f t="shared" si="19"/>
        <v>48</v>
      </c>
      <c r="D284" s="130">
        <f t="shared" si="20"/>
        <v>0.96</v>
      </c>
      <c r="E284" s="131">
        <v>46266</v>
      </c>
      <c r="F284" s="131">
        <v>46318</v>
      </c>
      <c r="G284" s="91">
        <f t="shared" si="21"/>
        <v>52</v>
      </c>
      <c r="H284" s="91">
        <v>8</v>
      </c>
      <c r="I284" s="91">
        <v>8</v>
      </c>
      <c r="J284" s="91">
        <v>8</v>
      </c>
      <c r="K284" s="91">
        <v>8</v>
      </c>
      <c r="L284" s="91">
        <v>8</v>
      </c>
      <c r="M284" s="91"/>
      <c r="N284" s="91">
        <v>8</v>
      </c>
      <c r="O284" s="91">
        <v>8</v>
      </c>
      <c r="P284" s="91">
        <v>8</v>
      </c>
      <c r="Q284" s="91">
        <v>8</v>
      </c>
      <c r="R284" s="91">
        <v>8</v>
      </c>
      <c r="S284" s="91">
        <v>8</v>
      </c>
      <c r="T284" s="91">
        <v>8</v>
      </c>
      <c r="U284" s="91">
        <v>8</v>
      </c>
      <c r="V284" s="91">
        <v>8</v>
      </c>
      <c r="W284" s="91">
        <v>8</v>
      </c>
      <c r="X284" s="91">
        <v>8</v>
      </c>
      <c r="Y284" s="91">
        <v>1</v>
      </c>
      <c r="Z284" s="91">
        <v>8</v>
      </c>
      <c r="AA284" s="91">
        <v>8</v>
      </c>
      <c r="AB284" s="91">
        <v>8</v>
      </c>
      <c r="AC284" s="91">
        <v>8</v>
      </c>
      <c r="AD284" s="91">
        <v>8</v>
      </c>
      <c r="AE284" s="91">
        <v>8</v>
      </c>
      <c r="AF284" s="91">
        <v>8</v>
      </c>
      <c r="AG284" s="91">
        <v>8</v>
      </c>
      <c r="AH284" s="91">
        <v>8</v>
      </c>
      <c r="AI284" s="91">
        <v>8</v>
      </c>
      <c r="AJ284" s="91">
        <v>8</v>
      </c>
      <c r="AK284" s="91">
        <v>8</v>
      </c>
      <c r="AL284" s="91">
        <v>8</v>
      </c>
      <c r="AM284" s="91">
        <v>8</v>
      </c>
      <c r="AN284" s="91">
        <v>8</v>
      </c>
      <c r="AO284" s="91">
        <v>8</v>
      </c>
      <c r="AP284" s="91">
        <v>8</v>
      </c>
      <c r="AQ284" s="91">
        <v>8</v>
      </c>
      <c r="AR284" s="91">
        <v>8</v>
      </c>
      <c r="AS284" s="91">
        <v>8</v>
      </c>
      <c r="AT284" s="91">
        <v>8</v>
      </c>
      <c r="AU284" s="91">
        <v>8</v>
      </c>
      <c r="AV284" s="91">
        <v>8</v>
      </c>
      <c r="AW284" s="91">
        <v>8</v>
      </c>
      <c r="AX284" s="91">
        <v>8</v>
      </c>
      <c r="AY284" s="91"/>
      <c r="AZ284" s="91">
        <v>8</v>
      </c>
      <c r="BA284" s="91">
        <v>8</v>
      </c>
      <c r="BB284" s="91">
        <v>8</v>
      </c>
      <c r="BC284" s="91">
        <v>8</v>
      </c>
      <c r="BD284" s="91">
        <v>8</v>
      </c>
      <c r="BE284" s="91">
        <v>8</v>
      </c>
      <c r="BF284" s="91">
        <v>1</v>
      </c>
      <c r="BG284" s="91">
        <v>12</v>
      </c>
      <c r="BH284" s="91"/>
    </row>
    <row r="285" spans="1:60" x14ac:dyDescent="0.25">
      <c r="A285" s="91" t="s">
        <v>186</v>
      </c>
      <c r="B285" s="129">
        <f t="shared" si="18"/>
        <v>390</v>
      </c>
      <c r="C285" s="91">
        <f t="shared" si="19"/>
        <v>47</v>
      </c>
      <c r="D285" s="130">
        <f t="shared" si="20"/>
        <v>0.94</v>
      </c>
      <c r="E285" s="131">
        <v>46252</v>
      </c>
      <c r="F285" s="131">
        <v>46253</v>
      </c>
      <c r="G285" s="91">
        <f t="shared" si="21"/>
        <v>1</v>
      </c>
      <c r="H285" s="91">
        <v>8</v>
      </c>
      <c r="I285" s="91">
        <v>8</v>
      </c>
      <c r="J285" s="91">
        <v>8</v>
      </c>
      <c r="K285" s="91">
        <v>8</v>
      </c>
      <c r="L285" s="91">
        <v>8</v>
      </c>
      <c r="M285" s="91"/>
      <c r="N285" s="91">
        <v>8</v>
      </c>
      <c r="O285" s="91">
        <v>8</v>
      </c>
      <c r="P285" s="91">
        <v>8</v>
      </c>
      <c r="Q285" s="91">
        <v>8</v>
      </c>
      <c r="R285" s="91">
        <v>8</v>
      </c>
      <c r="S285" s="91">
        <v>8</v>
      </c>
      <c r="T285" s="91">
        <v>8</v>
      </c>
      <c r="U285" s="91">
        <v>8</v>
      </c>
      <c r="V285" s="91">
        <v>8</v>
      </c>
      <c r="W285" s="91">
        <v>8</v>
      </c>
      <c r="X285" s="91">
        <v>8</v>
      </c>
      <c r="Y285" s="91"/>
      <c r="Z285" s="91">
        <v>8</v>
      </c>
      <c r="AA285" s="91">
        <v>8</v>
      </c>
      <c r="AB285" s="91">
        <v>8</v>
      </c>
      <c r="AC285" s="91">
        <v>8</v>
      </c>
      <c r="AD285" s="91">
        <v>8</v>
      </c>
      <c r="AE285" s="91">
        <v>8</v>
      </c>
      <c r="AF285" s="91">
        <v>8</v>
      </c>
      <c r="AG285" s="91">
        <v>8</v>
      </c>
      <c r="AH285" s="91">
        <v>8</v>
      </c>
      <c r="AI285" s="91">
        <v>8</v>
      </c>
      <c r="AJ285" s="91">
        <v>8</v>
      </c>
      <c r="AK285" s="91">
        <v>8</v>
      </c>
      <c r="AL285" s="91">
        <v>8</v>
      </c>
      <c r="AM285" s="91">
        <v>8</v>
      </c>
      <c r="AN285" s="91">
        <v>8</v>
      </c>
      <c r="AO285" s="91">
        <v>8</v>
      </c>
      <c r="AP285" s="91">
        <v>8</v>
      </c>
      <c r="AQ285" s="91">
        <v>8</v>
      </c>
      <c r="AR285" s="91">
        <v>8</v>
      </c>
      <c r="AS285" s="91">
        <v>8</v>
      </c>
      <c r="AT285" s="91">
        <v>8</v>
      </c>
      <c r="AU285" s="91">
        <v>8</v>
      </c>
      <c r="AV285" s="91">
        <v>8</v>
      </c>
      <c r="AW285" s="91">
        <v>8</v>
      </c>
      <c r="AX285" s="91">
        <v>8</v>
      </c>
      <c r="AY285" s="91"/>
      <c r="AZ285" s="91">
        <v>8</v>
      </c>
      <c r="BA285" s="91">
        <v>8</v>
      </c>
      <c r="BB285" s="91">
        <v>8</v>
      </c>
      <c r="BC285" s="91">
        <v>8</v>
      </c>
      <c r="BD285" s="91">
        <v>8</v>
      </c>
      <c r="BE285" s="91">
        <v>8</v>
      </c>
      <c r="BF285" s="91">
        <v>14</v>
      </c>
      <c r="BG285" s="91"/>
      <c r="BH285" s="91"/>
    </row>
    <row r="286" spans="1:60" x14ac:dyDescent="0.25">
      <c r="A286" s="91" t="s">
        <v>535</v>
      </c>
      <c r="B286" s="129">
        <f t="shared" si="18"/>
        <v>390</v>
      </c>
      <c r="C286" s="91">
        <f t="shared" si="19"/>
        <v>47</v>
      </c>
      <c r="D286" s="130">
        <f t="shared" si="20"/>
        <v>0.94</v>
      </c>
      <c r="E286" s="131">
        <v>46258</v>
      </c>
      <c r="F286" s="131">
        <v>46275</v>
      </c>
      <c r="G286" s="91">
        <f t="shared" si="21"/>
        <v>17</v>
      </c>
      <c r="H286" s="91">
        <v>8</v>
      </c>
      <c r="I286" s="91">
        <v>8</v>
      </c>
      <c r="J286" s="91">
        <v>8</v>
      </c>
      <c r="K286" s="91">
        <v>8</v>
      </c>
      <c r="L286" s="91">
        <v>8</v>
      </c>
      <c r="M286" s="91"/>
      <c r="N286" s="91">
        <v>8</v>
      </c>
      <c r="O286" s="91">
        <v>8</v>
      </c>
      <c r="P286" s="91">
        <v>8</v>
      </c>
      <c r="Q286" s="91">
        <v>8</v>
      </c>
      <c r="R286" s="91">
        <v>8</v>
      </c>
      <c r="S286" s="91">
        <v>8</v>
      </c>
      <c r="T286" s="91">
        <v>8</v>
      </c>
      <c r="U286" s="91">
        <v>8</v>
      </c>
      <c r="V286" s="91">
        <v>8</v>
      </c>
      <c r="W286" s="91">
        <v>8</v>
      </c>
      <c r="X286" s="91">
        <v>8</v>
      </c>
      <c r="Y286" s="91"/>
      <c r="Z286" s="91">
        <v>8</v>
      </c>
      <c r="AA286" s="91">
        <v>8</v>
      </c>
      <c r="AB286" s="91">
        <v>8</v>
      </c>
      <c r="AC286" s="91">
        <v>8</v>
      </c>
      <c r="AD286" s="91">
        <v>8</v>
      </c>
      <c r="AE286" s="91">
        <v>8</v>
      </c>
      <c r="AF286" s="91">
        <v>8</v>
      </c>
      <c r="AG286" s="91">
        <v>8</v>
      </c>
      <c r="AH286" s="91">
        <v>8</v>
      </c>
      <c r="AI286" s="91">
        <v>8</v>
      </c>
      <c r="AJ286" s="91">
        <v>8</v>
      </c>
      <c r="AK286" s="91">
        <v>6</v>
      </c>
      <c r="AL286" s="91">
        <v>8</v>
      </c>
      <c r="AM286" s="91">
        <v>8</v>
      </c>
      <c r="AN286" s="91">
        <v>8</v>
      </c>
      <c r="AO286" s="91">
        <v>8</v>
      </c>
      <c r="AP286" s="91">
        <v>8</v>
      </c>
      <c r="AQ286" s="91">
        <v>8</v>
      </c>
      <c r="AR286" s="91">
        <v>8</v>
      </c>
      <c r="AS286" s="91">
        <v>8</v>
      </c>
      <c r="AT286" s="91">
        <v>8</v>
      </c>
      <c r="AU286" s="91">
        <v>8</v>
      </c>
      <c r="AV286" s="91">
        <v>8</v>
      </c>
      <c r="AW286" s="91">
        <v>8</v>
      </c>
      <c r="AX286" s="91">
        <v>8</v>
      </c>
      <c r="AY286" s="91"/>
      <c r="AZ286" s="91">
        <v>8</v>
      </c>
      <c r="BA286" s="91">
        <v>8</v>
      </c>
      <c r="BB286" s="91">
        <v>8</v>
      </c>
      <c r="BC286" s="91">
        <v>8</v>
      </c>
      <c r="BD286" s="91">
        <v>10</v>
      </c>
      <c r="BE286" s="91">
        <v>8</v>
      </c>
      <c r="BF286" s="91"/>
      <c r="BG286" s="91">
        <v>14</v>
      </c>
      <c r="BH286" s="91"/>
    </row>
    <row r="287" spans="1:60" x14ac:dyDescent="0.25">
      <c r="A287" s="91" t="s">
        <v>857</v>
      </c>
      <c r="B287" s="129">
        <f t="shared" si="18"/>
        <v>388</v>
      </c>
      <c r="C287" s="91">
        <f t="shared" si="19"/>
        <v>47</v>
      </c>
      <c r="D287" s="130">
        <f t="shared" si="20"/>
        <v>0.94</v>
      </c>
      <c r="E287" s="131">
        <v>46274</v>
      </c>
      <c r="F287" s="131">
        <v>46282</v>
      </c>
      <c r="G287" s="91">
        <f t="shared" si="21"/>
        <v>8</v>
      </c>
      <c r="H287" s="91">
        <v>9</v>
      </c>
      <c r="I287" s="91">
        <v>8</v>
      </c>
      <c r="J287" s="91">
        <v>9</v>
      </c>
      <c r="K287" s="91">
        <v>9</v>
      </c>
      <c r="L287" s="91">
        <v>9</v>
      </c>
      <c r="M287" s="91"/>
      <c r="N287" s="91">
        <v>9</v>
      </c>
      <c r="O287" s="91">
        <v>9</v>
      </c>
      <c r="P287" s="91">
        <v>9</v>
      </c>
      <c r="Q287" s="91">
        <v>7</v>
      </c>
      <c r="R287" s="91">
        <v>9</v>
      </c>
      <c r="S287" s="91">
        <v>9</v>
      </c>
      <c r="T287" s="91">
        <v>8</v>
      </c>
      <c r="U287" s="91">
        <v>7</v>
      </c>
      <c r="V287" s="91">
        <v>8</v>
      </c>
      <c r="W287" s="91">
        <v>8</v>
      </c>
      <c r="X287" s="91">
        <v>9</v>
      </c>
      <c r="Y287" s="91"/>
      <c r="Z287" s="91">
        <v>9</v>
      </c>
      <c r="AA287" s="91">
        <v>7</v>
      </c>
      <c r="AB287" s="91">
        <v>9</v>
      </c>
      <c r="AC287" s="91">
        <v>9</v>
      </c>
      <c r="AD287" s="91">
        <v>9</v>
      </c>
      <c r="AE287" s="91">
        <v>7</v>
      </c>
      <c r="AF287" s="91">
        <v>7</v>
      </c>
      <c r="AG287" s="91">
        <v>9</v>
      </c>
      <c r="AH287" s="91">
        <v>7</v>
      </c>
      <c r="AI287" s="91">
        <v>8</v>
      </c>
      <c r="AJ287" s="91">
        <v>9</v>
      </c>
      <c r="AK287" s="91">
        <v>5</v>
      </c>
      <c r="AL287" s="91">
        <v>9</v>
      </c>
      <c r="AM287" s="91">
        <v>7</v>
      </c>
      <c r="AN287" s="91">
        <v>8</v>
      </c>
      <c r="AO287" s="91">
        <v>9</v>
      </c>
      <c r="AP287" s="91">
        <v>9</v>
      </c>
      <c r="AQ287" s="91">
        <v>9</v>
      </c>
      <c r="AR287" s="91">
        <v>7</v>
      </c>
      <c r="AS287" s="91">
        <v>9</v>
      </c>
      <c r="AT287" s="91">
        <v>9</v>
      </c>
      <c r="AU287" s="91">
        <v>8</v>
      </c>
      <c r="AV287" s="91">
        <v>7</v>
      </c>
      <c r="AW287" s="91">
        <v>8</v>
      </c>
      <c r="AX287" s="91">
        <v>8</v>
      </c>
      <c r="AY287" s="91"/>
      <c r="AZ287" s="91">
        <v>8</v>
      </c>
      <c r="BA287" s="91">
        <v>7</v>
      </c>
      <c r="BB287" s="91">
        <v>9</v>
      </c>
      <c r="BC287" s="91">
        <v>8</v>
      </c>
      <c r="BD287" s="91">
        <v>9</v>
      </c>
      <c r="BE287" s="91">
        <v>9</v>
      </c>
      <c r="BF287" s="91"/>
      <c r="BG287" s="91"/>
      <c r="BH287" s="91"/>
    </row>
    <row r="288" spans="1:60" x14ac:dyDescent="0.25">
      <c r="A288" s="91" t="s">
        <v>174</v>
      </c>
      <c r="B288" s="129">
        <f t="shared" si="18"/>
        <v>387</v>
      </c>
      <c r="C288" s="91">
        <f t="shared" si="19"/>
        <v>37</v>
      </c>
      <c r="D288" s="130">
        <f t="shared" si="20"/>
        <v>0.74</v>
      </c>
      <c r="E288" s="131">
        <v>46317</v>
      </c>
      <c r="F288" s="131">
        <v>46317</v>
      </c>
      <c r="G288" s="91">
        <f t="shared" si="21"/>
        <v>0</v>
      </c>
      <c r="H288" s="91">
        <v>9</v>
      </c>
      <c r="I288" s="91"/>
      <c r="J288" s="91">
        <v>9</v>
      </c>
      <c r="K288" s="91">
        <v>9</v>
      </c>
      <c r="L288" s="91">
        <v>18</v>
      </c>
      <c r="M288" s="91"/>
      <c r="N288" s="91">
        <v>9</v>
      </c>
      <c r="O288" s="91">
        <v>9</v>
      </c>
      <c r="P288" s="91">
        <v>9</v>
      </c>
      <c r="Q288" s="91">
        <v>9</v>
      </c>
      <c r="R288" s="91">
        <v>9</v>
      </c>
      <c r="S288" s="91">
        <v>9</v>
      </c>
      <c r="T288" s="91">
        <v>9</v>
      </c>
      <c r="U288" s="91"/>
      <c r="V288" s="91">
        <v>9</v>
      </c>
      <c r="W288" s="91">
        <v>9</v>
      </c>
      <c r="X288" s="91">
        <v>9</v>
      </c>
      <c r="Y288" s="91">
        <v>9</v>
      </c>
      <c r="Z288" s="91"/>
      <c r="AA288" s="91"/>
      <c r="AB288" s="91">
        <v>9</v>
      </c>
      <c r="AC288" s="91">
        <v>18</v>
      </c>
      <c r="AD288" s="91">
        <v>9</v>
      </c>
      <c r="AE288" s="91"/>
      <c r="AF288" s="91">
        <v>9</v>
      </c>
      <c r="AG288" s="91">
        <v>9</v>
      </c>
      <c r="AH288" s="91">
        <v>9</v>
      </c>
      <c r="AI288" s="91">
        <v>9</v>
      </c>
      <c r="AJ288" s="91">
        <v>9</v>
      </c>
      <c r="AK288" s="91"/>
      <c r="AL288" s="91">
        <v>9</v>
      </c>
      <c r="AM288" s="91">
        <v>9</v>
      </c>
      <c r="AN288" s="91">
        <v>9</v>
      </c>
      <c r="AO288" s="91">
        <v>9</v>
      </c>
      <c r="AP288" s="91">
        <v>9</v>
      </c>
      <c r="AQ288" s="91"/>
      <c r="AR288" s="91"/>
      <c r="AS288" s="91">
        <v>9</v>
      </c>
      <c r="AT288" s="91">
        <v>9</v>
      </c>
      <c r="AU288" s="91">
        <v>9</v>
      </c>
      <c r="AV288" s="91">
        <v>9</v>
      </c>
      <c r="AW288" s="91">
        <v>9</v>
      </c>
      <c r="AX288" s="91"/>
      <c r="AY288" s="91"/>
      <c r="AZ288" s="91"/>
      <c r="BA288" s="91"/>
      <c r="BB288" s="91">
        <v>9</v>
      </c>
      <c r="BC288" s="91">
        <v>9</v>
      </c>
      <c r="BD288" s="91">
        <v>9</v>
      </c>
      <c r="BE288" s="91">
        <v>9</v>
      </c>
      <c r="BF288" s="91">
        <v>18</v>
      </c>
      <c r="BG288" s="91">
        <v>18</v>
      </c>
      <c r="BH288" s="91"/>
    </row>
    <row r="289" spans="1:60" x14ac:dyDescent="0.25">
      <c r="A289" s="91" t="s">
        <v>200</v>
      </c>
      <c r="B289" s="129">
        <f t="shared" si="18"/>
        <v>386</v>
      </c>
      <c r="C289" s="91">
        <f t="shared" si="19"/>
        <v>47</v>
      </c>
      <c r="D289" s="130">
        <f t="shared" si="20"/>
        <v>0.94</v>
      </c>
      <c r="E289" s="131">
        <v>46219</v>
      </c>
      <c r="F289" s="131">
        <v>46275</v>
      </c>
      <c r="G289" s="91">
        <f t="shared" si="21"/>
        <v>56</v>
      </c>
      <c r="H289" s="91">
        <v>8</v>
      </c>
      <c r="I289" s="91">
        <v>8</v>
      </c>
      <c r="J289" s="91">
        <v>8</v>
      </c>
      <c r="K289" s="91">
        <v>8</v>
      </c>
      <c r="L289" s="91">
        <v>8</v>
      </c>
      <c r="M289" s="91"/>
      <c r="N289" s="91">
        <v>8</v>
      </c>
      <c r="O289" s="91">
        <v>8</v>
      </c>
      <c r="P289" s="91">
        <v>8</v>
      </c>
      <c r="Q289" s="91">
        <v>8</v>
      </c>
      <c r="R289" s="91">
        <v>8</v>
      </c>
      <c r="S289" s="91">
        <v>8</v>
      </c>
      <c r="T289" s="91">
        <v>8</v>
      </c>
      <c r="U289" s="91">
        <v>8</v>
      </c>
      <c r="V289" s="91">
        <v>8</v>
      </c>
      <c r="W289" s="91">
        <v>8</v>
      </c>
      <c r="X289" s="91">
        <v>8</v>
      </c>
      <c r="Y289" s="91"/>
      <c r="Z289" s="91">
        <v>8</v>
      </c>
      <c r="AA289" s="91">
        <v>8</v>
      </c>
      <c r="AB289" s="91">
        <v>8</v>
      </c>
      <c r="AC289" s="91">
        <v>8</v>
      </c>
      <c r="AD289" s="91">
        <v>8</v>
      </c>
      <c r="AE289" s="91">
        <v>8</v>
      </c>
      <c r="AF289" s="91">
        <v>8</v>
      </c>
      <c r="AG289" s="91">
        <v>8</v>
      </c>
      <c r="AH289" s="91">
        <v>8</v>
      </c>
      <c r="AI289" s="91">
        <v>8</v>
      </c>
      <c r="AJ289" s="91">
        <v>8</v>
      </c>
      <c r="AK289" s="91">
        <v>8</v>
      </c>
      <c r="AL289" s="91">
        <v>8</v>
      </c>
      <c r="AM289" s="91">
        <v>8</v>
      </c>
      <c r="AN289" s="91">
        <v>8</v>
      </c>
      <c r="AO289" s="91">
        <v>8</v>
      </c>
      <c r="AP289" s="91">
        <v>8</v>
      </c>
      <c r="AQ289" s="91">
        <v>8</v>
      </c>
      <c r="AR289" s="91">
        <v>8</v>
      </c>
      <c r="AS289" s="91">
        <v>8</v>
      </c>
      <c r="AT289" s="91">
        <v>8</v>
      </c>
      <c r="AU289" s="91">
        <v>8</v>
      </c>
      <c r="AV289" s="91">
        <v>8</v>
      </c>
      <c r="AW289" s="91">
        <v>8</v>
      </c>
      <c r="AX289" s="91">
        <v>8</v>
      </c>
      <c r="AY289" s="91"/>
      <c r="AZ289" s="91">
        <v>8</v>
      </c>
      <c r="BA289" s="91">
        <v>8</v>
      </c>
      <c r="BB289" s="91">
        <v>8</v>
      </c>
      <c r="BC289" s="91">
        <v>8</v>
      </c>
      <c r="BD289" s="91">
        <v>8</v>
      </c>
      <c r="BE289" s="91">
        <v>8</v>
      </c>
      <c r="BF289" s="91"/>
      <c r="BG289" s="91">
        <v>10</v>
      </c>
      <c r="BH289" s="91"/>
    </row>
    <row r="290" spans="1:60" x14ac:dyDescent="0.25">
      <c r="A290" s="91" t="s">
        <v>370</v>
      </c>
      <c r="B290" s="129">
        <f t="shared" si="18"/>
        <v>385</v>
      </c>
      <c r="C290" s="91">
        <f t="shared" si="19"/>
        <v>45</v>
      </c>
      <c r="D290" s="130">
        <f t="shared" si="20"/>
        <v>0.9</v>
      </c>
      <c r="E290" s="131">
        <v>46219</v>
      </c>
      <c r="F290" s="131">
        <v>46301</v>
      </c>
      <c r="G290" s="91">
        <f t="shared" si="21"/>
        <v>82</v>
      </c>
      <c r="H290" s="91"/>
      <c r="I290" s="91">
        <v>8</v>
      </c>
      <c r="J290" s="91">
        <v>8</v>
      </c>
      <c r="K290" s="91">
        <v>8</v>
      </c>
      <c r="L290" s="91">
        <v>8</v>
      </c>
      <c r="M290" s="91">
        <v>6</v>
      </c>
      <c r="N290" s="91">
        <v>8</v>
      </c>
      <c r="O290" s="91">
        <v>8</v>
      </c>
      <c r="P290" s="91">
        <v>8</v>
      </c>
      <c r="Q290" s="91">
        <v>8</v>
      </c>
      <c r="R290" s="91"/>
      <c r="S290" s="91">
        <v>8</v>
      </c>
      <c r="T290" s="91">
        <v>8</v>
      </c>
      <c r="U290" s="91">
        <v>8</v>
      </c>
      <c r="V290" s="91">
        <v>8</v>
      </c>
      <c r="W290" s="91">
        <v>8</v>
      </c>
      <c r="X290" s="91">
        <v>8</v>
      </c>
      <c r="Y290" s="91">
        <v>1</v>
      </c>
      <c r="Z290" s="91">
        <v>8</v>
      </c>
      <c r="AA290" s="91">
        <v>8</v>
      </c>
      <c r="AB290" s="91">
        <v>8</v>
      </c>
      <c r="AC290" s="91">
        <v>8</v>
      </c>
      <c r="AD290" s="91">
        <v>8</v>
      </c>
      <c r="AE290" s="91">
        <v>8</v>
      </c>
      <c r="AF290" s="91">
        <v>8</v>
      </c>
      <c r="AG290" s="91">
        <v>8</v>
      </c>
      <c r="AH290" s="91">
        <v>8</v>
      </c>
      <c r="AI290" s="91">
        <v>8</v>
      </c>
      <c r="AJ290" s="91">
        <v>8</v>
      </c>
      <c r="AK290" s="91">
        <v>8</v>
      </c>
      <c r="AL290" s="91">
        <v>8</v>
      </c>
      <c r="AM290" s="91">
        <v>8</v>
      </c>
      <c r="AN290" s="91">
        <v>8</v>
      </c>
      <c r="AO290" s="91">
        <v>8</v>
      </c>
      <c r="AP290" s="91">
        <v>8</v>
      </c>
      <c r="AQ290" s="91">
        <v>8</v>
      </c>
      <c r="AR290" s="91">
        <v>8</v>
      </c>
      <c r="AS290" s="91">
        <v>8</v>
      </c>
      <c r="AT290" s="91">
        <v>8</v>
      </c>
      <c r="AU290" s="91">
        <v>8</v>
      </c>
      <c r="AV290" s="91"/>
      <c r="AW290" s="91">
        <v>8</v>
      </c>
      <c r="AX290" s="91"/>
      <c r="AY290" s="91"/>
      <c r="AZ290" s="91">
        <v>8</v>
      </c>
      <c r="BA290" s="91">
        <v>8</v>
      </c>
      <c r="BB290" s="91">
        <v>8</v>
      </c>
      <c r="BC290" s="91">
        <v>8</v>
      </c>
      <c r="BD290" s="91">
        <v>14</v>
      </c>
      <c r="BE290" s="91">
        <v>8</v>
      </c>
      <c r="BF290" s="91">
        <v>14</v>
      </c>
      <c r="BG290" s="91">
        <v>14</v>
      </c>
      <c r="BH290" s="91"/>
    </row>
    <row r="291" spans="1:60" x14ac:dyDescent="0.25">
      <c r="A291" s="91" t="s">
        <v>249</v>
      </c>
      <c r="B291" s="129">
        <f t="shared" si="18"/>
        <v>385</v>
      </c>
      <c r="C291" s="91">
        <f t="shared" si="19"/>
        <v>48</v>
      </c>
      <c r="D291" s="130">
        <f t="shared" si="20"/>
        <v>0.96</v>
      </c>
      <c r="E291" s="131">
        <v>46293</v>
      </c>
      <c r="F291" s="131">
        <v>46309</v>
      </c>
      <c r="G291" s="91">
        <f t="shared" si="21"/>
        <v>16</v>
      </c>
      <c r="H291" s="91">
        <v>8</v>
      </c>
      <c r="I291" s="91">
        <v>8</v>
      </c>
      <c r="J291" s="91">
        <v>8</v>
      </c>
      <c r="K291" s="91">
        <v>8</v>
      </c>
      <c r="L291" s="91">
        <v>8</v>
      </c>
      <c r="M291" s="91"/>
      <c r="N291" s="91">
        <v>8</v>
      </c>
      <c r="O291" s="91">
        <v>8</v>
      </c>
      <c r="P291" s="91">
        <v>8</v>
      </c>
      <c r="Q291" s="91">
        <v>8</v>
      </c>
      <c r="R291" s="91">
        <v>8</v>
      </c>
      <c r="S291" s="91">
        <v>8</v>
      </c>
      <c r="T291" s="91">
        <v>8</v>
      </c>
      <c r="U291" s="91">
        <v>8</v>
      </c>
      <c r="V291" s="91">
        <v>8</v>
      </c>
      <c r="W291" s="91">
        <v>8</v>
      </c>
      <c r="X291" s="91">
        <v>8</v>
      </c>
      <c r="Y291" s="91">
        <v>8</v>
      </c>
      <c r="Z291" s="91">
        <v>8</v>
      </c>
      <c r="AA291" s="91">
        <v>8</v>
      </c>
      <c r="AB291" s="91">
        <v>8</v>
      </c>
      <c r="AC291" s="91">
        <v>8</v>
      </c>
      <c r="AD291" s="91">
        <v>8</v>
      </c>
      <c r="AE291" s="91">
        <v>8</v>
      </c>
      <c r="AF291" s="91">
        <v>8</v>
      </c>
      <c r="AG291" s="91">
        <v>8</v>
      </c>
      <c r="AH291" s="91">
        <v>8</v>
      </c>
      <c r="AI291" s="91">
        <v>8</v>
      </c>
      <c r="AJ291" s="91">
        <v>9</v>
      </c>
      <c r="AK291" s="91">
        <v>8</v>
      </c>
      <c r="AL291" s="91">
        <v>8</v>
      </c>
      <c r="AM291" s="91">
        <v>8</v>
      </c>
      <c r="AN291" s="91">
        <v>8</v>
      </c>
      <c r="AO291" s="91">
        <v>8</v>
      </c>
      <c r="AP291" s="91">
        <v>8</v>
      </c>
      <c r="AQ291" s="91">
        <v>8</v>
      </c>
      <c r="AR291" s="91">
        <v>8</v>
      </c>
      <c r="AS291" s="91">
        <v>8</v>
      </c>
      <c r="AT291" s="91">
        <v>8</v>
      </c>
      <c r="AU291" s="91">
        <v>8</v>
      </c>
      <c r="AV291" s="91">
        <v>8</v>
      </c>
      <c r="AW291" s="91">
        <v>8</v>
      </c>
      <c r="AX291" s="91">
        <v>8</v>
      </c>
      <c r="AY291" s="91"/>
      <c r="AZ291" s="91">
        <v>8</v>
      </c>
      <c r="BA291" s="91">
        <v>8</v>
      </c>
      <c r="BB291" s="91">
        <v>8</v>
      </c>
      <c r="BC291" s="91">
        <v>8</v>
      </c>
      <c r="BD291" s="91">
        <v>8</v>
      </c>
      <c r="BE291" s="91">
        <v>8</v>
      </c>
      <c r="BF291" s="91"/>
      <c r="BG291" s="91"/>
      <c r="BH291" s="91"/>
    </row>
    <row r="292" spans="1:60" x14ac:dyDescent="0.25">
      <c r="A292" s="91" t="s">
        <v>424</v>
      </c>
      <c r="B292" s="129">
        <f t="shared" si="18"/>
        <v>384</v>
      </c>
      <c r="C292" s="91">
        <f t="shared" si="19"/>
        <v>48</v>
      </c>
      <c r="D292" s="130">
        <f t="shared" si="20"/>
        <v>0.96</v>
      </c>
      <c r="E292" s="131">
        <v>46219</v>
      </c>
      <c r="F292" s="131">
        <v>46310</v>
      </c>
      <c r="G292" s="91">
        <f t="shared" si="21"/>
        <v>91</v>
      </c>
      <c r="H292" s="91">
        <v>8</v>
      </c>
      <c r="I292" s="91">
        <v>8</v>
      </c>
      <c r="J292" s="91">
        <v>8</v>
      </c>
      <c r="K292" s="91">
        <v>8</v>
      </c>
      <c r="L292" s="91">
        <v>8</v>
      </c>
      <c r="M292" s="91"/>
      <c r="N292" s="91">
        <v>8</v>
      </c>
      <c r="O292" s="91">
        <v>8</v>
      </c>
      <c r="P292" s="91">
        <v>8</v>
      </c>
      <c r="Q292" s="91">
        <v>8</v>
      </c>
      <c r="R292" s="91">
        <v>8</v>
      </c>
      <c r="S292" s="91">
        <v>8</v>
      </c>
      <c r="T292" s="91">
        <v>8</v>
      </c>
      <c r="U292" s="91">
        <v>8</v>
      </c>
      <c r="V292" s="91">
        <v>8</v>
      </c>
      <c r="W292" s="91">
        <v>8</v>
      </c>
      <c r="X292" s="91">
        <v>8</v>
      </c>
      <c r="Y292" s="91">
        <v>2</v>
      </c>
      <c r="Z292" s="91">
        <v>8</v>
      </c>
      <c r="AA292" s="91">
        <v>8</v>
      </c>
      <c r="AB292" s="91">
        <v>8</v>
      </c>
      <c r="AC292" s="91">
        <v>8</v>
      </c>
      <c r="AD292" s="91">
        <v>8</v>
      </c>
      <c r="AE292" s="91">
        <v>8</v>
      </c>
      <c r="AF292" s="91">
        <v>8</v>
      </c>
      <c r="AG292" s="91">
        <v>8</v>
      </c>
      <c r="AH292" s="91">
        <v>8</v>
      </c>
      <c r="AI292" s="91">
        <v>8</v>
      </c>
      <c r="AJ292" s="91">
        <v>8</v>
      </c>
      <c r="AK292" s="91">
        <v>8</v>
      </c>
      <c r="AL292" s="91">
        <v>8</v>
      </c>
      <c r="AM292" s="91">
        <v>8</v>
      </c>
      <c r="AN292" s="91">
        <v>8</v>
      </c>
      <c r="AO292" s="91">
        <v>8</v>
      </c>
      <c r="AP292" s="91">
        <v>8</v>
      </c>
      <c r="AQ292" s="91">
        <v>8</v>
      </c>
      <c r="AR292" s="91">
        <v>8</v>
      </c>
      <c r="AS292" s="91">
        <v>8</v>
      </c>
      <c r="AT292" s="91">
        <v>8</v>
      </c>
      <c r="AU292" s="91">
        <v>8</v>
      </c>
      <c r="AV292" s="91">
        <v>8</v>
      </c>
      <c r="AW292" s="91">
        <v>8</v>
      </c>
      <c r="AX292" s="91">
        <v>8</v>
      </c>
      <c r="AY292" s="91"/>
      <c r="AZ292" s="91">
        <v>8</v>
      </c>
      <c r="BA292" s="91">
        <v>8</v>
      </c>
      <c r="BB292" s="91">
        <v>8</v>
      </c>
      <c r="BC292" s="91">
        <v>8</v>
      </c>
      <c r="BD292" s="91">
        <v>14</v>
      </c>
      <c r="BE292" s="91">
        <v>8</v>
      </c>
      <c r="BF292" s="91"/>
      <c r="BG292" s="91"/>
      <c r="BH292" s="91"/>
    </row>
    <row r="293" spans="1:60" x14ac:dyDescent="0.25">
      <c r="A293" s="91" t="s">
        <v>270</v>
      </c>
      <c r="B293" s="129">
        <f t="shared" si="18"/>
        <v>384</v>
      </c>
      <c r="C293" s="91">
        <f t="shared" si="19"/>
        <v>47</v>
      </c>
      <c r="D293" s="130">
        <f t="shared" si="20"/>
        <v>0.94</v>
      </c>
      <c r="E293" s="131">
        <v>46234</v>
      </c>
      <c r="F293" s="131">
        <v>46266</v>
      </c>
      <c r="G293" s="91">
        <f t="shared" si="21"/>
        <v>32</v>
      </c>
      <c r="H293" s="91">
        <v>8</v>
      </c>
      <c r="I293" s="91">
        <v>8</v>
      </c>
      <c r="J293" s="91">
        <v>8</v>
      </c>
      <c r="K293" s="91">
        <v>8</v>
      </c>
      <c r="L293" s="91">
        <v>8</v>
      </c>
      <c r="M293" s="91"/>
      <c r="N293" s="91">
        <v>8</v>
      </c>
      <c r="O293" s="91">
        <v>8</v>
      </c>
      <c r="P293" s="91">
        <v>8</v>
      </c>
      <c r="Q293" s="91">
        <v>8</v>
      </c>
      <c r="R293" s="91">
        <v>8</v>
      </c>
      <c r="S293" s="91">
        <v>8</v>
      </c>
      <c r="T293" s="91">
        <v>8</v>
      </c>
      <c r="U293" s="91">
        <v>8</v>
      </c>
      <c r="V293" s="91">
        <v>8</v>
      </c>
      <c r="W293" s="91">
        <v>8</v>
      </c>
      <c r="X293" s="91">
        <v>8</v>
      </c>
      <c r="Y293" s="91"/>
      <c r="Z293" s="91">
        <v>8</v>
      </c>
      <c r="AA293" s="91">
        <v>8</v>
      </c>
      <c r="AB293" s="91">
        <v>8</v>
      </c>
      <c r="AC293" s="91">
        <v>8</v>
      </c>
      <c r="AD293" s="91">
        <v>8</v>
      </c>
      <c r="AE293" s="91">
        <v>8</v>
      </c>
      <c r="AF293" s="91">
        <v>8</v>
      </c>
      <c r="AG293" s="91">
        <v>8</v>
      </c>
      <c r="AH293" s="91">
        <v>8</v>
      </c>
      <c r="AI293" s="91">
        <v>8</v>
      </c>
      <c r="AJ293" s="91">
        <v>8</v>
      </c>
      <c r="AK293" s="91">
        <v>8</v>
      </c>
      <c r="AL293" s="91">
        <v>8</v>
      </c>
      <c r="AM293" s="91">
        <v>8</v>
      </c>
      <c r="AN293" s="91">
        <v>8</v>
      </c>
      <c r="AO293" s="91">
        <v>8</v>
      </c>
      <c r="AP293" s="91">
        <v>8</v>
      </c>
      <c r="AQ293" s="91">
        <v>8</v>
      </c>
      <c r="AR293" s="91">
        <v>8</v>
      </c>
      <c r="AS293" s="91">
        <v>7</v>
      </c>
      <c r="AT293" s="91">
        <v>8</v>
      </c>
      <c r="AU293" s="91">
        <v>8</v>
      </c>
      <c r="AV293" s="91">
        <v>8</v>
      </c>
      <c r="AW293" s="91">
        <v>8</v>
      </c>
      <c r="AX293" s="91">
        <v>8</v>
      </c>
      <c r="AY293" s="91"/>
      <c r="AZ293" s="91">
        <v>7</v>
      </c>
      <c r="BA293" s="91">
        <v>7</v>
      </c>
      <c r="BB293" s="91">
        <v>8</v>
      </c>
      <c r="BC293" s="91">
        <v>7</v>
      </c>
      <c r="BD293" s="91">
        <v>7</v>
      </c>
      <c r="BE293" s="91">
        <v>8</v>
      </c>
      <c r="BF293" s="91">
        <v>1</v>
      </c>
      <c r="BG293" s="91">
        <v>12</v>
      </c>
      <c r="BH293" s="91"/>
    </row>
    <row r="294" spans="1:60" x14ac:dyDescent="0.25">
      <c r="A294" s="91" t="s">
        <v>924</v>
      </c>
      <c r="B294" s="129">
        <f t="shared" si="18"/>
        <v>384</v>
      </c>
      <c r="C294" s="91">
        <f t="shared" si="19"/>
        <v>45</v>
      </c>
      <c r="D294" s="130">
        <f t="shared" si="20"/>
        <v>0.9</v>
      </c>
      <c r="E294" s="131">
        <v>46287</v>
      </c>
      <c r="F294" s="131">
        <v>46322</v>
      </c>
      <c r="G294" s="91">
        <f t="shared" si="21"/>
        <v>35</v>
      </c>
      <c r="H294" s="91">
        <v>8</v>
      </c>
      <c r="I294" s="91">
        <v>8</v>
      </c>
      <c r="J294" s="91">
        <v>8</v>
      </c>
      <c r="K294" s="91">
        <v>8</v>
      </c>
      <c r="L294" s="91">
        <v>8</v>
      </c>
      <c r="M294" s="91"/>
      <c r="N294" s="91">
        <v>8</v>
      </c>
      <c r="O294" s="91">
        <v>8</v>
      </c>
      <c r="P294" s="91">
        <v>8</v>
      </c>
      <c r="Q294" s="91">
        <v>8</v>
      </c>
      <c r="R294" s="91">
        <v>8</v>
      </c>
      <c r="S294" s="91">
        <v>8</v>
      </c>
      <c r="T294" s="91">
        <v>8</v>
      </c>
      <c r="U294" s="91"/>
      <c r="V294" s="91">
        <v>8</v>
      </c>
      <c r="W294" s="91">
        <v>8</v>
      </c>
      <c r="X294" s="91">
        <v>8</v>
      </c>
      <c r="Y294" s="91">
        <v>1</v>
      </c>
      <c r="Z294" s="91">
        <v>8</v>
      </c>
      <c r="AA294" s="91">
        <v>8</v>
      </c>
      <c r="AB294" s="91">
        <v>8</v>
      </c>
      <c r="AC294" s="91">
        <v>8</v>
      </c>
      <c r="AD294" s="91">
        <v>8</v>
      </c>
      <c r="AE294" s="91">
        <v>8</v>
      </c>
      <c r="AF294" s="91">
        <v>8</v>
      </c>
      <c r="AG294" s="91">
        <v>8</v>
      </c>
      <c r="AH294" s="91">
        <v>8</v>
      </c>
      <c r="AI294" s="91">
        <v>8</v>
      </c>
      <c r="AJ294" s="91">
        <v>8</v>
      </c>
      <c r="AK294" s="91">
        <v>8</v>
      </c>
      <c r="AL294" s="91">
        <v>8</v>
      </c>
      <c r="AM294" s="91">
        <v>8</v>
      </c>
      <c r="AN294" s="91">
        <v>8</v>
      </c>
      <c r="AO294" s="91">
        <v>8</v>
      </c>
      <c r="AP294" s="91">
        <v>8</v>
      </c>
      <c r="AQ294" s="91">
        <v>8</v>
      </c>
      <c r="AR294" s="91"/>
      <c r="AS294" s="91">
        <v>8</v>
      </c>
      <c r="AT294" s="91">
        <v>8</v>
      </c>
      <c r="AU294" s="91">
        <v>8</v>
      </c>
      <c r="AV294" s="91"/>
      <c r="AW294" s="91">
        <v>8</v>
      </c>
      <c r="AX294" s="91">
        <v>8</v>
      </c>
      <c r="AY294" s="91"/>
      <c r="AZ294" s="91">
        <v>8</v>
      </c>
      <c r="BA294" s="91">
        <v>8</v>
      </c>
      <c r="BB294" s="91">
        <v>8</v>
      </c>
      <c r="BC294" s="91">
        <v>8</v>
      </c>
      <c r="BD294" s="91">
        <v>8</v>
      </c>
      <c r="BE294" s="91">
        <v>8</v>
      </c>
      <c r="BF294" s="91">
        <v>16</v>
      </c>
      <c r="BG294" s="91">
        <v>15</v>
      </c>
      <c r="BH294" s="91"/>
    </row>
    <row r="295" spans="1:60" x14ac:dyDescent="0.25">
      <c r="A295" s="91" t="s">
        <v>482</v>
      </c>
      <c r="B295" s="129">
        <f t="shared" si="18"/>
        <v>383</v>
      </c>
      <c r="C295" s="91">
        <f t="shared" si="19"/>
        <v>49</v>
      </c>
      <c r="D295" s="130">
        <f t="shared" si="20"/>
        <v>0.98</v>
      </c>
      <c r="E295" s="131">
        <v>46248</v>
      </c>
      <c r="F295" s="131">
        <v>46302</v>
      </c>
      <c r="G295" s="91">
        <f t="shared" si="21"/>
        <v>54</v>
      </c>
      <c r="H295" s="91">
        <v>10</v>
      </c>
      <c r="I295" s="91">
        <v>6</v>
      </c>
      <c r="J295" s="91">
        <v>7</v>
      </c>
      <c r="K295" s="91">
        <v>7</v>
      </c>
      <c r="L295" s="91">
        <v>10</v>
      </c>
      <c r="M295" s="91">
        <v>5</v>
      </c>
      <c r="N295" s="91">
        <v>7</v>
      </c>
      <c r="O295" s="91">
        <v>7</v>
      </c>
      <c r="P295" s="91">
        <v>6</v>
      </c>
      <c r="Q295" s="91">
        <v>8</v>
      </c>
      <c r="R295" s="91">
        <v>7</v>
      </c>
      <c r="S295" s="91">
        <v>6</v>
      </c>
      <c r="T295" s="91">
        <v>10</v>
      </c>
      <c r="U295" s="91">
        <v>7</v>
      </c>
      <c r="V295" s="91">
        <v>7</v>
      </c>
      <c r="W295" s="91">
        <v>8</v>
      </c>
      <c r="X295" s="91">
        <v>7</v>
      </c>
      <c r="Y295" s="91">
        <v>1</v>
      </c>
      <c r="Z295" s="91">
        <v>7</v>
      </c>
      <c r="AA295" s="91">
        <v>10</v>
      </c>
      <c r="AB295" s="91">
        <v>10</v>
      </c>
      <c r="AC295" s="91">
        <v>6</v>
      </c>
      <c r="AD295" s="91">
        <v>10</v>
      </c>
      <c r="AE295" s="91">
        <v>7</v>
      </c>
      <c r="AF295" s="91">
        <v>8</v>
      </c>
      <c r="AG295" s="91">
        <v>7</v>
      </c>
      <c r="AH295" s="91">
        <v>6</v>
      </c>
      <c r="AI295" s="91">
        <v>7</v>
      </c>
      <c r="AJ295" s="91">
        <v>7</v>
      </c>
      <c r="AK295" s="91">
        <v>6</v>
      </c>
      <c r="AL295" s="91">
        <v>7</v>
      </c>
      <c r="AM295" s="91">
        <v>6</v>
      </c>
      <c r="AN295" s="91">
        <v>6</v>
      </c>
      <c r="AO295" s="91">
        <v>10</v>
      </c>
      <c r="AP295" s="91">
        <v>6</v>
      </c>
      <c r="AQ295" s="91">
        <v>8</v>
      </c>
      <c r="AR295" s="91">
        <v>7</v>
      </c>
      <c r="AS295" s="91">
        <v>8</v>
      </c>
      <c r="AT295" s="91">
        <v>10</v>
      </c>
      <c r="AU295" s="91">
        <v>7</v>
      </c>
      <c r="AV295" s="91">
        <v>8</v>
      </c>
      <c r="AW295" s="91">
        <v>10</v>
      </c>
      <c r="AX295" s="91">
        <v>7</v>
      </c>
      <c r="AY295" s="91"/>
      <c r="AZ295" s="91">
        <v>10</v>
      </c>
      <c r="BA295" s="91">
        <v>8</v>
      </c>
      <c r="BB295" s="91">
        <v>8</v>
      </c>
      <c r="BC295" s="91">
        <v>10</v>
      </c>
      <c r="BD295" s="91">
        <v>8</v>
      </c>
      <c r="BE295" s="91">
        <v>7</v>
      </c>
      <c r="BF295" s="91">
        <v>1</v>
      </c>
      <c r="BG295" s="91">
        <v>14</v>
      </c>
      <c r="BH295" s="91"/>
    </row>
    <row r="296" spans="1:60" x14ac:dyDescent="0.25">
      <c r="A296" s="91" t="s">
        <v>450</v>
      </c>
      <c r="B296" s="129">
        <f t="shared" si="18"/>
        <v>382</v>
      </c>
      <c r="C296" s="91">
        <f t="shared" si="19"/>
        <v>43</v>
      </c>
      <c r="D296" s="130">
        <f t="shared" si="20"/>
        <v>0.86</v>
      </c>
      <c r="E296" s="131">
        <v>46219</v>
      </c>
      <c r="F296" s="131">
        <v>46302</v>
      </c>
      <c r="G296" s="91">
        <f t="shared" si="21"/>
        <v>83</v>
      </c>
      <c r="H296" s="91">
        <v>8</v>
      </c>
      <c r="I296" s="91">
        <v>8</v>
      </c>
      <c r="J296" s="91">
        <v>8</v>
      </c>
      <c r="K296" s="91">
        <v>8</v>
      </c>
      <c r="L296" s="91">
        <v>8</v>
      </c>
      <c r="M296" s="91"/>
      <c r="N296" s="91">
        <v>8</v>
      </c>
      <c r="O296" s="91">
        <v>8</v>
      </c>
      <c r="P296" s="91">
        <v>8</v>
      </c>
      <c r="Q296" s="91">
        <v>8</v>
      </c>
      <c r="R296" s="91"/>
      <c r="S296" s="91">
        <v>8</v>
      </c>
      <c r="T296" s="91">
        <v>8</v>
      </c>
      <c r="U296" s="91">
        <v>8</v>
      </c>
      <c r="V296" s="91">
        <v>8</v>
      </c>
      <c r="W296" s="91">
        <v>8</v>
      </c>
      <c r="X296" s="91">
        <v>8</v>
      </c>
      <c r="Y296" s="91">
        <v>2</v>
      </c>
      <c r="Z296" s="91">
        <v>8</v>
      </c>
      <c r="AA296" s="91">
        <v>8</v>
      </c>
      <c r="AB296" s="91">
        <v>8</v>
      </c>
      <c r="AC296" s="91">
        <v>8</v>
      </c>
      <c r="AD296" s="91">
        <v>8</v>
      </c>
      <c r="AE296" s="91">
        <v>8</v>
      </c>
      <c r="AF296" s="91">
        <v>8</v>
      </c>
      <c r="AG296" s="91">
        <v>8</v>
      </c>
      <c r="AH296" s="91">
        <v>8</v>
      </c>
      <c r="AI296" s="91">
        <v>8</v>
      </c>
      <c r="AJ296" s="91">
        <v>8</v>
      </c>
      <c r="AK296" s="91">
        <v>8</v>
      </c>
      <c r="AL296" s="91">
        <v>8</v>
      </c>
      <c r="AM296" s="91">
        <v>8</v>
      </c>
      <c r="AN296" s="91">
        <v>8</v>
      </c>
      <c r="AO296" s="91">
        <v>8</v>
      </c>
      <c r="AP296" s="91">
        <v>8</v>
      </c>
      <c r="AQ296" s="91"/>
      <c r="AR296" s="91">
        <v>8</v>
      </c>
      <c r="AS296" s="91">
        <v>8</v>
      </c>
      <c r="AT296" s="91">
        <v>8</v>
      </c>
      <c r="AU296" s="91">
        <v>8</v>
      </c>
      <c r="AV296" s="91">
        <v>10</v>
      </c>
      <c r="AW296" s="91"/>
      <c r="AX296" s="91">
        <v>8</v>
      </c>
      <c r="AY296" s="91"/>
      <c r="AZ296" s="91"/>
      <c r="BA296" s="91"/>
      <c r="BB296" s="91">
        <v>10</v>
      </c>
      <c r="BC296" s="91">
        <v>10</v>
      </c>
      <c r="BD296" s="91">
        <v>14</v>
      </c>
      <c r="BE296" s="91">
        <v>8</v>
      </c>
      <c r="BF296" s="91">
        <v>16</v>
      </c>
      <c r="BG296" s="91">
        <v>16</v>
      </c>
      <c r="BH296" s="91"/>
    </row>
    <row r="297" spans="1:60" x14ac:dyDescent="0.25">
      <c r="A297" s="91" t="s">
        <v>925</v>
      </c>
      <c r="B297" s="129">
        <f t="shared" si="18"/>
        <v>382</v>
      </c>
      <c r="C297" s="91">
        <f t="shared" si="19"/>
        <v>45</v>
      </c>
      <c r="D297" s="130">
        <f t="shared" si="20"/>
        <v>0.9</v>
      </c>
      <c r="E297" s="131">
        <v>46275</v>
      </c>
      <c r="F297" s="131">
        <v>46317</v>
      </c>
      <c r="G297" s="91">
        <f t="shared" si="21"/>
        <v>42</v>
      </c>
      <c r="H297" s="91">
        <v>8</v>
      </c>
      <c r="I297" s="91">
        <v>8</v>
      </c>
      <c r="J297" s="91">
        <v>8</v>
      </c>
      <c r="K297" s="91">
        <v>8</v>
      </c>
      <c r="L297" s="91">
        <v>8</v>
      </c>
      <c r="M297" s="91"/>
      <c r="N297" s="91">
        <v>8</v>
      </c>
      <c r="O297" s="91">
        <v>8</v>
      </c>
      <c r="P297" s="91">
        <v>8</v>
      </c>
      <c r="Q297" s="91">
        <v>8</v>
      </c>
      <c r="R297" s="91">
        <v>8</v>
      </c>
      <c r="S297" s="91">
        <v>8</v>
      </c>
      <c r="T297" s="91">
        <v>8</v>
      </c>
      <c r="U297" s="91">
        <v>8</v>
      </c>
      <c r="V297" s="91">
        <v>8</v>
      </c>
      <c r="W297" s="91">
        <v>8</v>
      </c>
      <c r="X297" s="91">
        <v>8</v>
      </c>
      <c r="Y297" s="91">
        <v>2</v>
      </c>
      <c r="Z297" s="91">
        <v>8</v>
      </c>
      <c r="AA297" s="91">
        <v>8</v>
      </c>
      <c r="AB297" s="91">
        <v>8</v>
      </c>
      <c r="AC297" s="91">
        <v>8</v>
      </c>
      <c r="AD297" s="91">
        <v>8</v>
      </c>
      <c r="AE297" s="91">
        <v>8</v>
      </c>
      <c r="AF297" s="91">
        <v>8</v>
      </c>
      <c r="AG297" s="91">
        <v>8</v>
      </c>
      <c r="AH297" s="91">
        <v>8</v>
      </c>
      <c r="AI297" s="91">
        <v>8</v>
      </c>
      <c r="AJ297" s="91">
        <v>8</v>
      </c>
      <c r="AK297" s="91">
        <v>8</v>
      </c>
      <c r="AL297" s="91">
        <v>8</v>
      </c>
      <c r="AM297" s="91">
        <v>8</v>
      </c>
      <c r="AN297" s="91">
        <v>8</v>
      </c>
      <c r="AO297" s="91">
        <v>8</v>
      </c>
      <c r="AP297" s="91">
        <v>8</v>
      </c>
      <c r="AQ297" s="91">
        <v>8</v>
      </c>
      <c r="AR297" s="91">
        <v>8</v>
      </c>
      <c r="AS297" s="91">
        <v>8</v>
      </c>
      <c r="AT297" s="91">
        <v>8</v>
      </c>
      <c r="AU297" s="91">
        <v>8</v>
      </c>
      <c r="AV297" s="91"/>
      <c r="AW297" s="91">
        <v>8</v>
      </c>
      <c r="AX297" s="91">
        <v>8</v>
      </c>
      <c r="AY297" s="91"/>
      <c r="AZ297" s="91">
        <v>8</v>
      </c>
      <c r="BA297" s="91">
        <v>8</v>
      </c>
      <c r="BB297" s="91"/>
      <c r="BC297" s="91"/>
      <c r="BD297" s="91">
        <v>8</v>
      </c>
      <c r="BE297" s="91">
        <v>8</v>
      </c>
      <c r="BF297" s="91">
        <v>14</v>
      </c>
      <c r="BG297" s="91">
        <v>14</v>
      </c>
      <c r="BH297" s="91"/>
    </row>
    <row r="298" spans="1:60" x14ac:dyDescent="0.25">
      <c r="A298" s="91" t="s">
        <v>422</v>
      </c>
      <c r="B298" s="129">
        <f t="shared" si="18"/>
        <v>382</v>
      </c>
      <c r="C298" s="91">
        <f t="shared" si="19"/>
        <v>48</v>
      </c>
      <c r="D298" s="130">
        <f t="shared" si="20"/>
        <v>0.96</v>
      </c>
      <c r="E298" s="131">
        <v>46258</v>
      </c>
      <c r="F298" s="131">
        <v>46314</v>
      </c>
      <c r="G298" s="91">
        <f t="shared" si="21"/>
        <v>56</v>
      </c>
      <c r="H298" s="91">
        <v>9</v>
      </c>
      <c r="I298" s="91">
        <v>7</v>
      </c>
      <c r="J298" s="91">
        <v>7</v>
      </c>
      <c r="K298" s="91">
        <v>7</v>
      </c>
      <c r="L298" s="91">
        <v>7</v>
      </c>
      <c r="M298" s="91"/>
      <c r="N298" s="91">
        <v>7</v>
      </c>
      <c r="O298" s="91">
        <v>7</v>
      </c>
      <c r="P298" s="91">
        <v>9</v>
      </c>
      <c r="Q298" s="91">
        <v>7</v>
      </c>
      <c r="R298" s="91">
        <v>7</v>
      </c>
      <c r="S298" s="91">
        <v>7</v>
      </c>
      <c r="T298" s="91">
        <v>7</v>
      </c>
      <c r="U298" s="91">
        <v>7</v>
      </c>
      <c r="V298" s="91">
        <v>7</v>
      </c>
      <c r="W298" s="91">
        <v>9</v>
      </c>
      <c r="X298" s="91">
        <v>7</v>
      </c>
      <c r="Y298" s="91">
        <v>1</v>
      </c>
      <c r="Z298" s="91">
        <v>9</v>
      </c>
      <c r="AA298" s="91">
        <v>7</v>
      </c>
      <c r="AB298" s="91">
        <v>7</v>
      </c>
      <c r="AC298" s="91">
        <v>9</v>
      </c>
      <c r="AD298" s="91">
        <v>9</v>
      </c>
      <c r="AE298" s="91">
        <v>9</v>
      </c>
      <c r="AF298" s="91">
        <v>7</v>
      </c>
      <c r="AG298" s="91">
        <v>9</v>
      </c>
      <c r="AH298" s="91">
        <v>7</v>
      </c>
      <c r="AI298" s="91">
        <v>7</v>
      </c>
      <c r="AJ298" s="91">
        <v>7</v>
      </c>
      <c r="AK298" s="91">
        <v>7</v>
      </c>
      <c r="AL298" s="91">
        <v>7</v>
      </c>
      <c r="AM298" s="91">
        <v>7</v>
      </c>
      <c r="AN298" s="91">
        <v>9</v>
      </c>
      <c r="AO298" s="91">
        <v>7</v>
      </c>
      <c r="AP298" s="91">
        <v>7</v>
      </c>
      <c r="AQ298" s="91">
        <v>7</v>
      </c>
      <c r="AR298" s="91">
        <v>9</v>
      </c>
      <c r="AS298" s="91">
        <v>7</v>
      </c>
      <c r="AT298" s="91">
        <v>7</v>
      </c>
      <c r="AU298" s="91">
        <v>7</v>
      </c>
      <c r="AV298" s="91">
        <v>7</v>
      </c>
      <c r="AW298" s="91">
        <v>9</v>
      </c>
      <c r="AX298" s="91">
        <v>9</v>
      </c>
      <c r="AY298" s="91"/>
      <c r="AZ298" s="91">
        <v>9</v>
      </c>
      <c r="BA298" s="91">
        <v>7</v>
      </c>
      <c r="BB298" s="91">
        <v>7</v>
      </c>
      <c r="BC298" s="91">
        <v>7</v>
      </c>
      <c r="BD298" s="91">
        <v>7</v>
      </c>
      <c r="BE298" s="91">
        <v>7</v>
      </c>
      <c r="BF298" s="91">
        <v>12</v>
      </c>
      <c r="BG298" s="91">
        <v>14</v>
      </c>
      <c r="BH298" s="91"/>
    </row>
    <row r="299" spans="1:60" x14ac:dyDescent="0.25">
      <c r="A299" s="91" t="s">
        <v>555</v>
      </c>
      <c r="B299" s="129">
        <f t="shared" si="18"/>
        <v>380</v>
      </c>
      <c r="C299" s="91">
        <f t="shared" si="19"/>
        <v>47</v>
      </c>
      <c r="D299" s="130">
        <f t="shared" si="20"/>
        <v>0.94</v>
      </c>
      <c r="E299" s="131">
        <v>46274</v>
      </c>
      <c r="F299" s="131">
        <v>46275</v>
      </c>
      <c r="G299" s="91">
        <f t="shared" si="21"/>
        <v>1</v>
      </c>
      <c r="H299" s="91">
        <v>8</v>
      </c>
      <c r="I299" s="91">
        <v>8</v>
      </c>
      <c r="J299" s="91">
        <v>8</v>
      </c>
      <c r="K299" s="91">
        <v>8</v>
      </c>
      <c r="L299" s="91">
        <v>8</v>
      </c>
      <c r="M299" s="91"/>
      <c r="N299" s="91">
        <v>8</v>
      </c>
      <c r="O299" s="91">
        <v>8</v>
      </c>
      <c r="P299" s="91">
        <v>8</v>
      </c>
      <c r="Q299" s="91">
        <v>6</v>
      </c>
      <c r="R299" s="91">
        <v>8</v>
      </c>
      <c r="S299" s="91">
        <v>8</v>
      </c>
      <c r="T299" s="91">
        <v>8</v>
      </c>
      <c r="U299" s="91">
        <v>8</v>
      </c>
      <c r="V299" s="91">
        <v>8</v>
      </c>
      <c r="W299" s="91">
        <v>8</v>
      </c>
      <c r="X299" s="91">
        <v>8</v>
      </c>
      <c r="Y299" s="91"/>
      <c r="Z299" s="91">
        <v>8</v>
      </c>
      <c r="AA299" s="91">
        <v>8</v>
      </c>
      <c r="AB299" s="91">
        <v>8</v>
      </c>
      <c r="AC299" s="91">
        <v>8</v>
      </c>
      <c r="AD299" s="91">
        <v>8</v>
      </c>
      <c r="AE299" s="91">
        <v>6</v>
      </c>
      <c r="AF299" s="91">
        <v>8</v>
      </c>
      <c r="AG299" s="91">
        <v>6</v>
      </c>
      <c r="AH299" s="91">
        <v>8</v>
      </c>
      <c r="AI299" s="91">
        <v>8</v>
      </c>
      <c r="AJ299" s="91">
        <v>8</v>
      </c>
      <c r="AK299" s="91">
        <v>6</v>
      </c>
      <c r="AL299" s="91">
        <v>8</v>
      </c>
      <c r="AM299" s="91">
        <v>8</v>
      </c>
      <c r="AN299" s="91">
        <v>8</v>
      </c>
      <c r="AO299" s="91">
        <v>8</v>
      </c>
      <c r="AP299" s="91">
        <v>8</v>
      </c>
      <c r="AQ299" s="91">
        <v>8</v>
      </c>
      <c r="AR299" s="91">
        <v>7</v>
      </c>
      <c r="AS299" s="91">
        <v>8</v>
      </c>
      <c r="AT299" s="91">
        <v>8</v>
      </c>
      <c r="AU299" s="91">
        <v>8</v>
      </c>
      <c r="AV299" s="91">
        <v>8</v>
      </c>
      <c r="AW299" s="91">
        <v>8</v>
      </c>
      <c r="AX299" s="91">
        <v>8</v>
      </c>
      <c r="AY299" s="91"/>
      <c r="AZ299" s="91">
        <v>8</v>
      </c>
      <c r="BA299" s="91">
        <v>6</v>
      </c>
      <c r="BB299" s="91">
        <v>8</v>
      </c>
      <c r="BC299" s="91">
        <v>8</v>
      </c>
      <c r="BD299" s="91">
        <v>8</v>
      </c>
      <c r="BE299" s="91">
        <v>8</v>
      </c>
      <c r="BF299" s="91">
        <v>1</v>
      </c>
      <c r="BG299" s="91">
        <v>14</v>
      </c>
      <c r="BH299" s="91"/>
    </row>
    <row r="300" spans="1:60" x14ac:dyDescent="0.25">
      <c r="A300" s="91" t="s">
        <v>429</v>
      </c>
      <c r="B300" s="129">
        <f t="shared" si="18"/>
        <v>379</v>
      </c>
      <c r="C300" s="91">
        <f t="shared" si="19"/>
        <v>44</v>
      </c>
      <c r="D300" s="130">
        <f t="shared" si="20"/>
        <v>0.88</v>
      </c>
      <c r="E300" s="131">
        <v>46219</v>
      </c>
      <c r="F300" s="131">
        <v>46311</v>
      </c>
      <c r="G300" s="91">
        <f t="shared" si="21"/>
        <v>92</v>
      </c>
      <c r="H300" s="91">
        <v>8</v>
      </c>
      <c r="I300" s="91">
        <v>8</v>
      </c>
      <c r="J300" s="91">
        <v>8</v>
      </c>
      <c r="K300" s="91">
        <v>8</v>
      </c>
      <c r="L300" s="91">
        <v>8</v>
      </c>
      <c r="M300" s="91"/>
      <c r="N300" s="91">
        <v>8</v>
      </c>
      <c r="O300" s="91">
        <v>8</v>
      </c>
      <c r="P300" s="91">
        <v>8</v>
      </c>
      <c r="Q300" s="91"/>
      <c r="R300" s="91">
        <v>8</v>
      </c>
      <c r="S300" s="91">
        <v>8</v>
      </c>
      <c r="T300" s="91">
        <v>8</v>
      </c>
      <c r="U300" s="91">
        <v>8</v>
      </c>
      <c r="V300" s="91">
        <v>8</v>
      </c>
      <c r="W300" s="91">
        <v>8</v>
      </c>
      <c r="X300" s="91">
        <v>8</v>
      </c>
      <c r="Y300" s="91">
        <v>2</v>
      </c>
      <c r="Z300" s="91">
        <v>8</v>
      </c>
      <c r="AA300" s="91">
        <v>8</v>
      </c>
      <c r="AB300" s="91">
        <v>8</v>
      </c>
      <c r="AC300" s="91">
        <v>8</v>
      </c>
      <c r="AD300" s="91">
        <v>8</v>
      </c>
      <c r="AE300" s="91">
        <v>8</v>
      </c>
      <c r="AF300" s="91">
        <v>8</v>
      </c>
      <c r="AG300" s="91">
        <v>8</v>
      </c>
      <c r="AH300" s="91">
        <v>8</v>
      </c>
      <c r="AI300" s="91">
        <v>8</v>
      </c>
      <c r="AJ300" s="91">
        <v>8</v>
      </c>
      <c r="AK300" s="91">
        <v>8</v>
      </c>
      <c r="AL300" s="91">
        <v>8</v>
      </c>
      <c r="AM300" s="91">
        <v>8</v>
      </c>
      <c r="AN300" s="91">
        <v>8</v>
      </c>
      <c r="AO300" s="91">
        <v>8</v>
      </c>
      <c r="AP300" s="91">
        <v>8</v>
      </c>
      <c r="AQ300" s="91">
        <v>8</v>
      </c>
      <c r="AR300" s="91">
        <v>8</v>
      </c>
      <c r="AS300" s="91">
        <v>8</v>
      </c>
      <c r="AT300" s="91">
        <v>8</v>
      </c>
      <c r="AU300" s="91">
        <v>8</v>
      </c>
      <c r="AV300" s="91"/>
      <c r="AW300" s="91">
        <v>8</v>
      </c>
      <c r="AX300" s="91">
        <v>8</v>
      </c>
      <c r="AY300" s="91"/>
      <c r="AZ300" s="91">
        <v>8</v>
      </c>
      <c r="BA300" s="91">
        <v>8</v>
      </c>
      <c r="BB300" s="91"/>
      <c r="BC300" s="91"/>
      <c r="BD300" s="91">
        <v>14</v>
      </c>
      <c r="BE300" s="91">
        <v>8</v>
      </c>
      <c r="BF300" s="91">
        <v>15</v>
      </c>
      <c r="BG300" s="91">
        <v>12</v>
      </c>
      <c r="BH300" s="91"/>
    </row>
    <row r="301" spans="1:60" x14ac:dyDescent="0.25">
      <c r="A301" s="91" t="s">
        <v>469</v>
      </c>
      <c r="B301" s="129">
        <f t="shared" si="18"/>
        <v>379</v>
      </c>
      <c r="C301" s="91">
        <f t="shared" si="19"/>
        <v>44</v>
      </c>
      <c r="D301" s="130">
        <f t="shared" si="20"/>
        <v>0.88</v>
      </c>
      <c r="E301" s="131">
        <v>46225</v>
      </c>
      <c r="F301" s="131">
        <v>46282</v>
      </c>
      <c r="G301" s="91">
        <f t="shared" si="21"/>
        <v>57</v>
      </c>
      <c r="H301" s="91">
        <v>8</v>
      </c>
      <c r="I301" s="91">
        <v>8</v>
      </c>
      <c r="J301" s="91">
        <v>8</v>
      </c>
      <c r="K301" s="91">
        <v>8</v>
      </c>
      <c r="L301" s="91">
        <v>8</v>
      </c>
      <c r="M301" s="91"/>
      <c r="N301" s="91">
        <v>8</v>
      </c>
      <c r="O301" s="91">
        <v>8</v>
      </c>
      <c r="P301" s="91">
        <v>8</v>
      </c>
      <c r="Q301" s="91">
        <v>8</v>
      </c>
      <c r="R301" s="91">
        <v>8</v>
      </c>
      <c r="S301" s="91">
        <v>8</v>
      </c>
      <c r="T301" s="91">
        <v>8</v>
      </c>
      <c r="U301" s="91">
        <v>8</v>
      </c>
      <c r="V301" s="91">
        <v>8</v>
      </c>
      <c r="W301" s="91">
        <v>8</v>
      </c>
      <c r="X301" s="91">
        <v>8</v>
      </c>
      <c r="Y301" s="91"/>
      <c r="Z301" s="91">
        <v>8</v>
      </c>
      <c r="AA301" s="91">
        <v>8</v>
      </c>
      <c r="AB301" s="91">
        <v>8</v>
      </c>
      <c r="AC301" s="91">
        <v>8</v>
      </c>
      <c r="AD301" s="91">
        <v>8</v>
      </c>
      <c r="AE301" s="91">
        <v>8</v>
      </c>
      <c r="AF301" s="91">
        <v>8</v>
      </c>
      <c r="AG301" s="91">
        <v>8</v>
      </c>
      <c r="AH301" s="91">
        <v>8</v>
      </c>
      <c r="AI301" s="91">
        <v>8</v>
      </c>
      <c r="AJ301" s="91">
        <v>8</v>
      </c>
      <c r="AK301" s="91">
        <v>8</v>
      </c>
      <c r="AL301" s="91">
        <v>8</v>
      </c>
      <c r="AM301" s="91">
        <v>8</v>
      </c>
      <c r="AN301" s="91">
        <v>8</v>
      </c>
      <c r="AO301" s="91">
        <v>8</v>
      </c>
      <c r="AP301" s="91">
        <v>8</v>
      </c>
      <c r="AQ301" s="91">
        <v>8</v>
      </c>
      <c r="AR301" s="91">
        <v>8</v>
      </c>
      <c r="AS301" s="91">
        <v>8</v>
      </c>
      <c r="AT301" s="91">
        <v>8</v>
      </c>
      <c r="AU301" s="91">
        <v>8</v>
      </c>
      <c r="AV301" s="91"/>
      <c r="AW301" s="91">
        <v>8</v>
      </c>
      <c r="AX301" s="91">
        <v>8</v>
      </c>
      <c r="AY301" s="91"/>
      <c r="AZ301" s="91">
        <v>8</v>
      </c>
      <c r="BA301" s="91">
        <v>8</v>
      </c>
      <c r="BB301" s="91"/>
      <c r="BC301" s="91"/>
      <c r="BD301" s="91">
        <v>8</v>
      </c>
      <c r="BE301" s="91">
        <v>8</v>
      </c>
      <c r="BF301" s="91">
        <v>15</v>
      </c>
      <c r="BG301" s="91">
        <v>12</v>
      </c>
      <c r="BH301" s="91"/>
    </row>
    <row r="302" spans="1:60" x14ac:dyDescent="0.25">
      <c r="A302" s="91" t="s">
        <v>204</v>
      </c>
      <c r="B302" s="129">
        <f t="shared" si="18"/>
        <v>379</v>
      </c>
      <c r="C302" s="91">
        <f t="shared" si="19"/>
        <v>40</v>
      </c>
      <c r="D302" s="130">
        <f t="shared" si="20"/>
        <v>0.8</v>
      </c>
      <c r="E302" s="131">
        <v>46279</v>
      </c>
      <c r="F302" s="131">
        <v>46315</v>
      </c>
      <c r="G302" s="91">
        <f t="shared" si="21"/>
        <v>36</v>
      </c>
      <c r="H302" s="91"/>
      <c r="I302" s="91">
        <v>9</v>
      </c>
      <c r="J302" s="91">
        <v>9</v>
      </c>
      <c r="K302" s="91">
        <v>9</v>
      </c>
      <c r="L302" s="91">
        <v>9</v>
      </c>
      <c r="M302" s="91"/>
      <c r="N302" s="91">
        <v>9</v>
      </c>
      <c r="O302" s="91">
        <v>9</v>
      </c>
      <c r="P302" s="91">
        <v>8</v>
      </c>
      <c r="Q302" s="91">
        <v>9</v>
      </c>
      <c r="R302" s="91">
        <v>9</v>
      </c>
      <c r="S302" s="91">
        <v>9</v>
      </c>
      <c r="T302" s="91">
        <v>9</v>
      </c>
      <c r="U302" s="91">
        <v>9</v>
      </c>
      <c r="V302" s="91">
        <v>9</v>
      </c>
      <c r="W302" s="91">
        <v>9</v>
      </c>
      <c r="X302" s="91">
        <v>9</v>
      </c>
      <c r="Y302" s="91">
        <v>3</v>
      </c>
      <c r="Z302" s="91">
        <v>9</v>
      </c>
      <c r="AA302" s="91"/>
      <c r="AB302" s="91">
        <v>9</v>
      </c>
      <c r="AC302" s="91">
        <v>9</v>
      </c>
      <c r="AD302" s="91">
        <v>9</v>
      </c>
      <c r="AE302" s="91">
        <v>9</v>
      </c>
      <c r="AF302" s="91">
        <v>9</v>
      </c>
      <c r="AG302" s="91">
        <v>9</v>
      </c>
      <c r="AH302" s="91">
        <v>8</v>
      </c>
      <c r="AI302" s="91">
        <v>9</v>
      </c>
      <c r="AJ302" s="91">
        <v>9</v>
      </c>
      <c r="AK302" s="91"/>
      <c r="AL302" s="91">
        <v>8</v>
      </c>
      <c r="AM302" s="91">
        <v>8</v>
      </c>
      <c r="AN302" s="91">
        <v>8</v>
      </c>
      <c r="AO302" s="91">
        <v>9</v>
      </c>
      <c r="AP302" s="91">
        <v>9</v>
      </c>
      <c r="AQ302" s="91"/>
      <c r="AR302" s="91"/>
      <c r="AS302" s="91">
        <v>8</v>
      </c>
      <c r="AT302" s="91">
        <v>8</v>
      </c>
      <c r="AU302" s="91">
        <v>9</v>
      </c>
      <c r="AV302" s="91"/>
      <c r="AW302" s="91">
        <v>9</v>
      </c>
      <c r="AX302" s="91">
        <v>9</v>
      </c>
      <c r="AY302" s="91"/>
      <c r="AZ302" s="91"/>
      <c r="BA302" s="91"/>
      <c r="BB302" s="91">
        <v>9</v>
      </c>
      <c r="BC302" s="91">
        <v>9</v>
      </c>
      <c r="BD302" s="91">
        <v>9</v>
      </c>
      <c r="BE302" s="91">
        <v>9</v>
      </c>
      <c r="BF302" s="91">
        <v>16</v>
      </c>
      <c r="BG302" s="91">
        <v>16</v>
      </c>
      <c r="BH302" s="91"/>
    </row>
    <row r="303" spans="1:60" x14ac:dyDescent="0.25">
      <c r="A303" s="91" t="s">
        <v>573</v>
      </c>
      <c r="B303" s="129">
        <f t="shared" si="18"/>
        <v>378</v>
      </c>
      <c r="C303" s="91">
        <f t="shared" si="19"/>
        <v>47</v>
      </c>
      <c r="D303" s="130">
        <f t="shared" si="20"/>
        <v>0.94</v>
      </c>
      <c r="E303" s="131">
        <v>46262</v>
      </c>
      <c r="F303" s="131">
        <v>46267</v>
      </c>
      <c r="G303" s="91">
        <f t="shared" si="21"/>
        <v>5</v>
      </c>
      <c r="H303" s="91">
        <v>8</v>
      </c>
      <c r="I303" s="91">
        <v>8</v>
      </c>
      <c r="J303" s="91">
        <v>8</v>
      </c>
      <c r="K303" s="91">
        <v>8</v>
      </c>
      <c r="L303" s="91">
        <v>8</v>
      </c>
      <c r="M303" s="91"/>
      <c r="N303" s="91">
        <v>8</v>
      </c>
      <c r="O303" s="91">
        <v>8</v>
      </c>
      <c r="P303" s="91">
        <v>8</v>
      </c>
      <c r="Q303" s="91">
        <v>8</v>
      </c>
      <c r="R303" s="91">
        <v>8</v>
      </c>
      <c r="S303" s="91">
        <v>8</v>
      </c>
      <c r="T303" s="91">
        <v>8</v>
      </c>
      <c r="U303" s="91">
        <v>8</v>
      </c>
      <c r="V303" s="91">
        <v>8</v>
      </c>
      <c r="W303" s="91">
        <v>8</v>
      </c>
      <c r="X303" s="91">
        <v>8</v>
      </c>
      <c r="Y303" s="91"/>
      <c r="Z303" s="91">
        <v>8</v>
      </c>
      <c r="AA303" s="91">
        <v>8</v>
      </c>
      <c r="AB303" s="91">
        <v>8</v>
      </c>
      <c r="AC303" s="91">
        <v>8</v>
      </c>
      <c r="AD303" s="91">
        <v>8</v>
      </c>
      <c r="AE303" s="91">
        <v>8</v>
      </c>
      <c r="AF303" s="91">
        <v>8</v>
      </c>
      <c r="AG303" s="91">
        <v>8</v>
      </c>
      <c r="AH303" s="91">
        <v>8</v>
      </c>
      <c r="AI303" s="91">
        <v>8</v>
      </c>
      <c r="AJ303" s="91">
        <v>8</v>
      </c>
      <c r="AK303" s="91">
        <v>8</v>
      </c>
      <c r="AL303" s="91">
        <v>8</v>
      </c>
      <c r="AM303" s="91">
        <v>8</v>
      </c>
      <c r="AN303" s="91">
        <v>8</v>
      </c>
      <c r="AO303" s="91">
        <v>8</v>
      </c>
      <c r="AP303" s="91">
        <v>8</v>
      </c>
      <c r="AQ303" s="91">
        <v>8</v>
      </c>
      <c r="AR303" s="91">
        <v>8</v>
      </c>
      <c r="AS303" s="91">
        <v>8</v>
      </c>
      <c r="AT303" s="91">
        <v>8</v>
      </c>
      <c r="AU303" s="91">
        <v>8</v>
      </c>
      <c r="AV303" s="91">
        <v>8</v>
      </c>
      <c r="AW303" s="91">
        <v>8</v>
      </c>
      <c r="AX303" s="91">
        <v>8</v>
      </c>
      <c r="AY303" s="91"/>
      <c r="AZ303" s="91">
        <v>8</v>
      </c>
      <c r="BA303" s="91">
        <v>8</v>
      </c>
      <c r="BB303" s="91">
        <v>8</v>
      </c>
      <c r="BC303" s="91">
        <v>8</v>
      </c>
      <c r="BD303" s="91">
        <v>10</v>
      </c>
      <c r="BE303" s="91">
        <v>8</v>
      </c>
      <c r="BF303" s="91"/>
      <c r="BG303" s="91"/>
      <c r="BH303" s="91"/>
    </row>
    <row r="304" spans="1:60" x14ac:dyDescent="0.25">
      <c r="A304" s="91" t="s">
        <v>498</v>
      </c>
      <c r="B304" s="129">
        <f t="shared" si="18"/>
        <v>377</v>
      </c>
      <c r="C304" s="91">
        <f t="shared" si="19"/>
        <v>48</v>
      </c>
      <c r="D304" s="130">
        <f t="shared" si="20"/>
        <v>0.96</v>
      </c>
      <c r="E304" s="131">
        <v>46248</v>
      </c>
      <c r="F304" s="131">
        <v>46314</v>
      </c>
      <c r="G304" s="91">
        <f t="shared" si="21"/>
        <v>66</v>
      </c>
      <c r="H304" s="91">
        <v>8</v>
      </c>
      <c r="I304" s="91">
        <v>7</v>
      </c>
      <c r="J304" s="91">
        <v>8</v>
      </c>
      <c r="K304" s="91">
        <v>8</v>
      </c>
      <c r="L304" s="91">
        <v>6</v>
      </c>
      <c r="M304" s="91"/>
      <c r="N304" s="91">
        <v>8</v>
      </c>
      <c r="O304" s="91">
        <v>6</v>
      </c>
      <c r="P304" s="91">
        <v>8</v>
      </c>
      <c r="Q304" s="91">
        <v>8</v>
      </c>
      <c r="R304" s="91">
        <v>8</v>
      </c>
      <c r="S304" s="91">
        <v>6</v>
      </c>
      <c r="T304" s="91">
        <v>8</v>
      </c>
      <c r="U304" s="91">
        <v>8</v>
      </c>
      <c r="V304" s="91">
        <v>8</v>
      </c>
      <c r="W304" s="91">
        <v>8</v>
      </c>
      <c r="X304" s="91">
        <v>8</v>
      </c>
      <c r="Y304" s="91">
        <v>1</v>
      </c>
      <c r="Z304" s="91">
        <v>7</v>
      </c>
      <c r="AA304" s="91">
        <v>8</v>
      </c>
      <c r="AB304" s="91">
        <v>8</v>
      </c>
      <c r="AC304" s="91">
        <v>6</v>
      </c>
      <c r="AD304" s="91">
        <v>8</v>
      </c>
      <c r="AE304" s="91">
        <v>8</v>
      </c>
      <c r="AF304" s="91">
        <v>8</v>
      </c>
      <c r="AG304" s="91">
        <v>8</v>
      </c>
      <c r="AH304" s="91">
        <v>6</v>
      </c>
      <c r="AI304" s="91">
        <v>8</v>
      </c>
      <c r="AJ304" s="91">
        <v>8</v>
      </c>
      <c r="AK304" s="91">
        <v>8</v>
      </c>
      <c r="AL304" s="91">
        <v>6</v>
      </c>
      <c r="AM304" s="91">
        <v>8</v>
      </c>
      <c r="AN304" s="91">
        <v>8</v>
      </c>
      <c r="AO304" s="91">
        <v>8</v>
      </c>
      <c r="AP304" s="91">
        <v>8</v>
      </c>
      <c r="AQ304" s="91">
        <v>8</v>
      </c>
      <c r="AR304" s="91">
        <v>8</v>
      </c>
      <c r="AS304" s="91">
        <v>8</v>
      </c>
      <c r="AT304" s="91">
        <v>8</v>
      </c>
      <c r="AU304" s="91">
        <v>8</v>
      </c>
      <c r="AV304" s="91">
        <v>8</v>
      </c>
      <c r="AW304" s="91">
        <v>8</v>
      </c>
      <c r="AX304" s="91">
        <v>8</v>
      </c>
      <c r="AY304" s="91"/>
      <c r="AZ304" s="91">
        <v>8</v>
      </c>
      <c r="BA304" s="91">
        <v>8</v>
      </c>
      <c r="BB304" s="91">
        <v>8</v>
      </c>
      <c r="BC304" s="91">
        <v>8</v>
      </c>
      <c r="BD304" s="91">
        <v>8</v>
      </c>
      <c r="BE304" s="91">
        <v>8</v>
      </c>
      <c r="BF304" s="91"/>
      <c r="BG304" s="91">
        <v>14</v>
      </c>
      <c r="BH304" s="91"/>
    </row>
    <row r="305" spans="1:60" x14ac:dyDescent="0.25">
      <c r="A305" s="91" t="s">
        <v>381</v>
      </c>
      <c r="B305" s="129">
        <f t="shared" si="18"/>
        <v>377</v>
      </c>
      <c r="C305" s="91">
        <f t="shared" si="19"/>
        <v>49</v>
      </c>
      <c r="D305" s="130">
        <f t="shared" si="20"/>
        <v>0.98</v>
      </c>
      <c r="E305" s="131">
        <v>46262</v>
      </c>
      <c r="F305" s="131">
        <v>46301</v>
      </c>
      <c r="G305" s="91">
        <f t="shared" si="21"/>
        <v>39</v>
      </c>
      <c r="H305" s="91">
        <v>9</v>
      </c>
      <c r="I305" s="91">
        <v>7</v>
      </c>
      <c r="J305" s="91">
        <v>7</v>
      </c>
      <c r="K305" s="91">
        <v>7</v>
      </c>
      <c r="L305" s="91">
        <v>7</v>
      </c>
      <c r="M305" s="91">
        <v>5</v>
      </c>
      <c r="N305" s="91">
        <v>7</v>
      </c>
      <c r="O305" s="91">
        <v>7</v>
      </c>
      <c r="P305" s="91">
        <v>7</v>
      </c>
      <c r="Q305" s="91">
        <v>7</v>
      </c>
      <c r="R305" s="91">
        <v>7</v>
      </c>
      <c r="S305" s="91">
        <v>7</v>
      </c>
      <c r="T305" s="91">
        <v>7</v>
      </c>
      <c r="U305" s="91">
        <v>7</v>
      </c>
      <c r="V305" s="91">
        <v>7</v>
      </c>
      <c r="W305" s="91">
        <v>7</v>
      </c>
      <c r="X305" s="91">
        <v>7</v>
      </c>
      <c r="Y305" s="91">
        <v>2</v>
      </c>
      <c r="Z305" s="91">
        <v>7</v>
      </c>
      <c r="AA305" s="91">
        <v>7</v>
      </c>
      <c r="AB305" s="91">
        <v>7</v>
      </c>
      <c r="AC305" s="91">
        <v>7</v>
      </c>
      <c r="AD305" s="91">
        <v>14</v>
      </c>
      <c r="AE305" s="91">
        <v>7</v>
      </c>
      <c r="AF305" s="91">
        <v>7</v>
      </c>
      <c r="AG305" s="91">
        <v>7</v>
      </c>
      <c r="AH305" s="91">
        <v>7</v>
      </c>
      <c r="AI305" s="91">
        <v>7</v>
      </c>
      <c r="AJ305" s="91">
        <v>7</v>
      </c>
      <c r="AK305" s="91">
        <v>7</v>
      </c>
      <c r="AL305" s="91">
        <v>7</v>
      </c>
      <c r="AM305" s="91">
        <v>7</v>
      </c>
      <c r="AN305" s="91">
        <v>7</v>
      </c>
      <c r="AO305" s="91">
        <v>14</v>
      </c>
      <c r="AP305" s="91">
        <v>7</v>
      </c>
      <c r="AQ305" s="91">
        <v>7</v>
      </c>
      <c r="AR305" s="91">
        <v>7</v>
      </c>
      <c r="AS305" s="91">
        <v>7</v>
      </c>
      <c r="AT305" s="91">
        <v>7</v>
      </c>
      <c r="AU305" s="91">
        <v>7</v>
      </c>
      <c r="AV305" s="91">
        <v>7</v>
      </c>
      <c r="AW305" s="91">
        <v>7</v>
      </c>
      <c r="AX305" s="91">
        <v>7</v>
      </c>
      <c r="AY305" s="91"/>
      <c r="AZ305" s="91">
        <v>7</v>
      </c>
      <c r="BA305" s="91">
        <v>7</v>
      </c>
      <c r="BB305" s="91">
        <v>9</v>
      </c>
      <c r="BC305" s="91">
        <v>7</v>
      </c>
      <c r="BD305" s="91">
        <v>7</v>
      </c>
      <c r="BE305" s="91">
        <v>7</v>
      </c>
      <c r="BF305" s="91">
        <v>11</v>
      </c>
      <c r="BG305" s="91">
        <v>12</v>
      </c>
      <c r="BH305" s="91"/>
    </row>
    <row r="306" spans="1:60" x14ac:dyDescent="0.25">
      <c r="A306" s="91" t="s">
        <v>515</v>
      </c>
      <c r="B306" s="129">
        <f t="shared" si="18"/>
        <v>376</v>
      </c>
      <c r="C306" s="91">
        <f t="shared" si="19"/>
        <v>48</v>
      </c>
      <c r="D306" s="130">
        <f t="shared" si="20"/>
        <v>0.96</v>
      </c>
      <c r="E306" s="131">
        <v>46248</v>
      </c>
      <c r="F306" s="131">
        <v>46281</v>
      </c>
      <c r="G306" s="91">
        <f t="shared" si="21"/>
        <v>33</v>
      </c>
      <c r="H306" s="91">
        <v>8</v>
      </c>
      <c r="I306" s="91">
        <v>6</v>
      </c>
      <c r="J306" s="91">
        <v>7</v>
      </c>
      <c r="K306" s="91">
        <v>7</v>
      </c>
      <c r="L306" s="91">
        <v>7</v>
      </c>
      <c r="M306" s="91">
        <v>6</v>
      </c>
      <c r="N306" s="91">
        <v>7</v>
      </c>
      <c r="O306" s="91">
        <v>7</v>
      </c>
      <c r="P306" s="91">
        <v>6</v>
      </c>
      <c r="Q306" s="91">
        <v>8</v>
      </c>
      <c r="R306" s="91">
        <v>7</v>
      </c>
      <c r="S306" s="91">
        <v>6</v>
      </c>
      <c r="T306" s="91">
        <v>8</v>
      </c>
      <c r="U306" s="91">
        <v>7</v>
      </c>
      <c r="V306" s="91">
        <v>7</v>
      </c>
      <c r="W306" s="91">
        <v>8</v>
      </c>
      <c r="X306" s="91">
        <v>7</v>
      </c>
      <c r="Y306" s="91"/>
      <c r="Z306" s="91">
        <v>7</v>
      </c>
      <c r="AA306" s="91">
        <v>8</v>
      </c>
      <c r="AB306" s="91">
        <v>8</v>
      </c>
      <c r="AC306" s="91">
        <v>6</v>
      </c>
      <c r="AD306" s="91">
        <v>8</v>
      </c>
      <c r="AE306" s="91">
        <v>7</v>
      </c>
      <c r="AF306" s="91">
        <v>8</v>
      </c>
      <c r="AG306" s="91">
        <v>7</v>
      </c>
      <c r="AH306" s="91">
        <v>6</v>
      </c>
      <c r="AI306" s="91">
        <v>7</v>
      </c>
      <c r="AJ306" s="91">
        <v>7</v>
      </c>
      <c r="AK306" s="91">
        <v>6</v>
      </c>
      <c r="AL306" s="91">
        <v>7</v>
      </c>
      <c r="AM306" s="91">
        <v>6</v>
      </c>
      <c r="AN306" s="91">
        <v>6</v>
      </c>
      <c r="AO306" s="91">
        <v>8</v>
      </c>
      <c r="AP306" s="91">
        <v>6</v>
      </c>
      <c r="AQ306" s="91">
        <v>8</v>
      </c>
      <c r="AR306" s="91">
        <v>7</v>
      </c>
      <c r="AS306" s="91">
        <v>8</v>
      </c>
      <c r="AT306" s="91">
        <v>8</v>
      </c>
      <c r="AU306" s="91">
        <v>7</v>
      </c>
      <c r="AV306" s="91">
        <v>8</v>
      </c>
      <c r="AW306" s="91">
        <v>8</v>
      </c>
      <c r="AX306" s="91">
        <v>7</v>
      </c>
      <c r="AY306" s="91"/>
      <c r="AZ306" s="91">
        <v>8</v>
      </c>
      <c r="BA306" s="91">
        <v>7</v>
      </c>
      <c r="BB306" s="91">
        <v>8</v>
      </c>
      <c r="BC306" s="91">
        <v>10</v>
      </c>
      <c r="BD306" s="91">
        <v>8</v>
      </c>
      <c r="BE306" s="91">
        <v>7</v>
      </c>
      <c r="BF306" s="91">
        <v>16</v>
      </c>
      <c r="BG306" s="91">
        <v>14</v>
      </c>
      <c r="BH306" s="91"/>
    </row>
    <row r="307" spans="1:60" x14ac:dyDescent="0.25">
      <c r="A307" s="91" t="s">
        <v>344</v>
      </c>
      <c r="B307" s="129">
        <f t="shared" si="18"/>
        <v>375</v>
      </c>
      <c r="C307" s="91">
        <f t="shared" si="19"/>
        <v>44</v>
      </c>
      <c r="D307" s="130">
        <f t="shared" si="20"/>
        <v>0.88</v>
      </c>
      <c r="E307" s="131">
        <v>46225</v>
      </c>
      <c r="F307" s="131">
        <v>46310</v>
      </c>
      <c r="G307" s="91">
        <f t="shared" si="21"/>
        <v>85</v>
      </c>
      <c r="H307" s="91">
        <v>8</v>
      </c>
      <c r="I307" s="91">
        <v>8</v>
      </c>
      <c r="J307" s="91">
        <v>8</v>
      </c>
      <c r="K307" s="91">
        <v>8</v>
      </c>
      <c r="L307" s="91">
        <v>8</v>
      </c>
      <c r="M307" s="91"/>
      <c r="N307" s="91">
        <v>8</v>
      </c>
      <c r="O307" s="91">
        <v>9</v>
      </c>
      <c r="P307" s="91">
        <v>8</v>
      </c>
      <c r="Q307" s="91">
        <v>8</v>
      </c>
      <c r="R307" s="91">
        <v>8</v>
      </c>
      <c r="S307" s="91">
        <v>9</v>
      </c>
      <c r="T307" s="91">
        <v>8</v>
      </c>
      <c r="U307" s="91"/>
      <c r="V307" s="91">
        <v>8</v>
      </c>
      <c r="W307" s="91">
        <v>8</v>
      </c>
      <c r="X307" s="91">
        <v>8</v>
      </c>
      <c r="Y307" s="91">
        <v>2</v>
      </c>
      <c r="Z307" s="91">
        <v>8</v>
      </c>
      <c r="AA307" s="91">
        <v>8</v>
      </c>
      <c r="AB307" s="91">
        <v>8</v>
      </c>
      <c r="AC307" s="91">
        <v>8</v>
      </c>
      <c r="AD307" s="91">
        <v>8</v>
      </c>
      <c r="AE307" s="91">
        <v>8</v>
      </c>
      <c r="AF307" s="91">
        <v>8</v>
      </c>
      <c r="AG307" s="91">
        <v>8</v>
      </c>
      <c r="AH307" s="91">
        <v>8</v>
      </c>
      <c r="AI307" s="91">
        <v>8</v>
      </c>
      <c r="AJ307" s="91">
        <v>8</v>
      </c>
      <c r="AK307" s="91">
        <v>8</v>
      </c>
      <c r="AL307" s="91">
        <v>8</v>
      </c>
      <c r="AM307" s="91">
        <v>8</v>
      </c>
      <c r="AN307" s="91">
        <v>8</v>
      </c>
      <c r="AO307" s="91">
        <v>8</v>
      </c>
      <c r="AP307" s="91">
        <v>8</v>
      </c>
      <c r="AQ307" s="91">
        <v>8</v>
      </c>
      <c r="AR307" s="91">
        <v>8</v>
      </c>
      <c r="AS307" s="91">
        <v>8</v>
      </c>
      <c r="AT307" s="91">
        <v>8</v>
      </c>
      <c r="AU307" s="91">
        <v>8</v>
      </c>
      <c r="AV307" s="91"/>
      <c r="AW307" s="91">
        <v>8</v>
      </c>
      <c r="AX307" s="91">
        <v>8</v>
      </c>
      <c r="AY307" s="91"/>
      <c r="AZ307" s="91"/>
      <c r="BA307" s="91">
        <v>8</v>
      </c>
      <c r="BB307" s="91">
        <v>8</v>
      </c>
      <c r="BC307" s="91">
        <v>8</v>
      </c>
      <c r="BD307" s="91">
        <v>8</v>
      </c>
      <c r="BE307" s="91"/>
      <c r="BF307" s="91">
        <v>15</v>
      </c>
      <c r="BG307" s="91">
        <v>12</v>
      </c>
      <c r="BH307" s="91"/>
    </row>
    <row r="308" spans="1:60" x14ac:dyDescent="0.25">
      <c r="A308" s="91" t="s">
        <v>534</v>
      </c>
      <c r="B308" s="129">
        <f t="shared" si="18"/>
        <v>375</v>
      </c>
      <c r="C308" s="91">
        <f t="shared" si="19"/>
        <v>49</v>
      </c>
      <c r="D308" s="130">
        <f t="shared" si="20"/>
        <v>0.98</v>
      </c>
      <c r="E308" s="131">
        <v>46248</v>
      </c>
      <c r="F308" s="131">
        <v>46310</v>
      </c>
      <c r="G308" s="91">
        <f t="shared" si="21"/>
        <v>62</v>
      </c>
      <c r="H308" s="91">
        <v>8</v>
      </c>
      <c r="I308" s="91">
        <v>6</v>
      </c>
      <c r="J308" s="91">
        <v>7</v>
      </c>
      <c r="K308" s="91">
        <v>7</v>
      </c>
      <c r="L308" s="91">
        <v>10</v>
      </c>
      <c r="M308" s="91">
        <v>4</v>
      </c>
      <c r="N308" s="91">
        <v>7</v>
      </c>
      <c r="O308" s="91">
        <v>7</v>
      </c>
      <c r="P308" s="91">
        <v>6</v>
      </c>
      <c r="Q308" s="91">
        <v>7</v>
      </c>
      <c r="R308" s="91">
        <v>7</v>
      </c>
      <c r="S308" s="91">
        <v>6</v>
      </c>
      <c r="T308" s="91">
        <v>8</v>
      </c>
      <c r="U308" s="91">
        <v>7</v>
      </c>
      <c r="V308" s="91">
        <v>7</v>
      </c>
      <c r="W308" s="91">
        <v>8</v>
      </c>
      <c r="X308" s="91">
        <v>7</v>
      </c>
      <c r="Y308" s="91">
        <v>4</v>
      </c>
      <c r="Z308" s="91">
        <v>7</v>
      </c>
      <c r="AA308" s="91">
        <v>10</v>
      </c>
      <c r="AB308" s="91">
        <v>8</v>
      </c>
      <c r="AC308" s="91">
        <v>6</v>
      </c>
      <c r="AD308" s="91">
        <v>8</v>
      </c>
      <c r="AE308" s="91">
        <v>7</v>
      </c>
      <c r="AF308" s="91">
        <v>8</v>
      </c>
      <c r="AG308" s="91">
        <v>7</v>
      </c>
      <c r="AH308" s="91">
        <v>6</v>
      </c>
      <c r="AI308" s="91">
        <v>7</v>
      </c>
      <c r="AJ308" s="91">
        <v>7</v>
      </c>
      <c r="AK308" s="91">
        <v>6</v>
      </c>
      <c r="AL308" s="91">
        <v>7</v>
      </c>
      <c r="AM308" s="91">
        <v>6</v>
      </c>
      <c r="AN308" s="91">
        <v>6</v>
      </c>
      <c r="AO308" s="91">
        <v>8</v>
      </c>
      <c r="AP308" s="91">
        <v>6</v>
      </c>
      <c r="AQ308" s="91">
        <v>8</v>
      </c>
      <c r="AR308" s="91">
        <v>7</v>
      </c>
      <c r="AS308" s="91">
        <v>10</v>
      </c>
      <c r="AT308" s="91">
        <v>10</v>
      </c>
      <c r="AU308" s="91">
        <v>7</v>
      </c>
      <c r="AV308" s="91">
        <v>8</v>
      </c>
      <c r="AW308" s="91">
        <v>10</v>
      </c>
      <c r="AX308" s="91">
        <v>7</v>
      </c>
      <c r="AY308" s="91"/>
      <c r="AZ308" s="91">
        <v>10</v>
      </c>
      <c r="BA308" s="91">
        <v>8</v>
      </c>
      <c r="BB308" s="91">
        <v>8</v>
      </c>
      <c r="BC308" s="91">
        <v>10</v>
      </c>
      <c r="BD308" s="91">
        <v>8</v>
      </c>
      <c r="BE308" s="91">
        <v>7</v>
      </c>
      <c r="BF308" s="91"/>
      <c r="BG308" s="91">
        <v>14</v>
      </c>
      <c r="BH308" s="91"/>
    </row>
    <row r="309" spans="1:60" x14ac:dyDescent="0.25">
      <c r="A309" s="91" t="s">
        <v>449</v>
      </c>
      <c r="B309" s="129">
        <f t="shared" si="18"/>
        <v>375</v>
      </c>
      <c r="C309" s="91">
        <f t="shared" si="19"/>
        <v>44</v>
      </c>
      <c r="D309" s="130">
        <f t="shared" si="20"/>
        <v>0.88</v>
      </c>
      <c r="E309" s="131">
        <v>46258</v>
      </c>
      <c r="F309" s="131">
        <v>46310</v>
      </c>
      <c r="G309" s="91">
        <f t="shared" si="21"/>
        <v>52</v>
      </c>
      <c r="H309" s="91">
        <v>8</v>
      </c>
      <c r="I309" s="91">
        <v>8</v>
      </c>
      <c r="J309" s="91">
        <v>8</v>
      </c>
      <c r="K309" s="91">
        <v>8</v>
      </c>
      <c r="L309" s="91">
        <v>8</v>
      </c>
      <c r="M309" s="91"/>
      <c r="N309" s="91">
        <v>8</v>
      </c>
      <c r="O309" s="91">
        <v>8</v>
      </c>
      <c r="P309" s="91">
        <v>8</v>
      </c>
      <c r="Q309" s="91"/>
      <c r="R309" s="91">
        <v>10</v>
      </c>
      <c r="S309" s="91">
        <v>8</v>
      </c>
      <c r="T309" s="91">
        <v>8</v>
      </c>
      <c r="U309" s="91">
        <v>8</v>
      </c>
      <c r="V309" s="91">
        <v>8</v>
      </c>
      <c r="W309" s="91">
        <v>8</v>
      </c>
      <c r="X309" s="91">
        <v>8</v>
      </c>
      <c r="Y309" s="91">
        <v>1</v>
      </c>
      <c r="Z309" s="91">
        <v>8</v>
      </c>
      <c r="AA309" s="91">
        <v>8</v>
      </c>
      <c r="AB309" s="91">
        <v>8</v>
      </c>
      <c r="AC309" s="91">
        <v>8</v>
      </c>
      <c r="AD309" s="91">
        <v>8</v>
      </c>
      <c r="AE309" s="91">
        <v>8</v>
      </c>
      <c r="AF309" s="91">
        <v>8</v>
      </c>
      <c r="AG309" s="91">
        <v>8</v>
      </c>
      <c r="AH309" s="91">
        <v>8</v>
      </c>
      <c r="AI309" s="91">
        <v>8</v>
      </c>
      <c r="AJ309" s="91">
        <v>8</v>
      </c>
      <c r="AK309" s="91">
        <v>8</v>
      </c>
      <c r="AL309" s="91">
        <v>8</v>
      </c>
      <c r="AM309" s="91">
        <v>8</v>
      </c>
      <c r="AN309" s="91">
        <v>8</v>
      </c>
      <c r="AO309" s="91">
        <v>8</v>
      </c>
      <c r="AP309" s="91">
        <v>8</v>
      </c>
      <c r="AQ309" s="91">
        <v>8</v>
      </c>
      <c r="AR309" s="91">
        <v>8</v>
      </c>
      <c r="AS309" s="91">
        <v>8</v>
      </c>
      <c r="AT309" s="91">
        <v>8</v>
      </c>
      <c r="AU309" s="91">
        <v>8</v>
      </c>
      <c r="AV309" s="91"/>
      <c r="AW309" s="91">
        <v>8</v>
      </c>
      <c r="AX309" s="91">
        <v>8</v>
      </c>
      <c r="AY309" s="91"/>
      <c r="AZ309" s="91">
        <v>8</v>
      </c>
      <c r="BA309" s="91">
        <v>8</v>
      </c>
      <c r="BB309" s="91"/>
      <c r="BC309" s="91"/>
      <c r="BD309" s="91">
        <v>8</v>
      </c>
      <c r="BE309" s="91">
        <v>8</v>
      </c>
      <c r="BF309" s="91">
        <v>14</v>
      </c>
      <c r="BG309" s="91">
        <v>14</v>
      </c>
      <c r="BH309" s="91"/>
    </row>
    <row r="310" spans="1:60" x14ac:dyDescent="0.25">
      <c r="A310" s="91" t="s">
        <v>500</v>
      </c>
      <c r="B310" s="129">
        <f t="shared" si="18"/>
        <v>373</v>
      </c>
      <c r="C310" s="91">
        <f t="shared" si="19"/>
        <v>48</v>
      </c>
      <c r="D310" s="130">
        <f t="shared" si="20"/>
        <v>0.96</v>
      </c>
      <c r="E310" s="131">
        <v>46245</v>
      </c>
      <c r="F310" s="131">
        <v>46262</v>
      </c>
      <c r="G310" s="91">
        <f t="shared" si="21"/>
        <v>17</v>
      </c>
      <c r="H310" s="91">
        <v>8</v>
      </c>
      <c r="I310" s="91">
        <v>8</v>
      </c>
      <c r="J310" s="91">
        <v>8</v>
      </c>
      <c r="K310" s="91">
        <v>8</v>
      </c>
      <c r="L310" s="91">
        <v>8</v>
      </c>
      <c r="M310" s="91">
        <v>6</v>
      </c>
      <c r="N310" s="91">
        <v>8</v>
      </c>
      <c r="O310" s="91">
        <v>8</v>
      </c>
      <c r="P310" s="91">
        <v>8</v>
      </c>
      <c r="Q310" s="91">
        <v>7</v>
      </c>
      <c r="R310" s="91">
        <v>8</v>
      </c>
      <c r="S310" s="91">
        <v>8</v>
      </c>
      <c r="T310" s="91">
        <v>8</v>
      </c>
      <c r="U310" s="91">
        <v>7</v>
      </c>
      <c r="V310" s="91">
        <v>8</v>
      </c>
      <c r="W310" s="91">
        <v>8</v>
      </c>
      <c r="X310" s="91">
        <v>8</v>
      </c>
      <c r="Y310" s="91"/>
      <c r="Z310" s="91">
        <v>8</v>
      </c>
      <c r="AA310" s="91">
        <v>7</v>
      </c>
      <c r="AB310" s="91">
        <v>8</v>
      </c>
      <c r="AC310" s="91">
        <v>8</v>
      </c>
      <c r="AD310" s="91">
        <v>8</v>
      </c>
      <c r="AE310" s="91">
        <v>7</v>
      </c>
      <c r="AF310" s="91">
        <v>8</v>
      </c>
      <c r="AG310" s="91">
        <v>8</v>
      </c>
      <c r="AH310" s="91">
        <v>8</v>
      </c>
      <c r="AI310" s="91">
        <v>8</v>
      </c>
      <c r="AJ310" s="91">
        <v>8</v>
      </c>
      <c r="AK310" s="91">
        <v>7</v>
      </c>
      <c r="AL310" s="91">
        <v>8</v>
      </c>
      <c r="AM310" s="91">
        <v>8</v>
      </c>
      <c r="AN310" s="91">
        <v>8</v>
      </c>
      <c r="AO310" s="91">
        <v>8</v>
      </c>
      <c r="AP310" s="91">
        <v>8</v>
      </c>
      <c r="AQ310" s="91">
        <v>8</v>
      </c>
      <c r="AR310" s="91">
        <v>7</v>
      </c>
      <c r="AS310" s="91">
        <v>7</v>
      </c>
      <c r="AT310" s="91">
        <v>8</v>
      </c>
      <c r="AU310" s="91">
        <v>7</v>
      </c>
      <c r="AV310" s="91">
        <v>7</v>
      </c>
      <c r="AW310" s="91">
        <v>7</v>
      </c>
      <c r="AX310" s="91">
        <v>7</v>
      </c>
      <c r="AY310" s="91"/>
      <c r="AZ310" s="91">
        <v>7</v>
      </c>
      <c r="BA310" s="91">
        <v>7</v>
      </c>
      <c r="BB310" s="91">
        <v>7</v>
      </c>
      <c r="BC310" s="91">
        <v>7</v>
      </c>
      <c r="BD310" s="91">
        <v>7</v>
      </c>
      <c r="BE310" s="91">
        <v>7</v>
      </c>
      <c r="BF310" s="91">
        <v>1</v>
      </c>
      <c r="BG310" s="91">
        <v>7</v>
      </c>
      <c r="BH310" s="91"/>
    </row>
    <row r="311" spans="1:60" x14ac:dyDescent="0.25">
      <c r="A311" s="91" t="s">
        <v>351</v>
      </c>
      <c r="B311" s="129">
        <f t="shared" si="18"/>
        <v>371</v>
      </c>
      <c r="C311" s="91">
        <f t="shared" si="19"/>
        <v>43</v>
      </c>
      <c r="D311" s="130">
        <f t="shared" si="20"/>
        <v>0.86</v>
      </c>
      <c r="E311" s="131">
        <v>46225</v>
      </c>
      <c r="F311" s="131">
        <v>46282</v>
      </c>
      <c r="G311" s="91">
        <f t="shared" si="21"/>
        <v>57</v>
      </c>
      <c r="H311" s="91">
        <v>8</v>
      </c>
      <c r="I311" s="91">
        <v>8</v>
      </c>
      <c r="J311" s="91">
        <v>8</v>
      </c>
      <c r="K311" s="91">
        <v>8</v>
      </c>
      <c r="L311" s="91">
        <v>8</v>
      </c>
      <c r="M311" s="91"/>
      <c r="N311" s="91">
        <v>8</v>
      </c>
      <c r="O311" s="91">
        <v>8</v>
      </c>
      <c r="P311" s="91">
        <v>8</v>
      </c>
      <c r="Q311" s="91"/>
      <c r="R311" s="91">
        <v>8</v>
      </c>
      <c r="S311" s="91">
        <v>8</v>
      </c>
      <c r="T311" s="91">
        <v>8</v>
      </c>
      <c r="U311" s="91">
        <v>8</v>
      </c>
      <c r="V311" s="91">
        <v>8</v>
      </c>
      <c r="W311" s="91">
        <v>8</v>
      </c>
      <c r="X311" s="91">
        <v>8</v>
      </c>
      <c r="Y311" s="91"/>
      <c r="Z311" s="91">
        <v>8</v>
      </c>
      <c r="AA311" s="91">
        <v>8</v>
      </c>
      <c r="AB311" s="91">
        <v>8</v>
      </c>
      <c r="AC311" s="91">
        <v>8</v>
      </c>
      <c r="AD311" s="91">
        <v>8</v>
      </c>
      <c r="AE311" s="91">
        <v>8</v>
      </c>
      <c r="AF311" s="91">
        <v>8</v>
      </c>
      <c r="AG311" s="91">
        <v>8</v>
      </c>
      <c r="AH311" s="91">
        <v>8</v>
      </c>
      <c r="AI311" s="91">
        <v>8</v>
      </c>
      <c r="AJ311" s="91">
        <v>8</v>
      </c>
      <c r="AK311" s="91">
        <v>8</v>
      </c>
      <c r="AL311" s="91">
        <v>8</v>
      </c>
      <c r="AM311" s="91">
        <v>8</v>
      </c>
      <c r="AN311" s="91">
        <v>8</v>
      </c>
      <c r="AO311" s="91">
        <v>8</v>
      </c>
      <c r="AP311" s="91">
        <v>8</v>
      </c>
      <c r="AQ311" s="91">
        <v>8</v>
      </c>
      <c r="AR311" s="91">
        <v>8</v>
      </c>
      <c r="AS311" s="91">
        <v>8</v>
      </c>
      <c r="AT311" s="91">
        <v>8</v>
      </c>
      <c r="AU311" s="91">
        <v>8</v>
      </c>
      <c r="AV311" s="91"/>
      <c r="AW311" s="91">
        <v>8</v>
      </c>
      <c r="AX311" s="91">
        <v>8</v>
      </c>
      <c r="AY311" s="91"/>
      <c r="AZ311" s="91">
        <v>8</v>
      </c>
      <c r="BA311" s="91">
        <v>8</v>
      </c>
      <c r="BB311" s="91"/>
      <c r="BC311" s="91"/>
      <c r="BD311" s="91">
        <v>8</v>
      </c>
      <c r="BE311" s="91">
        <v>8</v>
      </c>
      <c r="BF311" s="91">
        <v>15</v>
      </c>
      <c r="BG311" s="91">
        <v>12</v>
      </c>
      <c r="BH311" s="91"/>
    </row>
    <row r="312" spans="1:60" x14ac:dyDescent="0.25">
      <c r="A312" s="91" t="s">
        <v>417</v>
      </c>
      <c r="B312" s="129">
        <f t="shared" si="18"/>
        <v>371</v>
      </c>
      <c r="C312" s="91">
        <f t="shared" si="19"/>
        <v>42</v>
      </c>
      <c r="D312" s="130">
        <f t="shared" si="20"/>
        <v>0.84</v>
      </c>
      <c r="E312" s="131">
        <v>46255</v>
      </c>
      <c r="F312" s="131">
        <v>46267</v>
      </c>
      <c r="G312" s="91">
        <f t="shared" si="21"/>
        <v>12</v>
      </c>
      <c r="H312" s="91">
        <v>8</v>
      </c>
      <c r="I312" s="91"/>
      <c r="J312" s="91">
        <v>8</v>
      </c>
      <c r="K312" s="91">
        <v>8</v>
      </c>
      <c r="L312" s="91">
        <v>8</v>
      </c>
      <c r="M312" s="91"/>
      <c r="N312" s="91">
        <v>8</v>
      </c>
      <c r="O312" s="91">
        <v>8</v>
      </c>
      <c r="P312" s="91">
        <v>8</v>
      </c>
      <c r="Q312" s="91">
        <v>8</v>
      </c>
      <c r="R312" s="91">
        <v>8</v>
      </c>
      <c r="S312" s="91">
        <v>8</v>
      </c>
      <c r="T312" s="91">
        <v>8</v>
      </c>
      <c r="U312" s="91">
        <v>8</v>
      </c>
      <c r="V312" s="91">
        <v>8</v>
      </c>
      <c r="W312" s="91">
        <v>8</v>
      </c>
      <c r="X312" s="91">
        <v>8</v>
      </c>
      <c r="Y312" s="91"/>
      <c r="Z312" s="91"/>
      <c r="AA312" s="91"/>
      <c r="AB312" s="91">
        <v>8</v>
      </c>
      <c r="AC312" s="91">
        <v>8</v>
      </c>
      <c r="AD312" s="91">
        <v>8</v>
      </c>
      <c r="AE312" s="91">
        <v>8</v>
      </c>
      <c r="AF312" s="91">
        <v>8</v>
      </c>
      <c r="AG312" s="91">
        <v>8</v>
      </c>
      <c r="AH312" s="91">
        <v>8</v>
      </c>
      <c r="AI312" s="91">
        <v>8</v>
      </c>
      <c r="AJ312" s="91">
        <v>8</v>
      </c>
      <c r="AK312" s="91">
        <v>8</v>
      </c>
      <c r="AL312" s="91">
        <v>8</v>
      </c>
      <c r="AM312" s="91">
        <v>8</v>
      </c>
      <c r="AN312" s="91">
        <v>8</v>
      </c>
      <c r="AO312" s="91">
        <v>8</v>
      </c>
      <c r="AP312" s="91">
        <v>8</v>
      </c>
      <c r="AQ312" s="91"/>
      <c r="AR312" s="91">
        <v>8</v>
      </c>
      <c r="AS312" s="91">
        <v>8</v>
      </c>
      <c r="AT312" s="91">
        <v>8</v>
      </c>
      <c r="AU312" s="91"/>
      <c r="AV312" s="91">
        <v>10</v>
      </c>
      <c r="AW312" s="91">
        <v>8</v>
      </c>
      <c r="AX312" s="91">
        <v>8</v>
      </c>
      <c r="AY312" s="91"/>
      <c r="AZ312" s="91">
        <v>8</v>
      </c>
      <c r="BA312" s="91">
        <v>8</v>
      </c>
      <c r="BB312" s="91">
        <v>10</v>
      </c>
      <c r="BC312" s="91">
        <v>10</v>
      </c>
      <c r="BD312" s="91">
        <v>10</v>
      </c>
      <c r="BE312" s="91">
        <v>8</v>
      </c>
      <c r="BF312" s="91">
        <v>13</v>
      </c>
      <c r="BG312" s="91">
        <v>14</v>
      </c>
      <c r="BH312" s="91"/>
    </row>
    <row r="313" spans="1:60" x14ac:dyDescent="0.25">
      <c r="A313" s="91" t="s">
        <v>380</v>
      </c>
      <c r="B313" s="129">
        <f t="shared" si="18"/>
        <v>369</v>
      </c>
      <c r="C313" s="91">
        <f t="shared" si="19"/>
        <v>48</v>
      </c>
      <c r="D313" s="130">
        <f t="shared" si="20"/>
        <v>0.96</v>
      </c>
      <c r="E313" s="131">
        <v>46279</v>
      </c>
      <c r="F313" s="131">
        <v>46301</v>
      </c>
      <c r="G313" s="91">
        <f t="shared" si="21"/>
        <v>22</v>
      </c>
      <c r="H313" s="91">
        <v>7</v>
      </c>
      <c r="I313" s="91">
        <v>7</v>
      </c>
      <c r="J313" s="91">
        <v>7</v>
      </c>
      <c r="K313" s="91">
        <v>7</v>
      </c>
      <c r="L313" s="91">
        <v>7</v>
      </c>
      <c r="M313" s="91"/>
      <c r="N313" s="91">
        <v>7</v>
      </c>
      <c r="O313" s="91">
        <v>7</v>
      </c>
      <c r="P313" s="91">
        <v>7</v>
      </c>
      <c r="Q313" s="91">
        <v>7</v>
      </c>
      <c r="R313" s="91">
        <v>7</v>
      </c>
      <c r="S313" s="91">
        <v>7</v>
      </c>
      <c r="T313" s="91">
        <v>7</v>
      </c>
      <c r="U313" s="91">
        <v>7</v>
      </c>
      <c r="V313" s="91">
        <v>7</v>
      </c>
      <c r="W313" s="91">
        <v>7</v>
      </c>
      <c r="X313" s="91">
        <v>7</v>
      </c>
      <c r="Y313" s="91">
        <v>1</v>
      </c>
      <c r="Z313" s="91">
        <v>7</v>
      </c>
      <c r="AA313" s="91">
        <v>7</v>
      </c>
      <c r="AB313" s="91">
        <v>7</v>
      </c>
      <c r="AC313" s="91">
        <v>7</v>
      </c>
      <c r="AD313" s="91">
        <v>14</v>
      </c>
      <c r="AE313" s="91">
        <v>7</v>
      </c>
      <c r="AF313" s="91">
        <v>7</v>
      </c>
      <c r="AG313" s="91">
        <v>7</v>
      </c>
      <c r="AH313" s="91">
        <v>7</v>
      </c>
      <c r="AI313" s="91">
        <v>7</v>
      </c>
      <c r="AJ313" s="91">
        <v>7</v>
      </c>
      <c r="AK313" s="91">
        <v>7</v>
      </c>
      <c r="AL313" s="91">
        <v>7</v>
      </c>
      <c r="AM313" s="91">
        <v>7</v>
      </c>
      <c r="AN313" s="91">
        <v>7</v>
      </c>
      <c r="AO313" s="91">
        <v>14</v>
      </c>
      <c r="AP313" s="91">
        <v>7</v>
      </c>
      <c r="AQ313" s="91">
        <v>7</v>
      </c>
      <c r="AR313" s="91">
        <v>7</v>
      </c>
      <c r="AS313" s="91">
        <v>7</v>
      </c>
      <c r="AT313" s="91">
        <v>7</v>
      </c>
      <c r="AU313" s="91">
        <v>7</v>
      </c>
      <c r="AV313" s="91">
        <v>7</v>
      </c>
      <c r="AW313" s="91">
        <v>7</v>
      </c>
      <c r="AX313" s="91">
        <v>7</v>
      </c>
      <c r="AY313" s="91"/>
      <c r="AZ313" s="91">
        <v>7</v>
      </c>
      <c r="BA313" s="91">
        <v>7</v>
      </c>
      <c r="BB313" s="91">
        <v>7</v>
      </c>
      <c r="BC313" s="91">
        <v>7</v>
      </c>
      <c r="BD313" s="91">
        <v>7</v>
      </c>
      <c r="BE313" s="91">
        <v>7</v>
      </c>
      <c r="BF313" s="91">
        <v>13</v>
      </c>
      <c r="BG313" s="91">
        <v>12</v>
      </c>
      <c r="BH313" s="91"/>
    </row>
    <row r="314" spans="1:60" x14ac:dyDescent="0.25">
      <c r="A314" s="91" t="s">
        <v>78</v>
      </c>
      <c r="B314" s="129">
        <f t="shared" si="18"/>
        <v>367</v>
      </c>
      <c r="C314" s="91">
        <f t="shared" si="19"/>
        <v>37</v>
      </c>
      <c r="D314" s="130">
        <f t="shared" si="20"/>
        <v>0.74</v>
      </c>
      <c r="E314" s="131">
        <v>46317</v>
      </c>
      <c r="F314" s="131">
        <v>46317</v>
      </c>
      <c r="G314" s="91">
        <f t="shared" si="21"/>
        <v>0</v>
      </c>
      <c r="H314" s="91">
        <v>8</v>
      </c>
      <c r="I314" s="91"/>
      <c r="J314" s="91">
        <v>8</v>
      </c>
      <c r="K314" s="91">
        <v>8</v>
      </c>
      <c r="L314" s="91">
        <v>8</v>
      </c>
      <c r="M314" s="91"/>
      <c r="N314" s="91">
        <v>8</v>
      </c>
      <c r="O314" s="91">
        <v>8</v>
      </c>
      <c r="P314" s="91">
        <v>8</v>
      </c>
      <c r="Q314" s="91">
        <v>8</v>
      </c>
      <c r="R314" s="91">
        <v>8</v>
      </c>
      <c r="S314" s="91">
        <v>16</v>
      </c>
      <c r="T314" s="91">
        <v>8</v>
      </c>
      <c r="U314" s="91"/>
      <c r="V314" s="91">
        <v>8</v>
      </c>
      <c r="W314" s="91">
        <v>8</v>
      </c>
      <c r="X314" s="91">
        <v>8</v>
      </c>
      <c r="Y314" s="91">
        <v>9</v>
      </c>
      <c r="Z314" s="91"/>
      <c r="AA314" s="91"/>
      <c r="AB314" s="91">
        <v>8</v>
      </c>
      <c r="AC314" s="91">
        <v>8</v>
      </c>
      <c r="AD314" s="91">
        <v>8</v>
      </c>
      <c r="AE314" s="91"/>
      <c r="AF314" s="91">
        <v>8</v>
      </c>
      <c r="AG314" s="91">
        <v>8</v>
      </c>
      <c r="AH314" s="91">
        <v>8</v>
      </c>
      <c r="AI314" s="91">
        <v>8</v>
      </c>
      <c r="AJ314" s="91">
        <v>8</v>
      </c>
      <c r="AK314" s="91"/>
      <c r="AL314" s="91">
        <v>8</v>
      </c>
      <c r="AM314" s="91">
        <v>8</v>
      </c>
      <c r="AN314" s="91">
        <v>8</v>
      </c>
      <c r="AO314" s="91">
        <v>8</v>
      </c>
      <c r="AP314" s="91">
        <v>8</v>
      </c>
      <c r="AQ314" s="91"/>
      <c r="AR314" s="91"/>
      <c r="AS314" s="91">
        <v>8</v>
      </c>
      <c r="AT314" s="91">
        <v>8</v>
      </c>
      <c r="AU314" s="91">
        <v>8</v>
      </c>
      <c r="AV314" s="91">
        <v>8</v>
      </c>
      <c r="AW314" s="91">
        <v>8</v>
      </c>
      <c r="AX314" s="91"/>
      <c r="AY314" s="91"/>
      <c r="AZ314" s="91"/>
      <c r="BA314" s="91"/>
      <c r="BB314" s="91">
        <v>8</v>
      </c>
      <c r="BC314" s="91">
        <v>8</v>
      </c>
      <c r="BD314" s="91">
        <v>8</v>
      </c>
      <c r="BE314" s="91">
        <v>8</v>
      </c>
      <c r="BF314" s="91">
        <v>31</v>
      </c>
      <c r="BG314" s="91">
        <v>31</v>
      </c>
      <c r="BH314" s="91"/>
    </row>
    <row r="315" spans="1:60" x14ac:dyDescent="0.25">
      <c r="A315" s="91" t="s">
        <v>257</v>
      </c>
      <c r="B315" s="129">
        <f t="shared" si="18"/>
        <v>365</v>
      </c>
      <c r="C315" s="91">
        <f t="shared" si="19"/>
        <v>43</v>
      </c>
      <c r="D315" s="130">
        <f t="shared" si="20"/>
        <v>0.86</v>
      </c>
      <c r="E315" s="131">
        <v>46287</v>
      </c>
      <c r="F315" s="131">
        <v>46317</v>
      </c>
      <c r="G315" s="91">
        <f t="shared" si="21"/>
        <v>30</v>
      </c>
      <c r="H315" s="91">
        <v>8</v>
      </c>
      <c r="I315" s="91">
        <v>8</v>
      </c>
      <c r="J315" s="91">
        <v>8</v>
      </c>
      <c r="K315" s="91">
        <v>8</v>
      </c>
      <c r="L315" s="91">
        <v>8</v>
      </c>
      <c r="M315" s="91"/>
      <c r="N315" s="91">
        <v>8</v>
      </c>
      <c r="O315" s="91">
        <v>8</v>
      </c>
      <c r="P315" s="91">
        <v>8</v>
      </c>
      <c r="Q315" s="91"/>
      <c r="R315" s="91">
        <v>8</v>
      </c>
      <c r="S315" s="91">
        <v>8</v>
      </c>
      <c r="T315" s="91">
        <v>8</v>
      </c>
      <c r="U315" s="91">
        <v>8</v>
      </c>
      <c r="V315" s="91">
        <v>8</v>
      </c>
      <c r="W315" s="91">
        <v>8</v>
      </c>
      <c r="X315" s="91">
        <v>8</v>
      </c>
      <c r="Y315" s="91">
        <v>1</v>
      </c>
      <c r="Z315" s="91">
        <v>8</v>
      </c>
      <c r="AA315" s="91">
        <v>8</v>
      </c>
      <c r="AB315" s="91">
        <v>8</v>
      </c>
      <c r="AC315" s="91">
        <v>8</v>
      </c>
      <c r="AD315" s="91">
        <v>8</v>
      </c>
      <c r="AE315" s="91">
        <v>8</v>
      </c>
      <c r="AF315" s="91">
        <v>8</v>
      </c>
      <c r="AG315" s="91">
        <v>8</v>
      </c>
      <c r="AH315" s="91">
        <v>8</v>
      </c>
      <c r="AI315" s="91">
        <v>8</v>
      </c>
      <c r="AJ315" s="91">
        <v>8</v>
      </c>
      <c r="AK315" s="91">
        <v>8</v>
      </c>
      <c r="AL315" s="91">
        <v>8</v>
      </c>
      <c r="AM315" s="91">
        <v>8</v>
      </c>
      <c r="AN315" s="91">
        <v>8</v>
      </c>
      <c r="AO315" s="91">
        <v>8</v>
      </c>
      <c r="AP315" s="91">
        <v>8</v>
      </c>
      <c r="AQ315" s="91">
        <v>8</v>
      </c>
      <c r="AR315" s="91">
        <v>8</v>
      </c>
      <c r="AS315" s="91">
        <v>8</v>
      </c>
      <c r="AT315" s="91">
        <v>8</v>
      </c>
      <c r="AU315" s="91">
        <v>8</v>
      </c>
      <c r="AV315" s="91"/>
      <c r="AW315" s="91">
        <v>8</v>
      </c>
      <c r="AX315" s="91">
        <v>8</v>
      </c>
      <c r="AY315" s="91"/>
      <c r="AZ315" s="91">
        <v>8</v>
      </c>
      <c r="BA315" s="91">
        <v>8</v>
      </c>
      <c r="BB315" s="91">
        <v>8</v>
      </c>
      <c r="BC315" s="91"/>
      <c r="BD315" s="91"/>
      <c r="BE315" s="91"/>
      <c r="BF315" s="91">
        <v>14</v>
      </c>
      <c r="BG315" s="91">
        <v>14</v>
      </c>
      <c r="BH315" s="91"/>
    </row>
    <row r="316" spans="1:60" x14ac:dyDescent="0.25">
      <c r="A316" s="91" t="s">
        <v>340</v>
      </c>
      <c r="B316" s="129">
        <f t="shared" si="18"/>
        <v>363</v>
      </c>
      <c r="C316" s="91">
        <f t="shared" si="19"/>
        <v>49</v>
      </c>
      <c r="D316" s="130">
        <f t="shared" si="20"/>
        <v>0.98</v>
      </c>
      <c r="E316" s="131">
        <v>46274</v>
      </c>
      <c r="F316" s="131">
        <v>46310</v>
      </c>
      <c r="G316" s="91">
        <f t="shared" si="21"/>
        <v>36</v>
      </c>
      <c r="H316" s="91">
        <v>7</v>
      </c>
      <c r="I316" s="91">
        <v>7</v>
      </c>
      <c r="J316" s="91">
        <v>7</v>
      </c>
      <c r="K316" s="91">
        <v>7</v>
      </c>
      <c r="L316" s="91">
        <v>7</v>
      </c>
      <c r="M316" s="91">
        <v>5</v>
      </c>
      <c r="N316" s="91">
        <v>7</v>
      </c>
      <c r="O316" s="91">
        <v>7</v>
      </c>
      <c r="P316" s="91">
        <v>7</v>
      </c>
      <c r="Q316" s="91">
        <v>7</v>
      </c>
      <c r="R316" s="91">
        <v>9</v>
      </c>
      <c r="S316" s="91">
        <v>7</v>
      </c>
      <c r="T316" s="91">
        <v>7</v>
      </c>
      <c r="U316" s="91">
        <v>7</v>
      </c>
      <c r="V316" s="91">
        <v>7</v>
      </c>
      <c r="W316" s="91">
        <v>7</v>
      </c>
      <c r="X316" s="91">
        <v>7</v>
      </c>
      <c r="Y316" s="91">
        <v>1</v>
      </c>
      <c r="Z316" s="91">
        <v>7</v>
      </c>
      <c r="AA316" s="91">
        <v>7</v>
      </c>
      <c r="AB316" s="91">
        <v>7</v>
      </c>
      <c r="AC316" s="91">
        <v>7</v>
      </c>
      <c r="AD316" s="91">
        <v>7</v>
      </c>
      <c r="AE316" s="91">
        <v>7</v>
      </c>
      <c r="AF316" s="91">
        <v>7</v>
      </c>
      <c r="AG316" s="91">
        <v>7</v>
      </c>
      <c r="AH316" s="91">
        <v>7</v>
      </c>
      <c r="AI316" s="91">
        <v>7</v>
      </c>
      <c r="AJ316" s="91">
        <v>7</v>
      </c>
      <c r="AK316" s="91">
        <v>7</v>
      </c>
      <c r="AL316" s="91">
        <v>7</v>
      </c>
      <c r="AM316" s="91">
        <v>7</v>
      </c>
      <c r="AN316" s="91">
        <v>7</v>
      </c>
      <c r="AO316" s="91">
        <v>7</v>
      </c>
      <c r="AP316" s="91">
        <v>7</v>
      </c>
      <c r="AQ316" s="91">
        <v>7</v>
      </c>
      <c r="AR316" s="91">
        <v>7</v>
      </c>
      <c r="AS316" s="91">
        <v>7</v>
      </c>
      <c r="AT316" s="91">
        <v>7</v>
      </c>
      <c r="AU316" s="91">
        <v>7</v>
      </c>
      <c r="AV316" s="91">
        <v>7</v>
      </c>
      <c r="AW316" s="91">
        <v>7</v>
      </c>
      <c r="AX316" s="91">
        <v>7</v>
      </c>
      <c r="AY316" s="91"/>
      <c r="AZ316" s="91">
        <v>7</v>
      </c>
      <c r="BA316" s="91">
        <v>7</v>
      </c>
      <c r="BB316" s="91">
        <v>7</v>
      </c>
      <c r="BC316" s="91">
        <v>7</v>
      </c>
      <c r="BD316" s="91">
        <v>7</v>
      </c>
      <c r="BE316" s="91">
        <v>7</v>
      </c>
      <c r="BF316" s="91">
        <v>13</v>
      </c>
      <c r="BG316" s="91">
        <v>13</v>
      </c>
      <c r="BH316" s="91"/>
    </row>
    <row r="317" spans="1:60" x14ac:dyDescent="0.25">
      <c r="A317" s="91" t="s">
        <v>280</v>
      </c>
      <c r="B317" s="129">
        <f t="shared" si="18"/>
        <v>361</v>
      </c>
      <c r="C317" s="91">
        <f t="shared" si="19"/>
        <v>48</v>
      </c>
      <c r="D317" s="130">
        <f t="shared" si="20"/>
        <v>0.96</v>
      </c>
      <c r="E317" s="131">
        <v>46254</v>
      </c>
      <c r="F317" s="131">
        <v>46282</v>
      </c>
      <c r="G317" s="91">
        <f t="shared" si="21"/>
        <v>28</v>
      </c>
      <c r="H317" s="91">
        <v>7</v>
      </c>
      <c r="I317" s="91">
        <v>7</v>
      </c>
      <c r="J317" s="91">
        <v>7</v>
      </c>
      <c r="K317" s="91">
        <v>7</v>
      </c>
      <c r="L317" s="91">
        <v>7</v>
      </c>
      <c r="M317" s="91">
        <v>6</v>
      </c>
      <c r="N317" s="91">
        <v>7</v>
      </c>
      <c r="O317" s="91">
        <v>7</v>
      </c>
      <c r="P317" s="91">
        <v>7</v>
      </c>
      <c r="Q317" s="91">
        <v>7</v>
      </c>
      <c r="R317" s="91">
        <v>7</v>
      </c>
      <c r="S317" s="91">
        <v>7</v>
      </c>
      <c r="T317" s="91">
        <v>7</v>
      </c>
      <c r="U317" s="91">
        <v>7</v>
      </c>
      <c r="V317" s="91">
        <v>7</v>
      </c>
      <c r="W317" s="91">
        <v>7</v>
      </c>
      <c r="X317" s="91">
        <v>7</v>
      </c>
      <c r="Y317" s="91"/>
      <c r="Z317" s="91">
        <v>7</v>
      </c>
      <c r="AA317" s="91">
        <v>7</v>
      </c>
      <c r="AB317" s="91">
        <v>7</v>
      </c>
      <c r="AC317" s="91">
        <v>7</v>
      </c>
      <c r="AD317" s="91">
        <v>7</v>
      </c>
      <c r="AE317" s="91">
        <v>7</v>
      </c>
      <c r="AF317" s="91">
        <v>7</v>
      </c>
      <c r="AG317" s="91">
        <v>7</v>
      </c>
      <c r="AH317" s="91">
        <v>7</v>
      </c>
      <c r="AI317" s="91">
        <v>7</v>
      </c>
      <c r="AJ317" s="91">
        <v>7</v>
      </c>
      <c r="AK317" s="91">
        <v>7</v>
      </c>
      <c r="AL317" s="91">
        <v>7</v>
      </c>
      <c r="AM317" s="91">
        <v>7</v>
      </c>
      <c r="AN317" s="91">
        <v>7</v>
      </c>
      <c r="AO317" s="91">
        <v>7</v>
      </c>
      <c r="AP317" s="91">
        <v>7</v>
      </c>
      <c r="AQ317" s="91">
        <v>7</v>
      </c>
      <c r="AR317" s="91">
        <v>7</v>
      </c>
      <c r="AS317" s="91">
        <v>7</v>
      </c>
      <c r="AT317" s="91">
        <v>7</v>
      </c>
      <c r="AU317" s="91">
        <v>7</v>
      </c>
      <c r="AV317" s="91">
        <v>7</v>
      </c>
      <c r="AW317" s="91">
        <v>7</v>
      </c>
      <c r="AX317" s="91">
        <v>7</v>
      </c>
      <c r="AY317" s="91"/>
      <c r="AZ317" s="91">
        <v>7</v>
      </c>
      <c r="BA317" s="91">
        <v>7</v>
      </c>
      <c r="BB317" s="91">
        <v>7</v>
      </c>
      <c r="BC317" s="91">
        <v>7</v>
      </c>
      <c r="BD317" s="91">
        <v>7</v>
      </c>
      <c r="BE317" s="91">
        <v>7</v>
      </c>
      <c r="BF317" s="91">
        <v>14</v>
      </c>
      <c r="BG317" s="91">
        <v>12</v>
      </c>
      <c r="BH317" s="91"/>
    </row>
    <row r="318" spans="1:60" x14ac:dyDescent="0.25">
      <c r="A318" s="91" t="s">
        <v>260</v>
      </c>
      <c r="B318" s="129">
        <f t="shared" si="18"/>
        <v>361</v>
      </c>
      <c r="C318" s="91">
        <f t="shared" si="19"/>
        <v>49</v>
      </c>
      <c r="D318" s="130">
        <f t="shared" si="20"/>
        <v>0.98</v>
      </c>
      <c r="E318" s="131">
        <v>46266</v>
      </c>
      <c r="F318" s="131">
        <v>46302</v>
      </c>
      <c r="G318" s="91">
        <f t="shared" si="21"/>
        <v>36</v>
      </c>
      <c r="H318" s="91">
        <v>7</v>
      </c>
      <c r="I318" s="91">
        <v>7</v>
      </c>
      <c r="J318" s="91">
        <v>7</v>
      </c>
      <c r="K318" s="91">
        <v>7</v>
      </c>
      <c r="L318" s="91">
        <v>7</v>
      </c>
      <c r="M318" s="91">
        <v>5</v>
      </c>
      <c r="N318" s="91">
        <v>7</v>
      </c>
      <c r="O318" s="91">
        <v>7</v>
      </c>
      <c r="P318" s="91">
        <v>7</v>
      </c>
      <c r="Q318" s="91">
        <v>7</v>
      </c>
      <c r="R318" s="91">
        <v>7</v>
      </c>
      <c r="S318" s="91">
        <v>7</v>
      </c>
      <c r="T318" s="91">
        <v>7</v>
      </c>
      <c r="U318" s="91">
        <v>7</v>
      </c>
      <c r="V318" s="91">
        <v>7</v>
      </c>
      <c r="W318" s="91">
        <v>7</v>
      </c>
      <c r="X318" s="91">
        <v>7</v>
      </c>
      <c r="Y318" s="91">
        <v>1</v>
      </c>
      <c r="Z318" s="91">
        <v>7</v>
      </c>
      <c r="AA318" s="91">
        <v>7</v>
      </c>
      <c r="AB318" s="91">
        <v>7</v>
      </c>
      <c r="AC318" s="91">
        <v>7</v>
      </c>
      <c r="AD318" s="91">
        <v>7</v>
      </c>
      <c r="AE318" s="91">
        <v>7</v>
      </c>
      <c r="AF318" s="91">
        <v>7</v>
      </c>
      <c r="AG318" s="91">
        <v>7</v>
      </c>
      <c r="AH318" s="91">
        <v>7</v>
      </c>
      <c r="AI318" s="91">
        <v>7</v>
      </c>
      <c r="AJ318" s="91">
        <v>7</v>
      </c>
      <c r="AK318" s="91">
        <v>7</v>
      </c>
      <c r="AL318" s="91">
        <v>7</v>
      </c>
      <c r="AM318" s="91">
        <v>7</v>
      </c>
      <c r="AN318" s="91">
        <v>7</v>
      </c>
      <c r="AO318" s="91">
        <v>7</v>
      </c>
      <c r="AP318" s="91">
        <v>7</v>
      </c>
      <c r="AQ318" s="91">
        <v>7</v>
      </c>
      <c r="AR318" s="91">
        <v>7</v>
      </c>
      <c r="AS318" s="91">
        <v>7</v>
      </c>
      <c r="AT318" s="91">
        <v>7</v>
      </c>
      <c r="AU318" s="91">
        <v>7</v>
      </c>
      <c r="AV318" s="91">
        <v>7</v>
      </c>
      <c r="AW318" s="91">
        <v>7</v>
      </c>
      <c r="AX318" s="91">
        <v>7</v>
      </c>
      <c r="AY318" s="91"/>
      <c r="AZ318" s="91">
        <v>7</v>
      </c>
      <c r="BA318" s="91">
        <v>7</v>
      </c>
      <c r="BB318" s="91">
        <v>7</v>
      </c>
      <c r="BC318" s="91">
        <v>7</v>
      </c>
      <c r="BD318" s="91">
        <v>7</v>
      </c>
      <c r="BE318" s="91">
        <v>7</v>
      </c>
      <c r="BF318" s="91">
        <v>14</v>
      </c>
      <c r="BG318" s="91">
        <v>12</v>
      </c>
      <c r="BH318" s="91"/>
    </row>
    <row r="319" spans="1:60" x14ac:dyDescent="0.25">
      <c r="A319" s="91" t="s">
        <v>431</v>
      </c>
      <c r="B319" s="129">
        <f t="shared" si="18"/>
        <v>360</v>
      </c>
      <c r="C319" s="91">
        <f t="shared" si="19"/>
        <v>48</v>
      </c>
      <c r="D319" s="130">
        <f t="shared" si="20"/>
        <v>0.96</v>
      </c>
      <c r="E319" s="131">
        <v>46219</v>
      </c>
      <c r="F319" s="131">
        <v>46310</v>
      </c>
      <c r="G319" s="91">
        <f t="shared" si="21"/>
        <v>91</v>
      </c>
      <c r="H319" s="91">
        <v>7</v>
      </c>
      <c r="I319" s="91">
        <v>7</v>
      </c>
      <c r="J319" s="91">
        <v>7</v>
      </c>
      <c r="K319" s="91">
        <v>7</v>
      </c>
      <c r="L319" s="91">
        <v>7</v>
      </c>
      <c r="M319" s="91"/>
      <c r="N319" s="91">
        <v>7</v>
      </c>
      <c r="O319" s="91">
        <v>7</v>
      </c>
      <c r="P319" s="91">
        <v>7</v>
      </c>
      <c r="Q319" s="91">
        <v>7</v>
      </c>
      <c r="R319" s="91">
        <v>7</v>
      </c>
      <c r="S319" s="91">
        <v>7</v>
      </c>
      <c r="T319" s="91">
        <v>7</v>
      </c>
      <c r="U319" s="91">
        <v>7</v>
      </c>
      <c r="V319" s="91">
        <v>7</v>
      </c>
      <c r="W319" s="91">
        <v>7</v>
      </c>
      <c r="X319" s="91">
        <v>7</v>
      </c>
      <c r="Y319" s="91">
        <v>5</v>
      </c>
      <c r="Z319" s="91">
        <v>7</v>
      </c>
      <c r="AA319" s="91">
        <v>7</v>
      </c>
      <c r="AB319" s="91">
        <v>7</v>
      </c>
      <c r="AC319" s="91">
        <v>7</v>
      </c>
      <c r="AD319" s="91">
        <v>7</v>
      </c>
      <c r="AE319" s="91">
        <v>7</v>
      </c>
      <c r="AF319" s="91">
        <v>7</v>
      </c>
      <c r="AG319" s="91">
        <v>7</v>
      </c>
      <c r="AH319" s="91">
        <v>7</v>
      </c>
      <c r="AI319" s="91">
        <v>7</v>
      </c>
      <c r="AJ319" s="91">
        <v>7</v>
      </c>
      <c r="AK319" s="91">
        <v>7</v>
      </c>
      <c r="AL319" s="91">
        <v>7</v>
      </c>
      <c r="AM319" s="91">
        <v>7</v>
      </c>
      <c r="AN319" s="91">
        <v>7</v>
      </c>
      <c r="AO319" s="91">
        <v>7</v>
      </c>
      <c r="AP319" s="91">
        <v>7</v>
      </c>
      <c r="AQ319" s="91">
        <v>7</v>
      </c>
      <c r="AR319" s="91">
        <v>7</v>
      </c>
      <c r="AS319" s="91">
        <v>7</v>
      </c>
      <c r="AT319" s="91">
        <v>7</v>
      </c>
      <c r="AU319" s="91">
        <v>7</v>
      </c>
      <c r="AV319" s="91">
        <v>7</v>
      </c>
      <c r="AW319" s="91">
        <v>7</v>
      </c>
      <c r="AX319" s="91">
        <v>7</v>
      </c>
      <c r="AY319" s="91"/>
      <c r="AZ319" s="91">
        <v>7</v>
      </c>
      <c r="BA319" s="91">
        <v>7</v>
      </c>
      <c r="BB319" s="91">
        <v>7</v>
      </c>
      <c r="BC319" s="91">
        <v>7</v>
      </c>
      <c r="BD319" s="91">
        <v>7</v>
      </c>
      <c r="BE319" s="91">
        <v>7</v>
      </c>
      <c r="BF319" s="91">
        <v>14</v>
      </c>
      <c r="BG319" s="91">
        <v>12</v>
      </c>
      <c r="BH319" s="91"/>
    </row>
    <row r="320" spans="1:60" x14ac:dyDescent="0.25">
      <c r="A320" s="91" t="s">
        <v>325</v>
      </c>
      <c r="B320" s="129">
        <f t="shared" si="18"/>
        <v>358</v>
      </c>
      <c r="C320" s="91">
        <f t="shared" si="19"/>
        <v>48</v>
      </c>
      <c r="D320" s="130">
        <f t="shared" si="20"/>
        <v>0.96</v>
      </c>
      <c r="E320" s="131">
        <v>46245</v>
      </c>
      <c r="F320" s="131">
        <v>46302</v>
      </c>
      <c r="G320" s="91">
        <f t="shared" si="21"/>
        <v>57</v>
      </c>
      <c r="H320" s="91">
        <v>7</v>
      </c>
      <c r="I320" s="91">
        <v>7</v>
      </c>
      <c r="J320" s="91">
        <v>7</v>
      </c>
      <c r="K320" s="91">
        <v>7</v>
      </c>
      <c r="L320" s="91">
        <v>7</v>
      </c>
      <c r="M320" s="91"/>
      <c r="N320" s="91">
        <v>7</v>
      </c>
      <c r="O320" s="91">
        <v>7</v>
      </c>
      <c r="P320" s="91">
        <v>7</v>
      </c>
      <c r="Q320" s="91">
        <v>7</v>
      </c>
      <c r="R320" s="91">
        <v>7</v>
      </c>
      <c r="S320" s="91">
        <v>7</v>
      </c>
      <c r="T320" s="91">
        <v>7</v>
      </c>
      <c r="U320" s="91">
        <v>7</v>
      </c>
      <c r="V320" s="91">
        <v>7</v>
      </c>
      <c r="W320" s="91">
        <v>7</v>
      </c>
      <c r="X320" s="91">
        <v>7</v>
      </c>
      <c r="Y320" s="91">
        <v>2</v>
      </c>
      <c r="Z320" s="91">
        <v>7</v>
      </c>
      <c r="AA320" s="91">
        <v>7</v>
      </c>
      <c r="AB320" s="91">
        <v>7</v>
      </c>
      <c r="AC320" s="91">
        <v>7</v>
      </c>
      <c r="AD320" s="91">
        <v>7</v>
      </c>
      <c r="AE320" s="91">
        <v>7</v>
      </c>
      <c r="AF320" s="91">
        <v>7</v>
      </c>
      <c r="AG320" s="91">
        <v>7</v>
      </c>
      <c r="AH320" s="91">
        <v>7</v>
      </c>
      <c r="AI320" s="91">
        <v>7</v>
      </c>
      <c r="AJ320" s="91">
        <v>7</v>
      </c>
      <c r="AK320" s="91">
        <v>7</v>
      </c>
      <c r="AL320" s="91">
        <v>7</v>
      </c>
      <c r="AM320" s="91">
        <v>7</v>
      </c>
      <c r="AN320" s="91">
        <v>7</v>
      </c>
      <c r="AO320" s="91">
        <v>7</v>
      </c>
      <c r="AP320" s="91">
        <v>7</v>
      </c>
      <c r="AQ320" s="91">
        <v>7</v>
      </c>
      <c r="AR320" s="91">
        <v>7</v>
      </c>
      <c r="AS320" s="91">
        <v>7</v>
      </c>
      <c r="AT320" s="91">
        <v>8</v>
      </c>
      <c r="AU320" s="91">
        <v>7</v>
      </c>
      <c r="AV320" s="91">
        <v>7</v>
      </c>
      <c r="AW320" s="91">
        <v>7</v>
      </c>
      <c r="AX320" s="91">
        <v>7</v>
      </c>
      <c r="AY320" s="91"/>
      <c r="AZ320" s="91">
        <v>7</v>
      </c>
      <c r="BA320" s="91">
        <v>7</v>
      </c>
      <c r="BB320" s="91">
        <v>7</v>
      </c>
      <c r="BC320" s="91">
        <v>7</v>
      </c>
      <c r="BD320" s="91">
        <v>7</v>
      </c>
      <c r="BE320" s="91">
        <v>7</v>
      </c>
      <c r="BF320" s="91">
        <v>14</v>
      </c>
      <c r="BG320" s="91">
        <v>12</v>
      </c>
      <c r="BH320" s="91"/>
    </row>
    <row r="321" spans="1:60" x14ac:dyDescent="0.25">
      <c r="A321" s="91" t="s">
        <v>349</v>
      </c>
      <c r="B321" s="129">
        <f t="shared" si="18"/>
        <v>358</v>
      </c>
      <c r="C321" s="91">
        <f t="shared" si="19"/>
        <v>48</v>
      </c>
      <c r="D321" s="130">
        <f t="shared" si="20"/>
        <v>0.96</v>
      </c>
      <c r="E321" s="131">
        <v>46282</v>
      </c>
      <c r="F321" s="131">
        <v>46322</v>
      </c>
      <c r="G321" s="91">
        <f t="shared" si="21"/>
        <v>40</v>
      </c>
      <c r="H321" s="91">
        <v>7</v>
      </c>
      <c r="I321" s="91">
        <v>7</v>
      </c>
      <c r="J321" s="91">
        <v>7</v>
      </c>
      <c r="K321" s="91">
        <v>7</v>
      </c>
      <c r="L321" s="91">
        <v>7</v>
      </c>
      <c r="M321" s="91"/>
      <c r="N321" s="91">
        <v>7</v>
      </c>
      <c r="O321" s="91">
        <v>7</v>
      </c>
      <c r="P321" s="91">
        <v>7</v>
      </c>
      <c r="Q321" s="91">
        <v>7</v>
      </c>
      <c r="R321" s="91">
        <v>7</v>
      </c>
      <c r="S321" s="91">
        <v>7</v>
      </c>
      <c r="T321" s="91">
        <v>7</v>
      </c>
      <c r="U321" s="91">
        <v>7</v>
      </c>
      <c r="V321" s="91">
        <v>7</v>
      </c>
      <c r="W321" s="91">
        <v>7</v>
      </c>
      <c r="X321" s="91">
        <v>7</v>
      </c>
      <c r="Y321" s="91">
        <v>1</v>
      </c>
      <c r="Z321" s="91">
        <v>7</v>
      </c>
      <c r="AA321" s="91">
        <v>7</v>
      </c>
      <c r="AB321" s="91">
        <v>7</v>
      </c>
      <c r="AC321" s="91">
        <v>7</v>
      </c>
      <c r="AD321" s="91">
        <v>7</v>
      </c>
      <c r="AE321" s="91">
        <v>7</v>
      </c>
      <c r="AF321" s="91">
        <v>7</v>
      </c>
      <c r="AG321" s="91">
        <v>7</v>
      </c>
      <c r="AH321" s="91">
        <v>7</v>
      </c>
      <c r="AI321" s="91">
        <v>7</v>
      </c>
      <c r="AJ321" s="91">
        <v>7</v>
      </c>
      <c r="AK321" s="91">
        <v>7</v>
      </c>
      <c r="AL321" s="91">
        <v>7</v>
      </c>
      <c r="AM321" s="91">
        <v>7</v>
      </c>
      <c r="AN321" s="91">
        <v>7</v>
      </c>
      <c r="AO321" s="91">
        <v>7</v>
      </c>
      <c r="AP321" s="91">
        <v>7</v>
      </c>
      <c r="AQ321" s="91">
        <v>7</v>
      </c>
      <c r="AR321" s="91">
        <v>7</v>
      </c>
      <c r="AS321" s="91">
        <v>7</v>
      </c>
      <c r="AT321" s="91">
        <v>7</v>
      </c>
      <c r="AU321" s="91">
        <v>7</v>
      </c>
      <c r="AV321" s="91">
        <v>7</v>
      </c>
      <c r="AW321" s="91">
        <v>7</v>
      </c>
      <c r="AX321" s="91">
        <v>7</v>
      </c>
      <c r="AY321" s="91"/>
      <c r="AZ321" s="91">
        <v>7</v>
      </c>
      <c r="BA321" s="91">
        <v>7</v>
      </c>
      <c r="BB321" s="91">
        <v>7</v>
      </c>
      <c r="BC321" s="91">
        <v>7</v>
      </c>
      <c r="BD321" s="91">
        <v>7</v>
      </c>
      <c r="BE321" s="91">
        <v>7</v>
      </c>
      <c r="BF321" s="91">
        <v>14</v>
      </c>
      <c r="BG321" s="91">
        <v>14</v>
      </c>
      <c r="BH321" s="91"/>
    </row>
    <row r="322" spans="1:60" x14ac:dyDescent="0.25">
      <c r="A322" s="91" t="s">
        <v>375</v>
      </c>
      <c r="B322" s="129">
        <f t="shared" si="18"/>
        <v>358</v>
      </c>
      <c r="C322" s="91">
        <f t="shared" si="19"/>
        <v>48</v>
      </c>
      <c r="D322" s="130">
        <f t="shared" si="20"/>
        <v>0.96</v>
      </c>
      <c r="E322" s="131">
        <v>46282</v>
      </c>
      <c r="F322" s="131">
        <v>46310</v>
      </c>
      <c r="G322" s="91">
        <f t="shared" si="21"/>
        <v>28</v>
      </c>
      <c r="H322" s="91">
        <v>7</v>
      </c>
      <c r="I322" s="91">
        <v>7</v>
      </c>
      <c r="J322" s="91">
        <v>7</v>
      </c>
      <c r="K322" s="91">
        <v>7</v>
      </c>
      <c r="L322" s="91">
        <v>7</v>
      </c>
      <c r="M322" s="91"/>
      <c r="N322" s="91">
        <v>7</v>
      </c>
      <c r="O322" s="91">
        <v>7</v>
      </c>
      <c r="P322" s="91">
        <v>7</v>
      </c>
      <c r="Q322" s="91">
        <v>7</v>
      </c>
      <c r="R322" s="91">
        <v>7</v>
      </c>
      <c r="S322" s="91">
        <v>7</v>
      </c>
      <c r="T322" s="91">
        <v>7</v>
      </c>
      <c r="U322" s="91">
        <v>7</v>
      </c>
      <c r="V322" s="91">
        <v>7</v>
      </c>
      <c r="W322" s="91">
        <v>7</v>
      </c>
      <c r="X322" s="91">
        <v>7</v>
      </c>
      <c r="Y322" s="91">
        <v>1</v>
      </c>
      <c r="Z322" s="91">
        <v>7</v>
      </c>
      <c r="AA322" s="91">
        <v>7</v>
      </c>
      <c r="AB322" s="91">
        <v>7</v>
      </c>
      <c r="AC322" s="91">
        <v>7</v>
      </c>
      <c r="AD322" s="91">
        <v>7</v>
      </c>
      <c r="AE322" s="91">
        <v>7</v>
      </c>
      <c r="AF322" s="91">
        <v>7</v>
      </c>
      <c r="AG322" s="91">
        <v>7</v>
      </c>
      <c r="AH322" s="91">
        <v>7</v>
      </c>
      <c r="AI322" s="91">
        <v>7</v>
      </c>
      <c r="AJ322" s="91">
        <v>7</v>
      </c>
      <c r="AK322" s="91">
        <v>7</v>
      </c>
      <c r="AL322" s="91">
        <v>7</v>
      </c>
      <c r="AM322" s="91">
        <v>7</v>
      </c>
      <c r="AN322" s="91">
        <v>7</v>
      </c>
      <c r="AO322" s="91">
        <v>7</v>
      </c>
      <c r="AP322" s="91">
        <v>7</v>
      </c>
      <c r="AQ322" s="91">
        <v>7</v>
      </c>
      <c r="AR322" s="91">
        <v>7</v>
      </c>
      <c r="AS322" s="91">
        <v>7</v>
      </c>
      <c r="AT322" s="91">
        <v>7</v>
      </c>
      <c r="AU322" s="91">
        <v>7</v>
      </c>
      <c r="AV322" s="91">
        <v>7</v>
      </c>
      <c r="AW322" s="91">
        <v>7</v>
      </c>
      <c r="AX322" s="91">
        <v>7</v>
      </c>
      <c r="AY322" s="91"/>
      <c r="AZ322" s="91">
        <v>7</v>
      </c>
      <c r="BA322" s="91">
        <v>7</v>
      </c>
      <c r="BB322" s="91">
        <v>7</v>
      </c>
      <c r="BC322" s="91">
        <v>7</v>
      </c>
      <c r="BD322" s="91">
        <v>7</v>
      </c>
      <c r="BE322" s="91">
        <v>7</v>
      </c>
      <c r="BF322" s="91">
        <v>14</v>
      </c>
      <c r="BG322" s="91">
        <v>14</v>
      </c>
      <c r="BH322" s="91"/>
    </row>
    <row r="323" spans="1:60" x14ac:dyDescent="0.25">
      <c r="A323" s="91" t="s">
        <v>169</v>
      </c>
      <c r="B323" s="129">
        <f t="shared" si="18"/>
        <v>358</v>
      </c>
      <c r="C323" s="91">
        <f t="shared" si="19"/>
        <v>24</v>
      </c>
      <c r="D323" s="130">
        <f t="shared" si="20"/>
        <v>0.48</v>
      </c>
      <c r="E323" s="131">
        <v>46302</v>
      </c>
      <c r="F323" s="131">
        <v>46304</v>
      </c>
      <c r="G323" s="91">
        <f t="shared" si="21"/>
        <v>2</v>
      </c>
      <c r="H323" s="91">
        <v>14</v>
      </c>
      <c r="I323" s="91"/>
      <c r="J323" s="91">
        <v>14</v>
      </c>
      <c r="K323" s="91"/>
      <c r="L323" s="91">
        <v>14</v>
      </c>
      <c r="M323" s="91"/>
      <c r="N323" s="91">
        <v>14</v>
      </c>
      <c r="O323" s="91">
        <v>14</v>
      </c>
      <c r="P323" s="91">
        <v>14</v>
      </c>
      <c r="Q323" s="91"/>
      <c r="R323" s="91"/>
      <c r="S323" s="91">
        <v>14</v>
      </c>
      <c r="T323" s="91">
        <v>14</v>
      </c>
      <c r="U323" s="91"/>
      <c r="V323" s="91">
        <v>14</v>
      </c>
      <c r="W323" s="91">
        <v>14</v>
      </c>
      <c r="X323" s="91">
        <v>14</v>
      </c>
      <c r="Y323" s="91">
        <v>7</v>
      </c>
      <c r="Z323" s="91">
        <v>14</v>
      </c>
      <c r="AA323" s="91"/>
      <c r="AB323" s="91">
        <v>14</v>
      </c>
      <c r="AC323" s="91"/>
      <c r="AD323" s="91">
        <v>14</v>
      </c>
      <c r="AE323" s="91"/>
      <c r="AF323" s="91"/>
      <c r="AG323" s="91"/>
      <c r="AH323" s="91"/>
      <c r="AI323" s="91"/>
      <c r="AJ323" s="91">
        <v>14</v>
      </c>
      <c r="AK323" s="91"/>
      <c r="AL323" s="91">
        <v>7</v>
      </c>
      <c r="AM323" s="91"/>
      <c r="AN323" s="91">
        <v>7</v>
      </c>
      <c r="AO323" s="91">
        <v>14</v>
      </c>
      <c r="AP323" s="91"/>
      <c r="AQ323" s="91">
        <v>14</v>
      </c>
      <c r="AR323" s="91"/>
      <c r="AS323" s="91">
        <v>14</v>
      </c>
      <c r="AT323" s="91">
        <v>14</v>
      </c>
      <c r="AU323" s="91"/>
      <c r="AV323" s="91"/>
      <c r="AW323" s="91"/>
      <c r="AX323" s="91"/>
      <c r="AY323" s="91"/>
      <c r="AZ323" s="91"/>
      <c r="BA323" s="91">
        <v>14</v>
      </c>
      <c r="BB323" s="91">
        <v>14</v>
      </c>
      <c r="BC323" s="91"/>
      <c r="BD323" s="91"/>
      <c r="BE323" s="91"/>
      <c r="BF323" s="91">
        <v>21</v>
      </c>
      <c r="BG323" s="91">
        <v>22</v>
      </c>
      <c r="BH323" s="91"/>
    </row>
    <row r="324" spans="1:60" x14ac:dyDescent="0.25">
      <c r="A324" s="91" t="s">
        <v>309</v>
      </c>
      <c r="B324" s="129">
        <f t="shared" si="18"/>
        <v>357</v>
      </c>
      <c r="C324" s="91">
        <f t="shared" si="19"/>
        <v>48</v>
      </c>
      <c r="D324" s="130">
        <f t="shared" si="20"/>
        <v>0.96</v>
      </c>
      <c r="E324" s="131">
        <v>46266</v>
      </c>
      <c r="F324" s="131">
        <v>46310</v>
      </c>
      <c r="G324" s="91">
        <f t="shared" si="21"/>
        <v>44</v>
      </c>
      <c r="H324" s="91">
        <v>7</v>
      </c>
      <c r="I324" s="91">
        <v>7</v>
      </c>
      <c r="J324" s="91">
        <v>7</v>
      </c>
      <c r="K324" s="91">
        <v>7</v>
      </c>
      <c r="L324" s="91">
        <v>7</v>
      </c>
      <c r="M324" s="91"/>
      <c r="N324" s="91">
        <v>7</v>
      </c>
      <c r="O324" s="91">
        <v>7</v>
      </c>
      <c r="P324" s="91">
        <v>7</v>
      </c>
      <c r="Q324" s="91">
        <v>7</v>
      </c>
      <c r="R324" s="91">
        <v>7</v>
      </c>
      <c r="S324" s="91">
        <v>7</v>
      </c>
      <c r="T324" s="91">
        <v>7</v>
      </c>
      <c r="U324" s="91">
        <v>7</v>
      </c>
      <c r="V324" s="91">
        <v>7</v>
      </c>
      <c r="W324" s="91">
        <v>7</v>
      </c>
      <c r="X324" s="91">
        <v>7</v>
      </c>
      <c r="Y324" s="91">
        <v>2</v>
      </c>
      <c r="Z324" s="91">
        <v>7</v>
      </c>
      <c r="AA324" s="91">
        <v>7</v>
      </c>
      <c r="AB324" s="91">
        <v>7</v>
      </c>
      <c r="AC324" s="91">
        <v>7</v>
      </c>
      <c r="AD324" s="91">
        <v>7</v>
      </c>
      <c r="AE324" s="91">
        <v>7</v>
      </c>
      <c r="AF324" s="91">
        <v>7</v>
      </c>
      <c r="AG324" s="91">
        <v>7</v>
      </c>
      <c r="AH324" s="91">
        <v>7</v>
      </c>
      <c r="AI324" s="91">
        <v>7</v>
      </c>
      <c r="AJ324" s="91">
        <v>7</v>
      </c>
      <c r="AK324" s="91">
        <v>7</v>
      </c>
      <c r="AL324" s="91">
        <v>7</v>
      </c>
      <c r="AM324" s="91">
        <v>7</v>
      </c>
      <c r="AN324" s="91">
        <v>7</v>
      </c>
      <c r="AO324" s="91">
        <v>7</v>
      </c>
      <c r="AP324" s="91">
        <v>7</v>
      </c>
      <c r="AQ324" s="91">
        <v>7</v>
      </c>
      <c r="AR324" s="91">
        <v>7</v>
      </c>
      <c r="AS324" s="91">
        <v>7</v>
      </c>
      <c r="AT324" s="91">
        <v>7</v>
      </c>
      <c r="AU324" s="91">
        <v>7</v>
      </c>
      <c r="AV324" s="91">
        <v>7</v>
      </c>
      <c r="AW324" s="91">
        <v>7</v>
      </c>
      <c r="AX324" s="91">
        <v>7</v>
      </c>
      <c r="AY324" s="91"/>
      <c r="AZ324" s="91">
        <v>7</v>
      </c>
      <c r="BA324" s="91">
        <v>7</v>
      </c>
      <c r="BB324" s="91">
        <v>7</v>
      </c>
      <c r="BC324" s="91">
        <v>7</v>
      </c>
      <c r="BD324" s="91">
        <v>7</v>
      </c>
      <c r="BE324" s="91">
        <v>7</v>
      </c>
      <c r="BF324" s="91">
        <v>14</v>
      </c>
      <c r="BG324" s="91">
        <v>12</v>
      </c>
      <c r="BH324" s="91"/>
    </row>
    <row r="325" spans="1:60" x14ac:dyDescent="0.25">
      <c r="A325" s="91" t="s">
        <v>305</v>
      </c>
      <c r="B325" s="129">
        <f t="shared" si="18"/>
        <v>357</v>
      </c>
      <c r="C325" s="91">
        <f t="shared" si="19"/>
        <v>49</v>
      </c>
      <c r="D325" s="130">
        <f t="shared" si="20"/>
        <v>0.98</v>
      </c>
      <c r="E325" s="131">
        <v>46266</v>
      </c>
      <c r="F325" s="131">
        <v>46302</v>
      </c>
      <c r="G325" s="91">
        <f t="shared" si="21"/>
        <v>36</v>
      </c>
      <c r="H325" s="91">
        <v>7</v>
      </c>
      <c r="I325" s="91">
        <v>7</v>
      </c>
      <c r="J325" s="91">
        <v>7</v>
      </c>
      <c r="K325" s="91">
        <v>7</v>
      </c>
      <c r="L325" s="91">
        <v>7</v>
      </c>
      <c r="M325" s="91">
        <v>4</v>
      </c>
      <c r="N325" s="91">
        <v>7</v>
      </c>
      <c r="O325" s="91">
        <v>7</v>
      </c>
      <c r="P325" s="91">
        <v>7</v>
      </c>
      <c r="Q325" s="91">
        <v>7</v>
      </c>
      <c r="R325" s="91">
        <v>7</v>
      </c>
      <c r="S325" s="91">
        <v>7</v>
      </c>
      <c r="T325" s="91">
        <v>7</v>
      </c>
      <c r="U325" s="91">
        <v>7</v>
      </c>
      <c r="V325" s="91">
        <v>7</v>
      </c>
      <c r="W325" s="91">
        <v>7</v>
      </c>
      <c r="X325" s="91">
        <v>7</v>
      </c>
      <c r="Y325" s="91">
        <v>2</v>
      </c>
      <c r="Z325" s="91">
        <v>7</v>
      </c>
      <c r="AA325" s="91">
        <v>6</v>
      </c>
      <c r="AB325" s="91">
        <v>7</v>
      </c>
      <c r="AC325" s="91">
        <v>7</v>
      </c>
      <c r="AD325" s="91">
        <v>7</v>
      </c>
      <c r="AE325" s="91">
        <v>6</v>
      </c>
      <c r="AF325" s="91">
        <v>7</v>
      </c>
      <c r="AG325" s="91">
        <v>7</v>
      </c>
      <c r="AH325" s="91">
        <v>7</v>
      </c>
      <c r="AI325" s="91">
        <v>7</v>
      </c>
      <c r="AJ325" s="91">
        <v>7</v>
      </c>
      <c r="AK325" s="91">
        <v>7</v>
      </c>
      <c r="AL325" s="91">
        <v>7</v>
      </c>
      <c r="AM325" s="91">
        <v>7</v>
      </c>
      <c r="AN325" s="91">
        <v>7</v>
      </c>
      <c r="AO325" s="91">
        <v>7</v>
      </c>
      <c r="AP325" s="91">
        <v>7</v>
      </c>
      <c r="AQ325" s="91">
        <v>7</v>
      </c>
      <c r="AR325" s="91">
        <v>7</v>
      </c>
      <c r="AS325" s="91">
        <v>7</v>
      </c>
      <c r="AT325" s="91">
        <v>7</v>
      </c>
      <c r="AU325" s="91">
        <v>7</v>
      </c>
      <c r="AV325" s="91">
        <v>6</v>
      </c>
      <c r="AW325" s="91">
        <v>7</v>
      </c>
      <c r="AX325" s="91">
        <v>7</v>
      </c>
      <c r="AY325" s="91"/>
      <c r="AZ325" s="91">
        <v>7</v>
      </c>
      <c r="BA325" s="91">
        <v>6</v>
      </c>
      <c r="BB325" s="91">
        <v>7</v>
      </c>
      <c r="BC325" s="91">
        <v>7</v>
      </c>
      <c r="BD325" s="91">
        <v>7</v>
      </c>
      <c r="BE325" s="91">
        <v>7</v>
      </c>
      <c r="BF325" s="91">
        <v>14</v>
      </c>
      <c r="BG325" s="91">
        <v>12</v>
      </c>
      <c r="BH325" s="91"/>
    </row>
    <row r="326" spans="1:60" x14ac:dyDescent="0.25">
      <c r="A326" s="91" t="s">
        <v>212</v>
      </c>
      <c r="B326" s="129">
        <f t="shared" si="18"/>
        <v>357</v>
      </c>
      <c r="C326" s="91">
        <f t="shared" si="19"/>
        <v>47</v>
      </c>
      <c r="D326" s="130">
        <f t="shared" si="20"/>
        <v>0.94</v>
      </c>
      <c r="E326" s="131">
        <v>46274</v>
      </c>
      <c r="F326" s="131">
        <v>46275</v>
      </c>
      <c r="G326" s="91">
        <f t="shared" si="21"/>
        <v>1</v>
      </c>
      <c r="H326" s="91">
        <v>7</v>
      </c>
      <c r="I326" s="91">
        <v>7</v>
      </c>
      <c r="J326" s="91">
        <v>7</v>
      </c>
      <c r="K326" s="91">
        <v>7</v>
      </c>
      <c r="L326" s="91">
        <v>7</v>
      </c>
      <c r="M326" s="91"/>
      <c r="N326" s="91">
        <v>7</v>
      </c>
      <c r="O326" s="91">
        <v>7</v>
      </c>
      <c r="P326" s="91">
        <v>7</v>
      </c>
      <c r="Q326" s="91">
        <v>7</v>
      </c>
      <c r="R326" s="91">
        <v>9</v>
      </c>
      <c r="S326" s="91">
        <v>7</v>
      </c>
      <c r="T326" s="91">
        <v>7</v>
      </c>
      <c r="U326" s="91">
        <v>7</v>
      </c>
      <c r="V326" s="91">
        <v>7</v>
      </c>
      <c r="W326" s="91">
        <v>7</v>
      </c>
      <c r="X326" s="91">
        <v>7</v>
      </c>
      <c r="Y326" s="91"/>
      <c r="Z326" s="91">
        <v>7</v>
      </c>
      <c r="AA326" s="91">
        <v>7</v>
      </c>
      <c r="AB326" s="91">
        <v>7</v>
      </c>
      <c r="AC326" s="91">
        <v>7</v>
      </c>
      <c r="AD326" s="91">
        <v>7</v>
      </c>
      <c r="AE326" s="91">
        <v>7</v>
      </c>
      <c r="AF326" s="91">
        <v>7</v>
      </c>
      <c r="AG326" s="91">
        <v>7</v>
      </c>
      <c r="AH326" s="91">
        <v>7</v>
      </c>
      <c r="AI326" s="91">
        <v>7</v>
      </c>
      <c r="AJ326" s="91">
        <v>7</v>
      </c>
      <c r="AK326" s="91">
        <v>7</v>
      </c>
      <c r="AL326" s="91">
        <v>7</v>
      </c>
      <c r="AM326" s="91">
        <v>7</v>
      </c>
      <c r="AN326" s="91">
        <v>7</v>
      </c>
      <c r="AO326" s="91">
        <v>7</v>
      </c>
      <c r="AP326" s="91">
        <v>7</v>
      </c>
      <c r="AQ326" s="91">
        <v>7</v>
      </c>
      <c r="AR326" s="91">
        <v>7</v>
      </c>
      <c r="AS326" s="91">
        <v>7</v>
      </c>
      <c r="AT326" s="91">
        <v>7</v>
      </c>
      <c r="AU326" s="91">
        <v>7</v>
      </c>
      <c r="AV326" s="91">
        <v>7</v>
      </c>
      <c r="AW326" s="91">
        <v>7</v>
      </c>
      <c r="AX326" s="91">
        <v>7</v>
      </c>
      <c r="AY326" s="91"/>
      <c r="AZ326" s="91">
        <v>7</v>
      </c>
      <c r="BA326" s="91">
        <v>7</v>
      </c>
      <c r="BB326" s="91">
        <v>7</v>
      </c>
      <c r="BC326" s="91">
        <v>7</v>
      </c>
      <c r="BD326" s="91">
        <v>7</v>
      </c>
      <c r="BE326" s="91">
        <v>7</v>
      </c>
      <c r="BF326" s="91">
        <v>14</v>
      </c>
      <c r="BG326" s="91">
        <v>12</v>
      </c>
      <c r="BH326" s="91"/>
    </row>
    <row r="327" spans="1:60" x14ac:dyDescent="0.25">
      <c r="A327" s="91" t="s">
        <v>434</v>
      </c>
      <c r="B327" s="129">
        <f t="shared" si="18"/>
        <v>356</v>
      </c>
      <c r="C327" s="91">
        <f t="shared" si="19"/>
        <v>48</v>
      </c>
      <c r="D327" s="130">
        <f t="shared" si="20"/>
        <v>0.96</v>
      </c>
      <c r="E327" s="131">
        <v>46266</v>
      </c>
      <c r="F327" s="131">
        <v>46314</v>
      </c>
      <c r="G327" s="91">
        <f t="shared" si="21"/>
        <v>48</v>
      </c>
      <c r="H327" s="91">
        <v>7</v>
      </c>
      <c r="I327" s="91">
        <v>7</v>
      </c>
      <c r="J327" s="91">
        <v>7</v>
      </c>
      <c r="K327" s="91">
        <v>7</v>
      </c>
      <c r="L327" s="91">
        <v>7</v>
      </c>
      <c r="M327" s="91"/>
      <c r="N327" s="91">
        <v>7</v>
      </c>
      <c r="O327" s="91">
        <v>7</v>
      </c>
      <c r="P327" s="91">
        <v>7</v>
      </c>
      <c r="Q327" s="91">
        <v>7</v>
      </c>
      <c r="R327" s="91">
        <v>7</v>
      </c>
      <c r="S327" s="91">
        <v>7</v>
      </c>
      <c r="T327" s="91">
        <v>7</v>
      </c>
      <c r="U327" s="91">
        <v>7</v>
      </c>
      <c r="V327" s="91">
        <v>7</v>
      </c>
      <c r="W327" s="91">
        <v>7</v>
      </c>
      <c r="X327" s="91">
        <v>7</v>
      </c>
      <c r="Y327" s="91">
        <v>1</v>
      </c>
      <c r="Z327" s="91">
        <v>7</v>
      </c>
      <c r="AA327" s="91">
        <v>7</v>
      </c>
      <c r="AB327" s="91">
        <v>7</v>
      </c>
      <c r="AC327" s="91">
        <v>7</v>
      </c>
      <c r="AD327" s="91">
        <v>7</v>
      </c>
      <c r="AE327" s="91">
        <v>7</v>
      </c>
      <c r="AF327" s="91">
        <v>7</v>
      </c>
      <c r="AG327" s="91">
        <v>7</v>
      </c>
      <c r="AH327" s="91">
        <v>7</v>
      </c>
      <c r="AI327" s="91">
        <v>7</v>
      </c>
      <c r="AJ327" s="91">
        <v>7</v>
      </c>
      <c r="AK327" s="91">
        <v>7</v>
      </c>
      <c r="AL327" s="91">
        <v>7</v>
      </c>
      <c r="AM327" s="91">
        <v>7</v>
      </c>
      <c r="AN327" s="91">
        <v>7</v>
      </c>
      <c r="AO327" s="91">
        <v>7</v>
      </c>
      <c r="AP327" s="91">
        <v>7</v>
      </c>
      <c r="AQ327" s="91">
        <v>7</v>
      </c>
      <c r="AR327" s="91">
        <v>7</v>
      </c>
      <c r="AS327" s="91">
        <v>7</v>
      </c>
      <c r="AT327" s="91">
        <v>7</v>
      </c>
      <c r="AU327" s="91">
        <v>7</v>
      </c>
      <c r="AV327" s="91">
        <v>7</v>
      </c>
      <c r="AW327" s="91">
        <v>7</v>
      </c>
      <c r="AX327" s="91">
        <v>7</v>
      </c>
      <c r="AY327" s="91"/>
      <c r="AZ327" s="91">
        <v>7</v>
      </c>
      <c r="BA327" s="91">
        <v>7</v>
      </c>
      <c r="BB327" s="91">
        <v>7</v>
      </c>
      <c r="BC327" s="91">
        <v>7</v>
      </c>
      <c r="BD327" s="91">
        <v>7</v>
      </c>
      <c r="BE327" s="91">
        <v>7</v>
      </c>
      <c r="BF327" s="91">
        <v>14</v>
      </c>
      <c r="BG327" s="91">
        <v>12</v>
      </c>
      <c r="BH327" s="91"/>
    </row>
    <row r="328" spans="1:60" x14ac:dyDescent="0.25">
      <c r="A328" s="91" t="s">
        <v>418</v>
      </c>
      <c r="B328" s="129">
        <f t="shared" ref="B328:B391" si="22">SUM(H328:BH328)</f>
        <v>355</v>
      </c>
      <c r="C328" s="91">
        <f t="shared" ref="C328:C391" si="23">COUNTIF(H328:BE328,"&gt;0")</f>
        <v>47</v>
      </c>
      <c r="D328" s="130">
        <f t="shared" ref="D328:D391" si="24">IFERROR(C328/TIENDAS,0)</f>
        <v>0.94</v>
      </c>
      <c r="E328" s="131">
        <v>46246</v>
      </c>
      <c r="F328" s="131">
        <v>46253</v>
      </c>
      <c r="G328" s="91">
        <f t="shared" ref="G328:G391" si="25">F328-E328</f>
        <v>7</v>
      </c>
      <c r="H328" s="91">
        <v>7</v>
      </c>
      <c r="I328" s="91">
        <v>7</v>
      </c>
      <c r="J328" s="91">
        <v>7</v>
      </c>
      <c r="K328" s="91">
        <v>7</v>
      </c>
      <c r="L328" s="91">
        <v>7</v>
      </c>
      <c r="M328" s="91"/>
      <c r="N328" s="91">
        <v>7</v>
      </c>
      <c r="O328" s="91">
        <v>7</v>
      </c>
      <c r="P328" s="91">
        <v>7</v>
      </c>
      <c r="Q328" s="91">
        <v>7</v>
      </c>
      <c r="R328" s="91">
        <v>7</v>
      </c>
      <c r="S328" s="91">
        <v>7</v>
      </c>
      <c r="T328" s="91">
        <v>7</v>
      </c>
      <c r="U328" s="91">
        <v>7</v>
      </c>
      <c r="V328" s="91">
        <v>7</v>
      </c>
      <c r="W328" s="91">
        <v>7</v>
      </c>
      <c r="X328" s="91">
        <v>7</v>
      </c>
      <c r="Y328" s="91"/>
      <c r="Z328" s="91">
        <v>7</v>
      </c>
      <c r="AA328" s="91">
        <v>7</v>
      </c>
      <c r="AB328" s="91">
        <v>7</v>
      </c>
      <c r="AC328" s="91">
        <v>7</v>
      </c>
      <c r="AD328" s="91">
        <v>7</v>
      </c>
      <c r="AE328" s="91">
        <v>7</v>
      </c>
      <c r="AF328" s="91">
        <v>7</v>
      </c>
      <c r="AG328" s="91">
        <v>7</v>
      </c>
      <c r="AH328" s="91">
        <v>7</v>
      </c>
      <c r="AI328" s="91">
        <v>7</v>
      </c>
      <c r="AJ328" s="91">
        <v>7</v>
      </c>
      <c r="AK328" s="91">
        <v>7</v>
      </c>
      <c r="AL328" s="91">
        <v>7</v>
      </c>
      <c r="AM328" s="91">
        <v>7</v>
      </c>
      <c r="AN328" s="91">
        <v>7</v>
      </c>
      <c r="AO328" s="91">
        <v>7</v>
      </c>
      <c r="AP328" s="91">
        <v>7</v>
      </c>
      <c r="AQ328" s="91">
        <v>7</v>
      </c>
      <c r="AR328" s="91">
        <v>7</v>
      </c>
      <c r="AS328" s="91">
        <v>7</v>
      </c>
      <c r="AT328" s="91">
        <v>7</v>
      </c>
      <c r="AU328" s="91">
        <v>7</v>
      </c>
      <c r="AV328" s="91">
        <v>7</v>
      </c>
      <c r="AW328" s="91">
        <v>7</v>
      </c>
      <c r="AX328" s="91">
        <v>7</v>
      </c>
      <c r="AY328" s="91"/>
      <c r="AZ328" s="91">
        <v>7</v>
      </c>
      <c r="BA328" s="91">
        <v>7</v>
      </c>
      <c r="BB328" s="91">
        <v>7</v>
      </c>
      <c r="BC328" s="91">
        <v>7</v>
      </c>
      <c r="BD328" s="91">
        <v>7</v>
      </c>
      <c r="BE328" s="91">
        <v>7</v>
      </c>
      <c r="BF328" s="91">
        <v>14</v>
      </c>
      <c r="BG328" s="91">
        <v>12</v>
      </c>
      <c r="BH328" s="91"/>
    </row>
    <row r="329" spans="1:60" x14ac:dyDescent="0.25">
      <c r="A329" s="91" t="s">
        <v>382</v>
      </c>
      <c r="B329" s="129">
        <f t="shared" si="22"/>
        <v>354</v>
      </c>
      <c r="C329" s="91">
        <f t="shared" si="23"/>
        <v>48</v>
      </c>
      <c r="D329" s="130">
        <f t="shared" si="24"/>
        <v>0.96</v>
      </c>
      <c r="E329" s="131">
        <v>46225</v>
      </c>
      <c r="F329" s="131">
        <v>46301</v>
      </c>
      <c r="G329" s="91">
        <f t="shared" si="25"/>
        <v>76</v>
      </c>
      <c r="H329" s="91">
        <v>7</v>
      </c>
      <c r="I329" s="91">
        <v>7</v>
      </c>
      <c r="J329" s="91">
        <v>7</v>
      </c>
      <c r="K329" s="91">
        <v>7</v>
      </c>
      <c r="L329" s="91">
        <v>7</v>
      </c>
      <c r="M329" s="91"/>
      <c r="N329" s="91">
        <v>7</v>
      </c>
      <c r="O329" s="91">
        <v>7</v>
      </c>
      <c r="P329" s="91">
        <v>7</v>
      </c>
      <c r="Q329" s="91">
        <v>7</v>
      </c>
      <c r="R329" s="91">
        <v>7</v>
      </c>
      <c r="S329" s="91">
        <v>7</v>
      </c>
      <c r="T329" s="91">
        <v>7</v>
      </c>
      <c r="U329" s="91">
        <v>7</v>
      </c>
      <c r="V329" s="91">
        <v>7</v>
      </c>
      <c r="W329" s="91">
        <v>7</v>
      </c>
      <c r="X329" s="91">
        <v>7</v>
      </c>
      <c r="Y329" s="91">
        <v>1</v>
      </c>
      <c r="Z329" s="91">
        <v>7</v>
      </c>
      <c r="AA329" s="91">
        <v>7</v>
      </c>
      <c r="AB329" s="91">
        <v>7</v>
      </c>
      <c r="AC329" s="91">
        <v>7</v>
      </c>
      <c r="AD329" s="91">
        <v>7</v>
      </c>
      <c r="AE329" s="91">
        <v>7</v>
      </c>
      <c r="AF329" s="91">
        <v>7</v>
      </c>
      <c r="AG329" s="91">
        <v>7</v>
      </c>
      <c r="AH329" s="91">
        <v>7</v>
      </c>
      <c r="AI329" s="91">
        <v>7</v>
      </c>
      <c r="AJ329" s="91">
        <v>7</v>
      </c>
      <c r="AK329" s="91">
        <v>7</v>
      </c>
      <c r="AL329" s="91">
        <v>7</v>
      </c>
      <c r="AM329" s="91">
        <v>7</v>
      </c>
      <c r="AN329" s="91">
        <v>7</v>
      </c>
      <c r="AO329" s="91">
        <v>7</v>
      </c>
      <c r="AP329" s="91">
        <v>7</v>
      </c>
      <c r="AQ329" s="91">
        <v>7</v>
      </c>
      <c r="AR329" s="91">
        <v>7</v>
      </c>
      <c r="AS329" s="91">
        <v>7</v>
      </c>
      <c r="AT329" s="91">
        <v>7</v>
      </c>
      <c r="AU329" s="91">
        <v>7</v>
      </c>
      <c r="AV329" s="91">
        <v>7</v>
      </c>
      <c r="AW329" s="91">
        <v>7</v>
      </c>
      <c r="AX329" s="91">
        <v>7</v>
      </c>
      <c r="AY329" s="91"/>
      <c r="AZ329" s="91">
        <v>7</v>
      </c>
      <c r="BA329" s="91">
        <v>7</v>
      </c>
      <c r="BB329" s="91">
        <v>7</v>
      </c>
      <c r="BC329" s="91">
        <v>7</v>
      </c>
      <c r="BD329" s="91">
        <v>7</v>
      </c>
      <c r="BE329" s="91">
        <v>7</v>
      </c>
      <c r="BF329" s="91">
        <v>14</v>
      </c>
      <c r="BG329" s="91">
        <v>10</v>
      </c>
      <c r="BH329" s="91"/>
    </row>
    <row r="330" spans="1:60" x14ac:dyDescent="0.25">
      <c r="A330" s="91" t="s">
        <v>176</v>
      </c>
      <c r="B330" s="129">
        <f t="shared" si="22"/>
        <v>354</v>
      </c>
      <c r="C330" s="91">
        <f t="shared" si="23"/>
        <v>48</v>
      </c>
      <c r="D330" s="130">
        <f t="shared" si="24"/>
        <v>0.96</v>
      </c>
      <c r="E330" s="131">
        <v>46274</v>
      </c>
      <c r="F330" s="131">
        <v>46301</v>
      </c>
      <c r="G330" s="91">
        <f t="shared" si="25"/>
        <v>27</v>
      </c>
      <c r="H330" s="91">
        <v>7</v>
      </c>
      <c r="I330" s="91">
        <v>7</v>
      </c>
      <c r="J330" s="91">
        <v>7</v>
      </c>
      <c r="K330" s="91">
        <v>7</v>
      </c>
      <c r="L330" s="91">
        <v>7</v>
      </c>
      <c r="M330" s="91"/>
      <c r="N330" s="91">
        <v>7</v>
      </c>
      <c r="O330" s="91">
        <v>7</v>
      </c>
      <c r="P330" s="91">
        <v>7</v>
      </c>
      <c r="Q330" s="91">
        <v>7</v>
      </c>
      <c r="R330" s="91">
        <v>7</v>
      </c>
      <c r="S330" s="91">
        <v>7</v>
      </c>
      <c r="T330" s="91">
        <v>7</v>
      </c>
      <c r="U330" s="91">
        <v>7</v>
      </c>
      <c r="V330" s="91">
        <v>7</v>
      </c>
      <c r="W330" s="91">
        <v>7</v>
      </c>
      <c r="X330" s="91">
        <v>7</v>
      </c>
      <c r="Y330" s="91">
        <v>1</v>
      </c>
      <c r="Z330" s="91">
        <v>7</v>
      </c>
      <c r="AA330" s="91">
        <v>7</v>
      </c>
      <c r="AB330" s="91">
        <v>7</v>
      </c>
      <c r="AC330" s="91">
        <v>7</v>
      </c>
      <c r="AD330" s="91">
        <v>7</v>
      </c>
      <c r="AE330" s="91">
        <v>7</v>
      </c>
      <c r="AF330" s="91">
        <v>7</v>
      </c>
      <c r="AG330" s="91">
        <v>7</v>
      </c>
      <c r="AH330" s="91">
        <v>7</v>
      </c>
      <c r="AI330" s="91">
        <v>7</v>
      </c>
      <c r="AJ330" s="91">
        <v>7</v>
      </c>
      <c r="AK330" s="91">
        <v>7</v>
      </c>
      <c r="AL330" s="91">
        <v>7</v>
      </c>
      <c r="AM330" s="91">
        <v>7</v>
      </c>
      <c r="AN330" s="91">
        <v>7</v>
      </c>
      <c r="AO330" s="91">
        <v>7</v>
      </c>
      <c r="AP330" s="91">
        <v>7</v>
      </c>
      <c r="AQ330" s="91">
        <v>7</v>
      </c>
      <c r="AR330" s="91">
        <v>7</v>
      </c>
      <c r="AS330" s="91">
        <v>7</v>
      </c>
      <c r="AT330" s="91">
        <v>7</v>
      </c>
      <c r="AU330" s="91">
        <v>7</v>
      </c>
      <c r="AV330" s="91">
        <v>7</v>
      </c>
      <c r="AW330" s="91">
        <v>7</v>
      </c>
      <c r="AX330" s="91">
        <v>7</v>
      </c>
      <c r="AY330" s="91"/>
      <c r="AZ330" s="91">
        <v>7</v>
      </c>
      <c r="BA330" s="91">
        <v>7</v>
      </c>
      <c r="BB330" s="91">
        <v>7</v>
      </c>
      <c r="BC330" s="91">
        <v>7</v>
      </c>
      <c r="BD330" s="91">
        <v>7</v>
      </c>
      <c r="BE330" s="91">
        <v>7</v>
      </c>
      <c r="BF330" s="91">
        <v>12</v>
      </c>
      <c r="BG330" s="91">
        <v>12</v>
      </c>
      <c r="BH330" s="91"/>
    </row>
    <row r="331" spans="1:60" x14ac:dyDescent="0.25">
      <c r="A331" s="91" t="s">
        <v>211</v>
      </c>
      <c r="B331" s="129">
        <f t="shared" si="22"/>
        <v>350</v>
      </c>
      <c r="C331" s="91">
        <f t="shared" si="23"/>
        <v>36</v>
      </c>
      <c r="D331" s="130">
        <f t="shared" si="24"/>
        <v>0.72</v>
      </c>
      <c r="E331" s="131">
        <v>46315</v>
      </c>
      <c r="F331" s="131">
        <v>46318</v>
      </c>
      <c r="G331" s="91">
        <f t="shared" si="25"/>
        <v>3</v>
      </c>
      <c r="H331" s="91"/>
      <c r="I331" s="91">
        <v>6</v>
      </c>
      <c r="J331" s="91">
        <v>9</v>
      </c>
      <c r="K331" s="91">
        <v>9</v>
      </c>
      <c r="L331" s="91">
        <v>9</v>
      </c>
      <c r="M331" s="91"/>
      <c r="N331" s="91">
        <v>9</v>
      </c>
      <c r="O331" s="91">
        <v>9</v>
      </c>
      <c r="P331" s="91">
        <v>9</v>
      </c>
      <c r="Q331" s="91">
        <v>9</v>
      </c>
      <c r="R331" s="91">
        <v>9</v>
      </c>
      <c r="S331" s="91">
        <v>9</v>
      </c>
      <c r="T331" s="91">
        <v>9</v>
      </c>
      <c r="U331" s="91"/>
      <c r="V331" s="91">
        <v>9</v>
      </c>
      <c r="W331" s="91">
        <v>9</v>
      </c>
      <c r="X331" s="91">
        <v>9</v>
      </c>
      <c r="Y331" s="91"/>
      <c r="Z331" s="91"/>
      <c r="AA331" s="91"/>
      <c r="AB331" s="91">
        <v>9</v>
      </c>
      <c r="AC331" s="91">
        <v>9</v>
      </c>
      <c r="AD331" s="91">
        <v>9</v>
      </c>
      <c r="AE331" s="91"/>
      <c r="AF331" s="91">
        <v>9</v>
      </c>
      <c r="AG331" s="91">
        <v>9</v>
      </c>
      <c r="AH331" s="91">
        <v>9</v>
      </c>
      <c r="AI331" s="91">
        <v>9</v>
      </c>
      <c r="AJ331" s="91">
        <v>9</v>
      </c>
      <c r="AK331" s="91"/>
      <c r="AL331" s="91">
        <v>9</v>
      </c>
      <c r="AM331" s="91">
        <v>9</v>
      </c>
      <c r="AN331" s="91">
        <v>9</v>
      </c>
      <c r="AO331" s="91">
        <v>9</v>
      </c>
      <c r="AP331" s="91">
        <v>9</v>
      </c>
      <c r="AQ331" s="91">
        <v>6</v>
      </c>
      <c r="AR331" s="91"/>
      <c r="AS331" s="91">
        <v>9</v>
      </c>
      <c r="AT331" s="91">
        <v>9</v>
      </c>
      <c r="AU331" s="91">
        <v>9</v>
      </c>
      <c r="AV331" s="91"/>
      <c r="AW331" s="91">
        <v>9</v>
      </c>
      <c r="AX331" s="91"/>
      <c r="AY331" s="91"/>
      <c r="AZ331" s="91"/>
      <c r="BA331" s="91"/>
      <c r="BB331" s="91">
        <v>9</v>
      </c>
      <c r="BC331" s="91">
        <v>9</v>
      </c>
      <c r="BD331" s="91">
        <v>9</v>
      </c>
      <c r="BE331" s="91">
        <v>9</v>
      </c>
      <c r="BF331" s="91">
        <v>16</v>
      </c>
      <c r="BG331" s="91">
        <v>16</v>
      </c>
      <c r="BH331" s="91"/>
    </row>
    <row r="332" spans="1:60" x14ac:dyDescent="0.25">
      <c r="A332" s="91" t="s">
        <v>551</v>
      </c>
      <c r="B332" s="129">
        <f t="shared" si="22"/>
        <v>343</v>
      </c>
      <c r="C332" s="91">
        <f t="shared" si="23"/>
        <v>47</v>
      </c>
      <c r="D332" s="130">
        <f t="shared" si="24"/>
        <v>0.94</v>
      </c>
      <c r="E332" s="131">
        <v>46282</v>
      </c>
      <c r="F332" s="131">
        <v>46309</v>
      </c>
      <c r="G332" s="91">
        <f t="shared" si="25"/>
        <v>27</v>
      </c>
      <c r="H332" s="91">
        <v>7</v>
      </c>
      <c r="I332" s="91">
        <v>7</v>
      </c>
      <c r="J332" s="91">
        <v>7</v>
      </c>
      <c r="K332" s="91">
        <v>7</v>
      </c>
      <c r="L332" s="91">
        <v>7</v>
      </c>
      <c r="M332" s="91"/>
      <c r="N332" s="91">
        <v>7</v>
      </c>
      <c r="O332" s="91">
        <v>7</v>
      </c>
      <c r="P332" s="91">
        <v>7</v>
      </c>
      <c r="Q332" s="91">
        <v>7</v>
      </c>
      <c r="R332" s="91">
        <v>7</v>
      </c>
      <c r="S332" s="91">
        <v>7</v>
      </c>
      <c r="T332" s="91">
        <v>7</v>
      </c>
      <c r="U332" s="91">
        <v>7</v>
      </c>
      <c r="V332" s="91">
        <v>7</v>
      </c>
      <c r="W332" s="91">
        <v>7</v>
      </c>
      <c r="X332" s="91">
        <v>7</v>
      </c>
      <c r="Y332" s="91"/>
      <c r="Z332" s="91">
        <v>7</v>
      </c>
      <c r="AA332" s="91">
        <v>7</v>
      </c>
      <c r="AB332" s="91">
        <v>7</v>
      </c>
      <c r="AC332" s="91">
        <v>7</v>
      </c>
      <c r="AD332" s="91">
        <v>7</v>
      </c>
      <c r="AE332" s="91">
        <v>7</v>
      </c>
      <c r="AF332" s="91">
        <v>7</v>
      </c>
      <c r="AG332" s="91">
        <v>7</v>
      </c>
      <c r="AH332" s="91">
        <v>7</v>
      </c>
      <c r="AI332" s="91">
        <v>7</v>
      </c>
      <c r="AJ332" s="91">
        <v>7</v>
      </c>
      <c r="AK332" s="91">
        <v>7</v>
      </c>
      <c r="AL332" s="91">
        <v>7</v>
      </c>
      <c r="AM332" s="91">
        <v>7</v>
      </c>
      <c r="AN332" s="91">
        <v>7</v>
      </c>
      <c r="AO332" s="91">
        <v>7</v>
      </c>
      <c r="AP332" s="91">
        <v>7</v>
      </c>
      <c r="AQ332" s="91">
        <v>7</v>
      </c>
      <c r="AR332" s="91">
        <v>7</v>
      </c>
      <c r="AS332" s="91">
        <v>7</v>
      </c>
      <c r="AT332" s="91">
        <v>7</v>
      </c>
      <c r="AU332" s="91">
        <v>7</v>
      </c>
      <c r="AV332" s="91">
        <v>7</v>
      </c>
      <c r="AW332" s="91">
        <v>7</v>
      </c>
      <c r="AX332" s="91">
        <v>7</v>
      </c>
      <c r="AY332" s="91"/>
      <c r="AZ332" s="91">
        <v>7</v>
      </c>
      <c r="BA332" s="91">
        <v>7</v>
      </c>
      <c r="BB332" s="91">
        <v>7</v>
      </c>
      <c r="BC332" s="91">
        <v>7</v>
      </c>
      <c r="BD332" s="91">
        <v>7</v>
      </c>
      <c r="BE332" s="91">
        <v>7</v>
      </c>
      <c r="BF332" s="91"/>
      <c r="BG332" s="91">
        <v>14</v>
      </c>
      <c r="BH332" s="91"/>
    </row>
    <row r="333" spans="1:60" x14ac:dyDescent="0.25">
      <c r="A333" s="91" t="s">
        <v>337</v>
      </c>
      <c r="B333" s="129">
        <f t="shared" si="22"/>
        <v>341</v>
      </c>
      <c r="C333" s="91">
        <f t="shared" si="23"/>
        <v>47</v>
      </c>
      <c r="D333" s="130">
        <f t="shared" si="24"/>
        <v>0.94</v>
      </c>
      <c r="E333" s="131">
        <v>46282</v>
      </c>
      <c r="F333" s="131">
        <v>46315</v>
      </c>
      <c r="G333" s="91">
        <f t="shared" si="25"/>
        <v>33</v>
      </c>
      <c r="H333" s="91">
        <v>7</v>
      </c>
      <c r="I333" s="91">
        <v>7</v>
      </c>
      <c r="J333" s="91">
        <v>7</v>
      </c>
      <c r="K333" s="91">
        <v>7</v>
      </c>
      <c r="L333" s="91">
        <v>7</v>
      </c>
      <c r="M333" s="91"/>
      <c r="N333" s="91">
        <v>7</v>
      </c>
      <c r="O333" s="91">
        <v>7</v>
      </c>
      <c r="P333" s="91">
        <v>7</v>
      </c>
      <c r="Q333" s="91">
        <v>7</v>
      </c>
      <c r="R333" s="91">
        <v>7</v>
      </c>
      <c r="S333" s="91">
        <v>7</v>
      </c>
      <c r="T333" s="91">
        <v>7</v>
      </c>
      <c r="U333" s="91">
        <v>7</v>
      </c>
      <c r="V333" s="91">
        <v>7</v>
      </c>
      <c r="W333" s="91">
        <v>7</v>
      </c>
      <c r="X333" s="91">
        <v>7</v>
      </c>
      <c r="Y333" s="91"/>
      <c r="Z333" s="91">
        <v>7</v>
      </c>
      <c r="AA333" s="91">
        <v>7</v>
      </c>
      <c r="AB333" s="91">
        <v>7</v>
      </c>
      <c r="AC333" s="91">
        <v>7</v>
      </c>
      <c r="AD333" s="91">
        <v>7</v>
      </c>
      <c r="AE333" s="91">
        <v>7</v>
      </c>
      <c r="AF333" s="91">
        <v>7</v>
      </c>
      <c r="AG333" s="91">
        <v>7</v>
      </c>
      <c r="AH333" s="91">
        <v>7</v>
      </c>
      <c r="AI333" s="91">
        <v>7</v>
      </c>
      <c r="AJ333" s="91">
        <v>7</v>
      </c>
      <c r="AK333" s="91">
        <v>7</v>
      </c>
      <c r="AL333" s="91">
        <v>7</v>
      </c>
      <c r="AM333" s="91">
        <v>7</v>
      </c>
      <c r="AN333" s="91">
        <v>7</v>
      </c>
      <c r="AO333" s="91">
        <v>7</v>
      </c>
      <c r="AP333" s="91">
        <v>7</v>
      </c>
      <c r="AQ333" s="91">
        <v>7</v>
      </c>
      <c r="AR333" s="91">
        <v>7</v>
      </c>
      <c r="AS333" s="91">
        <v>7</v>
      </c>
      <c r="AT333" s="91">
        <v>7</v>
      </c>
      <c r="AU333" s="91">
        <v>7</v>
      </c>
      <c r="AV333" s="91">
        <v>7</v>
      </c>
      <c r="AW333" s="91">
        <v>7</v>
      </c>
      <c r="AX333" s="91">
        <v>7</v>
      </c>
      <c r="AY333" s="91"/>
      <c r="AZ333" s="91">
        <v>7</v>
      </c>
      <c r="BA333" s="91">
        <v>7</v>
      </c>
      <c r="BB333" s="91">
        <v>7</v>
      </c>
      <c r="BC333" s="91">
        <v>7</v>
      </c>
      <c r="BD333" s="91">
        <v>7</v>
      </c>
      <c r="BE333" s="91">
        <v>7</v>
      </c>
      <c r="BF333" s="91"/>
      <c r="BG333" s="91">
        <v>12</v>
      </c>
      <c r="BH333" s="91"/>
    </row>
    <row r="334" spans="1:60" x14ac:dyDescent="0.25">
      <c r="A334" s="91" t="s">
        <v>926</v>
      </c>
      <c r="B334" s="129">
        <f t="shared" si="22"/>
        <v>336</v>
      </c>
      <c r="C334" s="91">
        <f t="shared" si="23"/>
        <v>40</v>
      </c>
      <c r="D334" s="130">
        <f t="shared" si="24"/>
        <v>0.8</v>
      </c>
      <c r="E334" s="131">
        <v>46279</v>
      </c>
      <c r="F334" s="131">
        <v>46315</v>
      </c>
      <c r="G334" s="91">
        <f t="shared" si="25"/>
        <v>36</v>
      </c>
      <c r="H334" s="91">
        <v>10</v>
      </c>
      <c r="I334" s="91">
        <v>8</v>
      </c>
      <c r="J334" s="91">
        <v>8</v>
      </c>
      <c r="K334" s="91">
        <v>8</v>
      </c>
      <c r="L334" s="91">
        <v>8</v>
      </c>
      <c r="M334" s="91"/>
      <c r="N334" s="91">
        <v>8</v>
      </c>
      <c r="O334" s="91">
        <v>8</v>
      </c>
      <c r="P334" s="91">
        <v>8</v>
      </c>
      <c r="Q334" s="91">
        <v>8</v>
      </c>
      <c r="R334" s="91">
        <v>8</v>
      </c>
      <c r="S334" s="91">
        <v>8</v>
      </c>
      <c r="T334" s="91">
        <v>8</v>
      </c>
      <c r="U334" s="91">
        <v>8</v>
      </c>
      <c r="V334" s="91">
        <v>8</v>
      </c>
      <c r="W334" s="91">
        <v>8</v>
      </c>
      <c r="X334" s="91">
        <v>8</v>
      </c>
      <c r="Y334" s="91"/>
      <c r="Z334" s="91">
        <v>8</v>
      </c>
      <c r="AA334" s="91"/>
      <c r="AB334" s="91">
        <v>8</v>
      </c>
      <c r="AC334" s="91">
        <v>8</v>
      </c>
      <c r="AD334" s="91">
        <v>8</v>
      </c>
      <c r="AE334" s="91">
        <v>8</v>
      </c>
      <c r="AF334" s="91">
        <v>8</v>
      </c>
      <c r="AG334" s="91">
        <v>8</v>
      </c>
      <c r="AH334" s="91">
        <v>8</v>
      </c>
      <c r="AI334" s="91">
        <v>8</v>
      </c>
      <c r="AJ334" s="91">
        <v>8</v>
      </c>
      <c r="AK334" s="91"/>
      <c r="AL334" s="91">
        <v>8</v>
      </c>
      <c r="AM334" s="91">
        <v>8</v>
      </c>
      <c r="AN334" s="91">
        <v>8</v>
      </c>
      <c r="AO334" s="91">
        <v>8</v>
      </c>
      <c r="AP334" s="91">
        <v>8</v>
      </c>
      <c r="AQ334" s="91"/>
      <c r="AR334" s="91"/>
      <c r="AS334" s="91">
        <v>8</v>
      </c>
      <c r="AT334" s="91">
        <v>8</v>
      </c>
      <c r="AU334" s="91">
        <v>8</v>
      </c>
      <c r="AV334" s="91"/>
      <c r="AW334" s="91">
        <v>8</v>
      </c>
      <c r="AX334" s="91">
        <v>8</v>
      </c>
      <c r="AY334" s="91"/>
      <c r="AZ334" s="91"/>
      <c r="BA334" s="91"/>
      <c r="BB334" s="91">
        <v>8</v>
      </c>
      <c r="BC334" s="91">
        <v>8</v>
      </c>
      <c r="BD334" s="91">
        <v>8</v>
      </c>
      <c r="BE334" s="91">
        <v>8</v>
      </c>
      <c r="BF334" s="91"/>
      <c r="BG334" s="91">
        <v>14</v>
      </c>
      <c r="BH334" s="91"/>
    </row>
    <row r="335" spans="1:60" x14ac:dyDescent="0.25">
      <c r="A335" s="91" t="s">
        <v>856</v>
      </c>
      <c r="B335" s="129">
        <f t="shared" si="22"/>
        <v>336</v>
      </c>
      <c r="C335" s="91">
        <f t="shared" si="23"/>
        <v>48</v>
      </c>
      <c r="D335" s="130">
        <f t="shared" si="24"/>
        <v>0.96</v>
      </c>
      <c r="E335" s="131">
        <v>46274</v>
      </c>
      <c r="F335" s="131">
        <v>46310</v>
      </c>
      <c r="G335" s="91">
        <f t="shared" si="25"/>
        <v>36</v>
      </c>
      <c r="H335" s="91">
        <v>8</v>
      </c>
      <c r="I335" s="91">
        <v>7</v>
      </c>
      <c r="J335" s="91">
        <v>8</v>
      </c>
      <c r="K335" s="91">
        <v>8</v>
      </c>
      <c r="L335" s="91">
        <v>8</v>
      </c>
      <c r="M335" s="91"/>
      <c r="N335" s="91">
        <v>8</v>
      </c>
      <c r="O335" s="91">
        <v>8</v>
      </c>
      <c r="P335" s="91">
        <v>8</v>
      </c>
      <c r="Q335" s="91">
        <v>6</v>
      </c>
      <c r="R335" s="91">
        <v>7</v>
      </c>
      <c r="S335" s="91">
        <v>8</v>
      </c>
      <c r="T335" s="91">
        <v>6</v>
      </c>
      <c r="U335" s="91">
        <v>6</v>
      </c>
      <c r="V335" s="91">
        <v>6</v>
      </c>
      <c r="W335" s="91">
        <v>7</v>
      </c>
      <c r="X335" s="91">
        <v>8</v>
      </c>
      <c r="Y335" s="91">
        <v>1</v>
      </c>
      <c r="Z335" s="91">
        <v>8</v>
      </c>
      <c r="AA335" s="91">
        <v>6</v>
      </c>
      <c r="AB335" s="91">
        <v>8</v>
      </c>
      <c r="AC335" s="91">
        <v>8</v>
      </c>
      <c r="AD335" s="91">
        <v>8</v>
      </c>
      <c r="AE335" s="91">
        <v>6</v>
      </c>
      <c r="AF335" s="91">
        <v>6</v>
      </c>
      <c r="AG335" s="91">
        <v>7</v>
      </c>
      <c r="AH335" s="91">
        <v>6</v>
      </c>
      <c r="AI335" s="91">
        <v>7</v>
      </c>
      <c r="AJ335" s="91">
        <v>7</v>
      </c>
      <c r="AK335" s="91">
        <v>6</v>
      </c>
      <c r="AL335" s="91">
        <v>8</v>
      </c>
      <c r="AM335" s="91">
        <v>6</v>
      </c>
      <c r="AN335" s="91">
        <v>7</v>
      </c>
      <c r="AO335" s="91">
        <v>8</v>
      </c>
      <c r="AP335" s="91">
        <v>8</v>
      </c>
      <c r="AQ335" s="91">
        <v>8</v>
      </c>
      <c r="AR335" s="91">
        <v>6</v>
      </c>
      <c r="AS335" s="91">
        <v>8</v>
      </c>
      <c r="AT335" s="91">
        <v>8</v>
      </c>
      <c r="AU335" s="91">
        <v>7</v>
      </c>
      <c r="AV335" s="91">
        <v>6</v>
      </c>
      <c r="AW335" s="91">
        <v>6</v>
      </c>
      <c r="AX335" s="91">
        <v>7</v>
      </c>
      <c r="AY335" s="91"/>
      <c r="AZ335" s="91">
        <v>6</v>
      </c>
      <c r="BA335" s="91">
        <v>6</v>
      </c>
      <c r="BB335" s="91">
        <v>8</v>
      </c>
      <c r="BC335" s="91">
        <v>7</v>
      </c>
      <c r="BD335" s="91">
        <v>7</v>
      </c>
      <c r="BE335" s="91">
        <v>8</v>
      </c>
      <c r="BF335" s="91"/>
      <c r="BG335" s="91"/>
      <c r="BH335" s="91"/>
    </row>
    <row r="336" spans="1:60" x14ac:dyDescent="0.25">
      <c r="A336" s="91" t="s">
        <v>323</v>
      </c>
      <c r="B336" s="129">
        <f t="shared" si="22"/>
        <v>335</v>
      </c>
      <c r="C336" s="91">
        <f t="shared" si="23"/>
        <v>41</v>
      </c>
      <c r="D336" s="130">
        <f t="shared" si="24"/>
        <v>0.82</v>
      </c>
      <c r="E336" s="131">
        <v>46274</v>
      </c>
      <c r="F336" s="131">
        <v>46323</v>
      </c>
      <c r="G336" s="91">
        <f t="shared" si="25"/>
        <v>49</v>
      </c>
      <c r="H336" s="91"/>
      <c r="I336" s="91"/>
      <c r="J336" s="91">
        <v>8</v>
      </c>
      <c r="K336" s="91">
        <v>6</v>
      </c>
      <c r="L336" s="91">
        <v>8</v>
      </c>
      <c r="M336" s="91"/>
      <c r="N336" s="91">
        <v>8</v>
      </c>
      <c r="O336" s="91">
        <v>8</v>
      </c>
      <c r="P336" s="91">
        <v>8</v>
      </c>
      <c r="Q336" s="91">
        <v>6</v>
      </c>
      <c r="R336" s="91">
        <v>8</v>
      </c>
      <c r="S336" s="91">
        <v>8</v>
      </c>
      <c r="T336" s="91">
        <v>8</v>
      </c>
      <c r="U336" s="91">
        <v>8</v>
      </c>
      <c r="V336" s="91">
        <v>6</v>
      </c>
      <c r="W336" s="91">
        <v>8</v>
      </c>
      <c r="X336" s="91">
        <v>8</v>
      </c>
      <c r="Y336" s="91">
        <v>1</v>
      </c>
      <c r="Z336" s="91"/>
      <c r="AA336" s="91"/>
      <c r="AB336" s="91">
        <v>8</v>
      </c>
      <c r="AC336" s="91">
        <v>8</v>
      </c>
      <c r="AD336" s="91">
        <v>8</v>
      </c>
      <c r="AE336" s="91"/>
      <c r="AF336" s="91">
        <v>8</v>
      </c>
      <c r="AG336" s="91">
        <v>8</v>
      </c>
      <c r="AH336" s="91">
        <v>8</v>
      </c>
      <c r="AI336" s="91">
        <v>8</v>
      </c>
      <c r="AJ336" s="91">
        <v>8</v>
      </c>
      <c r="AK336" s="91"/>
      <c r="AL336" s="91">
        <v>8</v>
      </c>
      <c r="AM336" s="91">
        <v>6</v>
      </c>
      <c r="AN336" s="91">
        <v>8</v>
      </c>
      <c r="AO336" s="91">
        <v>8</v>
      </c>
      <c r="AP336" s="91">
        <v>8</v>
      </c>
      <c r="AQ336" s="91">
        <v>8</v>
      </c>
      <c r="AR336" s="91"/>
      <c r="AS336" s="91">
        <v>8</v>
      </c>
      <c r="AT336" s="91">
        <v>8</v>
      </c>
      <c r="AU336" s="91">
        <v>8</v>
      </c>
      <c r="AV336" s="91">
        <v>6</v>
      </c>
      <c r="AW336" s="91">
        <v>6</v>
      </c>
      <c r="AX336" s="91">
        <v>8</v>
      </c>
      <c r="AY336" s="91"/>
      <c r="AZ336" s="91">
        <v>8</v>
      </c>
      <c r="BA336" s="91">
        <v>8</v>
      </c>
      <c r="BB336" s="91">
        <v>8</v>
      </c>
      <c r="BC336" s="91">
        <v>8</v>
      </c>
      <c r="BD336" s="91">
        <v>8</v>
      </c>
      <c r="BE336" s="91">
        <v>6</v>
      </c>
      <c r="BF336" s="91">
        <v>14</v>
      </c>
      <c r="BG336" s="91">
        <v>14</v>
      </c>
      <c r="BH336" s="91"/>
    </row>
    <row r="337" spans="1:60" x14ac:dyDescent="0.25">
      <c r="A337" s="91" t="s">
        <v>148</v>
      </c>
      <c r="B337" s="129">
        <f t="shared" si="22"/>
        <v>332</v>
      </c>
      <c r="C337" s="91">
        <f t="shared" si="23"/>
        <v>36</v>
      </c>
      <c r="D337" s="130">
        <f t="shared" si="24"/>
        <v>0.72</v>
      </c>
      <c r="E337" s="131">
        <v>46220</v>
      </c>
      <c r="F337" s="131">
        <v>46318</v>
      </c>
      <c r="G337" s="91">
        <f t="shared" si="25"/>
        <v>98</v>
      </c>
      <c r="H337" s="91"/>
      <c r="I337" s="91"/>
      <c r="J337" s="91">
        <v>9</v>
      </c>
      <c r="K337" s="91">
        <v>9</v>
      </c>
      <c r="L337" s="91">
        <v>9</v>
      </c>
      <c r="M337" s="91"/>
      <c r="N337" s="91">
        <v>9</v>
      </c>
      <c r="O337" s="91">
        <v>9</v>
      </c>
      <c r="P337" s="91">
        <v>9</v>
      </c>
      <c r="Q337" s="91">
        <v>9</v>
      </c>
      <c r="R337" s="91">
        <v>9</v>
      </c>
      <c r="S337" s="91">
        <v>9</v>
      </c>
      <c r="T337" s="91">
        <v>9</v>
      </c>
      <c r="U337" s="91"/>
      <c r="V337" s="91">
        <v>9</v>
      </c>
      <c r="W337" s="91">
        <v>10</v>
      </c>
      <c r="X337" s="91">
        <v>9</v>
      </c>
      <c r="Y337" s="91">
        <v>1</v>
      </c>
      <c r="Z337" s="91"/>
      <c r="AA337" s="91"/>
      <c r="AB337" s="91">
        <v>9</v>
      </c>
      <c r="AC337" s="91">
        <v>9</v>
      </c>
      <c r="AD337" s="91">
        <v>9</v>
      </c>
      <c r="AE337" s="91"/>
      <c r="AF337" s="91">
        <v>9</v>
      </c>
      <c r="AG337" s="91">
        <v>9</v>
      </c>
      <c r="AH337" s="91">
        <v>9</v>
      </c>
      <c r="AI337" s="91">
        <v>9</v>
      </c>
      <c r="AJ337" s="91">
        <v>9</v>
      </c>
      <c r="AK337" s="91"/>
      <c r="AL337" s="91">
        <v>9</v>
      </c>
      <c r="AM337" s="91">
        <v>9</v>
      </c>
      <c r="AN337" s="91">
        <v>9</v>
      </c>
      <c r="AO337" s="91">
        <v>9</v>
      </c>
      <c r="AP337" s="91">
        <v>9</v>
      </c>
      <c r="AQ337" s="91"/>
      <c r="AR337" s="91"/>
      <c r="AS337" s="91">
        <v>9</v>
      </c>
      <c r="AT337" s="91">
        <v>9</v>
      </c>
      <c r="AU337" s="91">
        <v>9</v>
      </c>
      <c r="AV337" s="91"/>
      <c r="AW337" s="91">
        <v>9</v>
      </c>
      <c r="AX337" s="91"/>
      <c r="AY337" s="91"/>
      <c r="AZ337" s="91"/>
      <c r="BA337" s="91">
        <v>6</v>
      </c>
      <c r="BB337" s="91">
        <v>9</v>
      </c>
      <c r="BC337" s="91">
        <v>9</v>
      </c>
      <c r="BD337" s="91">
        <v>9</v>
      </c>
      <c r="BE337" s="91">
        <v>9</v>
      </c>
      <c r="BF337" s="91">
        <v>3</v>
      </c>
      <c r="BG337" s="91">
        <v>15</v>
      </c>
      <c r="BH337" s="91"/>
    </row>
    <row r="338" spans="1:60" x14ac:dyDescent="0.25">
      <c r="A338" s="91" t="s">
        <v>490</v>
      </c>
      <c r="B338" s="129">
        <f t="shared" si="22"/>
        <v>331</v>
      </c>
      <c r="C338" s="91">
        <f t="shared" si="23"/>
        <v>38</v>
      </c>
      <c r="D338" s="130">
        <f t="shared" si="24"/>
        <v>0.76</v>
      </c>
      <c r="E338" s="131">
        <v>46293</v>
      </c>
      <c r="F338" s="131">
        <v>46323</v>
      </c>
      <c r="G338" s="91">
        <f t="shared" si="25"/>
        <v>30</v>
      </c>
      <c r="H338" s="91"/>
      <c r="I338" s="91"/>
      <c r="J338" s="91">
        <v>9</v>
      </c>
      <c r="K338" s="91">
        <v>6</v>
      </c>
      <c r="L338" s="91">
        <v>9</v>
      </c>
      <c r="M338" s="91">
        <v>6</v>
      </c>
      <c r="N338" s="91">
        <v>9</v>
      </c>
      <c r="O338" s="91">
        <v>9</v>
      </c>
      <c r="P338" s="91">
        <v>9</v>
      </c>
      <c r="Q338" s="91">
        <v>6</v>
      </c>
      <c r="R338" s="91">
        <v>9</v>
      </c>
      <c r="S338" s="91">
        <v>9</v>
      </c>
      <c r="T338" s="91">
        <v>9</v>
      </c>
      <c r="U338" s="91">
        <v>9</v>
      </c>
      <c r="V338" s="91">
        <v>6</v>
      </c>
      <c r="W338" s="91">
        <v>9</v>
      </c>
      <c r="X338" s="91">
        <v>9</v>
      </c>
      <c r="Y338" s="91">
        <v>9</v>
      </c>
      <c r="Z338" s="91"/>
      <c r="AA338" s="91"/>
      <c r="AB338" s="91">
        <v>9</v>
      </c>
      <c r="AC338" s="91">
        <v>9</v>
      </c>
      <c r="AD338" s="91">
        <v>9</v>
      </c>
      <c r="AE338" s="91"/>
      <c r="AF338" s="91">
        <v>9</v>
      </c>
      <c r="AG338" s="91">
        <v>9</v>
      </c>
      <c r="AH338" s="91">
        <v>9</v>
      </c>
      <c r="AI338" s="91">
        <v>9</v>
      </c>
      <c r="AJ338" s="91">
        <v>9</v>
      </c>
      <c r="AK338" s="91"/>
      <c r="AL338" s="91">
        <v>9</v>
      </c>
      <c r="AM338" s="91">
        <v>9</v>
      </c>
      <c r="AN338" s="91">
        <v>6</v>
      </c>
      <c r="AO338" s="91">
        <v>9</v>
      </c>
      <c r="AP338" s="91">
        <v>9</v>
      </c>
      <c r="AQ338" s="91"/>
      <c r="AR338" s="91"/>
      <c r="AS338" s="91">
        <v>9</v>
      </c>
      <c r="AT338" s="91">
        <v>9</v>
      </c>
      <c r="AU338" s="91">
        <v>6</v>
      </c>
      <c r="AV338" s="91">
        <v>6</v>
      </c>
      <c r="AW338" s="91">
        <v>6</v>
      </c>
      <c r="AX338" s="91"/>
      <c r="AY338" s="91"/>
      <c r="AZ338" s="91"/>
      <c r="BA338" s="91"/>
      <c r="BB338" s="91">
        <v>9</v>
      </c>
      <c r="BC338" s="91">
        <v>9</v>
      </c>
      <c r="BD338" s="91">
        <v>9</v>
      </c>
      <c r="BE338" s="91">
        <v>6</v>
      </c>
      <c r="BF338" s="91"/>
      <c r="BG338" s="91">
        <v>16</v>
      </c>
      <c r="BH338" s="91"/>
    </row>
    <row r="339" spans="1:60" x14ac:dyDescent="0.25">
      <c r="A339" s="91" t="s">
        <v>207</v>
      </c>
      <c r="B339" s="129">
        <f t="shared" si="22"/>
        <v>330</v>
      </c>
      <c r="C339" s="91">
        <f t="shared" si="23"/>
        <v>48</v>
      </c>
      <c r="D339" s="130">
        <f t="shared" si="24"/>
        <v>0.96</v>
      </c>
      <c r="E339" s="131">
        <v>46316</v>
      </c>
      <c r="F339" s="131">
        <v>46318</v>
      </c>
      <c r="G339" s="91">
        <f t="shared" si="25"/>
        <v>2</v>
      </c>
      <c r="H339" s="91">
        <v>5</v>
      </c>
      <c r="I339" s="91">
        <v>5</v>
      </c>
      <c r="J339" s="91">
        <v>7</v>
      </c>
      <c r="K339" s="91">
        <v>6</v>
      </c>
      <c r="L339" s="91">
        <v>7</v>
      </c>
      <c r="M339" s="91"/>
      <c r="N339" s="91">
        <v>7</v>
      </c>
      <c r="O339" s="91">
        <v>6</v>
      </c>
      <c r="P339" s="91">
        <v>7</v>
      </c>
      <c r="Q339" s="91">
        <v>6</v>
      </c>
      <c r="R339" s="91">
        <v>6</v>
      </c>
      <c r="S339" s="91">
        <v>7</v>
      </c>
      <c r="T339" s="91">
        <v>7</v>
      </c>
      <c r="U339" s="91">
        <v>5</v>
      </c>
      <c r="V339" s="91">
        <v>6</v>
      </c>
      <c r="W339" s="91">
        <v>7</v>
      </c>
      <c r="X339" s="91">
        <v>7</v>
      </c>
      <c r="Y339" s="91">
        <v>6</v>
      </c>
      <c r="Z339" s="91">
        <v>5</v>
      </c>
      <c r="AA339" s="91">
        <v>5</v>
      </c>
      <c r="AB339" s="91">
        <v>7</v>
      </c>
      <c r="AC339" s="91">
        <v>7</v>
      </c>
      <c r="AD339" s="91">
        <v>7</v>
      </c>
      <c r="AE339" s="91">
        <v>5</v>
      </c>
      <c r="AF339" s="91">
        <v>7</v>
      </c>
      <c r="AG339" s="91">
        <v>7</v>
      </c>
      <c r="AH339" s="91">
        <v>7</v>
      </c>
      <c r="AI339" s="91">
        <v>7</v>
      </c>
      <c r="AJ339" s="91">
        <v>7</v>
      </c>
      <c r="AK339" s="91">
        <v>5</v>
      </c>
      <c r="AL339" s="91">
        <v>7</v>
      </c>
      <c r="AM339" s="91">
        <v>6</v>
      </c>
      <c r="AN339" s="91">
        <v>6</v>
      </c>
      <c r="AO339" s="91">
        <v>7</v>
      </c>
      <c r="AP339" s="91">
        <v>7</v>
      </c>
      <c r="AQ339" s="91">
        <v>5</v>
      </c>
      <c r="AR339" s="91">
        <v>5</v>
      </c>
      <c r="AS339" s="91">
        <v>8</v>
      </c>
      <c r="AT339" s="91">
        <v>7</v>
      </c>
      <c r="AU339" s="91">
        <v>6</v>
      </c>
      <c r="AV339" s="91">
        <v>8</v>
      </c>
      <c r="AW339" s="91">
        <v>7</v>
      </c>
      <c r="AX339" s="91">
        <v>5</v>
      </c>
      <c r="AY339" s="91"/>
      <c r="AZ339" s="91">
        <v>5</v>
      </c>
      <c r="BA339" s="91">
        <v>5</v>
      </c>
      <c r="BB339" s="91">
        <v>7</v>
      </c>
      <c r="BC339" s="91">
        <v>7</v>
      </c>
      <c r="BD339" s="91">
        <v>7</v>
      </c>
      <c r="BE339" s="91">
        <v>6</v>
      </c>
      <c r="BF339" s="91">
        <v>13</v>
      </c>
      <c r="BG339" s="91">
        <v>13</v>
      </c>
      <c r="BH339" s="91"/>
    </row>
    <row r="340" spans="1:60" x14ac:dyDescent="0.25">
      <c r="A340" s="91" t="s">
        <v>464</v>
      </c>
      <c r="B340" s="129">
        <f t="shared" si="22"/>
        <v>327</v>
      </c>
      <c r="C340" s="91">
        <f t="shared" si="23"/>
        <v>43</v>
      </c>
      <c r="D340" s="130">
        <f t="shared" si="24"/>
        <v>0.86</v>
      </c>
      <c r="E340" s="131">
        <v>46293</v>
      </c>
      <c r="F340" s="131">
        <v>46309</v>
      </c>
      <c r="G340" s="91">
        <f t="shared" si="25"/>
        <v>16</v>
      </c>
      <c r="H340" s="91">
        <v>7</v>
      </c>
      <c r="I340" s="91">
        <v>7</v>
      </c>
      <c r="J340" s="91">
        <v>7</v>
      </c>
      <c r="K340" s="91">
        <v>7</v>
      </c>
      <c r="L340" s="91">
        <v>7</v>
      </c>
      <c r="M340" s="91"/>
      <c r="N340" s="91">
        <v>7</v>
      </c>
      <c r="O340" s="91">
        <v>7</v>
      </c>
      <c r="P340" s="91">
        <v>7</v>
      </c>
      <c r="Q340" s="91">
        <v>7</v>
      </c>
      <c r="R340" s="91">
        <v>7</v>
      </c>
      <c r="S340" s="91">
        <v>7</v>
      </c>
      <c r="T340" s="91">
        <v>7</v>
      </c>
      <c r="U340" s="91">
        <v>7</v>
      </c>
      <c r="V340" s="91">
        <v>7</v>
      </c>
      <c r="W340" s="91">
        <v>7</v>
      </c>
      <c r="X340" s="91">
        <v>7</v>
      </c>
      <c r="Y340" s="91"/>
      <c r="Z340" s="91">
        <v>7</v>
      </c>
      <c r="AA340" s="91">
        <v>7</v>
      </c>
      <c r="AB340" s="91">
        <v>7</v>
      </c>
      <c r="AC340" s="91">
        <v>7</v>
      </c>
      <c r="AD340" s="91">
        <v>7</v>
      </c>
      <c r="AE340" s="91">
        <v>7</v>
      </c>
      <c r="AF340" s="91">
        <v>7</v>
      </c>
      <c r="AG340" s="91">
        <v>7</v>
      </c>
      <c r="AH340" s="91">
        <v>7</v>
      </c>
      <c r="AI340" s="91">
        <v>7</v>
      </c>
      <c r="AJ340" s="91">
        <v>7</v>
      </c>
      <c r="AK340" s="91"/>
      <c r="AL340" s="91">
        <v>7</v>
      </c>
      <c r="AM340" s="91">
        <v>7</v>
      </c>
      <c r="AN340" s="91">
        <v>7</v>
      </c>
      <c r="AO340" s="91">
        <v>7</v>
      </c>
      <c r="AP340" s="91">
        <v>7</v>
      </c>
      <c r="AQ340" s="91">
        <v>7</v>
      </c>
      <c r="AR340" s="91">
        <v>7</v>
      </c>
      <c r="AS340" s="91">
        <v>7</v>
      </c>
      <c r="AT340" s="91">
        <v>7</v>
      </c>
      <c r="AU340" s="91">
        <v>7</v>
      </c>
      <c r="AV340" s="91"/>
      <c r="AW340" s="91">
        <v>7</v>
      </c>
      <c r="AX340" s="91">
        <v>7</v>
      </c>
      <c r="AY340" s="91"/>
      <c r="AZ340" s="91">
        <v>7</v>
      </c>
      <c r="BA340" s="91">
        <v>7</v>
      </c>
      <c r="BB340" s="91">
        <v>7</v>
      </c>
      <c r="BC340" s="91"/>
      <c r="BD340" s="91"/>
      <c r="BE340" s="91">
        <v>7</v>
      </c>
      <c r="BF340" s="91">
        <v>13</v>
      </c>
      <c r="BG340" s="91">
        <v>13</v>
      </c>
      <c r="BH340" s="91"/>
    </row>
    <row r="341" spans="1:60" x14ac:dyDescent="0.25">
      <c r="A341" s="91" t="s">
        <v>546</v>
      </c>
      <c r="B341" s="129">
        <f t="shared" si="22"/>
        <v>326</v>
      </c>
      <c r="C341" s="91">
        <f t="shared" si="23"/>
        <v>49</v>
      </c>
      <c r="D341" s="130">
        <f t="shared" si="24"/>
        <v>0.98</v>
      </c>
      <c r="E341" s="131">
        <v>46219</v>
      </c>
      <c r="F341" s="131">
        <v>46302</v>
      </c>
      <c r="G341" s="91">
        <f t="shared" si="25"/>
        <v>83</v>
      </c>
      <c r="H341" s="91">
        <v>6</v>
      </c>
      <c r="I341" s="91">
        <v>6</v>
      </c>
      <c r="J341" s="91">
        <v>6</v>
      </c>
      <c r="K341" s="91">
        <v>6</v>
      </c>
      <c r="L341" s="91">
        <v>6</v>
      </c>
      <c r="M341" s="91">
        <v>3</v>
      </c>
      <c r="N341" s="91">
        <v>6</v>
      </c>
      <c r="O341" s="91">
        <v>6</v>
      </c>
      <c r="P341" s="91">
        <v>6</v>
      </c>
      <c r="Q341" s="91">
        <v>6</v>
      </c>
      <c r="R341" s="91">
        <v>9</v>
      </c>
      <c r="S341" s="91">
        <v>6</v>
      </c>
      <c r="T341" s="91">
        <v>6</v>
      </c>
      <c r="U341" s="91">
        <v>6</v>
      </c>
      <c r="V341" s="91">
        <v>6</v>
      </c>
      <c r="W341" s="91">
        <v>6</v>
      </c>
      <c r="X341" s="91">
        <v>6</v>
      </c>
      <c r="Y341" s="91">
        <v>6</v>
      </c>
      <c r="Z341" s="91">
        <v>6</v>
      </c>
      <c r="AA341" s="91">
        <v>6</v>
      </c>
      <c r="AB341" s="91">
        <v>6</v>
      </c>
      <c r="AC341" s="91">
        <v>6</v>
      </c>
      <c r="AD341" s="91">
        <v>6</v>
      </c>
      <c r="AE341" s="91">
        <v>6</v>
      </c>
      <c r="AF341" s="91">
        <v>6</v>
      </c>
      <c r="AG341" s="91">
        <v>6</v>
      </c>
      <c r="AH341" s="91">
        <v>6</v>
      </c>
      <c r="AI341" s="91">
        <v>6</v>
      </c>
      <c r="AJ341" s="91">
        <v>6</v>
      </c>
      <c r="AK341" s="91">
        <v>12</v>
      </c>
      <c r="AL341" s="91">
        <v>6</v>
      </c>
      <c r="AM341" s="91">
        <v>12</v>
      </c>
      <c r="AN341" s="91">
        <v>6</v>
      </c>
      <c r="AO341" s="91">
        <v>6</v>
      </c>
      <c r="AP341" s="91">
        <v>12</v>
      </c>
      <c r="AQ341" s="91">
        <v>6</v>
      </c>
      <c r="AR341" s="91">
        <v>6</v>
      </c>
      <c r="AS341" s="91">
        <v>6</v>
      </c>
      <c r="AT341" s="91">
        <v>6</v>
      </c>
      <c r="AU341" s="91">
        <v>6</v>
      </c>
      <c r="AV341" s="91">
        <v>6</v>
      </c>
      <c r="AW341" s="91">
        <v>6</v>
      </c>
      <c r="AX341" s="91">
        <v>9</v>
      </c>
      <c r="AY341" s="91"/>
      <c r="AZ341" s="91">
        <v>6</v>
      </c>
      <c r="BA341" s="91">
        <v>6</v>
      </c>
      <c r="BB341" s="91">
        <v>6</v>
      </c>
      <c r="BC341" s="91">
        <v>6</v>
      </c>
      <c r="BD341" s="91">
        <v>6</v>
      </c>
      <c r="BE341" s="91">
        <v>5</v>
      </c>
      <c r="BF341" s="91">
        <v>12</v>
      </c>
      <c r="BG341" s="91"/>
      <c r="BH341" s="91"/>
    </row>
    <row r="342" spans="1:60" x14ac:dyDescent="0.25">
      <c r="A342" s="91" t="s">
        <v>547</v>
      </c>
      <c r="B342" s="129">
        <f t="shared" si="22"/>
        <v>324</v>
      </c>
      <c r="C342" s="91">
        <f t="shared" si="23"/>
        <v>49</v>
      </c>
      <c r="D342" s="130">
        <f t="shared" si="24"/>
        <v>0.98</v>
      </c>
      <c r="E342" s="131">
        <v>46219</v>
      </c>
      <c r="F342" s="131">
        <v>46302</v>
      </c>
      <c r="G342" s="91">
        <f t="shared" si="25"/>
        <v>83</v>
      </c>
      <c r="H342" s="91">
        <v>6</v>
      </c>
      <c r="I342" s="91">
        <v>6</v>
      </c>
      <c r="J342" s="91">
        <v>6</v>
      </c>
      <c r="K342" s="91">
        <v>6</v>
      </c>
      <c r="L342" s="91">
        <v>6</v>
      </c>
      <c r="M342" s="91">
        <v>3</v>
      </c>
      <c r="N342" s="91">
        <v>6</v>
      </c>
      <c r="O342" s="91">
        <v>6</v>
      </c>
      <c r="P342" s="91">
        <v>6</v>
      </c>
      <c r="Q342" s="91">
        <v>6</v>
      </c>
      <c r="R342" s="91">
        <v>9</v>
      </c>
      <c r="S342" s="91">
        <v>6</v>
      </c>
      <c r="T342" s="91">
        <v>6</v>
      </c>
      <c r="U342" s="91">
        <v>6</v>
      </c>
      <c r="V342" s="91">
        <v>6</v>
      </c>
      <c r="W342" s="91">
        <v>6</v>
      </c>
      <c r="X342" s="91">
        <v>6</v>
      </c>
      <c r="Y342" s="91">
        <v>6</v>
      </c>
      <c r="Z342" s="91">
        <v>6</v>
      </c>
      <c r="AA342" s="91">
        <v>6</v>
      </c>
      <c r="AB342" s="91">
        <v>6</v>
      </c>
      <c r="AC342" s="91">
        <v>6</v>
      </c>
      <c r="AD342" s="91">
        <v>6</v>
      </c>
      <c r="AE342" s="91">
        <v>6</v>
      </c>
      <c r="AF342" s="91">
        <v>6</v>
      </c>
      <c r="AG342" s="91">
        <v>6</v>
      </c>
      <c r="AH342" s="91">
        <v>6</v>
      </c>
      <c r="AI342" s="91">
        <v>6</v>
      </c>
      <c r="AJ342" s="91">
        <v>6</v>
      </c>
      <c r="AK342" s="91">
        <v>12</v>
      </c>
      <c r="AL342" s="91">
        <v>6</v>
      </c>
      <c r="AM342" s="91">
        <v>12</v>
      </c>
      <c r="AN342" s="91">
        <v>6</v>
      </c>
      <c r="AO342" s="91">
        <v>6</v>
      </c>
      <c r="AP342" s="91">
        <v>12</v>
      </c>
      <c r="AQ342" s="91">
        <v>6</v>
      </c>
      <c r="AR342" s="91">
        <v>6</v>
      </c>
      <c r="AS342" s="91">
        <v>6</v>
      </c>
      <c r="AT342" s="91">
        <v>6</v>
      </c>
      <c r="AU342" s="91">
        <v>6</v>
      </c>
      <c r="AV342" s="91">
        <v>6</v>
      </c>
      <c r="AW342" s="91">
        <v>6</v>
      </c>
      <c r="AX342" s="91">
        <v>9</v>
      </c>
      <c r="AY342" s="91"/>
      <c r="AZ342" s="91">
        <v>6</v>
      </c>
      <c r="BA342" s="91">
        <v>6</v>
      </c>
      <c r="BB342" s="91">
        <v>6</v>
      </c>
      <c r="BC342" s="91">
        <v>6</v>
      </c>
      <c r="BD342" s="91">
        <v>6</v>
      </c>
      <c r="BE342" s="91">
        <v>3</v>
      </c>
      <c r="BF342" s="91">
        <v>12</v>
      </c>
      <c r="BG342" s="91"/>
      <c r="BH342" s="91"/>
    </row>
    <row r="343" spans="1:60" x14ac:dyDescent="0.25">
      <c r="A343" s="91" t="s">
        <v>210</v>
      </c>
      <c r="B343" s="129">
        <f t="shared" si="22"/>
        <v>322</v>
      </c>
      <c r="C343" s="91">
        <f t="shared" si="23"/>
        <v>17</v>
      </c>
      <c r="D343" s="130">
        <f t="shared" si="24"/>
        <v>0.34</v>
      </c>
      <c r="E343" s="131">
        <v>46282</v>
      </c>
      <c r="F343" s="131">
        <v>46317</v>
      </c>
      <c r="G343" s="91">
        <f t="shared" si="25"/>
        <v>35</v>
      </c>
      <c r="H343" s="91"/>
      <c r="I343" s="91"/>
      <c r="J343" s="91">
        <v>16</v>
      </c>
      <c r="K343" s="91">
        <v>16</v>
      </c>
      <c r="L343" s="91">
        <v>16</v>
      </c>
      <c r="M343" s="91"/>
      <c r="N343" s="91">
        <v>16</v>
      </c>
      <c r="O343" s="91">
        <v>16</v>
      </c>
      <c r="P343" s="91"/>
      <c r="Q343" s="91">
        <v>16</v>
      </c>
      <c r="R343" s="91"/>
      <c r="S343" s="91"/>
      <c r="T343" s="91"/>
      <c r="U343" s="91">
        <v>16</v>
      </c>
      <c r="V343" s="91">
        <v>16</v>
      </c>
      <c r="W343" s="91">
        <v>16</v>
      </c>
      <c r="X343" s="91">
        <v>16</v>
      </c>
      <c r="Y343" s="91">
        <v>2</v>
      </c>
      <c r="Z343" s="91">
        <v>16</v>
      </c>
      <c r="AA343" s="91"/>
      <c r="AB343" s="91">
        <v>16</v>
      </c>
      <c r="AC343" s="91">
        <v>16</v>
      </c>
      <c r="AD343" s="91"/>
      <c r="AE343" s="91">
        <v>16</v>
      </c>
      <c r="AF343" s="91"/>
      <c r="AG343" s="91"/>
      <c r="AH343" s="91"/>
      <c r="AI343" s="91">
        <v>16</v>
      </c>
      <c r="AJ343" s="91"/>
      <c r="AK343" s="91">
        <v>16</v>
      </c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>
        <v>32</v>
      </c>
      <c r="BG343" s="91">
        <v>32</v>
      </c>
      <c r="BH343" s="91"/>
    </row>
    <row r="344" spans="1:60" x14ac:dyDescent="0.25">
      <c r="A344" s="91" t="s">
        <v>232</v>
      </c>
      <c r="B344" s="129">
        <f t="shared" si="22"/>
        <v>321</v>
      </c>
      <c r="C344" s="91">
        <f t="shared" si="23"/>
        <v>17</v>
      </c>
      <c r="D344" s="130">
        <f t="shared" si="24"/>
        <v>0.34</v>
      </c>
      <c r="E344" s="131">
        <v>46282</v>
      </c>
      <c r="F344" s="131">
        <v>46322</v>
      </c>
      <c r="G344" s="91">
        <f t="shared" si="25"/>
        <v>40</v>
      </c>
      <c r="H344" s="91"/>
      <c r="I344" s="91"/>
      <c r="J344" s="91">
        <v>16</v>
      </c>
      <c r="K344" s="91">
        <v>16</v>
      </c>
      <c r="L344" s="91">
        <v>16</v>
      </c>
      <c r="M344" s="91"/>
      <c r="N344" s="91">
        <v>16</v>
      </c>
      <c r="O344" s="91">
        <v>16</v>
      </c>
      <c r="P344" s="91"/>
      <c r="Q344" s="91">
        <v>16</v>
      </c>
      <c r="R344" s="91"/>
      <c r="S344" s="91"/>
      <c r="T344" s="91"/>
      <c r="U344" s="91">
        <v>16</v>
      </c>
      <c r="V344" s="91">
        <v>16</v>
      </c>
      <c r="W344" s="91">
        <v>16</v>
      </c>
      <c r="X344" s="91">
        <v>16</v>
      </c>
      <c r="Y344" s="91">
        <v>1</v>
      </c>
      <c r="Z344" s="91">
        <v>16</v>
      </c>
      <c r="AA344" s="91"/>
      <c r="AB344" s="91">
        <v>16</v>
      </c>
      <c r="AC344" s="91">
        <v>16</v>
      </c>
      <c r="AD344" s="91"/>
      <c r="AE344" s="91">
        <v>16</v>
      </c>
      <c r="AF344" s="91"/>
      <c r="AG344" s="91"/>
      <c r="AH344" s="91"/>
      <c r="AI344" s="91">
        <v>16</v>
      </c>
      <c r="AJ344" s="91"/>
      <c r="AK344" s="91">
        <v>16</v>
      </c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>
        <v>32</v>
      </c>
      <c r="BG344" s="91">
        <v>32</v>
      </c>
      <c r="BH344" s="91"/>
    </row>
    <row r="345" spans="1:60" x14ac:dyDescent="0.25">
      <c r="A345" s="91" t="s">
        <v>526</v>
      </c>
      <c r="B345" s="129">
        <f t="shared" si="22"/>
        <v>304</v>
      </c>
      <c r="C345" s="91">
        <f t="shared" si="23"/>
        <v>36</v>
      </c>
      <c r="D345" s="130">
        <f t="shared" si="24"/>
        <v>0.72</v>
      </c>
      <c r="E345" s="131">
        <v>46262</v>
      </c>
      <c r="F345" s="131">
        <v>46282</v>
      </c>
      <c r="G345" s="91">
        <f t="shared" si="25"/>
        <v>20</v>
      </c>
      <c r="H345" s="91">
        <v>8</v>
      </c>
      <c r="I345" s="91">
        <v>8</v>
      </c>
      <c r="J345" s="91">
        <v>8</v>
      </c>
      <c r="K345" s="91">
        <v>8</v>
      </c>
      <c r="L345" s="91">
        <v>8</v>
      </c>
      <c r="M345" s="91"/>
      <c r="N345" s="91">
        <v>8</v>
      </c>
      <c r="O345" s="91">
        <v>8</v>
      </c>
      <c r="P345" s="91">
        <v>8</v>
      </c>
      <c r="Q345" s="91"/>
      <c r="R345" s="91">
        <v>8</v>
      </c>
      <c r="S345" s="91">
        <v>8</v>
      </c>
      <c r="T345" s="91">
        <v>8</v>
      </c>
      <c r="U345" s="91">
        <v>8</v>
      </c>
      <c r="V345" s="91">
        <v>8</v>
      </c>
      <c r="W345" s="91">
        <v>8</v>
      </c>
      <c r="X345" s="91">
        <v>8</v>
      </c>
      <c r="Y345" s="91"/>
      <c r="Z345" s="91">
        <v>8</v>
      </c>
      <c r="AA345" s="91">
        <v>8</v>
      </c>
      <c r="AB345" s="91">
        <v>8</v>
      </c>
      <c r="AC345" s="91">
        <v>8</v>
      </c>
      <c r="AD345" s="91">
        <v>8</v>
      </c>
      <c r="AE345" s="91">
        <v>8</v>
      </c>
      <c r="AF345" s="91">
        <v>8</v>
      </c>
      <c r="AG345" s="91">
        <v>8</v>
      </c>
      <c r="AH345" s="91"/>
      <c r="AI345" s="91">
        <v>8</v>
      </c>
      <c r="AJ345" s="91">
        <v>8</v>
      </c>
      <c r="AK345" s="91">
        <v>8</v>
      </c>
      <c r="AL345" s="91"/>
      <c r="AM345" s="91">
        <v>8</v>
      </c>
      <c r="AN345" s="91"/>
      <c r="AO345" s="91">
        <v>8</v>
      </c>
      <c r="AP345" s="91">
        <v>8</v>
      </c>
      <c r="AQ345" s="91"/>
      <c r="AR345" s="91">
        <v>8</v>
      </c>
      <c r="AS345" s="91">
        <v>8</v>
      </c>
      <c r="AT345" s="91">
        <v>8</v>
      </c>
      <c r="AU345" s="91"/>
      <c r="AV345" s="91"/>
      <c r="AW345" s="91"/>
      <c r="AX345" s="91">
        <v>8</v>
      </c>
      <c r="AY345" s="91"/>
      <c r="AZ345" s="91"/>
      <c r="BA345" s="91">
        <v>8</v>
      </c>
      <c r="BB345" s="91"/>
      <c r="BC345" s="91"/>
      <c r="BD345" s="91">
        <v>10</v>
      </c>
      <c r="BE345" s="91">
        <v>8</v>
      </c>
      <c r="BF345" s="91"/>
      <c r="BG345" s="91">
        <v>14</v>
      </c>
      <c r="BH345" s="91"/>
    </row>
    <row r="346" spans="1:60" x14ac:dyDescent="0.25">
      <c r="A346" s="91" t="s">
        <v>854</v>
      </c>
      <c r="B346" s="129">
        <f t="shared" si="22"/>
        <v>304</v>
      </c>
      <c r="C346" s="91">
        <f t="shared" si="23"/>
        <v>37</v>
      </c>
      <c r="D346" s="130">
        <f t="shared" si="24"/>
        <v>0.74</v>
      </c>
      <c r="E346" s="131">
        <v>46293</v>
      </c>
      <c r="F346" s="131">
        <v>46323</v>
      </c>
      <c r="G346" s="91">
        <f t="shared" si="25"/>
        <v>30</v>
      </c>
      <c r="H346" s="91">
        <v>9</v>
      </c>
      <c r="I346" s="91">
        <v>9</v>
      </c>
      <c r="J346" s="91">
        <v>9</v>
      </c>
      <c r="K346" s="91">
        <v>9</v>
      </c>
      <c r="L346" s="91">
        <v>9</v>
      </c>
      <c r="M346" s="91"/>
      <c r="N346" s="91">
        <v>9</v>
      </c>
      <c r="O346" s="91">
        <v>9</v>
      </c>
      <c r="P346" s="91">
        <v>6</v>
      </c>
      <c r="Q346" s="91">
        <v>6</v>
      </c>
      <c r="R346" s="91">
        <v>9</v>
      </c>
      <c r="S346" s="91">
        <v>9</v>
      </c>
      <c r="T346" s="91">
        <v>9</v>
      </c>
      <c r="U346" s="91"/>
      <c r="V346" s="91">
        <v>9</v>
      </c>
      <c r="W346" s="91">
        <v>6</v>
      </c>
      <c r="X346" s="91">
        <v>9</v>
      </c>
      <c r="Y346" s="91">
        <v>1</v>
      </c>
      <c r="Z346" s="91"/>
      <c r="AA346" s="91"/>
      <c r="AB346" s="91">
        <v>6</v>
      </c>
      <c r="AC346" s="91">
        <v>9</v>
      </c>
      <c r="AD346" s="91">
        <v>9</v>
      </c>
      <c r="AE346" s="91"/>
      <c r="AF346" s="91">
        <v>9</v>
      </c>
      <c r="AG346" s="91">
        <v>9</v>
      </c>
      <c r="AH346" s="91">
        <v>9</v>
      </c>
      <c r="AI346" s="91">
        <v>9</v>
      </c>
      <c r="AJ346" s="91"/>
      <c r="AK346" s="91"/>
      <c r="AL346" s="91"/>
      <c r="AM346" s="91"/>
      <c r="AN346" s="91">
        <v>6</v>
      </c>
      <c r="AO346" s="91">
        <v>9</v>
      </c>
      <c r="AP346" s="91">
        <v>9</v>
      </c>
      <c r="AQ346" s="91">
        <v>9</v>
      </c>
      <c r="AR346" s="91"/>
      <c r="AS346" s="91">
        <v>9</v>
      </c>
      <c r="AT346" s="91"/>
      <c r="AU346" s="91">
        <v>6</v>
      </c>
      <c r="AV346" s="91">
        <v>9</v>
      </c>
      <c r="AW346" s="91">
        <v>9</v>
      </c>
      <c r="AX346" s="91">
        <v>9</v>
      </c>
      <c r="AY346" s="91"/>
      <c r="AZ346" s="91"/>
      <c r="BA346" s="91">
        <v>9</v>
      </c>
      <c r="BB346" s="91">
        <v>9</v>
      </c>
      <c r="BC346" s="91">
        <v>6</v>
      </c>
      <c r="BD346" s="91">
        <v>9</v>
      </c>
      <c r="BE346" s="91">
        <v>9</v>
      </c>
      <c r="BF346" s="91"/>
      <c r="BG346" s="91"/>
      <c r="BH346" s="91"/>
    </row>
    <row r="347" spans="1:60" x14ac:dyDescent="0.25">
      <c r="A347" s="91" t="s">
        <v>373</v>
      </c>
      <c r="B347" s="129">
        <f t="shared" si="22"/>
        <v>300</v>
      </c>
      <c r="C347" s="91">
        <f t="shared" si="23"/>
        <v>31</v>
      </c>
      <c r="D347" s="130">
        <f t="shared" si="24"/>
        <v>0.62</v>
      </c>
      <c r="E347" s="131">
        <v>46300</v>
      </c>
      <c r="F347" s="131">
        <v>46318</v>
      </c>
      <c r="G347" s="91">
        <f t="shared" si="25"/>
        <v>18</v>
      </c>
      <c r="H347" s="91">
        <v>9</v>
      </c>
      <c r="I347" s="91"/>
      <c r="J347" s="91">
        <v>9</v>
      </c>
      <c r="K347" s="91">
        <v>9</v>
      </c>
      <c r="L347" s="91">
        <v>9</v>
      </c>
      <c r="M347" s="91"/>
      <c r="N347" s="91">
        <v>9</v>
      </c>
      <c r="O347" s="91">
        <v>9</v>
      </c>
      <c r="P347" s="91"/>
      <c r="Q347" s="91"/>
      <c r="R347" s="91"/>
      <c r="S347" s="91">
        <v>9</v>
      </c>
      <c r="T347" s="91"/>
      <c r="U347" s="91"/>
      <c r="V347" s="91">
        <v>9</v>
      </c>
      <c r="W347" s="91"/>
      <c r="X347" s="91">
        <v>9</v>
      </c>
      <c r="Y347" s="91"/>
      <c r="Z347" s="91">
        <v>9</v>
      </c>
      <c r="AA347" s="91"/>
      <c r="AB347" s="91">
        <v>9</v>
      </c>
      <c r="AC347" s="91">
        <v>9</v>
      </c>
      <c r="AD347" s="91">
        <v>9</v>
      </c>
      <c r="AE347" s="91">
        <v>9</v>
      </c>
      <c r="AF347" s="91">
        <v>7</v>
      </c>
      <c r="AG347" s="91"/>
      <c r="AH347" s="91"/>
      <c r="AI347" s="91">
        <v>9</v>
      </c>
      <c r="AJ347" s="91">
        <v>9</v>
      </c>
      <c r="AK347" s="91">
        <v>9</v>
      </c>
      <c r="AL347" s="91"/>
      <c r="AM347" s="91">
        <v>6</v>
      </c>
      <c r="AN347" s="91">
        <v>9</v>
      </c>
      <c r="AO347" s="91">
        <v>9</v>
      </c>
      <c r="AP347" s="91"/>
      <c r="AQ347" s="91">
        <v>9</v>
      </c>
      <c r="AR347" s="91"/>
      <c r="AS347" s="91">
        <v>9</v>
      </c>
      <c r="AT347" s="91">
        <v>9</v>
      </c>
      <c r="AU347" s="91">
        <v>6</v>
      </c>
      <c r="AV347" s="91"/>
      <c r="AW347" s="91">
        <v>9</v>
      </c>
      <c r="AX347" s="91"/>
      <c r="AY347" s="91"/>
      <c r="AZ347" s="91">
        <v>9</v>
      </c>
      <c r="BA347" s="91">
        <v>9</v>
      </c>
      <c r="BB347" s="91">
        <v>9</v>
      </c>
      <c r="BC347" s="91">
        <v>6</v>
      </c>
      <c r="BD347" s="91"/>
      <c r="BE347" s="91">
        <v>9</v>
      </c>
      <c r="BF347" s="91">
        <v>16</v>
      </c>
      <c r="BG347" s="91">
        <v>16</v>
      </c>
      <c r="BH347" s="91"/>
    </row>
    <row r="348" spans="1:60" x14ac:dyDescent="0.25">
      <c r="A348" s="91" t="s">
        <v>396</v>
      </c>
      <c r="B348" s="129">
        <f t="shared" si="22"/>
        <v>296</v>
      </c>
      <c r="C348" s="91">
        <f t="shared" si="23"/>
        <v>42</v>
      </c>
      <c r="D348" s="130">
        <f t="shared" si="24"/>
        <v>0.84</v>
      </c>
      <c r="E348" s="131">
        <v>46286</v>
      </c>
      <c r="F348" s="131">
        <v>46318</v>
      </c>
      <c r="G348" s="91">
        <f t="shared" si="25"/>
        <v>32</v>
      </c>
      <c r="H348" s="91">
        <v>7</v>
      </c>
      <c r="I348" s="91">
        <v>5</v>
      </c>
      <c r="J348" s="91">
        <v>7</v>
      </c>
      <c r="K348" s="91">
        <v>7</v>
      </c>
      <c r="L348" s="91">
        <v>9</v>
      </c>
      <c r="M348" s="91"/>
      <c r="N348" s="91">
        <v>7</v>
      </c>
      <c r="O348" s="91">
        <v>7</v>
      </c>
      <c r="P348" s="91">
        <v>7</v>
      </c>
      <c r="Q348" s="91">
        <v>7</v>
      </c>
      <c r="R348" s="91"/>
      <c r="S348" s="91">
        <v>7</v>
      </c>
      <c r="T348" s="91">
        <v>7</v>
      </c>
      <c r="U348" s="91">
        <v>5</v>
      </c>
      <c r="V348" s="91">
        <v>7</v>
      </c>
      <c r="W348" s="91">
        <v>7</v>
      </c>
      <c r="X348" s="91">
        <v>7</v>
      </c>
      <c r="Y348" s="91">
        <v>1</v>
      </c>
      <c r="Z348" s="91">
        <v>7</v>
      </c>
      <c r="AA348" s="91">
        <v>5</v>
      </c>
      <c r="AB348" s="91">
        <v>7</v>
      </c>
      <c r="AC348" s="91">
        <v>7</v>
      </c>
      <c r="AD348" s="91">
        <v>7</v>
      </c>
      <c r="AE348" s="91">
        <v>5</v>
      </c>
      <c r="AF348" s="91">
        <v>7</v>
      </c>
      <c r="AG348" s="91"/>
      <c r="AH348" s="91">
        <v>7</v>
      </c>
      <c r="AI348" s="91">
        <v>7</v>
      </c>
      <c r="AJ348" s="91">
        <v>14</v>
      </c>
      <c r="AK348" s="91">
        <v>5</v>
      </c>
      <c r="AL348" s="91"/>
      <c r="AM348" s="91">
        <v>7</v>
      </c>
      <c r="AN348" s="91">
        <v>7</v>
      </c>
      <c r="AO348" s="91">
        <v>7</v>
      </c>
      <c r="AP348" s="91"/>
      <c r="AQ348" s="91">
        <v>5</v>
      </c>
      <c r="AR348" s="91">
        <v>5</v>
      </c>
      <c r="AS348" s="91">
        <v>7</v>
      </c>
      <c r="AT348" s="91">
        <v>7</v>
      </c>
      <c r="AU348" s="91"/>
      <c r="AV348" s="91">
        <v>7</v>
      </c>
      <c r="AW348" s="91">
        <v>7</v>
      </c>
      <c r="AX348" s="91">
        <v>7</v>
      </c>
      <c r="AY348" s="91"/>
      <c r="AZ348" s="91">
        <v>5</v>
      </c>
      <c r="BA348" s="91">
        <v>7</v>
      </c>
      <c r="BB348" s="91">
        <v>7</v>
      </c>
      <c r="BC348" s="91">
        <v>7</v>
      </c>
      <c r="BD348" s="91"/>
      <c r="BE348" s="91">
        <v>7</v>
      </c>
      <c r="BF348" s="91">
        <v>5</v>
      </c>
      <c r="BG348" s="91">
        <v>10</v>
      </c>
      <c r="BH348" s="91"/>
    </row>
    <row r="349" spans="1:60" x14ac:dyDescent="0.25">
      <c r="A349" s="91" t="s">
        <v>116</v>
      </c>
      <c r="B349" s="129">
        <f t="shared" si="22"/>
        <v>296</v>
      </c>
      <c r="C349" s="91">
        <f t="shared" si="23"/>
        <v>22</v>
      </c>
      <c r="D349" s="130">
        <f t="shared" si="24"/>
        <v>0.44</v>
      </c>
      <c r="E349" s="131">
        <v>46293</v>
      </c>
      <c r="F349" s="131">
        <v>46323</v>
      </c>
      <c r="G349" s="91">
        <f t="shared" si="25"/>
        <v>30</v>
      </c>
      <c r="H349" s="91"/>
      <c r="I349" s="91"/>
      <c r="J349" s="91">
        <v>8</v>
      </c>
      <c r="K349" s="91"/>
      <c r="L349" s="91">
        <v>16</v>
      </c>
      <c r="M349" s="91"/>
      <c r="N349" s="91">
        <v>16</v>
      </c>
      <c r="O349" s="91">
        <v>16</v>
      </c>
      <c r="P349" s="91">
        <v>8</v>
      </c>
      <c r="Q349" s="91"/>
      <c r="R349" s="91">
        <v>8</v>
      </c>
      <c r="S349" s="91">
        <v>8</v>
      </c>
      <c r="T349" s="91"/>
      <c r="U349" s="91"/>
      <c r="V349" s="91">
        <v>8</v>
      </c>
      <c r="W349" s="91"/>
      <c r="X349" s="91"/>
      <c r="Y349" s="91">
        <v>4</v>
      </c>
      <c r="Z349" s="91">
        <v>16</v>
      </c>
      <c r="AA349" s="91"/>
      <c r="AB349" s="91">
        <v>16</v>
      </c>
      <c r="AC349" s="91"/>
      <c r="AD349" s="91">
        <v>8</v>
      </c>
      <c r="AE349" s="91"/>
      <c r="AF349" s="91"/>
      <c r="AG349" s="91"/>
      <c r="AH349" s="91">
        <v>16</v>
      </c>
      <c r="AI349" s="91">
        <v>8</v>
      </c>
      <c r="AJ349" s="91"/>
      <c r="AK349" s="91"/>
      <c r="AL349" s="91">
        <v>8</v>
      </c>
      <c r="AM349" s="91"/>
      <c r="AN349" s="91">
        <v>16</v>
      </c>
      <c r="AO349" s="91"/>
      <c r="AP349" s="91">
        <v>16</v>
      </c>
      <c r="AQ349" s="91">
        <v>16</v>
      </c>
      <c r="AR349" s="91"/>
      <c r="AS349" s="91">
        <v>16</v>
      </c>
      <c r="AT349" s="91"/>
      <c r="AU349" s="91"/>
      <c r="AV349" s="91"/>
      <c r="AW349" s="91">
        <v>12</v>
      </c>
      <c r="AX349" s="91"/>
      <c r="AY349" s="91"/>
      <c r="AZ349" s="91"/>
      <c r="BA349" s="91"/>
      <c r="BB349" s="91">
        <v>16</v>
      </c>
      <c r="BC349" s="91"/>
      <c r="BD349" s="91"/>
      <c r="BE349" s="91">
        <v>12</v>
      </c>
      <c r="BF349" s="91">
        <v>28</v>
      </c>
      <c r="BG349" s="91"/>
      <c r="BH349" s="91"/>
    </row>
    <row r="350" spans="1:60" x14ac:dyDescent="0.25">
      <c r="A350" s="91" t="s">
        <v>81</v>
      </c>
      <c r="B350" s="129">
        <f t="shared" si="22"/>
        <v>294</v>
      </c>
      <c r="C350" s="91">
        <f t="shared" si="23"/>
        <v>37</v>
      </c>
      <c r="D350" s="130">
        <f t="shared" si="24"/>
        <v>0.74</v>
      </c>
      <c r="E350" s="131">
        <v>46274</v>
      </c>
      <c r="F350" s="131">
        <v>46318</v>
      </c>
      <c r="G350" s="91">
        <f t="shared" si="25"/>
        <v>44</v>
      </c>
      <c r="H350" s="91">
        <v>8</v>
      </c>
      <c r="I350" s="91">
        <v>8</v>
      </c>
      <c r="J350" s="91">
        <v>8</v>
      </c>
      <c r="K350" s="91">
        <v>8</v>
      </c>
      <c r="L350" s="91">
        <v>8</v>
      </c>
      <c r="M350" s="91"/>
      <c r="N350" s="91">
        <v>8</v>
      </c>
      <c r="O350" s="91">
        <v>8</v>
      </c>
      <c r="P350" s="91">
        <v>6</v>
      </c>
      <c r="Q350" s="91">
        <v>8</v>
      </c>
      <c r="R350" s="91">
        <v>8</v>
      </c>
      <c r="S350" s="91">
        <v>8</v>
      </c>
      <c r="T350" s="91">
        <v>8</v>
      </c>
      <c r="U350" s="91"/>
      <c r="V350" s="91">
        <v>8</v>
      </c>
      <c r="W350" s="91">
        <v>8</v>
      </c>
      <c r="X350" s="91">
        <v>8</v>
      </c>
      <c r="Y350" s="91">
        <v>1</v>
      </c>
      <c r="Z350" s="91">
        <v>8</v>
      </c>
      <c r="AA350" s="91"/>
      <c r="AB350" s="91">
        <v>8</v>
      </c>
      <c r="AC350" s="91">
        <v>8</v>
      </c>
      <c r="AD350" s="91">
        <v>8</v>
      </c>
      <c r="AE350" s="91"/>
      <c r="AF350" s="91">
        <v>7</v>
      </c>
      <c r="AG350" s="91"/>
      <c r="AH350" s="91">
        <v>8</v>
      </c>
      <c r="AI350" s="91">
        <v>8</v>
      </c>
      <c r="AJ350" s="91"/>
      <c r="AK350" s="91"/>
      <c r="AL350" s="91"/>
      <c r="AM350" s="91">
        <v>8</v>
      </c>
      <c r="AN350" s="91">
        <v>8</v>
      </c>
      <c r="AO350" s="91">
        <v>8</v>
      </c>
      <c r="AP350" s="91">
        <v>6</v>
      </c>
      <c r="AQ350" s="91">
        <v>6</v>
      </c>
      <c r="AR350" s="91"/>
      <c r="AS350" s="91">
        <v>8</v>
      </c>
      <c r="AT350" s="91">
        <v>8</v>
      </c>
      <c r="AU350" s="91"/>
      <c r="AV350" s="91">
        <v>8</v>
      </c>
      <c r="AW350" s="91">
        <v>8</v>
      </c>
      <c r="AX350" s="91">
        <v>8</v>
      </c>
      <c r="AY350" s="91"/>
      <c r="AZ350" s="91"/>
      <c r="BA350" s="91">
        <v>8</v>
      </c>
      <c r="BB350" s="91">
        <v>8</v>
      </c>
      <c r="BC350" s="91">
        <v>6</v>
      </c>
      <c r="BD350" s="91"/>
      <c r="BE350" s="91">
        <v>6</v>
      </c>
      <c r="BF350" s="91">
        <v>6</v>
      </c>
      <c r="BG350" s="91">
        <v>10</v>
      </c>
      <c r="BH350" s="91"/>
    </row>
    <row r="351" spans="1:60" x14ac:dyDescent="0.25">
      <c r="A351" s="91" t="s">
        <v>392</v>
      </c>
      <c r="B351" s="129">
        <f t="shared" si="22"/>
        <v>284</v>
      </c>
      <c r="C351" s="91">
        <f t="shared" si="23"/>
        <v>32</v>
      </c>
      <c r="D351" s="130">
        <f t="shared" si="24"/>
        <v>0.64</v>
      </c>
      <c r="E351" s="131">
        <v>46219</v>
      </c>
      <c r="F351" s="131">
        <v>46311</v>
      </c>
      <c r="G351" s="91">
        <f t="shared" si="25"/>
        <v>92</v>
      </c>
      <c r="H351" s="91">
        <v>8</v>
      </c>
      <c r="I351" s="91">
        <v>8</v>
      </c>
      <c r="J351" s="91">
        <v>8</v>
      </c>
      <c r="K351" s="91">
        <v>8</v>
      </c>
      <c r="L351" s="91">
        <v>8</v>
      </c>
      <c r="M351" s="91"/>
      <c r="N351" s="91">
        <v>8</v>
      </c>
      <c r="O351" s="91">
        <v>8</v>
      </c>
      <c r="P351" s="91"/>
      <c r="Q351" s="91"/>
      <c r="R351" s="91">
        <v>8</v>
      </c>
      <c r="S351" s="91">
        <v>8</v>
      </c>
      <c r="T351" s="91">
        <v>10</v>
      </c>
      <c r="U351" s="91"/>
      <c r="V351" s="91">
        <v>8</v>
      </c>
      <c r="W351" s="91">
        <v>8</v>
      </c>
      <c r="X351" s="91">
        <v>8</v>
      </c>
      <c r="Y351" s="91">
        <v>1</v>
      </c>
      <c r="Z351" s="91">
        <v>8</v>
      </c>
      <c r="AA351" s="91"/>
      <c r="AB351" s="91">
        <v>8</v>
      </c>
      <c r="AC351" s="91">
        <v>8</v>
      </c>
      <c r="AD351" s="91">
        <v>8</v>
      </c>
      <c r="AE351" s="91">
        <v>8</v>
      </c>
      <c r="AF351" s="91"/>
      <c r="AG351" s="91"/>
      <c r="AH351" s="91">
        <v>8</v>
      </c>
      <c r="AI351" s="91">
        <v>8</v>
      </c>
      <c r="AJ351" s="91">
        <v>8</v>
      </c>
      <c r="AK351" s="91"/>
      <c r="AL351" s="91"/>
      <c r="AM351" s="91"/>
      <c r="AN351" s="91">
        <v>8</v>
      </c>
      <c r="AO351" s="91">
        <v>8</v>
      </c>
      <c r="AP351" s="91">
        <v>8</v>
      </c>
      <c r="AQ351" s="91">
        <v>8</v>
      </c>
      <c r="AR351" s="91"/>
      <c r="AS351" s="91">
        <v>8</v>
      </c>
      <c r="AT351" s="91"/>
      <c r="AU351" s="91">
        <v>8</v>
      </c>
      <c r="AV351" s="91"/>
      <c r="AW351" s="91">
        <v>8</v>
      </c>
      <c r="AX351" s="91"/>
      <c r="AY351" s="91"/>
      <c r="AZ351" s="91"/>
      <c r="BA351" s="91">
        <v>8</v>
      </c>
      <c r="BB351" s="91"/>
      <c r="BC351" s="91"/>
      <c r="BD351" s="91">
        <v>14</v>
      </c>
      <c r="BE351" s="91">
        <v>8</v>
      </c>
      <c r="BF351" s="91">
        <v>15</v>
      </c>
      <c r="BG351" s="91">
        <v>12</v>
      </c>
      <c r="BH351" s="91"/>
    </row>
    <row r="352" spans="1:60" x14ac:dyDescent="0.25">
      <c r="A352" s="91" t="s">
        <v>437</v>
      </c>
      <c r="B352" s="129">
        <f t="shared" si="22"/>
        <v>284</v>
      </c>
      <c r="C352" s="91">
        <f t="shared" si="23"/>
        <v>35</v>
      </c>
      <c r="D352" s="130">
        <f t="shared" si="24"/>
        <v>0.7</v>
      </c>
      <c r="E352" s="131">
        <v>46317</v>
      </c>
      <c r="F352" s="131">
        <v>46323</v>
      </c>
      <c r="G352" s="91">
        <f t="shared" si="25"/>
        <v>6</v>
      </c>
      <c r="H352" s="91"/>
      <c r="I352" s="91"/>
      <c r="J352" s="91">
        <v>8</v>
      </c>
      <c r="K352" s="91">
        <v>6</v>
      </c>
      <c r="L352" s="91">
        <v>8</v>
      </c>
      <c r="M352" s="91"/>
      <c r="N352" s="91">
        <v>8</v>
      </c>
      <c r="O352" s="91">
        <v>6</v>
      </c>
      <c r="P352" s="91">
        <v>8</v>
      </c>
      <c r="Q352" s="91">
        <v>6</v>
      </c>
      <c r="R352" s="91">
        <v>6</v>
      </c>
      <c r="S352" s="91">
        <v>8</v>
      </c>
      <c r="T352" s="91">
        <v>8</v>
      </c>
      <c r="U352" s="91"/>
      <c r="V352" s="91">
        <v>6</v>
      </c>
      <c r="W352" s="91">
        <v>8</v>
      </c>
      <c r="X352" s="91">
        <v>8</v>
      </c>
      <c r="Y352" s="91">
        <v>6</v>
      </c>
      <c r="Z352" s="91"/>
      <c r="AA352" s="91"/>
      <c r="AB352" s="91">
        <v>8</v>
      </c>
      <c r="AC352" s="91">
        <v>8</v>
      </c>
      <c r="AD352" s="91">
        <v>8</v>
      </c>
      <c r="AE352" s="91"/>
      <c r="AF352" s="91">
        <v>8</v>
      </c>
      <c r="AG352" s="91">
        <v>8</v>
      </c>
      <c r="AH352" s="91">
        <v>8</v>
      </c>
      <c r="AI352" s="91">
        <v>8</v>
      </c>
      <c r="AJ352" s="91">
        <v>8</v>
      </c>
      <c r="AK352" s="91"/>
      <c r="AL352" s="91">
        <v>8</v>
      </c>
      <c r="AM352" s="91">
        <v>6</v>
      </c>
      <c r="AN352" s="91">
        <v>6</v>
      </c>
      <c r="AO352" s="91">
        <v>8</v>
      </c>
      <c r="AP352" s="91">
        <v>8</v>
      </c>
      <c r="AQ352" s="91"/>
      <c r="AR352" s="91"/>
      <c r="AS352" s="91">
        <v>8</v>
      </c>
      <c r="AT352" s="91">
        <v>8</v>
      </c>
      <c r="AU352" s="91">
        <v>6</v>
      </c>
      <c r="AV352" s="91">
        <v>6</v>
      </c>
      <c r="AW352" s="91">
        <v>6</v>
      </c>
      <c r="AX352" s="91"/>
      <c r="AY352" s="91"/>
      <c r="AZ352" s="91"/>
      <c r="BA352" s="91"/>
      <c r="BB352" s="91"/>
      <c r="BC352" s="91">
        <v>8</v>
      </c>
      <c r="BD352" s="91">
        <v>8</v>
      </c>
      <c r="BE352" s="91">
        <v>6</v>
      </c>
      <c r="BF352" s="91">
        <v>14</v>
      </c>
      <c r="BG352" s="91">
        <v>14</v>
      </c>
      <c r="BH352" s="91"/>
    </row>
    <row r="353" spans="1:60" x14ac:dyDescent="0.25">
      <c r="A353" s="91" t="s">
        <v>89</v>
      </c>
      <c r="B353" s="129">
        <f t="shared" si="22"/>
        <v>281</v>
      </c>
      <c r="C353" s="91">
        <f t="shared" si="23"/>
        <v>35</v>
      </c>
      <c r="D353" s="130">
        <f t="shared" si="24"/>
        <v>0.7</v>
      </c>
      <c r="E353" s="131">
        <v>46286</v>
      </c>
      <c r="F353" s="131">
        <v>46318</v>
      </c>
      <c r="G353" s="91">
        <f t="shared" si="25"/>
        <v>32</v>
      </c>
      <c r="H353" s="91"/>
      <c r="I353" s="91">
        <v>8</v>
      </c>
      <c r="J353" s="91">
        <v>8</v>
      </c>
      <c r="K353" s="91">
        <v>8</v>
      </c>
      <c r="L353" s="91">
        <v>8</v>
      </c>
      <c r="M353" s="91"/>
      <c r="N353" s="91">
        <v>8</v>
      </c>
      <c r="O353" s="91">
        <v>8</v>
      </c>
      <c r="P353" s="91">
        <v>6</v>
      </c>
      <c r="Q353" s="91">
        <v>8</v>
      </c>
      <c r="R353" s="91">
        <v>8</v>
      </c>
      <c r="S353" s="91">
        <v>8</v>
      </c>
      <c r="T353" s="91">
        <v>8</v>
      </c>
      <c r="U353" s="91">
        <v>8</v>
      </c>
      <c r="V353" s="91">
        <v>8</v>
      </c>
      <c r="W353" s="91">
        <v>8</v>
      </c>
      <c r="X353" s="91">
        <v>8</v>
      </c>
      <c r="Y353" s="91"/>
      <c r="Z353" s="91">
        <v>8</v>
      </c>
      <c r="AA353" s="91"/>
      <c r="AB353" s="91">
        <v>8</v>
      </c>
      <c r="AC353" s="91">
        <v>8</v>
      </c>
      <c r="AD353" s="91">
        <v>10</v>
      </c>
      <c r="AE353" s="91"/>
      <c r="AF353" s="91">
        <v>7</v>
      </c>
      <c r="AG353" s="91"/>
      <c r="AH353" s="91">
        <v>8</v>
      </c>
      <c r="AI353" s="91"/>
      <c r="AJ353" s="91">
        <v>6</v>
      </c>
      <c r="AK353" s="91"/>
      <c r="AL353" s="91"/>
      <c r="AM353" s="91"/>
      <c r="AN353" s="91"/>
      <c r="AO353" s="91">
        <v>8</v>
      </c>
      <c r="AP353" s="91">
        <v>8</v>
      </c>
      <c r="AQ353" s="91">
        <v>6</v>
      </c>
      <c r="AR353" s="91">
        <v>6</v>
      </c>
      <c r="AS353" s="91">
        <v>8</v>
      </c>
      <c r="AT353" s="91">
        <v>8</v>
      </c>
      <c r="AU353" s="91"/>
      <c r="AV353" s="91">
        <v>8</v>
      </c>
      <c r="AW353" s="91">
        <v>8</v>
      </c>
      <c r="AX353" s="91">
        <v>8</v>
      </c>
      <c r="AY353" s="91"/>
      <c r="AZ353" s="91"/>
      <c r="BA353" s="91">
        <v>8</v>
      </c>
      <c r="BB353" s="91">
        <v>8</v>
      </c>
      <c r="BC353" s="91">
        <v>6</v>
      </c>
      <c r="BD353" s="91"/>
      <c r="BE353" s="91">
        <v>6</v>
      </c>
      <c r="BF353" s="91">
        <v>2</v>
      </c>
      <c r="BG353" s="91">
        <v>10</v>
      </c>
      <c r="BH353" s="91"/>
    </row>
    <row r="354" spans="1:60" x14ac:dyDescent="0.25">
      <c r="A354" s="91" t="s">
        <v>304</v>
      </c>
      <c r="B354" s="129">
        <f t="shared" si="22"/>
        <v>278</v>
      </c>
      <c r="C354" s="91">
        <f t="shared" si="23"/>
        <v>34</v>
      </c>
      <c r="D354" s="130">
        <f t="shared" si="24"/>
        <v>0.68</v>
      </c>
      <c r="E354" s="131">
        <v>46317</v>
      </c>
      <c r="F354" s="131">
        <v>46323</v>
      </c>
      <c r="G354" s="91">
        <f t="shared" si="25"/>
        <v>6</v>
      </c>
      <c r="H354" s="91"/>
      <c r="I354" s="91"/>
      <c r="J354" s="91">
        <v>8</v>
      </c>
      <c r="K354" s="91">
        <v>6</v>
      </c>
      <c r="L354" s="91">
        <v>8</v>
      </c>
      <c r="M354" s="91"/>
      <c r="N354" s="91">
        <v>8</v>
      </c>
      <c r="O354" s="91">
        <v>6</v>
      </c>
      <c r="P354" s="91">
        <v>8</v>
      </c>
      <c r="Q354" s="91">
        <v>6</v>
      </c>
      <c r="R354" s="91">
        <v>6</v>
      </c>
      <c r="S354" s="91">
        <v>8</v>
      </c>
      <c r="T354" s="91">
        <v>8</v>
      </c>
      <c r="U354" s="91"/>
      <c r="V354" s="91">
        <v>6</v>
      </c>
      <c r="W354" s="91">
        <v>8</v>
      </c>
      <c r="X354" s="91">
        <v>8</v>
      </c>
      <c r="Y354" s="91"/>
      <c r="Z354" s="91"/>
      <c r="AA354" s="91"/>
      <c r="AB354" s="91">
        <v>8</v>
      </c>
      <c r="AC354" s="91">
        <v>8</v>
      </c>
      <c r="AD354" s="91">
        <v>8</v>
      </c>
      <c r="AE354" s="91"/>
      <c r="AF354" s="91">
        <v>8</v>
      </c>
      <c r="AG354" s="91">
        <v>8</v>
      </c>
      <c r="AH354" s="91">
        <v>8</v>
      </c>
      <c r="AI354" s="91">
        <v>8</v>
      </c>
      <c r="AJ354" s="91">
        <v>8</v>
      </c>
      <c r="AK354" s="91"/>
      <c r="AL354" s="91">
        <v>8</v>
      </c>
      <c r="AM354" s="91">
        <v>6</v>
      </c>
      <c r="AN354" s="91">
        <v>6</v>
      </c>
      <c r="AO354" s="91">
        <v>8</v>
      </c>
      <c r="AP354" s="91">
        <v>8</v>
      </c>
      <c r="AQ354" s="91"/>
      <c r="AR354" s="91"/>
      <c r="AS354" s="91">
        <v>8</v>
      </c>
      <c r="AT354" s="91">
        <v>8</v>
      </c>
      <c r="AU354" s="91">
        <v>6</v>
      </c>
      <c r="AV354" s="91">
        <v>6</v>
      </c>
      <c r="AW354" s="91">
        <v>6</v>
      </c>
      <c r="AX354" s="91"/>
      <c r="AY354" s="91"/>
      <c r="AZ354" s="91"/>
      <c r="BA354" s="91"/>
      <c r="BB354" s="91"/>
      <c r="BC354" s="91">
        <v>8</v>
      </c>
      <c r="BD354" s="91">
        <v>8</v>
      </c>
      <c r="BE354" s="91">
        <v>6</v>
      </c>
      <c r="BF354" s="91">
        <v>14</v>
      </c>
      <c r="BG354" s="91">
        <v>14</v>
      </c>
      <c r="BH354" s="91"/>
    </row>
    <row r="355" spans="1:60" x14ac:dyDescent="0.25">
      <c r="A355" s="91" t="s">
        <v>199</v>
      </c>
      <c r="B355" s="129">
        <f t="shared" si="22"/>
        <v>277</v>
      </c>
      <c r="C355" s="91">
        <f t="shared" si="23"/>
        <v>34</v>
      </c>
      <c r="D355" s="130">
        <f t="shared" si="24"/>
        <v>0.68</v>
      </c>
      <c r="E355" s="131">
        <v>46301</v>
      </c>
      <c r="F355" s="131">
        <v>46319</v>
      </c>
      <c r="G355" s="91">
        <f t="shared" si="25"/>
        <v>18</v>
      </c>
      <c r="H355" s="91">
        <v>8</v>
      </c>
      <c r="I355" s="91"/>
      <c r="J355" s="91">
        <v>8</v>
      </c>
      <c r="K355" s="91">
        <v>8</v>
      </c>
      <c r="L355" s="91">
        <v>8</v>
      </c>
      <c r="M355" s="91"/>
      <c r="N355" s="91">
        <v>8</v>
      </c>
      <c r="O355" s="91">
        <v>6</v>
      </c>
      <c r="P355" s="91"/>
      <c r="Q355" s="91"/>
      <c r="R355" s="91">
        <v>6</v>
      </c>
      <c r="S355" s="91">
        <v>8</v>
      </c>
      <c r="T355" s="91"/>
      <c r="U355" s="91"/>
      <c r="V355" s="91">
        <v>8</v>
      </c>
      <c r="W355" s="91"/>
      <c r="X355" s="91">
        <v>8</v>
      </c>
      <c r="Y355" s="91"/>
      <c r="Z355" s="91"/>
      <c r="AA355" s="91"/>
      <c r="AB355" s="91">
        <v>8</v>
      </c>
      <c r="AC355" s="91">
        <v>8</v>
      </c>
      <c r="AD355" s="91">
        <v>8</v>
      </c>
      <c r="AE355" s="91">
        <v>8</v>
      </c>
      <c r="AF355" s="91">
        <v>7</v>
      </c>
      <c r="AG355" s="91"/>
      <c r="AH355" s="91">
        <v>6</v>
      </c>
      <c r="AI355" s="91">
        <v>6</v>
      </c>
      <c r="AJ355" s="91">
        <v>8</v>
      </c>
      <c r="AK355" s="91">
        <v>8</v>
      </c>
      <c r="AL355" s="91"/>
      <c r="AM355" s="91">
        <v>6</v>
      </c>
      <c r="AN355" s="91">
        <v>8</v>
      </c>
      <c r="AO355" s="91">
        <v>8</v>
      </c>
      <c r="AP355" s="91">
        <v>6</v>
      </c>
      <c r="AQ355" s="91">
        <v>8</v>
      </c>
      <c r="AR355" s="91">
        <v>6</v>
      </c>
      <c r="AS355" s="91">
        <v>9</v>
      </c>
      <c r="AT355" s="91">
        <v>6</v>
      </c>
      <c r="AU355" s="91">
        <v>6</v>
      </c>
      <c r="AV355" s="91">
        <v>8</v>
      </c>
      <c r="AW355" s="91">
        <v>8</v>
      </c>
      <c r="AX355" s="91"/>
      <c r="AY355" s="91"/>
      <c r="AZ355" s="91"/>
      <c r="BA355" s="91">
        <v>8</v>
      </c>
      <c r="BB355" s="91">
        <v>8</v>
      </c>
      <c r="BC355" s="91">
        <v>6</v>
      </c>
      <c r="BD355" s="91"/>
      <c r="BE355" s="91">
        <v>8</v>
      </c>
      <c r="BF355" s="91">
        <v>15</v>
      </c>
      <c r="BG355" s="91">
        <v>10</v>
      </c>
      <c r="BH355" s="91"/>
    </row>
    <row r="356" spans="1:60" x14ac:dyDescent="0.25">
      <c r="A356" s="91" t="s">
        <v>229</v>
      </c>
      <c r="B356" s="129">
        <f t="shared" si="22"/>
        <v>273</v>
      </c>
      <c r="C356" s="91">
        <f t="shared" si="23"/>
        <v>32</v>
      </c>
      <c r="D356" s="130">
        <f t="shared" si="24"/>
        <v>0.64</v>
      </c>
      <c r="E356" s="131">
        <v>46287</v>
      </c>
      <c r="F356" s="131">
        <v>46308</v>
      </c>
      <c r="G356" s="91">
        <f t="shared" si="25"/>
        <v>21</v>
      </c>
      <c r="H356" s="91"/>
      <c r="I356" s="91"/>
      <c r="J356" s="91">
        <v>8</v>
      </c>
      <c r="K356" s="91">
        <v>8</v>
      </c>
      <c r="L356" s="91">
        <v>8</v>
      </c>
      <c r="M356" s="91"/>
      <c r="N356" s="91">
        <v>8</v>
      </c>
      <c r="O356" s="91">
        <v>8</v>
      </c>
      <c r="P356" s="91">
        <v>8</v>
      </c>
      <c r="Q356" s="91">
        <v>8</v>
      </c>
      <c r="R356" s="91"/>
      <c r="S356" s="91">
        <v>8</v>
      </c>
      <c r="T356" s="91">
        <v>8</v>
      </c>
      <c r="U356" s="91"/>
      <c r="V356" s="91">
        <v>8</v>
      </c>
      <c r="W356" s="91">
        <v>8</v>
      </c>
      <c r="X356" s="91">
        <v>8</v>
      </c>
      <c r="Y356" s="91"/>
      <c r="Z356" s="91"/>
      <c r="AA356" s="91"/>
      <c r="AB356" s="91">
        <v>8</v>
      </c>
      <c r="AC356" s="91">
        <v>8</v>
      </c>
      <c r="AD356" s="91">
        <v>8</v>
      </c>
      <c r="AE356" s="91"/>
      <c r="AF356" s="91">
        <v>8</v>
      </c>
      <c r="AG356" s="91">
        <v>8</v>
      </c>
      <c r="AH356" s="91">
        <v>8</v>
      </c>
      <c r="AI356" s="91">
        <v>8</v>
      </c>
      <c r="AJ356" s="91">
        <v>8</v>
      </c>
      <c r="AK356" s="91"/>
      <c r="AL356" s="91">
        <v>8</v>
      </c>
      <c r="AM356" s="91">
        <v>8</v>
      </c>
      <c r="AN356" s="91">
        <v>8</v>
      </c>
      <c r="AO356" s="91">
        <v>8</v>
      </c>
      <c r="AP356" s="91">
        <v>8</v>
      </c>
      <c r="AQ356" s="91"/>
      <c r="AR356" s="91"/>
      <c r="AS356" s="91">
        <v>9</v>
      </c>
      <c r="AT356" s="91">
        <v>8</v>
      </c>
      <c r="AU356" s="91"/>
      <c r="AV356" s="91"/>
      <c r="AW356" s="91">
        <v>8</v>
      </c>
      <c r="AX356" s="91"/>
      <c r="AY356" s="91"/>
      <c r="AZ356" s="91"/>
      <c r="BA356" s="91"/>
      <c r="BB356" s="91">
        <v>8</v>
      </c>
      <c r="BC356" s="91">
        <v>8</v>
      </c>
      <c r="BD356" s="91">
        <v>8</v>
      </c>
      <c r="BE356" s="91">
        <v>8</v>
      </c>
      <c r="BF356" s="91"/>
      <c r="BG356" s="91">
        <v>16</v>
      </c>
      <c r="BH356" s="91"/>
    </row>
    <row r="357" spans="1:60" x14ac:dyDescent="0.25">
      <c r="A357" s="91" t="s">
        <v>226</v>
      </c>
      <c r="B357" s="129">
        <f t="shared" si="22"/>
        <v>269</v>
      </c>
      <c r="C357" s="91">
        <f t="shared" si="23"/>
        <v>33</v>
      </c>
      <c r="D357" s="130">
        <f t="shared" si="24"/>
        <v>0.66</v>
      </c>
      <c r="E357" s="131">
        <v>46219</v>
      </c>
      <c r="F357" s="131">
        <v>46319</v>
      </c>
      <c r="G357" s="91">
        <f t="shared" si="25"/>
        <v>100</v>
      </c>
      <c r="H357" s="91">
        <v>8</v>
      </c>
      <c r="I357" s="91"/>
      <c r="J357" s="91">
        <v>8</v>
      </c>
      <c r="K357" s="91">
        <v>8</v>
      </c>
      <c r="L357" s="91">
        <v>8</v>
      </c>
      <c r="M357" s="91"/>
      <c r="N357" s="91">
        <v>8</v>
      </c>
      <c r="O357" s="91">
        <v>6</v>
      </c>
      <c r="P357" s="91"/>
      <c r="Q357" s="91"/>
      <c r="R357" s="91"/>
      <c r="S357" s="91">
        <v>8</v>
      </c>
      <c r="T357" s="91"/>
      <c r="U357" s="91"/>
      <c r="V357" s="91">
        <v>8</v>
      </c>
      <c r="W357" s="91"/>
      <c r="X357" s="91">
        <v>8</v>
      </c>
      <c r="Y357" s="91"/>
      <c r="Z357" s="91"/>
      <c r="AA357" s="91"/>
      <c r="AB357" s="91">
        <v>8</v>
      </c>
      <c r="AC357" s="91">
        <v>8</v>
      </c>
      <c r="AD357" s="91">
        <v>8</v>
      </c>
      <c r="AE357" s="91">
        <v>8</v>
      </c>
      <c r="AF357" s="91">
        <v>7</v>
      </c>
      <c r="AG357" s="91"/>
      <c r="AH357" s="91">
        <v>6</v>
      </c>
      <c r="AI357" s="91">
        <v>6</v>
      </c>
      <c r="AJ357" s="91">
        <v>8</v>
      </c>
      <c r="AK357" s="91">
        <v>8</v>
      </c>
      <c r="AL357" s="91"/>
      <c r="AM357" s="91">
        <v>6</v>
      </c>
      <c r="AN357" s="91">
        <v>8</v>
      </c>
      <c r="AO357" s="91">
        <v>8</v>
      </c>
      <c r="AP357" s="91">
        <v>6</v>
      </c>
      <c r="AQ357" s="91">
        <v>8</v>
      </c>
      <c r="AR357" s="91">
        <v>6</v>
      </c>
      <c r="AS357" s="91">
        <v>8</v>
      </c>
      <c r="AT357" s="91">
        <v>6</v>
      </c>
      <c r="AU357" s="91">
        <v>6</v>
      </c>
      <c r="AV357" s="91">
        <v>6</v>
      </c>
      <c r="AW357" s="91">
        <v>8</v>
      </c>
      <c r="AX357" s="91"/>
      <c r="AY357" s="91"/>
      <c r="AZ357" s="91"/>
      <c r="BA357" s="91">
        <v>8</v>
      </c>
      <c r="BB357" s="91">
        <v>8</v>
      </c>
      <c r="BC357" s="91">
        <v>6</v>
      </c>
      <c r="BD357" s="91"/>
      <c r="BE357" s="91">
        <v>8</v>
      </c>
      <c r="BF357" s="91">
        <v>14</v>
      </c>
      <c r="BG357" s="91">
        <v>12</v>
      </c>
      <c r="BH357" s="91"/>
    </row>
    <row r="358" spans="1:60" x14ac:dyDescent="0.25">
      <c r="A358" s="91" t="s">
        <v>448</v>
      </c>
      <c r="B358" s="129">
        <f t="shared" si="22"/>
        <v>268</v>
      </c>
      <c r="C358" s="91">
        <f t="shared" si="23"/>
        <v>30</v>
      </c>
      <c r="D358" s="130">
        <f t="shared" si="24"/>
        <v>0.6</v>
      </c>
      <c r="E358" s="131">
        <v>46281</v>
      </c>
      <c r="F358" s="131">
        <v>46318</v>
      </c>
      <c r="G358" s="91">
        <f t="shared" si="25"/>
        <v>37</v>
      </c>
      <c r="H358" s="91">
        <v>8</v>
      </c>
      <c r="I358" s="91">
        <v>8</v>
      </c>
      <c r="J358" s="91">
        <v>8</v>
      </c>
      <c r="K358" s="91">
        <v>8</v>
      </c>
      <c r="L358" s="91">
        <v>8</v>
      </c>
      <c r="M358" s="91"/>
      <c r="N358" s="91">
        <v>8</v>
      </c>
      <c r="O358" s="91">
        <v>8</v>
      </c>
      <c r="P358" s="91"/>
      <c r="Q358" s="91"/>
      <c r="R358" s="91">
        <v>8</v>
      </c>
      <c r="S358" s="91">
        <v>8</v>
      </c>
      <c r="T358" s="91">
        <v>9</v>
      </c>
      <c r="U358" s="91"/>
      <c r="V358" s="91">
        <v>8</v>
      </c>
      <c r="W358" s="91">
        <v>8</v>
      </c>
      <c r="X358" s="91">
        <v>8</v>
      </c>
      <c r="Y358" s="91"/>
      <c r="Z358" s="91">
        <v>8</v>
      </c>
      <c r="AA358" s="91"/>
      <c r="AB358" s="91">
        <v>8</v>
      </c>
      <c r="AC358" s="91"/>
      <c r="AD358" s="91">
        <v>8</v>
      </c>
      <c r="AE358" s="91">
        <v>8</v>
      </c>
      <c r="AF358" s="91"/>
      <c r="AG358" s="91"/>
      <c r="AH358" s="91">
        <v>8</v>
      </c>
      <c r="AI358" s="91">
        <v>8</v>
      </c>
      <c r="AJ358" s="91">
        <v>8</v>
      </c>
      <c r="AK358" s="91"/>
      <c r="AL358" s="91"/>
      <c r="AM358" s="91">
        <v>6</v>
      </c>
      <c r="AN358" s="91">
        <v>8</v>
      </c>
      <c r="AO358" s="91">
        <v>8</v>
      </c>
      <c r="AP358" s="91">
        <v>8</v>
      </c>
      <c r="AQ358" s="91">
        <v>8</v>
      </c>
      <c r="AR358" s="91"/>
      <c r="AS358" s="91">
        <v>8</v>
      </c>
      <c r="AT358" s="91"/>
      <c r="AU358" s="91">
        <v>8</v>
      </c>
      <c r="AV358" s="91"/>
      <c r="AW358" s="91"/>
      <c r="AX358" s="91"/>
      <c r="AY358" s="91"/>
      <c r="AZ358" s="91"/>
      <c r="BA358" s="91">
        <v>8</v>
      </c>
      <c r="BB358" s="91"/>
      <c r="BC358" s="91"/>
      <c r="BD358" s="91">
        <v>8</v>
      </c>
      <c r="BE358" s="91">
        <v>8</v>
      </c>
      <c r="BF358" s="91">
        <v>15</v>
      </c>
      <c r="BG358" s="91">
        <v>14</v>
      </c>
      <c r="BH358" s="91"/>
    </row>
    <row r="359" spans="1:60" x14ac:dyDescent="0.25">
      <c r="A359" s="91" t="s">
        <v>927</v>
      </c>
      <c r="B359" s="129">
        <f t="shared" si="22"/>
        <v>266</v>
      </c>
      <c r="C359" s="91">
        <f t="shared" si="23"/>
        <v>49</v>
      </c>
      <c r="D359" s="130">
        <f t="shared" si="24"/>
        <v>0.98</v>
      </c>
      <c r="E359" s="131">
        <v>46219</v>
      </c>
      <c r="F359" s="131">
        <v>46302</v>
      </c>
      <c r="G359" s="91">
        <f t="shared" si="25"/>
        <v>83</v>
      </c>
      <c r="H359" s="91">
        <v>5</v>
      </c>
      <c r="I359" s="91">
        <v>5</v>
      </c>
      <c r="J359" s="91">
        <v>5</v>
      </c>
      <c r="K359" s="91">
        <v>5</v>
      </c>
      <c r="L359" s="91">
        <v>5</v>
      </c>
      <c r="M359" s="91">
        <v>3</v>
      </c>
      <c r="N359" s="91">
        <v>5</v>
      </c>
      <c r="O359" s="91">
        <v>5</v>
      </c>
      <c r="P359" s="91">
        <v>5</v>
      </c>
      <c r="Q359" s="91">
        <v>5</v>
      </c>
      <c r="R359" s="91">
        <v>9</v>
      </c>
      <c r="S359" s="91">
        <v>5</v>
      </c>
      <c r="T359" s="91">
        <v>5</v>
      </c>
      <c r="U359" s="91">
        <v>5</v>
      </c>
      <c r="V359" s="91">
        <v>5</v>
      </c>
      <c r="W359" s="91">
        <v>5</v>
      </c>
      <c r="X359" s="91">
        <v>5</v>
      </c>
      <c r="Y359" s="91">
        <v>5</v>
      </c>
      <c r="Z359" s="91">
        <v>5</v>
      </c>
      <c r="AA359" s="91">
        <v>5</v>
      </c>
      <c r="AB359" s="91">
        <v>5</v>
      </c>
      <c r="AC359" s="91">
        <v>5</v>
      </c>
      <c r="AD359" s="91">
        <v>5</v>
      </c>
      <c r="AE359" s="91">
        <v>5</v>
      </c>
      <c r="AF359" s="91">
        <v>5</v>
      </c>
      <c r="AG359" s="91">
        <v>5</v>
      </c>
      <c r="AH359" s="91">
        <v>5</v>
      </c>
      <c r="AI359" s="91">
        <v>5</v>
      </c>
      <c r="AJ359" s="91">
        <v>5</v>
      </c>
      <c r="AK359" s="91">
        <v>10</v>
      </c>
      <c r="AL359" s="91">
        <v>5</v>
      </c>
      <c r="AM359" s="91">
        <v>10</v>
      </c>
      <c r="AN359" s="91">
        <v>5</v>
      </c>
      <c r="AO359" s="91">
        <v>5</v>
      </c>
      <c r="AP359" s="91">
        <v>10</v>
      </c>
      <c r="AQ359" s="91">
        <v>5</v>
      </c>
      <c r="AR359" s="91">
        <v>5</v>
      </c>
      <c r="AS359" s="91">
        <v>5</v>
      </c>
      <c r="AT359" s="91">
        <v>5</v>
      </c>
      <c r="AU359" s="91">
        <v>5</v>
      </c>
      <c r="AV359" s="91">
        <v>5</v>
      </c>
      <c r="AW359" s="91">
        <v>5</v>
      </c>
      <c r="AX359" s="91">
        <v>8</v>
      </c>
      <c r="AY359" s="91"/>
      <c r="AZ359" s="91">
        <v>5</v>
      </c>
      <c r="BA359" s="91">
        <v>5</v>
      </c>
      <c r="BB359" s="91">
        <v>5</v>
      </c>
      <c r="BC359" s="91">
        <v>5</v>
      </c>
      <c r="BD359" s="91">
        <v>5</v>
      </c>
      <c r="BE359" s="91">
        <v>6</v>
      </c>
      <c r="BF359" s="91"/>
      <c r="BG359" s="91"/>
      <c r="BH359" s="91"/>
    </row>
    <row r="360" spans="1:60" x14ac:dyDescent="0.25">
      <c r="A360" s="91" t="s">
        <v>413</v>
      </c>
      <c r="B360" s="129">
        <f t="shared" si="22"/>
        <v>265</v>
      </c>
      <c r="C360" s="91">
        <f t="shared" si="23"/>
        <v>35</v>
      </c>
      <c r="D360" s="130">
        <f t="shared" si="24"/>
        <v>0.7</v>
      </c>
      <c r="E360" s="131">
        <v>46318</v>
      </c>
      <c r="F360" s="131">
        <v>46323</v>
      </c>
      <c r="G360" s="91">
        <f t="shared" si="25"/>
        <v>5</v>
      </c>
      <c r="H360" s="91"/>
      <c r="I360" s="91"/>
      <c r="J360" s="91">
        <v>8</v>
      </c>
      <c r="K360" s="91">
        <v>6</v>
      </c>
      <c r="L360" s="91">
        <v>8</v>
      </c>
      <c r="M360" s="91"/>
      <c r="N360" s="91">
        <v>8</v>
      </c>
      <c r="O360" s="91">
        <v>6</v>
      </c>
      <c r="P360" s="91">
        <v>8</v>
      </c>
      <c r="Q360" s="91">
        <v>6</v>
      </c>
      <c r="R360" s="91">
        <v>6</v>
      </c>
      <c r="S360" s="91">
        <v>8</v>
      </c>
      <c r="T360" s="91">
        <v>8</v>
      </c>
      <c r="U360" s="91"/>
      <c r="V360" s="91">
        <v>6</v>
      </c>
      <c r="W360" s="91">
        <v>8</v>
      </c>
      <c r="X360" s="91">
        <v>8</v>
      </c>
      <c r="Y360" s="91">
        <v>1</v>
      </c>
      <c r="Z360" s="91"/>
      <c r="AA360" s="91"/>
      <c r="AB360" s="91">
        <v>8</v>
      </c>
      <c r="AC360" s="91">
        <v>8</v>
      </c>
      <c r="AD360" s="91">
        <v>8</v>
      </c>
      <c r="AE360" s="91"/>
      <c r="AF360" s="91">
        <v>8</v>
      </c>
      <c r="AG360" s="91">
        <v>8</v>
      </c>
      <c r="AH360" s="91">
        <v>8</v>
      </c>
      <c r="AI360" s="91">
        <v>8</v>
      </c>
      <c r="AJ360" s="91">
        <v>8</v>
      </c>
      <c r="AK360" s="91"/>
      <c r="AL360" s="91">
        <v>8</v>
      </c>
      <c r="AM360" s="91">
        <v>6</v>
      </c>
      <c r="AN360" s="91">
        <v>6</v>
      </c>
      <c r="AO360" s="91">
        <v>8</v>
      </c>
      <c r="AP360" s="91">
        <v>8</v>
      </c>
      <c r="AQ360" s="91"/>
      <c r="AR360" s="91"/>
      <c r="AS360" s="91">
        <v>8</v>
      </c>
      <c r="AT360" s="91">
        <v>8</v>
      </c>
      <c r="AU360" s="91">
        <v>6</v>
      </c>
      <c r="AV360" s="91">
        <v>6</v>
      </c>
      <c r="AW360" s="91">
        <v>6</v>
      </c>
      <c r="AX360" s="91"/>
      <c r="AY360" s="91"/>
      <c r="AZ360" s="91"/>
      <c r="BA360" s="91"/>
      <c r="BB360" s="91"/>
      <c r="BC360" s="91">
        <v>8</v>
      </c>
      <c r="BD360" s="91">
        <v>8</v>
      </c>
      <c r="BE360" s="91">
        <v>6</v>
      </c>
      <c r="BF360" s="91">
        <v>2</v>
      </c>
      <c r="BG360" s="91">
        <v>12</v>
      </c>
      <c r="BH360" s="91"/>
    </row>
    <row r="361" spans="1:60" x14ac:dyDescent="0.25">
      <c r="A361" s="91" t="s">
        <v>91</v>
      </c>
      <c r="B361" s="129">
        <f t="shared" si="22"/>
        <v>263</v>
      </c>
      <c r="C361" s="91">
        <f t="shared" si="23"/>
        <v>30</v>
      </c>
      <c r="D361" s="130">
        <f t="shared" si="24"/>
        <v>0.6</v>
      </c>
      <c r="E361" s="131">
        <v>46316</v>
      </c>
      <c r="F361" s="131">
        <v>46317</v>
      </c>
      <c r="G361" s="91">
        <f t="shared" si="25"/>
        <v>1</v>
      </c>
      <c r="H361" s="91"/>
      <c r="I361" s="91"/>
      <c r="J361" s="91">
        <v>8</v>
      </c>
      <c r="K361" s="91">
        <v>7</v>
      </c>
      <c r="L361" s="91">
        <v>8</v>
      </c>
      <c r="M361" s="91"/>
      <c r="N361" s="91">
        <v>8</v>
      </c>
      <c r="O361" s="91">
        <v>6</v>
      </c>
      <c r="P361" s="91">
        <v>8</v>
      </c>
      <c r="Q361" s="91">
        <v>7</v>
      </c>
      <c r="R361" s="91">
        <v>6</v>
      </c>
      <c r="S361" s="91">
        <v>8</v>
      </c>
      <c r="T361" s="91">
        <v>8</v>
      </c>
      <c r="U361" s="91"/>
      <c r="V361" s="91">
        <v>7</v>
      </c>
      <c r="W361" s="91">
        <v>8</v>
      </c>
      <c r="X361" s="91">
        <v>8</v>
      </c>
      <c r="Y361" s="91">
        <v>6</v>
      </c>
      <c r="Z361" s="91"/>
      <c r="AA361" s="91"/>
      <c r="AB361" s="91">
        <v>8</v>
      </c>
      <c r="AC361" s="91">
        <v>8</v>
      </c>
      <c r="AD361" s="91">
        <v>8</v>
      </c>
      <c r="AE361" s="91"/>
      <c r="AF361" s="91">
        <v>8</v>
      </c>
      <c r="AG361" s="91">
        <v>8</v>
      </c>
      <c r="AH361" s="91">
        <v>8</v>
      </c>
      <c r="AI361" s="91">
        <v>8</v>
      </c>
      <c r="AJ361" s="91">
        <v>8</v>
      </c>
      <c r="AK361" s="91"/>
      <c r="AL361" s="91">
        <v>8</v>
      </c>
      <c r="AM361" s="91"/>
      <c r="AN361" s="91"/>
      <c r="AO361" s="91">
        <v>8</v>
      </c>
      <c r="AP361" s="91">
        <v>8</v>
      </c>
      <c r="AQ361" s="91"/>
      <c r="AR361" s="91"/>
      <c r="AS361" s="91">
        <v>8</v>
      </c>
      <c r="AT361" s="91">
        <v>8</v>
      </c>
      <c r="AU361" s="91"/>
      <c r="AV361" s="91"/>
      <c r="AW361" s="91"/>
      <c r="AX361" s="91"/>
      <c r="AY361" s="91"/>
      <c r="AZ361" s="91"/>
      <c r="BA361" s="91"/>
      <c r="BB361" s="91">
        <v>8</v>
      </c>
      <c r="BC361" s="91">
        <v>8</v>
      </c>
      <c r="BD361" s="91">
        <v>8</v>
      </c>
      <c r="BE361" s="91"/>
      <c r="BF361" s="91">
        <v>16</v>
      </c>
      <c r="BG361" s="91">
        <v>16</v>
      </c>
      <c r="BH361" s="91"/>
    </row>
    <row r="362" spans="1:60" x14ac:dyDescent="0.25">
      <c r="A362" s="91" t="s">
        <v>572</v>
      </c>
      <c r="B362" s="129">
        <f t="shared" si="22"/>
        <v>259</v>
      </c>
      <c r="C362" s="91">
        <f t="shared" si="23"/>
        <v>34</v>
      </c>
      <c r="D362" s="130">
        <f t="shared" si="24"/>
        <v>0.68</v>
      </c>
      <c r="E362" s="131">
        <v>46296</v>
      </c>
      <c r="F362" s="131">
        <v>46308</v>
      </c>
      <c r="G362" s="91">
        <f t="shared" si="25"/>
        <v>12</v>
      </c>
      <c r="H362" s="91"/>
      <c r="I362" s="91"/>
      <c r="J362" s="91">
        <v>7</v>
      </c>
      <c r="K362" s="91">
        <v>7</v>
      </c>
      <c r="L362" s="91">
        <v>7</v>
      </c>
      <c r="M362" s="91"/>
      <c r="N362" s="91">
        <v>7</v>
      </c>
      <c r="O362" s="91">
        <v>7</v>
      </c>
      <c r="P362" s="91">
        <v>7</v>
      </c>
      <c r="Q362" s="91">
        <v>7</v>
      </c>
      <c r="R362" s="91"/>
      <c r="S362" s="91">
        <v>7</v>
      </c>
      <c r="T362" s="91">
        <v>7</v>
      </c>
      <c r="U362" s="91"/>
      <c r="V362" s="91">
        <v>7</v>
      </c>
      <c r="W362" s="91">
        <v>7</v>
      </c>
      <c r="X362" s="91">
        <v>7</v>
      </c>
      <c r="Y362" s="91">
        <v>1</v>
      </c>
      <c r="Z362" s="91"/>
      <c r="AA362" s="91"/>
      <c r="AB362" s="91">
        <v>7</v>
      </c>
      <c r="AC362" s="91">
        <v>7</v>
      </c>
      <c r="AD362" s="91">
        <v>7</v>
      </c>
      <c r="AE362" s="91"/>
      <c r="AF362" s="91">
        <v>7</v>
      </c>
      <c r="AG362" s="91">
        <v>7</v>
      </c>
      <c r="AH362" s="91">
        <v>7</v>
      </c>
      <c r="AI362" s="91">
        <v>7</v>
      </c>
      <c r="AJ362" s="91">
        <v>7</v>
      </c>
      <c r="AK362" s="91"/>
      <c r="AL362" s="91">
        <v>7</v>
      </c>
      <c r="AM362" s="91">
        <v>7</v>
      </c>
      <c r="AN362" s="91">
        <v>7</v>
      </c>
      <c r="AO362" s="91">
        <v>7</v>
      </c>
      <c r="AP362" s="91">
        <v>7</v>
      </c>
      <c r="AQ362" s="91"/>
      <c r="AR362" s="91"/>
      <c r="AS362" s="91">
        <v>7</v>
      </c>
      <c r="AT362" s="91">
        <v>7</v>
      </c>
      <c r="AU362" s="91"/>
      <c r="AV362" s="91">
        <v>7</v>
      </c>
      <c r="AW362" s="91">
        <v>7</v>
      </c>
      <c r="AX362" s="91"/>
      <c r="AY362" s="91"/>
      <c r="AZ362" s="91"/>
      <c r="BA362" s="91"/>
      <c r="BB362" s="91">
        <v>7</v>
      </c>
      <c r="BC362" s="91">
        <v>7</v>
      </c>
      <c r="BD362" s="91">
        <v>7</v>
      </c>
      <c r="BE362" s="91">
        <v>7</v>
      </c>
      <c r="BF362" s="91">
        <v>14</v>
      </c>
      <c r="BG362" s="91">
        <v>13</v>
      </c>
      <c r="BH362" s="91"/>
    </row>
    <row r="363" spans="1:60" x14ac:dyDescent="0.25">
      <c r="A363" s="91" t="s">
        <v>508</v>
      </c>
      <c r="B363" s="129">
        <f t="shared" si="22"/>
        <v>257</v>
      </c>
      <c r="C363" s="91">
        <f t="shared" si="23"/>
        <v>33</v>
      </c>
      <c r="D363" s="130">
        <f t="shared" si="24"/>
        <v>0.66</v>
      </c>
      <c r="E363" s="131">
        <v>46254</v>
      </c>
      <c r="F363" s="131">
        <v>46255</v>
      </c>
      <c r="G363" s="91">
        <f t="shared" si="25"/>
        <v>1</v>
      </c>
      <c r="H363" s="91"/>
      <c r="I363" s="91"/>
      <c r="J363" s="91">
        <v>8</v>
      </c>
      <c r="K363" s="91">
        <v>7</v>
      </c>
      <c r="L363" s="91">
        <v>7</v>
      </c>
      <c r="M363" s="91"/>
      <c r="N363" s="91">
        <v>7</v>
      </c>
      <c r="O363" s="91">
        <v>7</v>
      </c>
      <c r="P363" s="91">
        <v>7</v>
      </c>
      <c r="Q363" s="91">
        <v>7</v>
      </c>
      <c r="R363" s="91">
        <v>7</v>
      </c>
      <c r="S363" s="91">
        <v>7</v>
      </c>
      <c r="T363" s="91">
        <v>7</v>
      </c>
      <c r="U363" s="91"/>
      <c r="V363" s="91">
        <v>7</v>
      </c>
      <c r="W363" s="91">
        <v>7</v>
      </c>
      <c r="X363" s="91">
        <v>7</v>
      </c>
      <c r="Y363" s="91"/>
      <c r="Z363" s="91"/>
      <c r="AA363" s="91"/>
      <c r="AB363" s="91">
        <v>7</v>
      </c>
      <c r="AC363" s="91">
        <v>7</v>
      </c>
      <c r="AD363" s="91">
        <v>7</v>
      </c>
      <c r="AE363" s="91"/>
      <c r="AF363" s="91">
        <v>7</v>
      </c>
      <c r="AG363" s="91">
        <v>7</v>
      </c>
      <c r="AH363" s="91">
        <v>7</v>
      </c>
      <c r="AI363" s="91">
        <v>7</v>
      </c>
      <c r="AJ363" s="91">
        <v>7</v>
      </c>
      <c r="AK363" s="91"/>
      <c r="AL363" s="91">
        <v>7</v>
      </c>
      <c r="AM363" s="91">
        <v>7</v>
      </c>
      <c r="AN363" s="91">
        <v>7</v>
      </c>
      <c r="AO363" s="91">
        <v>7</v>
      </c>
      <c r="AP363" s="91">
        <v>7</v>
      </c>
      <c r="AQ363" s="91"/>
      <c r="AR363" s="91"/>
      <c r="AS363" s="91">
        <v>7</v>
      </c>
      <c r="AT363" s="91">
        <v>7</v>
      </c>
      <c r="AU363" s="91"/>
      <c r="AV363" s="91"/>
      <c r="AW363" s="91">
        <v>7</v>
      </c>
      <c r="AX363" s="91"/>
      <c r="AY363" s="91"/>
      <c r="AZ363" s="91"/>
      <c r="BA363" s="91"/>
      <c r="BB363" s="91">
        <v>7</v>
      </c>
      <c r="BC363" s="91">
        <v>7</v>
      </c>
      <c r="BD363" s="91">
        <v>7</v>
      </c>
      <c r="BE363" s="91">
        <v>7</v>
      </c>
      <c r="BF363" s="91">
        <v>14</v>
      </c>
      <c r="BG363" s="91">
        <v>11</v>
      </c>
      <c r="BH363" s="91"/>
    </row>
    <row r="364" spans="1:60" x14ac:dyDescent="0.25">
      <c r="A364" s="91" t="s">
        <v>560</v>
      </c>
      <c r="B364" s="129">
        <f t="shared" si="22"/>
        <v>256</v>
      </c>
      <c r="C364" s="91">
        <f t="shared" si="23"/>
        <v>33</v>
      </c>
      <c r="D364" s="130">
        <f t="shared" si="24"/>
        <v>0.66</v>
      </c>
      <c r="E364" s="131">
        <v>46254</v>
      </c>
      <c r="F364" s="131">
        <v>46255</v>
      </c>
      <c r="G364" s="91">
        <f t="shared" si="25"/>
        <v>1</v>
      </c>
      <c r="H364" s="91"/>
      <c r="I364" s="91"/>
      <c r="J364" s="91">
        <v>7</v>
      </c>
      <c r="K364" s="91">
        <v>7</v>
      </c>
      <c r="L364" s="91">
        <v>7</v>
      </c>
      <c r="M364" s="91"/>
      <c r="N364" s="91">
        <v>7</v>
      </c>
      <c r="O364" s="91">
        <v>7</v>
      </c>
      <c r="P364" s="91">
        <v>7</v>
      </c>
      <c r="Q364" s="91">
        <v>7</v>
      </c>
      <c r="R364" s="91">
        <v>7</v>
      </c>
      <c r="S364" s="91">
        <v>7</v>
      </c>
      <c r="T364" s="91">
        <v>7</v>
      </c>
      <c r="U364" s="91"/>
      <c r="V364" s="91">
        <v>7</v>
      </c>
      <c r="W364" s="91">
        <v>7</v>
      </c>
      <c r="X364" s="91">
        <v>7</v>
      </c>
      <c r="Y364" s="91"/>
      <c r="Z364" s="91"/>
      <c r="AA364" s="91"/>
      <c r="AB364" s="91">
        <v>7</v>
      </c>
      <c r="AC364" s="91">
        <v>7</v>
      </c>
      <c r="AD364" s="91">
        <v>7</v>
      </c>
      <c r="AE364" s="91"/>
      <c r="AF364" s="91">
        <v>7</v>
      </c>
      <c r="AG364" s="91">
        <v>7</v>
      </c>
      <c r="AH364" s="91">
        <v>7</v>
      </c>
      <c r="AI364" s="91">
        <v>7</v>
      </c>
      <c r="AJ364" s="91">
        <v>7</v>
      </c>
      <c r="AK364" s="91"/>
      <c r="AL364" s="91">
        <v>7</v>
      </c>
      <c r="AM364" s="91">
        <v>7</v>
      </c>
      <c r="AN364" s="91">
        <v>7</v>
      </c>
      <c r="AO364" s="91">
        <v>7</v>
      </c>
      <c r="AP364" s="91">
        <v>7</v>
      </c>
      <c r="AQ364" s="91"/>
      <c r="AR364" s="91"/>
      <c r="AS364" s="91">
        <v>7</v>
      </c>
      <c r="AT364" s="91">
        <v>7</v>
      </c>
      <c r="AU364" s="91"/>
      <c r="AV364" s="91"/>
      <c r="AW364" s="91">
        <v>7</v>
      </c>
      <c r="AX364" s="91"/>
      <c r="AY364" s="91"/>
      <c r="AZ364" s="91"/>
      <c r="BA364" s="91"/>
      <c r="BB364" s="91">
        <v>7</v>
      </c>
      <c r="BC364" s="91">
        <v>7</v>
      </c>
      <c r="BD364" s="91">
        <v>7</v>
      </c>
      <c r="BE364" s="91">
        <v>7</v>
      </c>
      <c r="BF364" s="91">
        <v>14</v>
      </c>
      <c r="BG364" s="91">
        <v>11</v>
      </c>
      <c r="BH364" s="91"/>
    </row>
    <row r="365" spans="1:60" x14ac:dyDescent="0.25">
      <c r="A365" s="91" t="s">
        <v>598</v>
      </c>
      <c r="B365" s="129">
        <f t="shared" si="22"/>
        <v>256</v>
      </c>
      <c r="C365" s="91">
        <f t="shared" si="23"/>
        <v>33</v>
      </c>
      <c r="D365" s="130">
        <f t="shared" si="24"/>
        <v>0.66</v>
      </c>
      <c r="E365" s="131">
        <v>46254</v>
      </c>
      <c r="F365" s="131">
        <v>46255</v>
      </c>
      <c r="G365" s="91">
        <f t="shared" si="25"/>
        <v>1</v>
      </c>
      <c r="H365" s="91"/>
      <c r="I365" s="91"/>
      <c r="J365" s="91">
        <v>7</v>
      </c>
      <c r="K365" s="91">
        <v>7</v>
      </c>
      <c r="L365" s="91">
        <v>7</v>
      </c>
      <c r="M365" s="91"/>
      <c r="N365" s="91">
        <v>7</v>
      </c>
      <c r="O365" s="91">
        <v>7</v>
      </c>
      <c r="P365" s="91">
        <v>7</v>
      </c>
      <c r="Q365" s="91">
        <v>7</v>
      </c>
      <c r="R365" s="91">
        <v>7</v>
      </c>
      <c r="S365" s="91">
        <v>7</v>
      </c>
      <c r="T365" s="91">
        <v>7</v>
      </c>
      <c r="U365" s="91"/>
      <c r="V365" s="91">
        <v>7</v>
      </c>
      <c r="W365" s="91">
        <v>7</v>
      </c>
      <c r="X365" s="91">
        <v>7</v>
      </c>
      <c r="Y365" s="91"/>
      <c r="Z365" s="91"/>
      <c r="AA365" s="91"/>
      <c r="AB365" s="91">
        <v>7</v>
      </c>
      <c r="AC365" s="91">
        <v>7</v>
      </c>
      <c r="AD365" s="91">
        <v>7</v>
      </c>
      <c r="AE365" s="91"/>
      <c r="AF365" s="91">
        <v>7</v>
      </c>
      <c r="AG365" s="91">
        <v>7</v>
      </c>
      <c r="AH365" s="91">
        <v>7</v>
      </c>
      <c r="AI365" s="91">
        <v>7</v>
      </c>
      <c r="AJ365" s="91">
        <v>7</v>
      </c>
      <c r="AK365" s="91"/>
      <c r="AL365" s="91">
        <v>7</v>
      </c>
      <c r="AM365" s="91">
        <v>7</v>
      </c>
      <c r="AN365" s="91">
        <v>7</v>
      </c>
      <c r="AO365" s="91">
        <v>7</v>
      </c>
      <c r="AP365" s="91">
        <v>7</v>
      </c>
      <c r="AQ365" s="91"/>
      <c r="AR365" s="91"/>
      <c r="AS365" s="91">
        <v>7</v>
      </c>
      <c r="AT365" s="91">
        <v>7</v>
      </c>
      <c r="AU365" s="91"/>
      <c r="AV365" s="91"/>
      <c r="AW365" s="91">
        <v>7</v>
      </c>
      <c r="AX365" s="91"/>
      <c r="AY365" s="91"/>
      <c r="AZ365" s="91"/>
      <c r="BA365" s="91"/>
      <c r="BB365" s="91">
        <v>7</v>
      </c>
      <c r="BC365" s="91">
        <v>7</v>
      </c>
      <c r="BD365" s="91">
        <v>7</v>
      </c>
      <c r="BE365" s="91">
        <v>7</v>
      </c>
      <c r="BF365" s="91">
        <v>14</v>
      </c>
      <c r="BG365" s="91">
        <v>11</v>
      </c>
      <c r="BH365" s="91"/>
    </row>
    <row r="366" spans="1:60" x14ac:dyDescent="0.25">
      <c r="A366" s="91" t="s">
        <v>853</v>
      </c>
      <c r="B366" s="129">
        <f t="shared" si="22"/>
        <v>255</v>
      </c>
      <c r="C366" s="91">
        <f t="shared" si="23"/>
        <v>33</v>
      </c>
      <c r="D366" s="130">
        <f t="shared" si="24"/>
        <v>0.66</v>
      </c>
      <c r="E366" s="131">
        <v>46293</v>
      </c>
      <c r="F366" s="131">
        <v>46323</v>
      </c>
      <c r="G366" s="91">
        <f t="shared" si="25"/>
        <v>30</v>
      </c>
      <c r="H366" s="91">
        <v>9</v>
      </c>
      <c r="I366" s="91"/>
      <c r="J366" s="91">
        <v>9</v>
      </c>
      <c r="K366" s="91">
        <v>4</v>
      </c>
      <c r="L366" s="91">
        <v>9</v>
      </c>
      <c r="M366" s="91"/>
      <c r="N366" s="91">
        <v>5</v>
      </c>
      <c r="O366" s="91">
        <v>9</v>
      </c>
      <c r="P366" s="91"/>
      <c r="Q366" s="91">
        <v>4</v>
      </c>
      <c r="R366" s="91">
        <v>9</v>
      </c>
      <c r="S366" s="91">
        <v>8</v>
      </c>
      <c r="T366" s="91">
        <v>5</v>
      </c>
      <c r="U366" s="91"/>
      <c r="V366" s="91">
        <v>4</v>
      </c>
      <c r="W366" s="91">
        <v>5</v>
      </c>
      <c r="X366" s="91">
        <v>9</v>
      </c>
      <c r="Y366" s="91"/>
      <c r="Z366" s="91"/>
      <c r="AA366" s="91"/>
      <c r="AB366" s="91">
        <v>9</v>
      </c>
      <c r="AC366" s="91">
        <v>9</v>
      </c>
      <c r="AD366" s="91">
        <v>5</v>
      </c>
      <c r="AE366" s="91"/>
      <c r="AF366" s="91">
        <v>9</v>
      </c>
      <c r="AG366" s="91">
        <v>8</v>
      </c>
      <c r="AH366" s="91">
        <v>9</v>
      </c>
      <c r="AI366" s="91">
        <v>5</v>
      </c>
      <c r="AJ366" s="91"/>
      <c r="AK366" s="91"/>
      <c r="AL366" s="91"/>
      <c r="AM366" s="91"/>
      <c r="AN366" s="91">
        <v>9</v>
      </c>
      <c r="AO366" s="91">
        <v>9</v>
      </c>
      <c r="AP366" s="91">
        <v>8</v>
      </c>
      <c r="AQ366" s="91">
        <v>9</v>
      </c>
      <c r="AR366" s="91"/>
      <c r="AS366" s="91">
        <v>9</v>
      </c>
      <c r="AT366" s="91"/>
      <c r="AU366" s="91">
        <v>9</v>
      </c>
      <c r="AV366" s="91">
        <v>9</v>
      </c>
      <c r="AW366" s="91">
        <v>9</v>
      </c>
      <c r="AX366" s="91">
        <v>9</v>
      </c>
      <c r="AY366" s="91"/>
      <c r="AZ366" s="91"/>
      <c r="BA366" s="91"/>
      <c r="BB366" s="91">
        <v>9</v>
      </c>
      <c r="BC366" s="91">
        <v>5</v>
      </c>
      <c r="BD366" s="91">
        <v>9</v>
      </c>
      <c r="BE366" s="91">
        <v>9</v>
      </c>
      <c r="BF366" s="91"/>
      <c r="BG366" s="91"/>
      <c r="BH366" s="91"/>
    </row>
    <row r="367" spans="1:60" x14ac:dyDescent="0.25">
      <c r="A367" s="91" t="s">
        <v>549</v>
      </c>
      <c r="B367" s="129">
        <f t="shared" si="22"/>
        <v>252</v>
      </c>
      <c r="C367" s="91">
        <f t="shared" si="23"/>
        <v>34</v>
      </c>
      <c r="D367" s="130">
        <f t="shared" si="24"/>
        <v>0.68</v>
      </c>
      <c r="E367" s="131">
        <v>46293</v>
      </c>
      <c r="F367" s="131">
        <v>46296</v>
      </c>
      <c r="G367" s="91">
        <f t="shared" si="25"/>
        <v>3</v>
      </c>
      <c r="H367" s="91"/>
      <c r="I367" s="91"/>
      <c r="J367" s="91">
        <v>7</v>
      </c>
      <c r="K367" s="91">
        <v>7</v>
      </c>
      <c r="L367" s="91">
        <v>7</v>
      </c>
      <c r="M367" s="91"/>
      <c r="N367" s="91">
        <v>7</v>
      </c>
      <c r="O367" s="91">
        <v>8</v>
      </c>
      <c r="P367" s="91">
        <v>7</v>
      </c>
      <c r="Q367" s="91">
        <v>7</v>
      </c>
      <c r="R367" s="91"/>
      <c r="S367" s="91">
        <v>7</v>
      </c>
      <c r="T367" s="91">
        <v>7</v>
      </c>
      <c r="U367" s="91"/>
      <c r="V367" s="91">
        <v>7</v>
      </c>
      <c r="W367" s="91">
        <v>7</v>
      </c>
      <c r="X367" s="91">
        <v>7</v>
      </c>
      <c r="Y367" s="91">
        <v>7</v>
      </c>
      <c r="Z367" s="91"/>
      <c r="AA367" s="91"/>
      <c r="AB367" s="91">
        <v>7</v>
      </c>
      <c r="AC367" s="91">
        <v>7</v>
      </c>
      <c r="AD367" s="91">
        <v>7</v>
      </c>
      <c r="AE367" s="91"/>
      <c r="AF367" s="91">
        <v>7</v>
      </c>
      <c r="AG367" s="91">
        <v>7</v>
      </c>
      <c r="AH367" s="91">
        <v>7</v>
      </c>
      <c r="AI367" s="91">
        <v>7</v>
      </c>
      <c r="AJ367" s="91">
        <v>7</v>
      </c>
      <c r="AK367" s="91"/>
      <c r="AL367" s="91">
        <v>7</v>
      </c>
      <c r="AM367" s="91">
        <v>7</v>
      </c>
      <c r="AN367" s="91">
        <v>7</v>
      </c>
      <c r="AO367" s="91">
        <v>7</v>
      </c>
      <c r="AP367" s="91">
        <v>7</v>
      </c>
      <c r="AQ367" s="91"/>
      <c r="AR367" s="91"/>
      <c r="AS367" s="91">
        <v>7</v>
      </c>
      <c r="AT367" s="91">
        <v>7</v>
      </c>
      <c r="AU367" s="91"/>
      <c r="AV367" s="91">
        <v>7</v>
      </c>
      <c r="AW367" s="91">
        <v>7</v>
      </c>
      <c r="AX367" s="91"/>
      <c r="AY367" s="91"/>
      <c r="AZ367" s="91"/>
      <c r="BA367" s="91"/>
      <c r="BB367" s="91">
        <v>7</v>
      </c>
      <c r="BC367" s="91">
        <v>7</v>
      </c>
      <c r="BD367" s="91">
        <v>7</v>
      </c>
      <c r="BE367" s="91">
        <v>7</v>
      </c>
      <c r="BF367" s="91"/>
      <c r="BG367" s="91">
        <v>13</v>
      </c>
      <c r="BH367" s="91"/>
    </row>
    <row r="368" spans="1:60" x14ac:dyDescent="0.25">
      <c r="A368" s="91" t="s">
        <v>471</v>
      </c>
      <c r="B368" s="129">
        <f t="shared" si="22"/>
        <v>252</v>
      </c>
      <c r="C368" s="91">
        <f t="shared" si="23"/>
        <v>34</v>
      </c>
      <c r="D368" s="130">
        <f t="shared" si="24"/>
        <v>0.68</v>
      </c>
      <c r="E368" s="131">
        <v>46293</v>
      </c>
      <c r="F368" s="131">
        <v>46296</v>
      </c>
      <c r="G368" s="91">
        <f t="shared" si="25"/>
        <v>3</v>
      </c>
      <c r="H368" s="91"/>
      <c r="I368" s="91"/>
      <c r="J368" s="91">
        <v>7</v>
      </c>
      <c r="K368" s="91">
        <v>7</v>
      </c>
      <c r="L368" s="91">
        <v>7</v>
      </c>
      <c r="M368" s="91"/>
      <c r="N368" s="91">
        <v>7</v>
      </c>
      <c r="O368" s="91">
        <v>8</v>
      </c>
      <c r="P368" s="91">
        <v>7</v>
      </c>
      <c r="Q368" s="91">
        <v>7</v>
      </c>
      <c r="R368" s="91"/>
      <c r="S368" s="91">
        <v>7</v>
      </c>
      <c r="T368" s="91">
        <v>7</v>
      </c>
      <c r="U368" s="91"/>
      <c r="V368" s="91">
        <v>7</v>
      </c>
      <c r="W368" s="91">
        <v>7</v>
      </c>
      <c r="X368" s="91">
        <v>7</v>
      </c>
      <c r="Y368" s="91">
        <v>7</v>
      </c>
      <c r="Z368" s="91"/>
      <c r="AA368" s="91"/>
      <c r="AB368" s="91">
        <v>7</v>
      </c>
      <c r="AC368" s="91">
        <v>7</v>
      </c>
      <c r="AD368" s="91">
        <v>7</v>
      </c>
      <c r="AE368" s="91"/>
      <c r="AF368" s="91">
        <v>7</v>
      </c>
      <c r="AG368" s="91">
        <v>7</v>
      </c>
      <c r="AH368" s="91">
        <v>7</v>
      </c>
      <c r="AI368" s="91">
        <v>7</v>
      </c>
      <c r="AJ368" s="91">
        <v>7</v>
      </c>
      <c r="AK368" s="91"/>
      <c r="AL368" s="91">
        <v>7</v>
      </c>
      <c r="AM368" s="91">
        <v>7</v>
      </c>
      <c r="AN368" s="91">
        <v>7</v>
      </c>
      <c r="AO368" s="91">
        <v>7</v>
      </c>
      <c r="AP368" s="91">
        <v>7</v>
      </c>
      <c r="AQ368" s="91"/>
      <c r="AR368" s="91"/>
      <c r="AS368" s="91">
        <v>7</v>
      </c>
      <c r="AT368" s="91">
        <v>7</v>
      </c>
      <c r="AU368" s="91"/>
      <c r="AV368" s="91">
        <v>7</v>
      </c>
      <c r="AW368" s="91">
        <v>7</v>
      </c>
      <c r="AX368" s="91"/>
      <c r="AY368" s="91"/>
      <c r="AZ368" s="91"/>
      <c r="BA368" s="91"/>
      <c r="BB368" s="91">
        <v>7</v>
      </c>
      <c r="BC368" s="91">
        <v>7</v>
      </c>
      <c r="BD368" s="91">
        <v>7</v>
      </c>
      <c r="BE368" s="91">
        <v>7</v>
      </c>
      <c r="BF368" s="91"/>
      <c r="BG368" s="91">
        <v>13</v>
      </c>
      <c r="BH368" s="91"/>
    </row>
    <row r="369" spans="1:60" x14ac:dyDescent="0.25">
      <c r="A369" s="91" t="s">
        <v>556</v>
      </c>
      <c r="B369" s="129">
        <f t="shared" si="22"/>
        <v>251</v>
      </c>
      <c r="C369" s="91">
        <f t="shared" si="23"/>
        <v>34</v>
      </c>
      <c r="D369" s="130">
        <f t="shared" si="24"/>
        <v>0.68</v>
      </c>
      <c r="E369" s="131">
        <v>46293</v>
      </c>
      <c r="F369" s="131">
        <v>46296</v>
      </c>
      <c r="G369" s="91">
        <f t="shared" si="25"/>
        <v>3</v>
      </c>
      <c r="H369" s="91"/>
      <c r="I369" s="91"/>
      <c r="J369" s="91">
        <v>7</v>
      </c>
      <c r="K369" s="91">
        <v>7</v>
      </c>
      <c r="L369" s="91">
        <v>7</v>
      </c>
      <c r="M369" s="91"/>
      <c r="N369" s="91">
        <v>7</v>
      </c>
      <c r="O369" s="91">
        <v>7</v>
      </c>
      <c r="P369" s="91">
        <v>7</v>
      </c>
      <c r="Q369" s="91">
        <v>7</v>
      </c>
      <c r="R369" s="91"/>
      <c r="S369" s="91">
        <v>7</v>
      </c>
      <c r="T369" s="91">
        <v>7</v>
      </c>
      <c r="U369" s="91"/>
      <c r="V369" s="91">
        <v>7</v>
      </c>
      <c r="W369" s="91">
        <v>7</v>
      </c>
      <c r="X369" s="91">
        <v>7</v>
      </c>
      <c r="Y369" s="91">
        <v>7</v>
      </c>
      <c r="Z369" s="91"/>
      <c r="AA369" s="91"/>
      <c r="AB369" s="91">
        <v>7</v>
      </c>
      <c r="AC369" s="91">
        <v>7</v>
      </c>
      <c r="AD369" s="91">
        <v>7</v>
      </c>
      <c r="AE369" s="91"/>
      <c r="AF369" s="91">
        <v>7</v>
      </c>
      <c r="AG369" s="91">
        <v>7</v>
      </c>
      <c r="AH369" s="91">
        <v>7</v>
      </c>
      <c r="AI369" s="91">
        <v>7</v>
      </c>
      <c r="AJ369" s="91">
        <v>7</v>
      </c>
      <c r="AK369" s="91"/>
      <c r="AL369" s="91">
        <v>7</v>
      </c>
      <c r="AM369" s="91">
        <v>7</v>
      </c>
      <c r="AN369" s="91">
        <v>7</v>
      </c>
      <c r="AO369" s="91">
        <v>7</v>
      </c>
      <c r="AP369" s="91">
        <v>7</v>
      </c>
      <c r="AQ369" s="91"/>
      <c r="AR369" s="91"/>
      <c r="AS369" s="91">
        <v>7</v>
      </c>
      <c r="AT369" s="91">
        <v>7</v>
      </c>
      <c r="AU369" s="91"/>
      <c r="AV369" s="91">
        <v>7</v>
      </c>
      <c r="AW369" s="91">
        <v>7</v>
      </c>
      <c r="AX369" s="91"/>
      <c r="AY369" s="91"/>
      <c r="AZ369" s="91"/>
      <c r="BA369" s="91"/>
      <c r="BB369" s="91">
        <v>7</v>
      </c>
      <c r="BC369" s="91">
        <v>7</v>
      </c>
      <c r="BD369" s="91">
        <v>7</v>
      </c>
      <c r="BE369" s="91">
        <v>7</v>
      </c>
      <c r="BF369" s="91"/>
      <c r="BG369" s="91">
        <v>13</v>
      </c>
      <c r="BH369" s="91"/>
    </row>
    <row r="370" spans="1:60" x14ac:dyDescent="0.25">
      <c r="A370" s="91" t="s">
        <v>548</v>
      </c>
      <c r="B370" s="129">
        <f t="shared" si="22"/>
        <v>251</v>
      </c>
      <c r="C370" s="91">
        <f t="shared" si="23"/>
        <v>34</v>
      </c>
      <c r="D370" s="130">
        <f t="shared" si="24"/>
        <v>0.68</v>
      </c>
      <c r="E370" s="131">
        <v>46296</v>
      </c>
      <c r="F370" s="131">
        <v>46308</v>
      </c>
      <c r="G370" s="91">
        <f t="shared" si="25"/>
        <v>12</v>
      </c>
      <c r="H370" s="91"/>
      <c r="I370" s="91"/>
      <c r="J370" s="91">
        <v>7</v>
      </c>
      <c r="K370" s="91">
        <v>7</v>
      </c>
      <c r="L370" s="91">
        <v>7</v>
      </c>
      <c r="M370" s="91"/>
      <c r="N370" s="91">
        <v>7</v>
      </c>
      <c r="O370" s="91">
        <v>7</v>
      </c>
      <c r="P370" s="91">
        <v>7</v>
      </c>
      <c r="Q370" s="91">
        <v>7</v>
      </c>
      <c r="R370" s="91"/>
      <c r="S370" s="91">
        <v>7</v>
      </c>
      <c r="T370" s="91">
        <v>7</v>
      </c>
      <c r="U370" s="91"/>
      <c r="V370" s="91">
        <v>7</v>
      </c>
      <c r="W370" s="91">
        <v>7</v>
      </c>
      <c r="X370" s="91">
        <v>7</v>
      </c>
      <c r="Y370" s="91">
        <v>7</v>
      </c>
      <c r="Z370" s="91"/>
      <c r="AA370" s="91"/>
      <c r="AB370" s="91">
        <v>7</v>
      </c>
      <c r="AC370" s="91">
        <v>7</v>
      </c>
      <c r="AD370" s="91">
        <v>7</v>
      </c>
      <c r="AE370" s="91"/>
      <c r="AF370" s="91">
        <v>7</v>
      </c>
      <c r="AG370" s="91">
        <v>7</v>
      </c>
      <c r="AH370" s="91">
        <v>7</v>
      </c>
      <c r="AI370" s="91">
        <v>7</v>
      </c>
      <c r="AJ370" s="91">
        <v>7</v>
      </c>
      <c r="AK370" s="91"/>
      <c r="AL370" s="91">
        <v>7</v>
      </c>
      <c r="AM370" s="91">
        <v>7</v>
      </c>
      <c r="AN370" s="91">
        <v>7</v>
      </c>
      <c r="AO370" s="91">
        <v>7</v>
      </c>
      <c r="AP370" s="91">
        <v>7</v>
      </c>
      <c r="AQ370" s="91"/>
      <c r="AR370" s="91"/>
      <c r="AS370" s="91">
        <v>7</v>
      </c>
      <c r="AT370" s="91">
        <v>7</v>
      </c>
      <c r="AU370" s="91"/>
      <c r="AV370" s="91">
        <v>7</v>
      </c>
      <c r="AW370" s="91">
        <v>7</v>
      </c>
      <c r="AX370" s="91"/>
      <c r="AY370" s="91"/>
      <c r="AZ370" s="91"/>
      <c r="BA370" s="91"/>
      <c r="BB370" s="91">
        <v>7</v>
      </c>
      <c r="BC370" s="91">
        <v>7</v>
      </c>
      <c r="BD370" s="91">
        <v>7</v>
      </c>
      <c r="BE370" s="91">
        <v>7</v>
      </c>
      <c r="BF370" s="91"/>
      <c r="BG370" s="91">
        <v>13</v>
      </c>
      <c r="BH370" s="91"/>
    </row>
    <row r="371" spans="1:60" x14ac:dyDescent="0.25">
      <c r="A371" s="91" t="s">
        <v>493</v>
      </c>
      <c r="B371" s="129">
        <f t="shared" si="22"/>
        <v>246</v>
      </c>
      <c r="C371" s="91">
        <f t="shared" si="23"/>
        <v>32</v>
      </c>
      <c r="D371" s="130">
        <f t="shared" si="24"/>
        <v>0.64</v>
      </c>
      <c r="E371" s="131">
        <v>46287</v>
      </c>
      <c r="F371" s="131">
        <v>46308</v>
      </c>
      <c r="G371" s="91">
        <f t="shared" si="25"/>
        <v>21</v>
      </c>
      <c r="H371" s="91"/>
      <c r="I371" s="91"/>
      <c r="J371" s="91">
        <v>7</v>
      </c>
      <c r="K371" s="91">
        <v>7</v>
      </c>
      <c r="L371" s="91">
        <v>7</v>
      </c>
      <c r="M371" s="91"/>
      <c r="N371" s="91">
        <v>7</v>
      </c>
      <c r="O371" s="91">
        <v>7</v>
      </c>
      <c r="P371" s="91">
        <v>7</v>
      </c>
      <c r="Q371" s="91">
        <v>7</v>
      </c>
      <c r="R371" s="91"/>
      <c r="S371" s="91">
        <v>7</v>
      </c>
      <c r="T371" s="91">
        <v>7</v>
      </c>
      <c r="U371" s="91"/>
      <c r="V371" s="91">
        <v>7</v>
      </c>
      <c r="W371" s="91">
        <v>7</v>
      </c>
      <c r="X371" s="91">
        <v>7</v>
      </c>
      <c r="Y371" s="91"/>
      <c r="Z371" s="91"/>
      <c r="AA371" s="91"/>
      <c r="AB371" s="91">
        <v>7</v>
      </c>
      <c r="AC371" s="91">
        <v>7</v>
      </c>
      <c r="AD371" s="91">
        <v>7</v>
      </c>
      <c r="AE371" s="91"/>
      <c r="AF371" s="91">
        <v>7</v>
      </c>
      <c r="AG371" s="91">
        <v>7</v>
      </c>
      <c r="AH371" s="91">
        <v>7</v>
      </c>
      <c r="AI371" s="91">
        <v>7</v>
      </c>
      <c r="AJ371" s="91">
        <v>7</v>
      </c>
      <c r="AK371" s="91"/>
      <c r="AL371" s="91">
        <v>7</v>
      </c>
      <c r="AM371" s="91">
        <v>7</v>
      </c>
      <c r="AN371" s="91">
        <v>7</v>
      </c>
      <c r="AO371" s="91">
        <v>7</v>
      </c>
      <c r="AP371" s="91">
        <v>7</v>
      </c>
      <c r="AQ371" s="91"/>
      <c r="AR371" s="91"/>
      <c r="AS371" s="91">
        <v>7</v>
      </c>
      <c r="AT371" s="91">
        <v>7</v>
      </c>
      <c r="AU371" s="91"/>
      <c r="AV371" s="91"/>
      <c r="AW371" s="91">
        <v>7</v>
      </c>
      <c r="AX371" s="91"/>
      <c r="AY371" s="91"/>
      <c r="AZ371" s="91"/>
      <c r="BA371" s="91"/>
      <c r="BB371" s="91">
        <v>7</v>
      </c>
      <c r="BC371" s="91">
        <v>7</v>
      </c>
      <c r="BD371" s="91">
        <v>7</v>
      </c>
      <c r="BE371" s="91">
        <v>7</v>
      </c>
      <c r="BF371" s="91">
        <v>11</v>
      </c>
      <c r="BG371" s="91">
        <v>11</v>
      </c>
      <c r="BH371" s="91"/>
    </row>
    <row r="372" spans="1:60" x14ac:dyDescent="0.25">
      <c r="A372" s="91" t="s">
        <v>571</v>
      </c>
      <c r="B372" s="129">
        <f t="shared" si="22"/>
        <v>245</v>
      </c>
      <c r="C372" s="91">
        <f t="shared" si="23"/>
        <v>33</v>
      </c>
      <c r="D372" s="130">
        <f t="shared" si="24"/>
        <v>0.66</v>
      </c>
      <c r="E372" s="131">
        <v>46254</v>
      </c>
      <c r="F372" s="131">
        <v>46255</v>
      </c>
      <c r="G372" s="91">
        <f t="shared" si="25"/>
        <v>1</v>
      </c>
      <c r="H372" s="91"/>
      <c r="I372" s="91"/>
      <c r="J372" s="91">
        <v>7</v>
      </c>
      <c r="K372" s="91">
        <v>9</v>
      </c>
      <c r="L372" s="91">
        <v>7</v>
      </c>
      <c r="M372" s="91"/>
      <c r="N372" s="91">
        <v>7</v>
      </c>
      <c r="O372" s="91">
        <v>7</v>
      </c>
      <c r="P372" s="91">
        <v>7</v>
      </c>
      <c r="Q372" s="91">
        <v>7</v>
      </c>
      <c r="R372" s="91">
        <v>7</v>
      </c>
      <c r="S372" s="91">
        <v>7</v>
      </c>
      <c r="T372" s="91">
        <v>7</v>
      </c>
      <c r="U372" s="91"/>
      <c r="V372" s="91">
        <v>7</v>
      </c>
      <c r="W372" s="91">
        <v>7</v>
      </c>
      <c r="X372" s="91">
        <v>7</v>
      </c>
      <c r="Y372" s="91"/>
      <c r="Z372" s="91"/>
      <c r="AA372" s="91"/>
      <c r="AB372" s="91">
        <v>7</v>
      </c>
      <c r="AC372" s="91">
        <v>7</v>
      </c>
      <c r="AD372" s="91">
        <v>7</v>
      </c>
      <c r="AE372" s="91"/>
      <c r="AF372" s="91">
        <v>7</v>
      </c>
      <c r="AG372" s="91">
        <v>7</v>
      </c>
      <c r="AH372" s="91">
        <v>7</v>
      </c>
      <c r="AI372" s="91">
        <v>7</v>
      </c>
      <c r="AJ372" s="91">
        <v>7</v>
      </c>
      <c r="AK372" s="91"/>
      <c r="AL372" s="91">
        <v>7</v>
      </c>
      <c r="AM372" s="91">
        <v>7</v>
      </c>
      <c r="AN372" s="91">
        <v>7</v>
      </c>
      <c r="AO372" s="91">
        <v>7</v>
      </c>
      <c r="AP372" s="91">
        <v>7</v>
      </c>
      <c r="AQ372" s="91"/>
      <c r="AR372" s="91"/>
      <c r="AS372" s="91">
        <v>7</v>
      </c>
      <c r="AT372" s="91">
        <v>7</v>
      </c>
      <c r="AU372" s="91"/>
      <c r="AV372" s="91"/>
      <c r="AW372" s="91">
        <v>7</v>
      </c>
      <c r="AX372" s="91"/>
      <c r="AY372" s="91"/>
      <c r="AZ372" s="91"/>
      <c r="BA372" s="91"/>
      <c r="BB372" s="91">
        <v>8</v>
      </c>
      <c r="BC372" s="91">
        <v>7</v>
      </c>
      <c r="BD372" s="91">
        <v>7</v>
      </c>
      <c r="BE372" s="91">
        <v>7</v>
      </c>
      <c r="BF372" s="91"/>
      <c r="BG372" s="91">
        <v>11</v>
      </c>
      <c r="BH372" s="91"/>
    </row>
    <row r="373" spans="1:60" x14ac:dyDescent="0.25">
      <c r="A373" s="91" t="s">
        <v>275</v>
      </c>
      <c r="B373" s="129">
        <f t="shared" si="22"/>
        <v>245</v>
      </c>
      <c r="C373" s="91">
        <f t="shared" si="23"/>
        <v>34</v>
      </c>
      <c r="D373" s="130">
        <f t="shared" si="24"/>
        <v>0.68</v>
      </c>
      <c r="E373" s="131">
        <v>46311</v>
      </c>
      <c r="F373" s="131">
        <v>46318</v>
      </c>
      <c r="G373" s="91">
        <f t="shared" si="25"/>
        <v>7</v>
      </c>
      <c r="H373" s="91">
        <v>7</v>
      </c>
      <c r="I373" s="91">
        <v>7</v>
      </c>
      <c r="J373" s="91">
        <v>7</v>
      </c>
      <c r="K373" s="91">
        <v>7</v>
      </c>
      <c r="L373" s="91">
        <v>7</v>
      </c>
      <c r="M373" s="91"/>
      <c r="N373" s="91">
        <v>7</v>
      </c>
      <c r="O373" s="91">
        <v>7</v>
      </c>
      <c r="P373" s="91">
        <v>7</v>
      </c>
      <c r="Q373" s="91"/>
      <c r="R373" s="91"/>
      <c r="S373" s="91">
        <v>7</v>
      </c>
      <c r="T373" s="91">
        <v>7</v>
      </c>
      <c r="U373" s="91"/>
      <c r="V373" s="91">
        <v>7</v>
      </c>
      <c r="W373" s="91">
        <v>7</v>
      </c>
      <c r="X373" s="91">
        <v>7</v>
      </c>
      <c r="Y373" s="91">
        <v>1</v>
      </c>
      <c r="Z373" s="91"/>
      <c r="AA373" s="91">
        <v>7</v>
      </c>
      <c r="AB373" s="91">
        <v>7</v>
      </c>
      <c r="AC373" s="91">
        <v>7</v>
      </c>
      <c r="AD373" s="91">
        <v>7</v>
      </c>
      <c r="AE373" s="91"/>
      <c r="AF373" s="91"/>
      <c r="AG373" s="91">
        <v>7</v>
      </c>
      <c r="AH373" s="91"/>
      <c r="AI373" s="91"/>
      <c r="AJ373" s="91">
        <v>7</v>
      </c>
      <c r="AK373" s="91"/>
      <c r="AL373" s="91"/>
      <c r="AM373" s="91">
        <v>7</v>
      </c>
      <c r="AN373" s="91"/>
      <c r="AO373" s="91">
        <v>7</v>
      </c>
      <c r="AP373" s="91">
        <v>7</v>
      </c>
      <c r="AQ373" s="91">
        <v>7</v>
      </c>
      <c r="AR373" s="91">
        <v>7</v>
      </c>
      <c r="AS373" s="91">
        <v>7</v>
      </c>
      <c r="AT373" s="91"/>
      <c r="AU373" s="91"/>
      <c r="AV373" s="91">
        <v>7</v>
      </c>
      <c r="AW373" s="91">
        <v>7</v>
      </c>
      <c r="AX373" s="91">
        <v>7</v>
      </c>
      <c r="AY373" s="91"/>
      <c r="AZ373" s="91">
        <v>7</v>
      </c>
      <c r="BA373" s="91">
        <v>7</v>
      </c>
      <c r="BB373" s="91">
        <v>7</v>
      </c>
      <c r="BC373" s="91">
        <v>7</v>
      </c>
      <c r="BD373" s="91">
        <v>7</v>
      </c>
      <c r="BE373" s="91"/>
      <c r="BF373" s="91">
        <v>1</v>
      </c>
      <c r="BG373" s="91">
        <v>12</v>
      </c>
      <c r="BH373" s="91"/>
    </row>
    <row r="374" spans="1:60" x14ac:dyDescent="0.25">
      <c r="A374" s="91" t="s">
        <v>597</v>
      </c>
      <c r="B374" s="129">
        <f t="shared" si="22"/>
        <v>244</v>
      </c>
      <c r="C374" s="91">
        <f t="shared" si="23"/>
        <v>33</v>
      </c>
      <c r="D374" s="130">
        <f t="shared" si="24"/>
        <v>0.66</v>
      </c>
      <c r="E374" s="131">
        <v>46254</v>
      </c>
      <c r="F374" s="131">
        <v>46255</v>
      </c>
      <c r="G374" s="91">
        <f t="shared" si="25"/>
        <v>1</v>
      </c>
      <c r="H374" s="91"/>
      <c r="I374" s="91"/>
      <c r="J374" s="91">
        <v>7</v>
      </c>
      <c r="K374" s="91">
        <v>7</v>
      </c>
      <c r="L374" s="91">
        <v>7</v>
      </c>
      <c r="M374" s="91"/>
      <c r="N374" s="91">
        <v>7</v>
      </c>
      <c r="O374" s="91">
        <v>7</v>
      </c>
      <c r="P374" s="91">
        <v>7</v>
      </c>
      <c r="Q374" s="91">
        <v>7</v>
      </c>
      <c r="R374" s="91">
        <v>7</v>
      </c>
      <c r="S374" s="91">
        <v>7</v>
      </c>
      <c r="T374" s="91">
        <v>7</v>
      </c>
      <c r="U374" s="91"/>
      <c r="V374" s="91">
        <v>7</v>
      </c>
      <c r="W374" s="91">
        <v>7</v>
      </c>
      <c r="X374" s="91">
        <v>7</v>
      </c>
      <c r="Y374" s="91"/>
      <c r="Z374" s="91"/>
      <c r="AA374" s="91"/>
      <c r="AB374" s="91">
        <v>7</v>
      </c>
      <c r="AC374" s="91">
        <v>7</v>
      </c>
      <c r="AD374" s="91">
        <v>7</v>
      </c>
      <c r="AE374" s="91"/>
      <c r="AF374" s="91">
        <v>7</v>
      </c>
      <c r="AG374" s="91">
        <v>7</v>
      </c>
      <c r="AH374" s="91">
        <v>7</v>
      </c>
      <c r="AI374" s="91">
        <v>7</v>
      </c>
      <c r="AJ374" s="91">
        <v>7</v>
      </c>
      <c r="AK374" s="91"/>
      <c r="AL374" s="91">
        <v>7</v>
      </c>
      <c r="AM374" s="91">
        <v>7</v>
      </c>
      <c r="AN374" s="91">
        <v>7</v>
      </c>
      <c r="AO374" s="91">
        <v>7</v>
      </c>
      <c r="AP374" s="91">
        <v>7</v>
      </c>
      <c r="AQ374" s="91"/>
      <c r="AR374" s="91"/>
      <c r="AS374" s="91">
        <v>7</v>
      </c>
      <c r="AT374" s="91">
        <v>9</v>
      </c>
      <c r="AU374" s="91"/>
      <c r="AV374" s="91"/>
      <c r="AW374" s="91">
        <v>7</v>
      </c>
      <c r="AX374" s="91"/>
      <c r="AY374" s="91"/>
      <c r="AZ374" s="91"/>
      <c r="BA374" s="91"/>
      <c r="BB374" s="91">
        <v>7</v>
      </c>
      <c r="BC374" s="91">
        <v>7</v>
      </c>
      <c r="BD374" s="91">
        <v>7</v>
      </c>
      <c r="BE374" s="91">
        <v>7</v>
      </c>
      <c r="BF374" s="91"/>
      <c r="BG374" s="91">
        <v>11</v>
      </c>
      <c r="BH374" s="91"/>
    </row>
    <row r="375" spans="1:60" x14ac:dyDescent="0.25">
      <c r="A375" s="91" t="s">
        <v>300</v>
      </c>
      <c r="B375" s="129">
        <f t="shared" si="22"/>
        <v>244</v>
      </c>
      <c r="C375" s="91">
        <f t="shared" si="23"/>
        <v>33</v>
      </c>
      <c r="D375" s="130">
        <f t="shared" si="24"/>
        <v>0.66</v>
      </c>
      <c r="E375" s="131">
        <v>46311</v>
      </c>
      <c r="F375" s="131">
        <v>46318</v>
      </c>
      <c r="G375" s="91">
        <f t="shared" si="25"/>
        <v>7</v>
      </c>
      <c r="H375" s="91">
        <v>7</v>
      </c>
      <c r="I375" s="91">
        <v>7</v>
      </c>
      <c r="J375" s="91">
        <v>7</v>
      </c>
      <c r="K375" s="91">
        <v>7</v>
      </c>
      <c r="L375" s="91">
        <v>7</v>
      </c>
      <c r="M375" s="91"/>
      <c r="N375" s="91">
        <v>7</v>
      </c>
      <c r="O375" s="91">
        <v>7</v>
      </c>
      <c r="P375" s="91">
        <v>7</v>
      </c>
      <c r="Q375" s="91"/>
      <c r="R375" s="91"/>
      <c r="S375" s="91">
        <v>7</v>
      </c>
      <c r="T375" s="91">
        <v>7</v>
      </c>
      <c r="U375" s="91"/>
      <c r="V375" s="91">
        <v>7</v>
      </c>
      <c r="W375" s="91">
        <v>7</v>
      </c>
      <c r="X375" s="91">
        <v>7</v>
      </c>
      <c r="Y375" s="91"/>
      <c r="Z375" s="91"/>
      <c r="AA375" s="91">
        <v>7</v>
      </c>
      <c r="AB375" s="91">
        <v>7</v>
      </c>
      <c r="AC375" s="91">
        <v>7</v>
      </c>
      <c r="AD375" s="91">
        <v>7</v>
      </c>
      <c r="AE375" s="91"/>
      <c r="AF375" s="91"/>
      <c r="AG375" s="91">
        <v>7</v>
      </c>
      <c r="AH375" s="91"/>
      <c r="AI375" s="91"/>
      <c r="AJ375" s="91">
        <v>7</v>
      </c>
      <c r="AK375" s="91"/>
      <c r="AL375" s="91"/>
      <c r="AM375" s="91">
        <v>7</v>
      </c>
      <c r="AN375" s="91"/>
      <c r="AO375" s="91">
        <v>7</v>
      </c>
      <c r="AP375" s="91">
        <v>7</v>
      </c>
      <c r="AQ375" s="91">
        <v>7</v>
      </c>
      <c r="AR375" s="91">
        <v>7</v>
      </c>
      <c r="AS375" s="91">
        <v>7</v>
      </c>
      <c r="AT375" s="91"/>
      <c r="AU375" s="91"/>
      <c r="AV375" s="91">
        <v>7</v>
      </c>
      <c r="AW375" s="91">
        <v>7</v>
      </c>
      <c r="AX375" s="91">
        <v>7</v>
      </c>
      <c r="AY375" s="91"/>
      <c r="AZ375" s="91">
        <v>7</v>
      </c>
      <c r="BA375" s="91">
        <v>7</v>
      </c>
      <c r="BB375" s="91">
        <v>7</v>
      </c>
      <c r="BC375" s="91">
        <v>7</v>
      </c>
      <c r="BD375" s="91">
        <v>7</v>
      </c>
      <c r="BE375" s="91"/>
      <c r="BF375" s="91">
        <v>1</v>
      </c>
      <c r="BG375" s="91">
        <v>12</v>
      </c>
      <c r="BH375" s="91"/>
    </row>
    <row r="376" spans="1:60" x14ac:dyDescent="0.25">
      <c r="A376" s="91" t="s">
        <v>539</v>
      </c>
      <c r="B376" s="129">
        <f t="shared" si="22"/>
        <v>244</v>
      </c>
      <c r="C376" s="91">
        <f t="shared" si="23"/>
        <v>33</v>
      </c>
      <c r="D376" s="130">
        <f t="shared" si="24"/>
        <v>0.66</v>
      </c>
      <c r="E376" s="131">
        <v>46296</v>
      </c>
      <c r="F376" s="131">
        <v>46308</v>
      </c>
      <c r="G376" s="91">
        <f t="shared" si="25"/>
        <v>12</v>
      </c>
      <c r="H376" s="91"/>
      <c r="I376" s="91"/>
      <c r="J376" s="91">
        <v>7</v>
      </c>
      <c r="K376" s="91">
        <v>7</v>
      </c>
      <c r="L376" s="91">
        <v>7</v>
      </c>
      <c r="M376" s="91"/>
      <c r="N376" s="91">
        <v>7</v>
      </c>
      <c r="O376" s="91">
        <v>7</v>
      </c>
      <c r="P376" s="91">
        <v>7</v>
      </c>
      <c r="Q376" s="91">
        <v>7</v>
      </c>
      <c r="R376" s="91"/>
      <c r="S376" s="91">
        <v>7</v>
      </c>
      <c r="T376" s="91">
        <v>7</v>
      </c>
      <c r="U376" s="91"/>
      <c r="V376" s="91">
        <v>7</v>
      </c>
      <c r="W376" s="91">
        <v>7</v>
      </c>
      <c r="X376" s="91">
        <v>7</v>
      </c>
      <c r="Y376" s="91"/>
      <c r="Z376" s="91"/>
      <c r="AA376" s="91"/>
      <c r="AB376" s="91">
        <v>7</v>
      </c>
      <c r="AC376" s="91">
        <v>7</v>
      </c>
      <c r="AD376" s="91">
        <v>7</v>
      </c>
      <c r="AE376" s="91"/>
      <c r="AF376" s="91">
        <v>7</v>
      </c>
      <c r="AG376" s="91">
        <v>7</v>
      </c>
      <c r="AH376" s="91">
        <v>7</v>
      </c>
      <c r="AI376" s="91">
        <v>7</v>
      </c>
      <c r="AJ376" s="91">
        <v>7</v>
      </c>
      <c r="AK376" s="91"/>
      <c r="AL376" s="91">
        <v>7</v>
      </c>
      <c r="AM376" s="91">
        <v>7</v>
      </c>
      <c r="AN376" s="91">
        <v>7</v>
      </c>
      <c r="AO376" s="91">
        <v>7</v>
      </c>
      <c r="AP376" s="91">
        <v>7</v>
      </c>
      <c r="AQ376" s="91"/>
      <c r="AR376" s="91"/>
      <c r="AS376" s="91">
        <v>7</v>
      </c>
      <c r="AT376" s="91">
        <v>7</v>
      </c>
      <c r="AU376" s="91"/>
      <c r="AV376" s="91">
        <v>7</v>
      </c>
      <c r="AW376" s="91">
        <v>7</v>
      </c>
      <c r="AX376" s="91"/>
      <c r="AY376" s="91"/>
      <c r="AZ376" s="91"/>
      <c r="BA376" s="91"/>
      <c r="BB376" s="91">
        <v>7</v>
      </c>
      <c r="BC376" s="91">
        <v>7</v>
      </c>
      <c r="BD376" s="91">
        <v>7</v>
      </c>
      <c r="BE376" s="91">
        <v>7</v>
      </c>
      <c r="BF376" s="91"/>
      <c r="BG376" s="91">
        <v>13</v>
      </c>
      <c r="BH376" s="91"/>
    </row>
    <row r="377" spans="1:60" x14ac:dyDescent="0.25">
      <c r="A377" s="91" t="s">
        <v>580</v>
      </c>
      <c r="B377" s="129">
        <f t="shared" si="22"/>
        <v>242</v>
      </c>
      <c r="C377" s="91">
        <f t="shared" si="23"/>
        <v>33</v>
      </c>
      <c r="D377" s="130">
        <f t="shared" si="24"/>
        <v>0.66</v>
      </c>
      <c r="E377" s="131">
        <v>46254</v>
      </c>
      <c r="F377" s="131">
        <v>46255</v>
      </c>
      <c r="G377" s="91">
        <f t="shared" si="25"/>
        <v>1</v>
      </c>
      <c r="H377" s="91"/>
      <c r="I377" s="91"/>
      <c r="J377" s="91">
        <v>7</v>
      </c>
      <c r="K377" s="91">
        <v>7</v>
      </c>
      <c r="L377" s="91">
        <v>7</v>
      </c>
      <c r="M377" s="91"/>
      <c r="N377" s="91">
        <v>7</v>
      </c>
      <c r="O377" s="91">
        <v>7</v>
      </c>
      <c r="P377" s="91">
        <v>7</v>
      </c>
      <c r="Q377" s="91">
        <v>7</v>
      </c>
      <c r="R377" s="91">
        <v>7</v>
      </c>
      <c r="S377" s="91">
        <v>7</v>
      </c>
      <c r="T377" s="91">
        <v>7</v>
      </c>
      <c r="U377" s="91"/>
      <c r="V377" s="91">
        <v>7</v>
      </c>
      <c r="W377" s="91">
        <v>7</v>
      </c>
      <c r="X377" s="91">
        <v>7</v>
      </c>
      <c r="Y377" s="91"/>
      <c r="Z377" s="91"/>
      <c r="AA377" s="91"/>
      <c r="AB377" s="91">
        <v>7</v>
      </c>
      <c r="AC377" s="91">
        <v>7</v>
      </c>
      <c r="AD377" s="91">
        <v>7</v>
      </c>
      <c r="AE377" s="91"/>
      <c r="AF377" s="91">
        <v>7</v>
      </c>
      <c r="AG377" s="91">
        <v>7</v>
      </c>
      <c r="AH377" s="91">
        <v>7</v>
      </c>
      <c r="AI377" s="91">
        <v>7</v>
      </c>
      <c r="AJ377" s="91">
        <v>7</v>
      </c>
      <c r="AK377" s="91"/>
      <c r="AL377" s="91">
        <v>7</v>
      </c>
      <c r="AM377" s="91">
        <v>7</v>
      </c>
      <c r="AN377" s="91">
        <v>7</v>
      </c>
      <c r="AO377" s="91">
        <v>7</v>
      </c>
      <c r="AP377" s="91">
        <v>7</v>
      </c>
      <c r="AQ377" s="91"/>
      <c r="AR377" s="91"/>
      <c r="AS377" s="91">
        <v>7</v>
      </c>
      <c r="AT377" s="91">
        <v>7</v>
      </c>
      <c r="AU377" s="91"/>
      <c r="AV377" s="91"/>
      <c r="AW377" s="91">
        <v>7</v>
      </c>
      <c r="AX377" s="91"/>
      <c r="AY377" s="91"/>
      <c r="AZ377" s="91"/>
      <c r="BA377" s="91"/>
      <c r="BB377" s="91">
        <v>7</v>
      </c>
      <c r="BC377" s="91">
        <v>7</v>
      </c>
      <c r="BD377" s="91">
        <v>7</v>
      </c>
      <c r="BE377" s="91">
        <v>7</v>
      </c>
      <c r="BF377" s="91"/>
      <c r="BG377" s="91">
        <v>11</v>
      </c>
      <c r="BH377" s="91"/>
    </row>
    <row r="378" spans="1:60" x14ac:dyDescent="0.25">
      <c r="A378" s="91" t="s">
        <v>520</v>
      </c>
      <c r="B378" s="129">
        <f t="shared" si="22"/>
        <v>237</v>
      </c>
      <c r="C378" s="91">
        <f t="shared" si="23"/>
        <v>32</v>
      </c>
      <c r="D378" s="130">
        <f t="shared" si="24"/>
        <v>0.64</v>
      </c>
      <c r="E378" s="131">
        <v>46280</v>
      </c>
      <c r="F378" s="131">
        <v>46308</v>
      </c>
      <c r="G378" s="91">
        <f t="shared" si="25"/>
        <v>28</v>
      </c>
      <c r="H378" s="91"/>
      <c r="I378" s="91"/>
      <c r="J378" s="91">
        <v>7</v>
      </c>
      <c r="K378" s="91">
        <v>7</v>
      </c>
      <c r="L378" s="91">
        <v>7</v>
      </c>
      <c r="M378" s="91"/>
      <c r="N378" s="91">
        <v>7</v>
      </c>
      <c r="O378" s="91">
        <v>7</v>
      </c>
      <c r="P378" s="91">
        <v>7</v>
      </c>
      <c r="Q378" s="91">
        <v>7</v>
      </c>
      <c r="R378" s="91"/>
      <c r="S378" s="91">
        <v>7</v>
      </c>
      <c r="T378" s="91">
        <v>7</v>
      </c>
      <c r="U378" s="91"/>
      <c r="V378" s="91">
        <v>7</v>
      </c>
      <c r="W378" s="91">
        <v>7</v>
      </c>
      <c r="X378" s="91">
        <v>7</v>
      </c>
      <c r="Y378" s="91"/>
      <c r="Z378" s="91"/>
      <c r="AA378" s="91"/>
      <c r="AB378" s="91">
        <v>7</v>
      </c>
      <c r="AC378" s="91">
        <v>7</v>
      </c>
      <c r="AD378" s="91">
        <v>7</v>
      </c>
      <c r="AE378" s="91"/>
      <c r="AF378" s="91">
        <v>7</v>
      </c>
      <c r="AG378" s="91">
        <v>7</v>
      </c>
      <c r="AH378" s="91">
        <v>7</v>
      </c>
      <c r="AI378" s="91">
        <v>7</v>
      </c>
      <c r="AJ378" s="91">
        <v>7</v>
      </c>
      <c r="AK378" s="91"/>
      <c r="AL378" s="91">
        <v>7</v>
      </c>
      <c r="AM378" s="91">
        <v>7</v>
      </c>
      <c r="AN378" s="91">
        <v>7</v>
      </c>
      <c r="AO378" s="91">
        <v>7</v>
      </c>
      <c r="AP378" s="91">
        <v>7</v>
      </c>
      <c r="AQ378" s="91"/>
      <c r="AR378" s="91"/>
      <c r="AS378" s="91">
        <v>7</v>
      </c>
      <c r="AT378" s="91">
        <v>7</v>
      </c>
      <c r="AU378" s="91"/>
      <c r="AV378" s="91"/>
      <c r="AW378" s="91">
        <v>7</v>
      </c>
      <c r="AX378" s="91"/>
      <c r="AY378" s="91"/>
      <c r="AZ378" s="91"/>
      <c r="BA378" s="91"/>
      <c r="BB378" s="91">
        <v>7</v>
      </c>
      <c r="BC378" s="91">
        <v>7</v>
      </c>
      <c r="BD378" s="91">
        <v>7</v>
      </c>
      <c r="BE378" s="91">
        <v>7</v>
      </c>
      <c r="BF378" s="91"/>
      <c r="BG378" s="91">
        <v>13</v>
      </c>
      <c r="BH378" s="91"/>
    </row>
    <row r="379" spans="1:60" x14ac:dyDescent="0.25">
      <c r="A379" s="91" t="s">
        <v>521</v>
      </c>
      <c r="B379" s="129">
        <f t="shared" si="22"/>
        <v>237</v>
      </c>
      <c r="C379" s="91">
        <f t="shared" si="23"/>
        <v>32</v>
      </c>
      <c r="D379" s="130">
        <f t="shared" si="24"/>
        <v>0.64</v>
      </c>
      <c r="E379" s="131">
        <v>46280</v>
      </c>
      <c r="F379" s="131">
        <v>46308</v>
      </c>
      <c r="G379" s="91">
        <f t="shared" si="25"/>
        <v>28</v>
      </c>
      <c r="H379" s="91"/>
      <c r="I379" s="91"/>
      <c r="J379" s="91">
        <v>7</v>
      </c>
      <c r="K379" s="91">
        <v>7</v>
      </c>
      <c r="L379" s="91">
        <v>7</v>
      </c>
      <c r="M379" s="91"/>
      <c r="N379" s="91">
        <v>7</v>
      </c>
      <c r="O379" s="91">
        <v>7</v>
      </c>
      <c r="P379" s="91">
        <v>7</v>
      </c>
      <c r="Q379" s="91">
        <v>7</v>
      </c>
      <c r="R379" s="91"/>
      <c r="S379" s="91">
        <v>7</v>
      </c>
      <c r="T379" s="91">
        <v>7</v>
      </c>
      <c r="U379" s="91"/>
      <c r="V379" s="91">
        <v>7</v>
      </c>
      <c r="W379" s="91">
        <v>7</v>
      </c>
      <c r="X379" s="91">
        <v>7</v>
      </c>
      <c r="Y379" s="91"/>
      <c r="Z379" s="91"/>
      <c r="AA379" s="91"/>
      <c r="AB379" s="91">
        <v>7</v>
      </c>
      <c r="AC379" s="91">
        <v>7</v>
      </c>
      <c r="AD379" s="91">
        <v>7</v>
      </c>
      <c r="AE379" s="91"/>
      <c r="AF379" s="91">
        <v>7</v>
      </c>
      <c r="AG379" s="91">
        <v>7</v>
      </c>
      <c r="AH379" s="91">
        <v>7</v>
      </c>
      <c r="AI379" s="91">
        <v>7</v>
      </c>
      <c r="AJ379" s="91">
        <v>7</v>
      </c>
      <c r="AK379" s="91"/>
      <c r="AL379" s="91">
        <v>7</v>
      </c>
      <c r="AM379" s="91">
        <v>7</v>
      </c>
      <c r="AN379" s="91">
        <v>7</v>
      </c>
      <c r="AO379" s="91">
        <v>7</v>
      </c>
      <c r="AP379" s="91">
        <v>7</v>
      </c>
      <c r="AQ379" s="91"/>
      <c r="AR379" s="91"/>
      <c r="AS379" s="91">
        <v>7</v>
      </c>
      <c r="AT379" s="91">
        <v>7</v>
      </c>
      <c r="AU379" s="91"/>
      <c r="AV379" s="91"/>
      <c r="AW379" s="91">
        <v>7</v>
      </c>
      <c r="AX379" s="91"/>
      <c r="AY379" s="91"/>
      <c r="AZ379" s="91"/>
      <c r="BA379" s="91"/>
      <c r="BB379" s="91">
        <v>7</v>
      </c>
      <c r="BC379" s="91">
        <v>7</v>
      </c>
      <c r="BD379" s="91">
        <v>7</v>
      </c>
      <c r="BE379" s="91">
        <v>7</v>
      </c>
      <c r="BF379" s="91"/>
      <c r="BG379" s="91">
        <v>13</v>
      </c>
      <c r="BH379" s="91"/>
    </row>
    <row r="380" spans="1:60" x14ac:dyDescent="0.25">
      <c r="A380" s="91" t="s">
        <v>398</v>
      </c>
      <c r="B380" s="129">
        <f t="shared" si="22"/>
        <v>236</v>
      </c>
      <c r="C380" s="91">
        <f t="shared" si="23"/>
        <v>32</v>
      </c>
      <c r="D380" s="130">
        <f t="shared" si="24"/>
        <v>0.64</v>
      </c>
      <c r="E380" s="131">
        <v>46286</v>
      </c>
      <c r="F380" s="131">
        <v>46319</v>
      </c>
      <c r="G380" s="91">
        <f t="shared" si="25"/>
        <v>33</v>
      </c>
      <c r="H380" s="91">
        <v>7</v>
      </c>
      <c r="I380" s="91">
        <v>7</v>
      </c>
      <c r="J380" s="91">
        <v>7</v>
      </c>
      <c r="K380" s="91">
        <v>7</v>
      </c>
      <c r="L380" s="91">
        <v>7</v>
      </c>
      <c r="M380" s="91">
        <v>7</v>
      </c>
      <c r="N380" s="91">
        <v>7</v>
      </c>
      <c r="O380" s="91">
        <v>7</v>
      </c>
      <c r="P380" s="91">
        <v>5</v>
      </c>
      <c r="Q380" s="91"/>
      <c r="R380" s="91">
        <v>9</v>
      </c>
      <c r="S380" s="91">
        <v>7</v>
      </c>
      <c r="T380" s="91">
        <v>7</v>
      </c>
      <c r="U380" s="91"/>
      <c r="V380" s="91">
        <v>5</v>
      </c>
      <c r="W380" s="91">
        <v>7</v>
      </c>
      <c r="X380" s="91">
        <v>7</v>
      </c>
      <c r="Y380" s="91">
        <v>2</v>
      </c>
      <c r="Z380" s="91">
        <v>7</v>
      </c>
      <c r="AA380" s="91"/>
      <c r="AB380" s="91">
        <v>7</v>
      </c>
      <c r="AC380" s="91">
        <v>7</v>
      </c>
      <c r="AD380" s="91">
        <v>7</v>
      </c>
      <c r="AE380" s="91"/>
      <c r="AF380" s="91">
        <v>6</v>
      </c>
      <c r="AG380" s="91">
        <v>7</v>
      </c>
      <c r="AH380" s="91"/>
      <c r="AI380" s="91">
        <v>5</v>
      </c>
      <c r="AJ380" s="91">
        <v>5</v>
      </c>
      <c r="AK380" s="91"/>
      <c r="AL380" s="91"/>
      <c r="AM380" s="91">
        <v>7</v>
      </c>
      <c r="AN380" s="91"/>
      <c r="AO380" s="91">
        <v>7</v>
      </c>
      <c r="AP380" s="91"/>
      <c r="AQ380" s="91">
        <v>7</v>
      </c>
      <c r="AR380" s="91"/>
      <c r="AS380" s="91">
        <v>7</v>
      </c>
      <c r="AT380" s="91">
        <v>7</v>
      </c>
      <c r="AU380" s="91"/>
      <c r="AV380" s="91">
        <v>5</v>
      </c>
      <c r="AW380" s="91"/>
      <c r="AX380" s="91"/>
      <c r="AY380" s="91"/>
      <c r="AZ380" s="91"/>
      <c r="BA380" s="91"/>
      <c r="BB380" s="91">
        <v>7</v>
      </c>
      <c r="BC380" s="91"/>
      <c r="BD380" s="91">
        <v>7</v>
      </c>
      <c r="BE380" s="91"/>
      <c r="BF380" s="91">
        <v>13</v>
      </c>
      <c r="BG380" s="91">
        <v>13</v>
      </c>
      <c r="BH380" s="91"/>
    </row>
    <row r="381" spans="1:60" x14ac:dyDescent="0.25">
      <c r="A381" s="91" t="s">
        <v>570</v>
      </c>
      <c r="B381" s="129">
        <f t="shared" si="22"/>
        <v>234</v>
      </c>
      <c r="C381" s="91">
        <f t="shared" si="23"/>
        <v>33</v>
      </c>
      <c r="D381" s="130">
        <f t="shared" si="24"/>
        <v>0.66</v>
      </c>
      <c r="E381" s="131">
        <v>46254</v>
      </c>
      <c r="F381" s="131">
        <v>46255</v>
      </c>
      <c r="G381" s="91">
        <f t="shared" si="25"/>
        <v>1</v>
      </c>
      <c r="H381" s="91"/>
      <c r="I381" s="91"/>
      <c r="J381" s="91">
        <v>7</v>
      </c>
      <c r="K381" s="91">
        <v>9</v>
      </c>
      <c r="L381" s="91">
        <v>7</v>
      </c>
      <c r="M381" s="91"/>
      <c r="N381" s="91">
        <v>7</v>
      </c>
      <c r="O381" s="91">
        <v>7</v>
      </c>
      <c r="P381" s="91">
        <v>7</v>
      </c>
      <c r="Q381" s="91">
        <v>7</v>
      </c>
      <c r="R381" s="91">
        <v>7</v>
      </c>
      <c r="S381" s="91">
        <v>7</v>
      </c>
      <c r="T381" s="91">
        <v>7</v>
      </c>
      <c r="U381" s="91"/>
      <c r="V381" s="91">
        <v>7</v>
      </c>
      <c r="W381" s="91">
        <v>7</v>
      </c>
      <c r="X381" s="91">
        <v>7</v>
      </c>
      <c r="Y381" s="91"/>
      <c r="Z381" s="91"/>
      <c r="AA381" s="91"/>
      <c r="AB381" s="91">
        <v>7</v>
      </c>
      <c r="AC381" s="91">
        <v>7</v>
      </c>
      <c r="AD381" s="91">
        <v>7</v>
      </c>
      <c r="AE381" s="91"/>
      <c r="AF381" s="91">
        <v>7</v>
      </c>
      <c r="AG381" s="91">
        <v>7</v>
      </c>
      <c r="AH381" s="91">
        <v>7</v>
      </c>
      <c r="AI381" s="91">
        <v>7</v>
      </c>
      <c r="AJ381" s="91">
        <v>7</v>
      </c>
      <c r="AK381" s="91"/>
      <c r="AL381" s="91">
        <v>7</v>
      </c>
      <c r="AM381" s="91">
        <v>7</v>
      </c>
      <c r="AN381" s="91">
        <v>7</v>
      </c>
      <c r="AO381" s="91">
        <v>7</v>
      </c>
      <c r="AP381" s="91">
        <v>7</v>
      </c>
      <c r="AQ381" s="91"/>
      <c r="AR381" s="91"/>
      <c r="AS381" s="91">
        <v>7</v>
      </c>
      <c r="AT381" s="91">
        <v>7</v>
      </c>
      <c r="AU381" s="91"/>
      <c r="AV381" s="91"/>
      <c r="AW381" s="91">
        <v>7</v>
      </c>
      <c r="AX381" s="91"/>
      <c r="AY381" s="91"/>
      <c r="AZ381" s="91"/>
      <c r="BA381" s="91"/>
      <c r="BB381" s="91">
        <v>8</v>
      </c>
      <c r="BC381" s="91">
        <v>7</v>
      </c>
      <c r="BD381" s="91">
        <v>7</v>
      </c>
      <c r="BE381" s="91">
        <v>7</v>
      </c>
      <c r="BF381" s="91"/>
      <c r="BG381" s="91"/>
      <c r="BH381" s="91"/>
    </row>
    <row r="382" spans="1:60" x14ac:dyDescent="0.25">
      <c r="A382" s="91" t="s">
        <v>180</v>
      </c>
      <c r="B382" s="129">
        <f t="shared" si="22"/>
        <v>229</v>
      </c>
      <c r="C382" s="91">
        <f t="shared" si="23"/>
        <v>16</v>
      </c>
      <c r="D382" s="130">
        <f t="shared" si="24"/>
        <v>0.32</v>
      </c>
      <c r="E382" s="131">
        <v>46300</v>
      </c>
      <c r="F382" s="131">
        <v>46318</v>
      </c>
      <c r="G382" s="91">
        <f t="shared" si="25"/>
        <v>18</v>
      </c>
      <c r="H382" s="91">
        <v>14</v>
      </c>
      <c r="I382" s="91"/>
      <c r="J382" s="91">
        <v>14</v>
      </c>
      <c r="K382" s="91"/>
      <c r="L382" s="91">
        <v>14</v>
      </c>
      <c r="M382" s="91"/>
      <c r="N382" s="91">
        <v>14</v>
      </c>
      <c r="O382" s="91"/>
      <c r="P382" s="91"/>
      <c r="Q382" s="91"/>
      <c r="R382" s="91"/>
      <c r="S382" s="91">
        <v>14</v>
      </c>
      <c r="T382" s="91"/>
      <c r="U382" s="91"/>
      <c r="V382" s="91">
        <v>14</v>
      </c>
      <c r="W382" s="91"/>
      <c r="X382" s="91"/>
      <c r="Y382" s="91">
        <v>1</v>
      </c>
      <c r="Z382" s="91"/>
      <c r="AA382" s="91"/>
      <c r="AB382" s="91">
        <v>14</v>
      </c>
      <c r="AC382" s="91">
        <v>14</v>
      </c>
      <c r="AD382" s="91">
        <v>14</v>
      </c>
      <c r="AE382" s="91"/>
      <c r="AF382" s="91">
        <v>12</v>
      </c>
      <c r="AG382" s="91"/>
      <c r="AH382" s="91"/>
      <c r="AI382" s="91"/>
      <c r="AJ382" s="91">
        <v>14</v>
      </c>
      <c r="AK382" s="91"/>
      <c r="AL382" s="91"/>
      <c r="AM382" s="91"/>
      <c r="AN382" s="91"/>
      <c r="AO382" s="91"/>
      <c r="AP382" s="91"/>
      <c r="AQ382" s="91"/>
      <c r="AR382" s="91"/>
      <c r="AS382" s="91"/>
      <c r="AT382" s="91">
        <v>14</v>
      </c>
      <c r="AU382" s="91"/>
      <c r="AV382" s="91"/>
      <c r="AW382" s="91">
        <v>14</v>
      </c>
      <c r="AX382" s="91"/>
      <c r="AY382" s="91"/>
      <c r="AZ382" s="91"/>
      <c r="BA382" s="91">
        <v>14</v>
      </c>
      <c r="BB382" s="91">
        <v>14</v>
      </c>
      <c r="BC382" s="91"/>
      <c r="BD382" s="91"/>
      <c r="BE382" s="91"/>
      <c r="BF382" s="91"/>
      <c r="BG382" s="91">
        <v>20</v>
      </c>
      <c r="BH382" s="91"/>
    </row>
    <row r="383" spans="1:60" x14ac:dyDescent="0.25">
      <c r="A383" s="91" t="s">
        <v>341</v>
      </c>
      <c r="B383" s="129">
        <f t="shared" si="22"/>
        <v>227</v>
      </c>
      <c r="C383" s="91">
        <f t="shared" si="23"/>
        <v>30</v>
      </c>
      <c r="D383" s="130">
        <f t="shared" si="24"/>
        <v>0.6</v>
      </c>
      <c r="E383" s="131">
        <v>46279</v>
      </c>
      <c r="F383" s="131">
        <v>46318</v>
      </c>
      <c r="G383" s="91">
        <f t="shared" si="25"/>
        <v>39</v>
      </c>
      <c r="H383" s="91">
        <v>7</v>
      </c>
      <c r="I383" s="91">
        <v>7</v>
      </c>
      <c r="J383" s="91">
        <v>7</v>
      </c>
      <c r="K383" s="91">
        <v>7</v>
      </c>
      <c r="L383" s="91">
        <v>7</v>
      </c>
      <c r="M383" s="91">
        <v>5</v>
      </c>
      <c r="N383" s="91">
        <v>7</v>
      </c>
      <c r="O383" s="91">
        <v>7</v>
      </c>
      <c r="P383" s="91">
        <v>7</v>
      </c>
      <c r="Q383" s="91">
        <v>7</v>
      </c>
      <c r="R383" s="91">
        <v>7</v>
      </c>
      <c r="S383" s="91">
        <v>7</v>
      </c>
      <c r="T383" s="91">
        <v>7</v>
      </c>
      <c r="U383" s="91">
        <v>7</v>
      </c>
      <c r="V383" s="91">
        <v>5</v>
      </c>
      <c r="W383" s="91"/>
      <c r="X383" s="91">
        <v>7</v>
      </c>
      <c r="Y383" s="91"/>
      <c r="Z383" s="91">
        <v>7</v>
      </c>
      <c r="AA383" s="91"/>
      <c r="AB383" s="91">
        <v>7</v>
      </c>
      <c r="AC383" s="91">
        <v>7</v>
      </c>
      <c r="AD383" s="91">
        <v>7</v>
      </c>
      <c r="AE383" s="91"/>
      <c r="AF383" s="91">
        <v>6</v>
      </c>
      <c r="AG383" s="91"/>
      <c r="AH383" s="91"/>
      <c r="AI383" s="91">
        <v>5</v>
      </c>
      <c r="AJ383" s="91">
        <v>7</v>
      </c>
      <c r="AK383" s="91">
        <v>7</v>
      </c>
      <c r="AL383" s="91"/>
      <c r="AM383" s="91">
        <v>7</v>
      </c>
      <c r="AN383" s="91"/>
      <c r="AO383" s="91">
        <v>7</v>
      </c>
      <c r="AP383" s="91"/>
      <c r="AQ383" s="91"/>
      <c r="AR383" s="91"/>
      <c r="AS383" s="91"/>
      <c r="AT383" s="91">
        <v>7</v>
      </c>
      <c r="AU383" s="91"/>
      <c r="AV383" s="91"/>
      <c r="AW383" s="91">
        <v>7</v>
      </c>
      <c r="AX383" s="91"/>
      <c r="AY383" s="91"/>
      <c r="AZ383" s="91">
        <v>7</v>
      </c>
      <c r="BA383" s="91"/>
      <c r="BB383" s="91">
        <v>7</v>
      </c>
      <c r="BC383" s="91"/>
      <c r="BD383" s="91"/>
      <c r="BE383" s="91"/>
      <c r="BF383" s="91">
        <v>12</v>
      </c>
      <c r="BG383" s="91">
        <v>12</v>
      </c>
      <c r="BH383" s="91"/>
    </row>
    <row r="384" spans="1:60" x14ac:dyDescent="0.25">
      <c r="A384" s="91" t="s">
        <v>517</v>
      </c>
      <c r="B384" s="129">
        <f t="shared" si="22"/>
        <v>224</v>
      </c>
      <c r="C384" s="91">
        <f t="shared" si="23"/>
        <v>34</v>
      </c>
      <c r="D384" s="130">
        <f t="shared" si="24"/>
        <v>0.68</v>
      </c>
      <c r="E384" s="131">
        <v>46254</v>
      </c>
      <c r="F384" s="131">
        <v>46322</v>
      </c>
      <c r="G384" s="91">
        <f t="shared" si="25"/>
        <v>68</v>
      </c>
      <c r="H384" s="91"/>
      <c r="I384" s="91"/>
      <c r="J384" s="91">
        <v>6</v>
      </c>
      <c r="K384" s="91">
        <v>8</v>
      </c>
      <c r="L384" s="91">
        <v>6</v>
      </c>
      <c r="M384" s="91"/>
      <c r="N384" s="91">
        <v>6</v>
      </c>
      <c r="O384" s="91">
        <v>6</v>
      </c>
      <c r="P384" s="91">
        <v>6</v>
      </c>
      <c r="Q384" s="91">
        <v>6</v>
      </c>
      <c r="R384" s="91">
        <v>6</v>
      </c>
      <c r="S384" s="91">
        <v>7</v>
      </c>
      <c r="T384" s="91">
        <v>6</v>
      </c>
      <c r="U384" s="91"/>
      <c r="V384" s="91">
        <v>6</v>
      </c>
      <c r="W384" s="91">
        <v>6</v>
      </c>
      <c r="X384" s="91">
        <v>6</v>
      </c>
      <c r="Y384" s="91">
        <v>1</v>
      </c>
      <c r="Z384" s="91"/>
      <c r="AA384" s="91"/>
      <c r="AB384" s="91">
        <v>6</v>
      </c>
      <c r="AC384" s="91">
        <v>6</v>
      </c>
      <c r="AD384" s="91">
        <v>6</v>
      </c>
      <c r="AE384" s="91"/>
      <c r="AF384" s="91">
        <v>6</v>
      </c>
      <c r="AG384" s="91">
        <v>6</v>
      </c>
      <c r="AH384" s="91">
        <v>6</v>
      </c>
      <c r="AI384" s="91">
        <v>6</v>
      </c>
      <c r="AJ384" s="91">
        <v>6</v>
      </c>
      <c r="AK384" s="91"/>
      <c r="AL384" s="91">
        <v>6</v>
      </c>
      <c r="AM384" s="91">
        <v>6</v>
      </c>
      <c r="AN384" s="91">
        <v>6</v>
      </c>
      <c r="AO384" s="91">
        <v>6</v>
      </c>
      <c r="AP384" s="91">
        <v>6</v>
      </c>
      <c r="AQ384" s="91"/>
      <c r="AR384" s="91"/>
      <c r="AS384" s="91">
        <v>6</v>
      </c>
      <c r="AT384" s="91">
        <v>6</v>
      </c>
      <c r="AU384" s="91"/>
      <c r="AV384" s="91"/>
      <c r="AW384" s="91">
        <v>6</v>
      </c>
      <c r="AX384" s="91"/>
      <c r="AY384" s="91"/>
      <c r="AZ384" s="91"/>
      <c r="BA384" s="91"/>
      <c r="BB384" s="91">
        <v>7</v>
      </c>
      <c r="BC384" s="91">
        <v>6</v>
      </c>
      <c r="BD384" s="91">
        <v>6</v>
      </c>
      <c r="BE384" s="91">
        <v>6</v>
      </c>
      <c r="BF384" s="91">
        <v>12</v>
      </c>
      <c r="BG384" s="91">
        <v>9</v>
      </c>
      <c r="BH384" s="91"/>
    </row>
    <row r="385" spans="1:60" x14ac:dyDescent="0.25">
      <c r="A385" s="91" t="s">
        <v>504</v>
      </c>
      <c r="B385" s="129">
        <f t="shared" si="22"/>
        <v>224</v>
      </c>
      <c r="C385" s="91">
        <f t="shared" si="23"/>
        <v>32</v>
      </c>
      <c r="D385" s="130">
        <f t="shared" si="24"/>
        <v>0.64</v>
      </c>
      <c r="E385" s="131">
        <v>46287</v>
      </c>
      <c r="F385" s="131">
        <v>46308</v>
      </c>
      <c r="G385" s="91">
        <f t="shared" si="25"/>
        <v>21</v>
      </c>
      <c r="H385" s="91"/>
      <c r="I385" s="91"/>
      <c r="J385" s="91">
        <v>7</v>
      </c>
      <c r="K385" s="91">
        <v>7</v>
      </c>
      <c r="L385" s="91">
        <v>7</v>
      </c>
      <c r="M385" s="91"/>
      <c r="N385" s="91">
        <v>7</v>
      </c>
      <c r="O385" s="91">
        <v>7</v>
      </c>
      <c r="P385" s="91">
        <v>7</v>
      </c>
      <c r="Q385" s="91">
        <v>7</v>
      </c>
      <c r="R385" s="91"/>
      <c r="S385" s="91">
        <v>7</v>
      </c>
      <c r="T385" s="91">
        <v>7</v>
      </c>
      <c r="U385" s="91"/>
      <c r="V385" s="91">
        <v>7</v>
      </c>
      <c r="W385" s="91">
        <v>7</v>
      </c>
      <c r="X385" s="91">
        <v>7</v>
      </c>
      <c r="Y385" s="91"/>
      <c r="Z385" s="91"/>
      <c r="AA385" s="91"/>
      <c r="AB385" s="91">
        <v>7</v>
      </c>
      <c r="AC385" s="91">
        <v>7</v>
      </c>
      <c r="AD385" s="91">
        <v>7</v>
      </c>
      <c r="AE385" s="91"/>
      <c r="AF385" s="91">
        <v>7</v>
      </c>
      <c r="AG385" s="91">
        <v>7</v>
      </c>
      <c r="AH385" s="91">
        <v>7</v>
      </c>
      <c r="AI385" s="91">
        <v>7</v>
      </c>
      <c r="AJ385" s="91">
        <v>7</v>
      </c>
      <c r="AK385" s="91"/>
      <c r="AL385" s="91">
        <v>7</v>
      </c>
      <c r="AM385" s="91">
        <v>7</v>
      </c>
      <c r="AN385" s="91">
        <v>7</v>
      </c>
      <c r="AO385" s="91">
        <v>7</v>
      </c>
      <c r="AP385" s="91">
        <v>7</v>
      </c>
      <c r="AQ385" s="91"/>
      <c r="AR385" s="91"/>
      <c r="AS385" s="91">
        <v>7</v>
      </c>
      <c r="AT385" s="91">
        <v>7</v>
      </c>
      <c r="AU385" s="91"/>
      <c r="AV385" s="91"/>
      <c r="AW385" s="91">
        <v>7</v>
      </c>
      <c r="AX385" s="91"/>
      <c r="AY385" s="91"/>
      <c r="AZ385" s="91"/>
      <c r="BA385" s="91"/>
      <c r="BB385" s="91">
        <v>7</v>
      </c>
      <c r="BC385" s="91">
        <v>7</v>
      </c>
      <c r="BD385" s="91">
        <v>7</v>
      </c>
      <c r="BE385" s="91">
        <v>7</v>
      </c>
      <c r="BF385" s="91"/>
      <c r="BG385" s="91"/>
      <c r="BH385" s="91"/>
    </row>
    <row r="386" spans="1:60" x14ac:dyDescent="0.25">
      <c r="A386" s="91" t="s">
        <v>561</v>
      </c>
      <c r="B386" s="129">
        <f t="shared" si="22"/>
        <v>220</v>
      </c>
      <c r="C386" s="91">
        <f t="shared" si="23"/>
        <v>33</v>
      </c>
      <c r="D386" s="130">
        <f t="shared" si="24"/>
        <v>0.66</v>
      </c>
      <c r="E386" s="131">
        <v>46281</v>
      </c>
      <c r="F386" s="131">
        <v>46308</v>
      </c>
      <c r="G386" s="91">
        <f t="shared" si="25"/>
        <v>27</v>
      </c>
      <c r="H386" s="91"/>
      <c r="I386" s="91"/>
      <c r="J386" s="91">
        <v>6</v>
      </c>
      <c r="K386" s="91">
        <v>6</v>
      </c>
      <c r="L386" s="91">
        <v>6</v>
      </c>
      <c r="M386" s="91"/>
      <c r="N386" s="91">
        <v>6</v>
      </c>
      <c r="O386" s="91">
        <v>6</v>
      </c>
      <c r="P386" s="91">
        <v>6</v>
      </c>
      <c r="Q386" s="91">
        <v>6</v>
      </c>
      <c r="R386" s="91"/>
      <c r="S386" s="91">
        <v>6</v>
      </c>
      <c r="T386" s="91">
        <v>6</v>
      </c>
      <c r="U386" s="91"/>
      <c r="V386" s="91">
        <v>6</v>
      </c>
      <c r="W386" s="91">
        <v>6</v>
      </c>
      <c r="X386" s="91">
        <v>6</v>
      </c>
      <c r="Y386" s="91"/>
      <c r="Z386" s="91"/>
      <c r="AA386" s="91"/>
      <c r="AB386" s="91">
        <v>6</v>
      </c>
      <c r="AC386" s="91">
        <v>6</v>
      </c>
      <c r="AD386" s="91">
        <v>6</v>
      </c>
      <c r="AE386" s="91"/>
      <c r="AF386" s="91">
        <v>6</v>
      </c>
      <c r="AG386" s="91">
        <v>6</v>
      </c>
      <c r="AH386" s="91">
        <v>6</v>
      </c>
      <c r="AI386" s="91">
        <v>6</v>
      </c>
      <c r="AJ386" s="91">
        <v>6</v>
      </c>
      <c r="AK386" s="91"/>
      <c r="AL386" s="91">
        <v>6</v>
      </c>
      <c r="AM386" s="91">
        <v>6</v>
      </c>
      <c r="AN386" s="91">
        <v>6</v>
      </c>
      <c r="AO386" s="91">
        <v>6</v>
      </c>
      <c r="AP386" s="91">
        <v>6</v>
      </c>
      <c r="AQ386" s="91"/>
      <c r="AR386" s="91"/>
      <c r="AS386" s="91">
        <v>6</v>
      </c>
      <c r="AT386" s="91">
        <v>6</v>
      </c>
      <c r="AU386" s="91"/>
      <c r="AV386" s="91">
        <v>6</v>
      </c>
      <c r="AW386" s="91">
        <v>6</v>
      </c>
      <c r="AX386" s="91"/>
      <c r="AY386" s="91"/>
      <c r="AZ386" s="91"/>
      <c r="BA386" s="91"/>
      <c r="BB386" s="91">
        <v>6</v>
      </c>
      <c r="BC386" s="91">
        <v>6</v>
      </c>
      <c r="BD386" s="91">
        <v>6</v>
      </c>
      <c r="BE386" s="91">
        <v>6</v>
      </c>
      <c r="BF386" s="91">
        <v>12</v>
      </c>
      <c r="BG386" s="91">
        <v>10</v>
      </c>
      <c r="BH386" s="91"/>
    </row>
    <row r="387" spans="1:60" x14ac:dyDescent="0.25">
      <c r="A387" s="91" t="s">
        <v>538</v>
      </c>
      <c r="B387" s="129">
        <f t="shared" si="22"/>
        <v>219</v>
      </c>
      <c r="C387" s="91">
        <f t="shared" si="23"/>
        <v>33</v>
      </c>
      <c r="D387" s="130">
        <f t="shared" si="24"/>
        <v>0.66</v>
      </c>
      <c r="E387" s="131">
        <v>46254</v>
      </c>
      <c r="F387" s="131">
        <v>46255</v>
      </c>
      <c r="G387" s="91">
        <f t="shared" si="25"/>
        <v>1</v>
      </c>
      <c r="H387" s="91"/>
      <c r="I387" s="91"/>
      <c r="J387" s="91">
        <v>6</v>
      </c>
      <c r="K387" s="91">
        <v>6</v>
      </c>
      <c r="L387" s="91">
        <v>6</v>
      </c>
      <c r="M387" s="91"/>
      <c r="N387" s="91">
        <v>6</v>
      </c>
      <c r="O387" s="91">
        <v>6</v>
      </c>
      <c r="P387" s="91">
        <v>6</v>
      </c>
      <c r="Q387" s="91">
        <v>6</v>
      </c>
      <c r="R387" s="91">
        <v>6</v>
      </c>
      <c r="S387" s="91">
        <v>6</v>
      </c>
      <c r="T387" s="91">
        <v>6</v>
      </c>
      <c r="U387" s="91"/>
      <c r="V387" s="91">
        <v>6</v>
      </c>
      <c r="W387" s="91">
        <v>6</v>
      </c>
      <c r="X387" s="91">
        <v>6</v>
      </c>
      <c r="Y387" s="91"/>
      <c r="Z387" s="91"/>
      <c r="AA387" s="91"/>
      <c r="AB387" s="91">
        <v>6</v>
      </c>
      <c r="AC387" s="91">
        <v>6</v>
      </c>
      <c r="AD387" s="91">
        <v>6</v>
      </c>
      <c r="AE387" s="91"/>
      <c r="AF387" s="91">
        <v>6</v>
      </c>
      <c r="AG387" s="91">
        <v>6</v>
      </c>
      <c r="AH387" s="91">
        <v>6</v>
      </c>
      <c r="AI387" s="91">
        <v>6</v>
      </c>
      <c r="AJ387" s="91">
        <v>6</v>
      </c>
      <c r="AK387" s="91"/>
      <c r="AL387" s="91">
        <v>6</v>
      </c>
      <c r="AM387" s="91">
        <v>6</v>
      </c>
      <c r="AN387" s="91">
        <v>6</v>
      </c>
      <c r="AO387" s="91">
        <v>6</v>
      </c>
      <c r="AP387" s="91">
        <v>6</v>
      </c>
      <c r="AQ387" s="91"/>
      <c r="AR387" s="91"/>
      <c r="AS387" s="91">
        <v>6</v>
      </c>
      <c r="AT387" s="91">
        <v>6</v>
      </c>
      <c r="AU387" s="91"/>
      <c r="AV387" s="91"/>
      <c r="AW387" s="91">
        <v>6</v>
      </c>
      <c r="AX387" s="91"/>
      <c r="AY387" s="91"/>
      <c r="AZ387" s="91"/>
      <c r="BA387" s="91"/>
      <c r="BB387" s="91">
        <v>6</v>
      </c>
      <c r="BC387" s="91">
        <v>6</v>
      </c>
      <c r="BD387" s="91">
        <v>6</v>
      </c>
      <c r="BE387" s="91">
        <v>6</v>
      </c>
      <c r="BF387" s="91">
        <v>12</v>
      </c>
      <c r="BG387" s="91">
        <v>9</v>
      </c>
      <c r="BH387" s="91"/>
    </row>
    <row r="388" spans="1:60" x14ac:dyDescent="0.25">
      <c r="A388" s="91" t="s">
        <v>338</v>
      </c>
      <c r="B388" s="129">
        <f t="shared" si="22"/>
        <v>215</v>
      </c>
      <c r="C388" s="91">
        <f t="shared" si="23"/>
        <v>27</v>
      </c>
      <c r="D388" s="130">
        <f t="shared" si="24"/>
        <v>0.54</v>
      </c>
      <c r="E388" s="131">
        <v>46302</v>
      </c>
      <c r="F388" s="131">
        <v>46304</v>
      </c>
      <c r="G388" s="91">
        <f t="shared" si="25"/>
        <v>2</v>
      </c>
      <c r="H388" s="91">
        <v>7</v>
      </c>
      <c r="I388" s="91"/>
      <c r="J388" s="91">
        <v>7</v>
      </c>
      <c r="K388" s="91">
        <v>7</v>
      </c>
      <c r="L388" s="91">
        <v>7</v>
      </c>
      <c r="M388" s="91"/>
      <c r="N388" s="91">
        <v>7</v>
      </c>
      <c r="O388" s="91">
        <v>7</v>
      </c>
      <c r="P388" s="91">
        <v>7</v>
      </c>
      <c r="Q388" s="91"/>
      <c r="R388" s="91"/>
      <c r="S388" s="91">
        <v>7</v>
      </c>
      <c r="T388" s="91">
        <v>7</v>
      </c>
      <c r="U388" s="91"/>
      <c r="V388" s="91">
        <v>7</v>
      </c>
      <c r="W388" s="91">
        <v>7</v>
      </c>
      <c r="X388" s="91">
        <v>7</v>
      </c>
      <c r="Y388" s="91"/>
      <c r="Z388" s="91">
        <v>7</v>
      </c>
      <c r="AA388" s="91"/>
      <c r="AB388" s="91">
        <v>7</v>
      </c>
      <c r="AC388" s="91">
        <v>7</v>
      </c>
      <c r="AD388" s="91">
        <v>7</v>
      </c>
      <c r="AE388" s="91"/>
      <c r="AF388" s="91"/>
      <c r="AG388" s="91"/>
      <c r="AH388" s="91">
        <v>7</v>
      </c>
      <c r="AI388" s="91"/>
      <c r="AJ388" s="91">
        <v>7</v>
      </c>
      <c r="AK388" s="91">
        <v>7</v>
      </c>
      <c r="AL388" s="91"/>
      <c r="AM388" s="91"/>
      <c r="AN388" s="91">
        <v>7</v>
      </c>
      <c r="AO388" s="91">
        <v>7</v>
      </c>
      <c r="AP388" s="91">
        <v>7</v>
      </c>
      <c r="AQ388" s="91">
        <v>7</v>
      </c>
      <c r="AR388" s="91"/>
      <c r="AS388" s="91">
        <v>7</v>
      </c>
      <c r="AT388" s="91">
        <v>7</v>
      </c>
      <c r="AU388" s="91"/>
      <c r="AV388" s="91"/>
      <c r="AW388" s="91">
        <v>7</v>
      </c>
      <c r="AX388" s="91"/>
      <c r="AY388" s="91"/>
      <c r="AZ388" s="91"/>
      <c r="BA388" s="91"/>
      <c r="BB388" s="91">
        <v>7</v>
      </c>
      <c r="BC388" s="91"/>
      <c r="BD388" s="91"/>
      <c r="BE388" s="91"/>
      <c r="BF388" s="91">
        <v>13</v>
      </c>
      <c r="BG388" s="91">
        <v>13</v>
      </c>
      <c r="BH388" s="91"/>
    </row>
    <row r="389" spans="1:60" x14ac:dyDescent="0.25">
      <c r="A389" s="91" t="s">
        <v>428</v>
      </c>
      <c r="B389" s="129">
        <f t="shared" si="22"/>
        <v>213</v>
      </c>
      <c r="C389" s="91">
        <f t="shared" si="23"/>
        <v>34</v>
      </c>
      <c r="D389" s="130">
        <f t="shared" si="24"/>
        <v>0.68</v>
      </c>
      <c r="E389" s="131">
        <v>46254</v>
      </c>
      <c r="F389" s="131">
        <v>46311</v>
      </c>
      <c r="G389" s="91">
        <f t="shared" si="25"/>
        <v>57</v>
      </c>
      <c r="H389" s="91"/>
      <c r="I389" s="91"/>
      <c r="J389" s="91">
        <v>6</v>
      </c>
      <c r="K389" s="91">
        <v>6</v>
      </c>
      <c r="L389" s="91">
        <v>6</v>
      </c>
      <c r="M389" s="91"/>
      <c r="N389" s="91">
        <v>6</v>
      </c>
      <c r="O389" s="91">
        <v>6</v>
      </c>
      <c r="P389" s="91">
        <v>6</v>
      </c>
      <c r="Q389" s="91">
        <v>6</v>
      </c>
      <c r="R389" s="91">
        <v>6</v>
      </c>
      <c r="S389" s="91">
        <v>7</v>
      </c>
      <c r="T389" s="91">
        <v>6</v>
      </c>
      <c r="U389" s="91"/>
      <c r="V389" s="91">
        <v>6</v>
      </c>
      <c r="W389" s="91">
        <v>6</v>
      </c>
      <c r="X389" s="91">
        <v>6</v>
      </c>
      <c r="Y389" s="91">
        <v>1</v>
      </c>
      <c r="Z389" s="91"/>
      <c r="AA389" s="91"/>
      <c r="AB389" s="91">
        <v>6</v>
      </c>
      <c r="AC389" s="91">
        <v>6</v>
      </c>
      <c r="AD389" s="91">
        <v>6</v>
      </c>
      <c r="AE389" s="91"/>
      <c r="AF389" s="91">
        <v>6</v>
      </c>
      <c r="AG389" s="91">
        <v>6</v>
      </c>
      <c r="AH389" s="91">
        <v>6</v>
      </c>
      <c r="AI389" s="91">
        <v>6</v>
      </c>
      <c r="AJ389" s="91">
        <v>6</v>
      </c>
      <c r="AK389" s="91"/>
      <c r="AL389" s="91">
        <v>6</v>
      </c>
      <c r="AM389" s="91">
        <v>6</v>
      </c>
      <c r="AN389" s="91">
        <v>6</v>
      </c>
      <c r="AO389" s="91">
        <v>6</v>
      </c>
      <c r="AP389" s="91">
        <v>6</v>
      </c>
      <c r="AQ389" s="91"/>
      <c r="AR389" s="91"/>
      <c r="AS389" s="91">
        <v>6</v>
      </c>
      <c r="AT389" s="91">
        <v>6</v>
      </c>
      <c r="AU389" s="91"/>
      <c r="AV389" s="91"/>
      <c r="AW389" s="91">
        <v>6</v>
      </c>
      <c r="AX389" s="91"/>
      <c r="AY389" s="91"/>
      <c r="AZ389" s="91"/>
      <c r="BA389" s="91"/>
      <c r="BB389" s="91">
        <v>7</v>
      </c>
      <c r="BC389" s="91">
        <v>6</v>
      </c>
      <c r="BD389" s="91">
        <v>6</v>
      </c>
      <c r="BE389" s="91">
        <v>6</v>
      </c>
      <c r="BF389" s="91">
        <v>12</v>
      </c>
      <c r="BG389" s="91"/>
      <c r="BH389" s="91"/>
    </row>
    <row r="390" spans="1:60" x14ac:dyDescent="0.25">
      <c r="A390" s="91" t="s">
        <v>408</v>
      </c>
      <c r="B390" s="129">
        <f t="shared" si="22"/>
        <v>210</v>
      </c>
      <c r="C390" s="91">
        <f t="shared" si="23"/>
        <v>33</v>
      </c>
      <c r="D390" s="130">
        <f t="shared" si="24"/>
        <v>0.66</v>
      </c>
      <c r="E390" s="131">
        <v>46280</v>
      </c>
      <c r="F390" s="131">
        <v>46310</v>
      </c>
      <c r="G390" s="91">
        <f t="shared" si="25"/>
        <v>30</v>
      </c>
      <c r="H390" s="91"/>
      <c r="I390" s="91"/>
      <c r="J390" s="91">
        <v>6</v>
      </c>
      <c r="K390" s="91">
        <v>6</v>
      </c>
      <c r="L390" s="91">
        <v>6</v>
      </c>
      <c r="M390" s="91"/>
      <c r="N390" s="91">
        <v>6</v>
      </c>
      <c r="O390" s="91">
        <v>6</v>
      </c>
      <c r="P390" s="91">
        <v>6</v>
      </c>
      <c r="Q390" s="91">
        <v>6</v>
      </c>
      <c r="R390" s="91"/>
      <c r="S390" s="91">
        <v>6</v>
      </c>
      <c r="T390" s="91">
        <v>6</v>
      </c>
      <c r="U390" s="91"/>
      <c r="V390" s="91">
        <v>6</v>
      </c>
      <c r="W390" s="91">
        <v>6</v>
      </c>
      <c r="X390" s="91">
        <v>6</v>
      </c>
      <c r="Y390" s="91">
        <v>1</v>
      </c>
      <c r="Z390" s="91"/>
      <c r="AA390" s="91"/>
      <c r="AB390" s="91">
        <v>6</v>
      </c>
      <c r="AC390" s="91">
        <v>6</v>
      </c>
      <c r="AD390" s="91">
        <v>6</v>
      </c>
      <c r="AE390" s="91"/>
      <c r="AF390" s="91">
        <v>6</v>
      </c>
      <c r="AG390" s="91">
        <v>6</v>
      </c>
      <c r="AH390" s="91">
        <v>6</v>
      </c>
      <c r="AI390" s="91">
        <v>6</v>
      </c>
      <c r="AJ390" s="91">
        <v>6</v>
      </c>
      <c r="AK390" s="91"/>
      <c r="AL390" s="91">
        <v>6</v>
      </c>
      <c r="AM390" s="91">
        <v>6</v>
      </c>
      <c r="AN390" s="91">
        <v>6</v>
      </c>
      <c r="AO390" s="91">
        <v>6</v>
      </c>
      <c r="AP390" s="91">
        <v>6</v>
      </c>
      <c r="AQ390" s="91"/>
      <c r="AR390" s="91"/>
      <c r="AS390" s="91">
        <v>6</v>
      </c>
      <c r="AT390" s="91">
        <v>6</v>
      </c>
      <c r="AU390" s="91"/>
      <c r="AV390" s="91"/>
      <c r="AW390" s="91">
        <v>6</v>
      </c>
      <c r="AX390" s="91"/>
      <c r="AY390" s="91"/>
      <c r="AZ390" s="91"/>
      <c r="BA390" s="91"/>
      <c r="BB390" s="91">
        <v>6</v>
      </c>
      <c r="BC390" s="91">
        <v>6</v>
      </c>
      <c r="BD390" s="91">
        <v>12</v>
      </c>
      <c r="BE390" s="91">
        <v>6</v>
      </c>
      <c r="BF390" s="91"/>
      <c r="BG390" s="91">
        <v>11</v>
      </c>
      <c r="BH390" s="91"/>
    </row>
    <row r="391" spans="1:60" x14ac:dyDescent="0.25">
      <c r="A391" s="91" t="s">
        <v>339</v>
      </c>
      <c r="B391" s="129">
        <f t="shared" si="22"/>
        <v>210</v>
      </c>
      <c r="C391" s="91">
        <f t="shared" si="23"/>
        <v>33</v>
      </c>
      <c r="D391" s="130">
        <f t="shared" si="24"/>
        <v>0.66</v>
      </c>
      <c r="E391" s="131">
        <v>46296</v>
      </c>
      <c r="F391" s="131">
        <v>46308</v>
      </c>
      <c r="G391" s="91">
        <f t="shared" si="25"/>
        <v>12</v>
      </c>
      <c r="H391" s="91"/>
      <c r="I391" s="91"/>
      <c r="J391" s="91">
        <v>6</v>
      </c>
      <c r="K391" s="91">
        <v>6</v>
      </c>
      <c r="L391" s="91">
        <v>6</v>
      </c>
      <c r="M391" s="91"/>
      <c r="N391" s="91">
        <v>6</v>
      </c>
      <c r="O391" s="91">
        <v>6</v>
      </c>
      <c r="P391" s="91">
        <v>6</v>
      </c>
      <c r="Q391" s="91">
        <v>6</v>
      </c>
      <c r="R391" s="91"/>
      <c r="S391" s="91">
        <v>6</v>
      </c>
      <c r="T391" s="91">
        <v>6</v>
      </c>
      <c r="U391" s="91"/>
      <c r="V391" s="91">
        <v>6</v>
      </c>
      <c r="W391" s="91">
        <v>6</v>
      </c>
      <c r="X391" s="91">
        <v>6</v>
      </c>
      <c r="Y391" s="91"/>
      <c r="Z391" s="91"/>
      <c r="AA391" s="91"/>
      <c r="AB391" s="91">
        <v>6</v>
      </c>
      <c r="AC391" s="91">
        <v>6</v>
      </c>
      <c r="AD391" s="91">
        <v>6</v>
      </c>
      <c r="AE391" s="91"/>
      <c r="AF391" s="91">
        <v>6</v>
      </c>
      <c r="AG391" s="91">
        <v>6</v>
      </c>
      <c r="AH391" s="91">
        <v>6</v>
      </c>
      <c r="AI391" s="91">
        <v>6</v>
      </c>
      <c r="AJ391" s="91">
        <v>6</v>
      </c>
      <c r="AK391" s="91"/>
      <c r="AL391" s="91">
        <v>6</v>
      </c>
      <c r="AM391" s="91">
        <v>6</v>
      </c>
      <c r="AN391" s="91">
        <v>6</v>
      </c>
      <c r="AO391" s="91">
        <v>6</v>
      </c>
      <c r="AP391" s="91">
        <v>6</v>
      </c>
      <c r="AQ391" s="91"/>
      <c r="AR391" s="91"/>
      <c r="AS391" s="91">
        <v>6</v>
      </c>
      <c r="AT391" s="91">
        <v>6</v>
      </c>
      <c r="AU391" s="91"/>
      <c r="AV391" s="91">
        <v>6</v>
      </c>
      <c r="AW391" s="91">
        <v>6</v>
      </c>
      <c r="AX391" s="91"/>
      <c r="AY391" s="91"/>
      <c r="AZ391" s="91"/>
      <c r="BA391" s="91"/>
      <c r="BB391" s="91">
        <v>6</v>
      </c>
      <c r="BC391" s="91">
        <v>6</v>
      </c>
      <c r="BD391" s="91">
        <v>6</v>
      </c>
      <c r="BE391" s="91">
        <v>6</v>
      </c>
      <c r="BF391" s="91"/>
      <c r="BG391" s="91">
        <v>12</v>
      </c>
      <c r="BH391" s="91"/>
    </row>
    <row r="392" spans="1:60" x14ac:dyDescent="0.25">
      <c r="A392" s="91" t="s">
        <v>577</v>
      </c>
      <c r="B392" s="129">
        <f t="shared" ref="B392:B455" si="26">SUM(H392:BH392)</f>
        <v>208</v>
      </c>
      <c r="C392" s="91">
        <f t="shared" ref="C392:C455" si="27">COUNTIF(H392:BE392,"&gt;0")</f>
        <v>33</v>
      </c>
      <c r="D392" s="130">
        <f t="shared" ref="D392:D455" si="28">IFERROR(C392/TIENDAS,0)</f>
        <v>0.66</v>
      </c>
      <c r="E392" s="131">
        <v>46254</v>
      </c>
      <c r="F392" s="131">
        <v>46255</v>
      </c>
      <c r="G392" s="91">
        <f t="shared" ref="G392:G435" si="29">F392-E392</f>
        <v>1</v>
      </c>
      <c r="H392" s="91"/>
      <c r="I392" s="91"/>
      <c r="J392" s="91">
        <v>6</v>
      </c>
      <c r="K392" s="91">
        <v>6</v>
      </c>
      <c r="L392" s="91">
        <v>6</v>
      </c>
      <c r="M392" s="91"/>
      <c r="N392" s="91">
        <v>6</v>
      </c>
      <c r="O392" s="91">
        <v>6</v>
      </c>
      <c r="P392" s="91">
        <v>6</v>
      </c>
      <c r="Q392" s="91">
        <v>6</v>
      </c>
      <c r="R392" s="91">
        <v>6</v>
      </c>
      <c r="S392" s="91">
        <v>6</v>
      </c>
      <c r="T392" s="91">
        <v>6</v>
      </c>
      <c r="U392" s="91"/>
      <c r="V392" s="91">
        <v>6</v>
      </c>
      <c r="W392" s="91">
        <v>6</v>
      </c>
      <c r="X392" s="91">
        <v>6</v>
      </c>
      <c r="Y392" s="91"/>
      <c r="Z392" s="91"/>
      <c r="AA392" s="91"/>
      <c r="AB392" s="91">
        <v>6</v>
      </c>
      <c r="AC392" s="91">
        <v>6</v>
      </c>
      <c r="AD392" s="91">
        <v>6</v>
      </c>
      <c r="AE392" s="91"/>
      <c r="AF392" s="91">
        <v>6</v>
      </c>
      <c r="AG392" s="91">
        <v>6</v>
      </c>
      <c r="AH392" s="91">
        <v>6</v>
      </c>
      <c r="AI392" s="91">
        <v>6</v>
      </c>
      <c r="AJ392" s="91">
        <v>6</v>
      </c>
      <c r="AK392" s="91"/>
      <c r="AL392" s="91">
        <v>6</v>
      </c>
      <c r="AM392" s="91">
        <v>6</v>
      </c>
      <c r="AN392" s="91">
        <v>6</v>
      </c>
      <c r="AO392" s="91">
        <v>6</v>
      </c>
      <c r="AP392" s="91">
        <v>6</v>
      </c>
      <c r="AQ392" s="91"/>
      <c r="AR392" s="91"/>
      <c r="AS392" s="91">
        <v>6</v>
      </c>
      <c r="AT392" s="91">
        <v>6</v>
      </c>
      <c r="AU392" s="91"/>
      <c r="AV392" s="91"/>
      <c r="AW392" s="91">
        <v>6</v>
      </c>
      <c r="AX392" s="91"/>
      <c r="AY392" s="91"/>
      <c r="AZ392" s="91"/>
      <c r="BA392" s="91"/>
      <c r="BB392" s="91">
        <v>6</v>
      </c>
      <c r="BC392" s="91">
        <v>6</v>
      </c>
      <c r="BD392" s="91">
        <v>6</v>
      </c>
      <c r="BE392" s="91">
        <v>6</v>
      </c>
      <c r="BF392" s="91"/>
      <c r="BG392" s="91">
        <v>10</v>
      </c>
      <c r="BH392" s="91"/>
    </row>
    <row r="393" spans="1:60" x14ac:dyDescent="0.25">
      <c r="A393" s="91" t="s">
        <v>374</v>
      </c>
      <c r="B393" s="129">
        <f t="shared" si="26"/>
        <v>201</v>
      </c>
      <c r="C393" s="91">
        <f t="shared" si="27"/>
        <v>25</v>
      </c>
      <c r="D393" s="130">
        <f t="shared" si="28"/>
        <v>0.5</v>
      </c>
      <c r="E393" s="131">
        <v>46286</v>
      </c>
      <c r="F393" s="131">
        <v>46297</v>
      </c>
      <c r="G393" s="91">
        <f t="shared" si="29"/>
        <v>11</v>
      </c>
      <c r="H393" s="91">
        <v>7</v>
      </c>
      <c r="I393" s="91"/>
      <c r="J393" s="91">
        <v>7</v>
      </c>
      <c r="K393" s="91"/>
      <c r="L393" s="91">
        <v>7</v>
      </c>
      <c r="M393" s="91"/>
      <c r="N393" s="91">
        <v>7</v>
      </c>
      <c r="O393" s="91"/>
      <c r="P393" s="91"/>
      <c r="Q393" s="91"/>
      <c r="R393" s="91"/>
      <c r="S393" s="91">
        <v>7</v>
      </c>
      <c r="T393" s="91"/>
      <c r="U393" s="91"/>
      <c r="V393" s="91">
        <v>7</v>
      </c>
      <c r="W393" s="91">
        <v>7</v>
      </c>
      <c r="X393" s="91">
        <v>7</v>
      </c>
      <c r="Y393" s="91"/>
      <c r="Z393" s="91">
        <v>7</v>
      </c>
      <c r="AA393" s="91"/>
      <c r="AB393" s="91">
        <v>7</v>
      </c>
      <c r="AC393" s="91">
        <v>7</v>
      </c>
      <c r="AD393" s="91">
        <v>7</v>
      </c>
      <c r="AE393" s="91">
        <v>7</v>
      </c>
      <c r="AF393" s="91">
        <v>7</v>
      </c>
      <c r="AG393" s="91"/>
      <c r="AH393" s="91">
        <v>7</v>
      </c>
      <c r="AI393" s="91">
        <v>7</v>
      </c>
      <c r="AJ393" s="91">
        <v>7</v>
      </c>
      <c r="AK393" s="91"/>
      <c r="AL393" s="91"/>
      <c r="AM393" s="91"/>
      <c r="AN393" s="91"/>
      <c r="AO393" s="91">
        <v>7</v>
      </c>
      <c r="AP393" s="91"/>
      <c r="AQ393" s="91"/>
      <c r="AR393" s="91"/>
      <c r="AS393" s="91">
        <v>7</v>
      </c>
      <c r="AT393" s="91">
        <v>7</v>
      </c>
      <c r="AU393" s="91"/>
      <c r="AV393" s="91"/>
      <c r="AW393" s="91">
        <v>7</v>
      </c>
      <c r="AX393" s="91">
        <v>7</v>
      </c>
      <c r="AY393" s="91"/>
      <c r="AZ393" s="91">
        <v>7</v>
      </c>
      <c r="BA393" s="91">
        <v>7</v>
      </c>
      <c r="BB393" s="91">
        <v>7</v>
      </c>
      <c r="BC393" s="91"/>
      <c r="BD393" s="91"/>
      <c r="BE393" s="91"/>
      <c r="BF393" s="91">
        <v>14</v>
      </c>
      <c r="BG393" s="91">
        <v>12</v>
      </c>
      <c r="BH393" s="91"/>
    </row>
    <row r="394" spans="1:60" x14ac:dyDescent="0.25">
      <c r="A394" s="91" t="s">
        <v>487</v>
      </c>
      <c r="B394" s="129">
        <f t="shared" si="26"/>
        <v>199</v>
      </c>
      <c r="C394" s="91">
        <f t="shared" si="27"/>
        <v>34</v>
      </c>
      <c r="D394" s="130">
        <f t="shared" si="28"/>
        <v>0.68</v>
      </c>
      <c r="E394" s="131">
        <v>46254</v>
      </c>
      <c r="F394" s="131">
        <v>46311</v>
      </c>
      <c r="G394" s="91">
        <f t="shared" si="29"/>
        <v>57</v>
      </c>
      <c r="H394" s="91"/>
      <c r="I394" s="91"/>
      <c r="J394" s="91">
        <v>6</v>
      </c>
      <c r="K394" s="91">
        <v>6</v>
      </c>
      <c r="L394" s="91">
        <v>6</v>
      </c>
      <c r="M394" s="91"/>
      <c r="N394" s="91">
        <v>6</v>
      </c>
      <c r="O394" s="91">
        <v>6</v>
      </c>
      <c r="P394" s="91">
        <v>6</v>
      </c>
      <c r="Q394" s="91">
        <v>6</v>
      </c>
      <c r="R394" s="91">
        <v>6</v>
      </c>
      <c r="S394" s="91">
        <v>6</v>
      </c>
      <c r="T394" s="91">
        <v>6</v>
      </c>
      <c r="U394" s="91"/>
      <c r="V394" s="91">
        <v>6</v>
      </c>
      <c r="W394" s="91">
        <v>6</v>
      </c>
      <c r="X394" s="91">
        <v>6</v>
      </c>
      <c r="Y394" s="91">
        <v>1</v>
      </c>
      <c r="Z394" s="91"/>
      <c r="AA394" s="91"/>
      <c r="AB394" s="91">
        <v>6</v>
      </c>
      <c r="AC394" s="91">
        <v>6</v>
      </c>
      <c r="AD394" s="91">
        <v>6</v>
      </c>
      <c r="AE394" s="91"/>
      <c r="AF394" s="91">
        <v>6</v>
      </c>
      <c r="AG394" s="91">
        <v>6</v>
      </c>
      <c r="AH394" s="91">
        <v>6</v>
      </c>
      <c r="AI394" s="91">
        <v>6</v>
      </c>
      <c r="AJ394" s="91">
        <v>6</v>
      </c>
      <c r="AK394" s="91"/>
      <c r="AL394" s="91">
        <v>6</v>
      </c>
      <c r="AM394" s="91">
        <v>6</v>
      </c>
      <c r="AN394" s="91">
        <v>6</v>
      </c>
      <c r="AO394" s="91">
        <v>6</v>
      </c>
      <c r="AP394" s="91">
        <v>6</v>
      </c>
      <c r="AQ394" s="91"/>
      <c r="AR394" s="91"/>
      <c r="AS394" s="91">
        <v>6</v>
      </c>
      <c r="AT394" s="91">
        <v>6</v>
      </c>
      <c r="AU394" s="91"/>
      <c r="AV394" s="91"/>
      <c r="AW394" s="91">
        <v>6</v>
      </c>
      <c r="AX394" s="91"/>
      <c r="AY394" s="91"/>
      <c r="AZ394" s="91"/>
      <c r="BA394" s="91"/>
      <c r="BB394" s="91">
        <v>6</v>
      </c>
      <c r="BC394" s="91">
        <v>6</v>
      </c>
      <c r="BD394" s="91">
        <v>6</v>
      </c>
      <c r="BE394" s="91">
        <v>6</v>
      </c>
      <c r="BF394" s="91"/>
      <c r="BG394" s="91"/>
      <c r="BH394" s="91"/>
    </row>
    <row r="395" spans="1:60" x14ac:dyDescent="0.25">
      <c r="A395" s="91" t="s">
        <v>568</v>
      </c>
      <c r="B395" s="129">
        <f t="shared" si="26"/>
        <v>198</v>
      </c>
      <c r="C395" s="91">
        <f t="shared" si="27"/>
        <v>48</v>
      </c>
      <c r="D395" s="130">
        <f t="shared" si="28"/>
        <v>0.96</v>
      </c>
      <c r="E395" s="131">
        <v>46219</v>
      </c>
      <c r="F395" s="131">
        <v>46302</v>
      </c>
      <c r="G395" s="91">
        <f t="shared" si="29"/>
        <v>83</v>
      </c>
      <c r="H395" s="91">
        <v>4</v>
      </c>
      <c r="I395" s="91">
        <v>4</v>
      </c>
      <c r="J395" s="91">
        <v>4</v>
      </c>
      <c r="K395" s="91">
        <v>4</v>
      </c>
      <c r="L395" s="91">
        <v>4</v>
      </c>
      <c r="M395" s="91">
        <v>2</v>
      </c>
      <c r="N395" s="91">
        <v>4</v>
      </c>
      <c r="O395" s="91">
        <v>4</v>
      </c>
      <c r="P395" s="91">
        <v>4</v>
      </c>
      <c r="Q395" s="91">
        <v>4</v>
      </c>
      <c r="R395" s="91">
        <v>4</v>
      </c>
      <c r="S395" s="91">
        <v>4</v>
      </c>
      <c r="T395" s="91">
        <v>4</v>
      </c>
      <c r="U395" s="91">
        <v>4</v>
      </c>
      <c r="V395" s="91">
        <v>4</v>
      </c>
      <c r="W395" s="91">
        <v>4</v>
      </c>
      <c r="X395" s="91">
        <v>4</v>
      </c>
      <c r="Y395" s="91"/>
      <c r="Z395" s="91">
        <v>4</v>
      </c>
      <c r="AA395" s="91">
        <v>4</v>
      </c>
      <c r="AB395" s="91">
        <v>4</v>
      </c>
      <c r="AC395" s="91">
        <v>4</v>
      </c>
      <c r="AD395" s="91">
        <v>4</v>
      </c>
      <c r="AE395" s="91">
        <v>4</v>
      </c>
      <c r="AF395" s="91">
        <v>4</v>
      </c>
      <c r="AG395" s="91">
        <v>4</v>
      </c>
      <c r="AH395" s="91">
        <v>4</v>
      </c>
      <c r="AI395" s="91">
        <v>4</v>
      </c>
      <c r="AJ395" s="91">
        <v>4</v>
      </c>
      <c r="AK395" s="91">
        <v>4</v>
      </c>
      <c r="AL395" s="91">
        <v>4</v>
      </c>
      <c r="AM395" s="91">
        <v>4</v>
      </c>
      <c r="AN395" s="91">
        <v>4</v>
      </c>
      <c r="AO395" s="91">
        <v>4</v>
      </c>
      <c r="AP395" s="91">
        <v>4</v>
      </c>
      <c r="AQ395" s="91">
        <v>4</v>
      </c>
      <c r="AR395" s="91">
        <v>4</v>
      </c>
      <c r="AS395" s="91">
        <v>4</v>
      </c>
      <c r="AT395" s="91">
        <v>4</v>
      </c>
      <c r="AU395" s="91">
        <v>4</v>
      </c>
      <c r="AV395" s="91">
        <v>4</v>
      </c>
      <c r="AW395" s="91">
        <v>4</v>
      </c>
      <c r="AX395" s="91">
        <v>4</v>
      </c>
      <c r="AY395" s="91"/>
      <c r="AZ395" s="91">
        <v>4</v>
      </c>
      <c r="BA395" s="91">
        <v>4</v>
      </c>
      <c r="BB395" s="91">
        <v>4</v>
      </c>
      <c r="BC395" s="91">
        <v>4</v>
      </c>
      <c r="BD395" s="91">
        <v>4</v>
      </c>
      <c r="BE395" s="91">
        <v>4</v>
      </c>
      <c r="BF395" s="91">
        <v>8</v>
      </c>
      <c r="BG395" s="91"/>
      <c r="BH395" s="91"/>
    </row>
    <row r="396" spans="1:60" x14ac:dyDescent="0.25">
      <c r="A396" s="91" t="s">
        <v>491</v>
      </c>
      <c r="B396" s="129">
        <f t="shared" si="26"/>
        <v>198</v>
      </c>
      <c r="C396" s="91">
        <f t="shared" si="27"/>
        <v>33</v>
      </c>
      <c r="D396" s="130">
        <f t="shared" si="28"/>
        <v>0.66</v>
      </c>
      <c r="E396" s="131">
        <v>46254</v>
      </c>
      <c r="F396" s="131">
        <v>46255</v>
      </c>
      <c r="G396" s="91">
        <f t="shared" si="29"/>
        <v>1</v>
      </c>
      <c r="H396" s="91"/>
      <c r="I396" s="91"/>
      <c r="J396" s="91">
        <v>6</v>
      </c>
      <c r="K396" s="91">
        <v>6</v>
      </c>
      <c r="L396" s="91">
        <v>6</v>
      </c>
      <c r="M396" s="91"/>
      <c r="N396" s="91">
        <v>6</v>
      </c>
      <c r="O396" s="91">
        <v>6</v>
      </c>
      <c r="P396" s="91">
        <v>6</v>
      </c>
      <c r="Q396" s="91">
        <v>6</v>
      </c>
      <c r="R396" s="91">
        <v>6</v>
      </c>
      <c r="S396" s="91">
        <v>6</v>
      </c>
      <c r="T396" s="91">
        <v>6</v>
      </c>
      <c r="U396" s="91"/>
      <c r="V396" s="91">
        <v>6</v>
      </c>
      <c r="W396" s="91">
        <v>6</v>
      </c>
      <c r="X396" s="91">
        <v>6</v>
      </c>
      <c r="Y396" s="91"/>
      <c r="Z396" s="91"/>
      <c r="AA396" s="91"/>
      <c r="AB396" s="91">
        <v>6</v>
      </c>
      <c r="AC396" s="91">
        <v>6</v>
      </c>
      <c r="AD396" s="91">
        <v>6</v>
      </c>
      <c r="AE396" s="91"/>
      <c r="AF396" s="91">
        <v>6</v>
      </c>
      <c r="AG396" s="91">
        <v>6</v>
      </c>
      <c r="AH396" s="91">
        <v>6</v>
      </c>
      <c r="AI396" s="91">
        <v>6</v>
      </c>
      <c r="AJ396" s="91">
        <v>6</v>
      </c>
      <c r="AK396" s="91"/>
      <c r="AL396" s="91">
        <v>6</v>
      </c>
      <c r="AM396" s="91">
        <v>6</v>
      </c>
      <c r="AN396" s="91">
        <v>6</v>
      </c>
      <c r="AO396" s="91">
        <v>6</v>
      </c>
      <c r="AP396" s="91">
        <v>6</v>
      </c>
      <c r="AQ396" s="91"/>
      <c r="AR396" s="91"/>
      <c r="AS396" s="91">
        <v>6</v>
      </c>
      <c r="AT396" s="91">
        <v>6</v>
      </c>
      <c r="AU396" s="91"/>
      <c r="AV396" s="91"/>
      <c r="AW396" s="91">
        <v>6</v>
      </c>
      <c r="AX396" s="91"/>
      <c r="AY396" s="91"/>
      <c r="AZ396" s="91"/>
      <c r="BA396" s="91"/>
      <c r="BB396" s="91">
        <v>6</v>
      </c>
      <c r="BC396" s="91">
        <v>6</v>
      </c>
      <c r="BD396" s="91">
        <v>6</v>
      </c>
      <c r="BE396" s="91">
        <v>6</v>
      </c>
      <c r="BF396" s="91"/>
      <c r="BG396" s="91"/>
      <c r="BH396" s="91"/>
    </row>
    <row r="397" spans="1:60" x14ac:dyDescent="0.25">
      <c r="A397" s="91" t="s">
        <v>506</v>
      </c>
      <c r="B397" s="129">
        <f t="shared" si="26"/>
        <v>196</v>
      </c>
      <c r="C397" s="91">
        <f t="shared" si="27"/>
        <v>24</v>
      </c>
      <c r="D397" s="130">
        <f t="shared" si="28"/>
        <v>0.48</v>
      </c>
      <c r="E397" s="131">
        <v>46323</v>
      </c>
      <c r="F397" s="131">
        <v>46323</v>
      </c>
      <c r="G397" s="91">
        <f t="shared" si="29"/>
        <v>0</v>
      </c>
      <c r="H397" s="91"/>
      <c r="I397" s="91"/>
      <c r="J397" s="91">
        <v>8</v>
      </c>
      <c r="K397" s="91"/>
      <c r="L397" s="91">
        <v>8</v>
      </c>
      <c r="M397" s="91"/>
      <c r="N397" s="91">
        <v>8</v>
      </c>
      <c r="O397" s="91">
        <v>6</v>
      </c>
      <c r="P397" s="91"/>
      <c r="Q397" s="91"/>
      <c r="R397" s="91">
        <v>6</v>
      </c>
      <c r="S397" s="91">
        <v>8</v>
      </c>
      <c r="T397" s="91">
        <v>8</v>
      </c>
      <c r="U397" s="91"/>
      <c r="V397" s="91">
        <v>6</v>
      </c>
      <c r="W397" s="91">
        <v>8</v>
      </c>
      <c r="X397" s="91">
        <v>8</v>
      </c>
      <c r="Y397" s="91"/>
      <c r="Z397" s="91"/>
      <c r="AA397" s="91"/>
      <c r="AB397" s="91">
        <v>8</v>
      </c>
      <c r="AC397" s="91">
        <v>8</v>
      </c>
      <c r="AD397" s="91">
        <v>8</v>
      </c>
      <c r="AE397" s="91"/>
      <c r="AF397" s="91">
        <v>8</v>
      </c>
      <c r="AG397" s="91"/>
      <c r="AH397" s="91"/>
      <c r="AI397" s="91">
        <v>8</v>
      </c>
      <c r="AJ397" s="91">
        <v>8</v>
      </c>
      <c r="AK397" s="91"/>
      <c r="AL397" s="91"/>
      <c r="AM397" s="91">
        <v>6</v>
      </c>
      <c r="AN397" s="91"/>
      <c r="AO397" s="91">
        <v>8</v>
      </c>
      <c r="AP397" s="91">
        <v>8</v>
      </c>
      <c r="AQ397" s="91"/>
      <c r="AR397" s="91"/>
      <c r="AS397" s="91">
        <v>8</v>
      </c>
      <c r="AT397" s="91">
        <v>8</v>
      </c>
      <c r="AU397" s="91"/>
      <c r="AV397" s="91">
        <v>6</v>
      </c>
      <c r="AW397" s="91"/>
      <c r="AX397" s="91"/>
      <c r="AY397" s="91"/>
      <c r="AZ397" s="91"/>
      <c r="BA397" s="91"/>
      <c r="BB397" s="91"/>
      <c r="BC397" s="91">
        <v>8</v>
      </c>
      <c r="BD397" s="91">
        <v>8</v>
      </c>
      <c r="BE397" s="91"/>
      <c r="BF397" s="91">
        <v>14</v>
      </c>
      <c r="BG397" s="91"/>
      <c r="BH397" s="91"/>
    </row>
    <row r="398" spans="1:60" x14ac:dyDescent="0.25">
      <c r="A398" s="91" t="s">
        <v>505</v>
      </c>
      <c r="B398" s="129">
        <f t="shared" si="26"/>
        <v>192</v>
      </c>
      <c r="C398" s="91">
        <f t="shared" si="27"/>
        <v>32</v>
      </c>
      <c r="D398" s="130">
        <f t="shared" si="28"/>
        <v>0.64</v>
      </c>
      <c r="E398" s="131">
        <v>46287</v>
      </c>
      <c r="F398" s="131">
        <v>46308</v>
      </c>
      <c r="G398" s="91">
        <f t="shared" si="29"/>
        <v>21</v>
      </c>
      <c r="H398" s="91"/>
      <c r="I398" s="91"/>
      <c r="J398" s="91">
        <v>6</v>
      </c>
      <c r="K398" s="91">
        <v>6</v>
      </c>
      <c r="L398" s="91">
        <v>6</v>
      </c>
      <c r="M398" s="91"/>
      <c r="N398" s="91">
        <v>6</v>
      </c>
      <c r="O398" s="91">
        <v>6</v>
      </c>
      <c r="P398" s="91">
        <v>6</v>
      </c>
      <c r="Q398" s="91">
        <v>6</v>
      </c>
      <c r="R398" s="91"/>
      <c r="S398" s="91">
        <v>6</v>
      </c>
      <c r="T398" s="91">
        <v>6</v>
      </c>
      <c r="U398" s="91"/>
      <c r="V398" s="91">
        <v>6</v>
      </c>
      <c r="W398" s="91">
        <v>6</v>
      </c>
      <c r="X398" s="91">
        <v>6</v>
      </c>
      <c r="Y398" s="91"/>
      <c r="Z398" s="91"/>
      <c r="AA398" s="91"/>
      <c r="AB398" s="91">
        <v>6</v>
      </c>
      <c r="AC398" s="91">
        <v>6</v>
      </c>
      <c r="AD398" s="91">
        <v>6</v>
      </c>
      <c r="AE398" s="91"/>
      <c r="AF398" s="91">
        <v>6</v>
      </c>
      <c r="AG398" s="91">
        <v>6</v>
      </c>
      <c r="AH398" s="91">
        <v>6</v>
      </c>
      <c r="AI398" s="91">
        <v>6</v>
      </c>
      <c r="AJ398" s="91">
        <v>6</v>
      </c>
      <c r="AK398" s="91"/>
      <c r="AL398" s="91">
        <v>6</v>
      </c>
      <c r="AM398" s="91">
        <v>6</v>
      </c>
      <c r="AN398" s="91">
        <v>6</v>
      </c>
      <c r="AO398" s="91">
        <v>6</v>
      </c>
      <c r="AP398" s="91">
        <v>6</v>
      </c>
      <c r="AQ398" s="91"/>
      <c r="AR398" s="91"/>
      <c r="AS398" s="91">
        <v>6</v>
      </c>
      <c r="AT398" s="91">
        <v>6</v>
      </c>
      <c r="AU398" s="91"/>
      <c r="AV398" s="91"/>
      <c r="AW398" s="91">
        <v>6</v>
      </c>
      <c r="AX398" s="91"/>
      <c r="AY398" s="91"/>
      <c r="AZ398" s="91"/>
      <c r="BA398" s="91"/>
      <c r="BB398" s="91">
        <v>6</v>
      </c>
      <c r="BC398" s="91">
        <v>6</v>
      </c>
      <c r="BD398" s="91">
        <v>6</v>
      </c>
      <c r="BE398" s="91">
        <v>6</v>
      </c>
      <c r="BF398" s="91"/>
      <c r="BG398" s="91"/>
      <c r="BH398" s="91"/>
    </row>
    <row r="399" spans="1:60" x14ac:dyDescent="0.25">
      <c r="A399" s="91" t="s">
        <v>530</v>
      </c>
      <c r="B399" s="129">
        <f t="shared" si="26"/>
        <v>188</v>
      </c>
      <c r="C399" s="91">
        <f t="shared" si="27"/>
        <v>47</v>
      </c>
      <c r="D399" s="130">
        <f t="shared" si="28"/>
        <v>0.94</v>
      </c>
      <c r="E399" s="131">
        <v>46317</v>
      </c>
      <c r="F399" s="131">
        <v>46323</v>
      </c>
      <c r="G399" s="91">
        <f t="shared" si="29"/>
        <v>6</v>
      </c>
      <c r="H399" s="91">
        <v>4</v>
      </c>
      <c r="I399" s="91">
        <v>4</v>
      </c>
      <c r="J399" s="91">
        <v>4</v>
      </c>
      <c r="K399" s="91">
        <v>4</v>
      </c>
      <c r="L399" s="91">
        <v>4</v>
      </c>
      <c r="M399" s="91"/>
      <c r="N399" s="91">
        <v>4</v>
      </c>
      <c r="O399" s="91">
        <v>4</v>
      </c>
      <c r="P399" s="91">
        <v>4</v>
      </c>
      <c r="Q399" s="91">
        <v>4</v>
      </c>
      <c r="R399" s="91">
        <v>4</v>
      </c>
      <c r="S399" s="91">
        <v>4</v>
      </c>
      <c r="T399" s="91">
        <v>4</v>
      </c>
      <c r="U399" s="91">
        <v>4</v>
      </c>
      <c r="V399" s="91">
        <v>4</v>
      </c>
      <c r="W399" s="91">
        <v>4</v>
      </c>
      <c r="X399" s="91">
        <v>4</v>
      </c>
      <c r="Y399" s="91">
        <v>4</v>
      </c>
      <c r="Z399" s="91">
        <v>4</v>
      </c>
      <c r="AA399" s="91">
        <v>4</v>
      </c>
      <c r="AB399" s="91">
        <v>4</v>
      </c>
      <c r="AC399" s="91">
        <v>4</v>
      </c>
      <c r="AD399" s="91">
        <v>4</v>
      </c>
      <c r="AE399" s="91">
        <v>4</v>
      </c>
      <c r="AF399" s="91">
        <v>4</v>
      </c>
      <c r="AG399" s="91">
        <v>4</v>
      </c>
      <c r="AH399" s="91">
        <v>4</v>
      </c>
      <c r="AI399" s="91">
        <v>4</v>
      </c>
      <c r="AJ399" s="91">
        <v>4</v>
      </c>
      <c r="AK399" s="91">
        <v>4</v>
      </c>
      <c r="AL399" s="91">
        <v>4</v>
      </c>
      <c r="AM399" s="91">
        <v>4</v>
      </c>
      <c r="AN399" s="91">
        <v>4</v>
      </c>
      <c r="AO399" s="91">
        <v>4</v>
      </c>
      <c r="AP399" s="91">
        <v>4</v>
      </c>
      <c r="AQ399" s="91">
        <v>4</v>
      </c>
      <c r="AR399" s="91">
        <v>4</v>
      </c>
      <c r="AS399" s="91">
        <v>4</v>
      </c>
      <c r="AT399" s="91">
        <v>4</v>
      </c>
      <c r="AU399" s="91">
        <v>4</v>
      </c>
      <c r="AV399" s="91">
        <v>4</v>
      </c>
      <c r="AW399" s="91">
        <v>4</v>
      </c>
      <c r="AX399" s="91">
        <v>4</v>
      </c>
      <c r="AY399" s="91"/>
      <c r="AZ399" s="91">
        <v>4</v>
      </c>
      <c r="BA399" s="91">
        <v>4</v>
      </c>
      <c r="BB399" s="91"/>
      <c r="BC399" s="91">
        <v>4</v>
      </c>
      <c r="BD399" s="91">
        <v>4</v>
      </c>
      <c r="BE399" s="91">
        <v>4</v>
      </c>
      <c r="BF399" s="91"/>
      <c r="BG399" s="91"/>
      <c r="BH399" s="91"/>
    </row>
    <row r="400" spans="1:60" x14ac:dyDescent="0.25">
      <c r="A400" s="91" t="s">
        <v>301</v>
      </c>
      <c r="B400" s="129">
        <f t="shared" si="26"/>
        <v>182</v>
      </c>
      <c r="C400" s="91">
        <f t="shared" si="27"/>
        <v>23</v>
      </c>
      <c r="D400" s="130">
        <f t="shared" si="28"/>
        <v>0.46</v>
      </c>
      <c r="E400" s="131">
        <v>46279</v>
      </c>
      <c r="F400" s="131">
        <v>46319</v>
      </c>
      <c r="G400" s="91">
        <f t="shared" si="29"/>
        <v>40</v>
      </c>
      <c r="H400" s="91"/>
      <c r="I400" s="91"/>
      <c r="J400" s="91">
        <v>7</v>
      </c>
      <c r="K400" s="91">
        <v>7</v>
      </c>
      <c r="L400" s="91">
        <v>7</v>
      </c>
      <c r="M400" s="91">
        <v>5</v>
      </c>
      <c r="N400" s="91">
        <v>7</v>
      </c>
      <c r="O400" s="91">
        <v>7</v>
      </c>
      <c r="P400" s="91"/>
      <c r="Q400" s="91">
        <v>7</v>
      </c>
      <c r="R400" s="91"/>
      <c r="S400" s="91">
        <v>7</v>
      </c>
      <c r="T400" s="91">
        <v>7</v>
      </c>
      <c r="U400" s="91">
        <v>7</v>
      </c>
      <c r="V400" s="91"/>
      <c r="W400" s="91"/>
      <c r="X400" s="91">
        <v>7</v>
      </c>
      <c r="Y400" s="91"/>
      <c r="Z400" s="91">
        <v>7</v>
      </c>
      <c r="AA400" s="91"/>
      <c r="AB400" s="91">
        <v>7</v>
      </c>
      <c r="AC400" s="91">
        <v>7</v>
      </c>
      <c r="AD400" s="91">
        <v>7</v>
      </c>
      <c r="AE400" s="91"/>
      <c r="AF400" s="91">
        <v>7</v>
      </c>
      <c r="AG400" s="91"/>
      <c r="AH400" s="91"/>
      <c r="AI400" s="91">
        <v>5</v>
      </c>
      <c r="AJ400" s="91"/>
      <c r="AK400" s="91">
        <v>7</v>
      </c>
      <c r="AL400" s="91"/>
      <c r="AM400" s="91">
        <v>7</v>
      </c>
      <c r="AN400" s="91"/>
      <c r="AO400" s="91">
        <v>7</v>
      </c>
      <c r="AP400" s="91"/>
      <c r="AQ400" s="91"/>
      <c r="AR400" s="91"/>
      <c r="AS400" s="91"/>
      <c r="AT400" s="91">
        <v>7</v>
      </c>
      <c r="AU400" s="91"/>
      <c r="AV400" s="91"/>
      <c r="AW400" s="91">
        <v>5</v>
      </c>
      <c r="AX400" s="91"/>
      <c r="AY400" s="91"/>
      <c r="AZ400" s="91"/>
      <c r="BA400" s="91"/>
      <c r="BB400" s="91">
        <v>7</v>
      </c>
      <c r="BC400" s="91"/>
      <c r="BD400" s="91"/>
      <c r="BE400" s="91"/>
      <c r="BF400" s="91">
        <v>13</v>
      </c>
      <c r="BG400" s="91">
        <v>14</v>
      </c>
      <c r="BH400" s="91"/>
    </row>
    <row r="401" spans="1:60" x14ac:dyDescent="0.25">
      <c r="A401" s="91" t="s">
        <v>367</v>
      </c>
      <c r="B401" s="129">
        <f t="shared" si="26"/>
        <v>178</v>
      </c>
      <c r="C401" s="91">
        <f t="shared" si="27"/>
        <v>16</v>
      </c>
      <c r="D401" s="130">
        <f t="shared" si="28"/>
        <v>0.32</v>
      </c>
      <c r="E401" s="131">
        <v>46282</v>
      </c>
      <c r="F401" s="131">
        <v>46283</v>
      </c>
      <c r="G401" s="91">
        <f t="shared" si="29"/>
        <v>1</v>
      </c>
      <c r="H401" s="91"/>
      <c r="I401" s="91"/>
      <c r="J401" s="91">
        <v>9</v>
      </c>
      <c r="K401" s="91">
        <v>9</v>
      </c>
      <c r="L401" s="91">
        <v>9</v>
      </c>
      <c r="M401" s="91"/>
      <c r="N401" s="91">
        <v>9</v>
      </c>
      <c r="O401" s="91">
        <v>9</v>
      </c>
      <c r="P401" s="91"/>
      <c r="Q401" s="91">
        <v>9</v>
      </c>
      <c r="R401" s="91"/>
      <c r="S401" s="91"/>
      <c r="T401" s="91"/>
      <c r="U401" s="91">
        <v>9</v>
      </c>
      <c r="V401" s="91">
        <v>9</v>
      </c>
      <c r="W401" s="91">
        <v>9</v>
      </c>
      <c r="X401" s="91">
        <v>9</v>
      </c>
      <c r="Y401" s="91"/>
      <c r="Z401" s="91">
        <v>9</v>
      </c>
      <c r="AA401" s="91"/>
      <c r="AB401" s="91">
        <v>9</v>
      </c>
      <c r="AC401" s="91">
        <v>9</v>
      </c>
      <c r="AD401" s="91"/>
      <c r="AE401" s="91">
        <v>9</v>
      </c>
      <c r="AF401" s="91"/>
      <c r="AG401" s="91"/>
      <c r="AH401" s="91"/>
      <c r="AI401" s="91">
        <v>9</v>
      </c>
      <c r="AJ401" s="91"/>
      <c r="AK401" s="91">
        <v>9</v>
      </c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>
        <v>17</v>
      </c>
      <c r="BG401" s="91">
        <v>17</v>
      </c>
      <c r="BH401" s="91"/>
    </row>
    <row r="402" spans="1:60" x14ac:dyDescent="0.25">
      <c r="A402" s="91" t="s">
        <v>151</v>
      </c>
      <c r="B402" s="129">
        <f t="shared" si="26"/>
        <v>161</v>
      </c>
      <c r="C402" s="91">
        <f t="shared" si="27"/>
        <v>18</v>
      </c>
      <c r="D402" s="130">
        <f t="shared" si="28"/>
        <v>0.36</v>
      </c>
      <c r="E402" s="131">
        <v>46315</v>
      </c>
      <c r="F402" s="131">
        <v>46319</v>
      </c>
      <c r="G402" s="91">
        <f t="shared" si="29"/>
        <v>4</v>
      </c>
      <c r="H402" s="91"/>
      <c r="I402" s="91"/>
      <c r="J402" s="91">
        <v>8</v>
      </c>
      <c r="K402" s="91">
        <v>8</v>
      </c>
      <c r="L402" s="91">
        <v>8</v>
      </c>
      <c r="M402" s="91"/>
      <c r="N402" s="91">
        <v>8</v>
      </c>
      <c r="O402" s="91">
        <v>6</v>
      </c>
      <c r="P402" s="91"/>
      <c r="Q402" s="91">
        <v>8</v>
      </c>
      <c r="R402" s="91"/>
      <c r="S402" s="91">
        <v>6</v>
      </c>
      <c r="T402" s="91"/>
      <c r="U402" s="91"/>
      <c r="V402" s="91">
        <v>8</v>
      </c>
      <c r="W402" s="91"/>
      <c r="X402" s="91">
        <v>8</v>
      </c>
      <c r="Y402" s="91"/>
      <c r="Z402" s="91"/>
      <c r="AA402" s="91"/>
      <c r="AB402" s="91">
        <v>8</v>
      </c>
      <c r="AC402" s="91">
        <v>8</v>
      </c>
      <c r="AD402" s="91"/>
      <c r="AE402" s="91"/>
      <c r="AF402" s="91"/>
      <c r="AG402" s="91"/>
      <c r="AH402" s="91"/>
      <c r="AI402" s="91">
        <v>6</v>
      </c>
      <c r="AJ402" s="91"/>
      <c r="AK402" s="91"/>
      <c r="AL402" s="91"/>
      <c r="AM402" s="91"/>
      <c r="AN402" s="91"/>
      <c r="AO402" s="91">
        <v>8</v>
      </c>
      <c r="AP402" s="91"/>
      <c r="AQ402" s="91"/>
      <c r="AR402" s="91"/>
      <c r="AS402" s="91"/>
      <c r="AT402" s="91">
        <v>6</v>
      </c>
      <c r="AU402" s="91"/>
      <c r="AV402" s="91"/>
      <c r="AW402" s="91">
        <v>6</v>
      </c>
      <c r="AX402" s="91"/>
      <c r="AY402" s="91"/>
      <c r="AZ402" s="91"/>
      <c r="BA402" s="91"/>
      <c r="BB402" s="91">
        <v>8</v>
      </c>
      <c r="BC402" s="91">
        <v>6</v>
      </c>
      <c r="BD402" s="91"/>
      <c r="BE402" s="91">
        <v>6</v>
      </c>
      <c r="BF402" s="91">
        <v>16</v>
      </c>
      <c r="BG402" s="91">
        <v>15</v>
      </c>
      <c r="BH402" s="91"/>
    </row>
    <row r="403" spans="1:60" x14ac:dyDescent="0.25">
      <c r="A403" s="91" t="s">
        <v>296</v>
      </c>
      <c r="B403" s="129">
        <f t="shared" si="26"/>
        <v>159</v>
      </c>
      <c r="C403" s="91">
        <f t="shared" si="27"/>
        <v>19</v>
      </c>
      <c r="D403" s="130">
        <f t="shared" si="28"/>
        <v>0.38</v>
      </c>
      <c r="E403" s="131">
        <v>46318</v>
      </c>
      <c r="F403" s="131">
        <v>46319</v>
      </c>
      <c r="G403" s="91">
        <f t="shared" si="29"/>
        <v>1</v>
      </c>
      <c r="H403" s="91"/>
      <c r="I403" s="91"/>
      <c r="J403" s="91">
        <v>7</v>
      </c>
      <c r="K403" s="91"/>
      <c r="L403" s="91">
        <v>7</v>
      </c>
      <c r="M403" s="91"/>
      <c r="N403" s="91">
        <v>7</v>
      </c>
      <c r="O403" s="91"/>
      <c r="P403" s="91">
        <v>7</v>
      </c>
      <c r="Q403" s="91"/>
      <c r="R403" s="91"/>
      <c r="S403" s="91">
        <v>7</v>
      </c>
      <c r="T403" s="91">
        <v>7</v>
      </c>
      <c r="U403" s="91"/>
      <c r="V403" s="91"/>
      <c r="W403" s="91">
        <v>7</v>
      </c>
      <c r="X403" s="91">
        <v>7</v>
      </c>
      <c r="Y403" s="91"/>
      <c r="Z403" s="91"/>
      <c r="AA403" s="91"/>
      <c r="AB403" s="91">
        <v>7</v>
      </c>
      <c r="AC403" s="91">
        <v>7</v>
      </c>
      <c r="AD403" s="91">
        <v>7</v>
      </c>
      <c r="AE403" s="91"/>
      <c r="AF403" s="91">
        <v>7</v>
      </c>
      <c r="AG403" s="91"/>
      <c r="AH403" s="91">
        <v>7</v>
      </c>
      <c r="AI403" s="91">
        <v>7</v>
      </c>
      <c r="AJ403" s="91"/>
      <c r="AK403" s="91"/>
      <c r="AL403" s="91"/>
      <c r="AM403" s="91"/>
      <c r="AN403" s="91"/>
      <c r="AO403" s="91">
        <v>7</v>
      </c>
      <c r="AP403" s="91"/>
      <c r="AQ403" s="91"/>
      <c r="AR403" s="91"/>
      <c r="AS403" s="91">
        <v>7</v>
      </c>
      <c r="AT403" s="91">
        <v>7</v>
      </c>
      <c r="AU403" s="91"/>
      <c r="AV403" s="91"/>
      <c r="AW403" s="91"/>
      <c r="AX403" s="91"/>
      <c r="AY403" s="91"/>
      <c r="AZ403" s="91"/>
      <c r="BA403" s="91"/>
      <c r="BB403" s="91">
        <v>7</v>
      </c>
      <c r="BC403" s="91">
        <v>7</v>
      </c>
      <c r="BD403" s="91"/>
      <c r="BE403" s="91"/>
      <c r="BF403" s="91">
        <v>13</v>
      </c>
      <c r="BG403" s="91">
        <v>13</v>
      </c>
      <c r="BH403" s="91"/>
    </row>
    <row r="404" spans="1:60" x14ac:dyDescent="0.25">
      <c r="A404" s="91" t="s">
        <v>254</v>
      </c>
      <c r="B404" s="129">
        <f t="shared" si="26"/>
        <v>142</v>
      </c>
      <c r="C404" s="91">
        <f t="shared" si="27"/>
        <v>32</v>
      </c>
      <c r="D404" s="130">
        <f t="shared" si="28"/>
        <v>0.64</v>
      </c>
      <c r="E404" s="131">
        <v>46287</v>
      </c>
      <c r="F404" s="131">
        <v>46308</v>
      </c>
      <c r="G404" s="91">
        <f t="shared" si="29"/>
        <v>21</v>
      </c>
      <c r="H404" s="91"/>
      <c r="I404" s="91"/>
      <c r="J404" s="91">
        <v>4</v>
      </c>
      <c r="K404" s="91">
        <v>4</v>
      </c>
      <c r="L404" s="91">
        <v>4</v>
      </c>
      <c r="M404" s="91"/>
      <c r="N404" s="91">
        <v>4</v>
      </c>
      <c r="O404" s="91">
        <v>4</v>
      </c>
      <c r="P404" s="91">
        <v>4</v>
      </c>
      <c r="Q404" s="91">
        <v>4</v>
      </c>
      <c r="R404" s="91"/>
      <c r="S404" s="91">
        <v>4</v>
      </c>
      <c r="T404" s="91">
        <v>4</v>
      </c>
      <c r="U404" s="91"/>
      <c r="V404" s="91">
        <v>4</v>
      </c>
      <c r="W404" s="91">
        <v>4</v>
      </c>
      <c r="X404" s="91">
        <v>4</v>
      </c>
      <c r="Y404" s="91"/>
      <c r="Z404" s="91"/>
      <c r="AA404" s="91"/>
      <c r="AB404" s="91">
        <v>4</v>
      </c>
      <c r="AC404" s="91">
        <v>4</v>
      </c>
      <c r="AD404" s="91">
        <v>4</v>
      </c>
      <c r="AE404" s="91"/>
      <c r="AF404" s="91">
        <v>4</v>
      </c>
      <c r="AG404" s="91">
        <v>4</v>
      </c>
      <c r="AH404" s="91">
        <v>4</v>
      </c>
      <c r="AI404" s="91">
        <v>4</v>
      </c>
      <c r="AJ404" s="91">
        <v>4</v>
      </c>
      <c r="AK404" s="91"/>
      <c r="AL404" s="91">
        <v>4</v>
      </c>
      <c r="AM404" s="91">
        <v>4</v>
      </c>
      <c r="AN404" s="91">
        <v>4</v>
      </c>
      <c r="AO404" s="91">
        <v>4</v>
      </c>
      <c r="AP404" s="91">
        <v>4</v>
      </c>
      <c r="AQ404" s="91"/>
      <c r="AR404" s="91"/>
      <c r="AS404" s="91">
        <v>4</v>
      </c>
      <c r="AT404" s="91">
        <v>4</v>
      </c>
      <c r="AU404" s="91"/>
      <c r="AV404" s="91"/>
      <c r="AW404" s="91">
        <v>4</v>
      </c>
      <c r="AX404" s="91"/>
      <c r="AY404" s="91"/>
      <c r="AZ404" s="91"/>
      <c r="BA404" s="91"/>
      <c r="BB404" s="91">
        <v>4</v>
      </c>
      <c r="BC404" s="91">
        <v>4</v>
      </c>
      <c r="BD404" s="91">
        <v>4</v>
      </c>
      <c r="BE404" s="91">
        <v>4</v>
      </c>
      <c r="BF404" s="91">
        <v>7</v>
      </c>
      <c r="BG404" s="91">
        <v>7</v>
      </c>
      <c r="BH404" s="91"/>
    </row>
    <row r="405" spans="1:60" x14ac:dyDescent="0.25">
      <c r="A405" s="91" t="s">
        <v>285</v>
      </c>
      <c r="B405" s="129">
        <f t="shared" si="26"/>
        <v>140</v>
      </c>
      <c r="C405" s="91">
        <f t="shared" si="27"/>
        <v>16</v>
      </c>
      <c r="D405" s="130">
        <f t="shared" si="28"/>
        <v>0.32</v>
      </c>
      <c r="E405" s="131">
        <v>46282</v>
      </c>
      <c r="F405" s="131">
        <v>46283</v>
      </c>
      <c r="G405" s="91">
        <f t="shared" si="29"/>
        <v>1</v>
      </c>
      <c r="H405" s="91"/>
      <c r="I405" s="91"/>
      <c r="J405" s="91">
        <v>8</v>
      </c>
      <c r="K405" s="91">
        <v>8</v>
      </c>
      <c r="L405" s="91">
        <v>8</v>
      </c>
      <c r="M405" s="91"/>
      <c r="N405" s="91">
        <v>8</v>
      </c>
      <c r="O405" s="91">
        <v>8</v>
      </c>
      <c r="P405" s="91"/>
      <c r="Q405" s="91">
        <v>8</v>
      </c>
      <c r="R405" s="91"/>
      <c r="S405" s="91"/>
      <c r="T405" s="91"/>
      <c r="U405" s="91">
        <v>8</v>
      </c>
      <c r="V405" s="91">
        <v>8</v>
      </c>
      <c r="W405" s="91">
        <v>8</v>
      </c>
      <c r="X405" s="91">
        <v>8</v>
      </c>
      <c r="Y405" s="91"/>
      <c r="Z405" s="91">
        <v>8</v>
      </c>
      <c r="AA405" s="91"/>
      <c r="AB405" s="91">
        <v>8</v>
      </c>
      <c r="AC405" s="91">
        <v>8</v>
      </c>
      <c r="AD405" s="91"/>
      <c r="AE405" s="91">
        <v>8</v>
      </c>
      <c r="AF405" s="91"/>
      <c r="AG405" s="91"/>
      <c r="AH405" s="91"/>
      <c r="AI405" s="91">
        <v>8</v>
      </c>
      <c r="AJ405" s="91"/>
      <c r="AK405" s="91">
        <v>8</v>
      </c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>
        <v>12</v>
      </c>
      <c r="BH405" s="91"/>
    </row>
    <row r="406" spans="1:60" x14ac:dyDescent="0.25">
      <c r="A406" s="91" t="s">
        <v>376</v>
      </c>
      <c r="B406" s="129">
        <f t="shared" si="26"/>
        <v>136</v>
      </c>
      <c r="C406" s="91">
        <f t="shared" si="27"/>
        <v>34</v>
      </c>
      <c r="D406" s="130">
        <f t="shared" si="28"/>
        <v>0.68</v>
      </c>
      <c r="E406" s="131">
        <v>46296</v>
      </c>
      <c r="F406" s="131">
        <v>46308</v>
      </c>
      <c r="G406" s="91">
        <f t="shared" si="29"/>
        <v>12</v>
      </c>
      <c r="H406" s="91"/>
      <c r="I406" s="91"/>
      <c r="J406" s="91">
        <v>4</v>
      </c>
      <c r="K406" s="91">
        <v>4</v>
      </c>
      <c r="L406" s="91">
        <v>4</v>
      </c>
      <c r="M406" s="91"/>
      <c r="N406" s="91">
        <v>4</v>
      </c>
      <c r="O406" s="91">
        <v>4</v>
      </c>
      <c r="P406" s="91">
        <v>4</v>
      </c>
      <c r="Q406" s="91">
        <v>4</v>
      </c>
      <c r="R406" s="91"/>
      <c r="S406" s="91">
        <v>4</v>
      </c>
      <c r="T406" s="91">
        <v>4</v>
      </c>
      <c r="U406" s="91"/>
      <c r="V406" s="91">
        <v>4</v>
      </c>
      <c r="W406" s="91">
        <v>4</v>
      </c>
      <c r="X406" s="91">
        <v>4</v>
      </c>
      <c r="Y406" s="91">
        <v>4</v>
      </c>
      <c r="Z406" s="91"/>
      <c r="AA406" s="91"/>
      <c r="AB406" s="91">
        <v>4</v>
      </c>
      <c r="AC406" s="91">
        <v>4</v>
      </c>
      <c r="AD406" s="91">
        <v>4</v>
      </c>
      <c r="AE406" s="91"/>
      <c r="AF406" s="91">
        <v>4</v>
      </c>
      <c r="AG406" s="91">
        <v>4</v>
      </c>
      <c r="AH406" s="91">
        <v>4</v>
      </c>
      <c r="AI406" s="91">
        <v>4</v>
      </c>
      <c r="AJ406" s="91">
        <v>4</v>
      </c>
      <c r="AK406" s="91"/>
      <c r="AL406" s="91">
        <v>4</v>
      </c>
      <c r="AM406" s="91">
        <v>4</v>
      </c>
      <c r="AN406" s="91">
        <v>4</v>
      </c>
      <c r="AO406" s="91">
        <v>4</v>
      </c>
      <c r="AP406" s="91">
        <v>4</v>
      </c>
      <c r="AQ406" s="91"/>
      <c r="AR406" s="91"/>
      <c r="AS406" s="91">
        <v>4</v>
      </c>
      <c r="AT406" s="91">
        <v>4</v>
      </c>
      <c r="AU406" s="91"/>
      <c r="AV406" s="91">
        <v>4</v>
      </c>
      <c r="AW406" s="91">
        <v>4</v>
      </c>
      <c r="AX406" s="91"/>
      <c r="AY406" s="91"/>
      <c r="AZ406" s="91"/>
      <c r="BA406" s="91"/>
      <c r="BB406" s="91">
        <v>4</v>
      </c>
      <c r="BC406" s="91">
        <v>4</v>
      </c>
      <c r="BD406" s="91">
        <v>4</v>
      </c>
      <c r="BE406" s="91">
        <v>4</v>
      </c>
      <c r="BF406" s="91"/>
      <c r="BG406" s="91"/>
      <c r="BH406" s="91"/>
    </row>
    <row r="407" spans="1:60" x14ac:dyDescent="0.25">
      <c r="A407" s="91" t="s">
        <v>928</v>
      </c>
      <c r="B407" s="129">
        <f t="shared" si="26"/>
        <v>129</v>
      </c>
      <c r="C407" s="91">
        <f t="shared" si="27"/>
        <v>37</v>
      </c>
      <c r="D407" s="130">
        <f t="shared" si="28"/>
        <v>0.74</v>
      </c>
      <c r="E407" s="131">
        <v>46321</v>
      </c>
      <c r="F407" s="131">
        <v>46322</v>
      </c>
      <c r="G407" s="91">
        <f t="shared" si="29"/>
        <v>1</v>
      </c>
      <c r="H407" s="91">
        <v>5</v>
      </c>
      <c r="I407" s="91">
        <v>3</v>
      </c>
      <c r="J407" s="91">
        <v>6</v>
      </c>
      <c r="K407" s="91">
        <v>5</v>
      </c>
      <c r="L407" s="91">
        <v>11</v>
      </c>
      <c r="M407" s="91"/>
      <c r="N407" s="91">
        <v>5</v>
      </c>
      <c r="O407" s="91"/>
      <c r="P407" s="91"/>
      <c r="Q407" s="91"/>
      <c r="R407" s="91">
        <v>3</v>
      </c>
      <c r="S407" s="91">
        <v>3</v>
      </c>
      <c r="T407" s="91"/>
      <c r="U407" s="91">
        <v>1</v>
      </c>
      <c r="V407" s="91"/>
      <c r="W407" s="91">
        <v>1</v>
      </c>
      <c r="X407" s="91">
        <v>4</v>
      </c>
      <c r="Y407" s="91">
        <v>2</v>
      </c>
      <c r="Z407" s="91">
        <v>9</v>
      </c>
      <c r="AA407" s="91">
        <v>1</v>
      </c>
      <c r="AB407" s="91">
        <v>1</v>
      </c>
      <c r="AC407" s="91">
        <v>2</v>
      </c>
      <c r="AD407" s="91">
        <v>3</v>
      </c>
      <c r="AE407" s="91">
        <v>3</v>
      </c>
      <c r="AF407" s="91">
        <v>3</v>
      </c>
      <c r="AG407" s="91"/>
      <c r="AH407" s="91"/>
      <c r="AI407" s="91">
        <v>4</v>
      </c>
      <c r="AJ407" s="91">
        <v>3</v>
      </c>
      <c r="AK407" s="91"/>
      <c r="AL407" s="91">
        <v>2</v>
      </c>
      <c r="AM407" s="91">
        <v>3</v>
      </c>
      <c r="AN407" s="91">
        <v>1</v>
      </c>
      <c r="AO407" s="91"/>
      <c r="AP407" s="91">
        <v>1</v>
      </c>
      <c r="AQ407" s="91">
        <v>6</v>
      </c>
      <c r="AR407" s="91">
        <v>1</v>
      </c>
      <c r="AS407" s="91">
        <v>4</v>
      </c>
      <c r="AT407" s="91">
        <v>4</v>
      </c>
      <c r="AU407" s="91"/>
      <c r="AV407" s="91"/>
      <c r="AW407" s="91">
        <v>3</v>
      </c>
      <c r="AX407" s="91">
        <v>3</v>
      </c>
      <c r="AY407" s="91">
        <v>6</v>
      </c>
      <c r="AZ407" s="91"/>
      <c r="BA407" s="91">
        <v>2</v>
      </c>
      <c r="BB407" s="91">
        <v>5</v>
      </c>
      <c r="BC407" s="91">
        <v>6</v>
      </c>
      <c r="BD407" s="91">
        <v>2</v>
      </c>
      <c r="BE407" s="91">
        <v>2</v>
      </c>
      <c r="BF407" s="91"/>
      <c r="BG407" s="91"/>
      <c r="BH407" s="91"/>
    </row>
    <row r="408" spans="1:60" x14ac:dyDescent="0.25">
      <c r="A408" s="91" t="s">
        <v>306</v>
      </c>
      <c r="B408" s="129">
        <f t="shared" si="26"/>
        <v>126</v>
      </c>
      <c r="C408" s="91">
        <f t="shared" si="27"/>
        <v>16</v>
      </c>
      <c r="D408" s="130">
        <f t="shared" si="28"/>
        <v>0.32</v>
      </c>
      <c r="E408" s="131">
        <v>46282</v>
      </c>
      <c r="F408" s="131">
        <v>46283</v>
      </c>
      <c r="G408" s="91">
        <f t="shared" si="29"/>
        <v>1</v>
      </c>
      <c r="H408" s="91"/>
      <c r="I408" s="91"/>
      <c r="J408" s="91">
        <v>7</v>
      </c>
      <c r="K408" s="91">
        <v>7</v>
      </c>
      <c r="L408" s="91">
        <v>7</v>
      </c>
      <c r="M408" s="91"/>
      <c r="N408" s="91">
        <v>7</v>
      </c>
      <c r="O408" s="91">
        <v>7</v>
      </c>
      <c r="P408" s="91"/>
      <c r="Q408" s="91">
        <v>7</v>
      </c>
      <c r="R408" s="91"/>
      <c r="S408" s="91"/>
      <c r="T408" s="91"/>
      <c r="U408" s="91">
        <v>7</v>
      </c>
      <c r="V408" s="91">
        <v>7</v>
      </c>
      <c r="W408" s="91">
        <v>7</v>
      </c>
      <c r="X408" s="91">
        <v>7</v>
      </c>
      <c r="Y408" s="91"/>
      <c r="Z408" s="91">
        <v>7</v>
      </c>
      <c r="AA408" s="91"/>
      <c r="AB408" s="91">
        <v>7</v>
      </c>
      <c r="AC408" s="91">
        <v>7</v>
      </c>
      <c r="AD408" s="91"/>
      <c r="AE408" s="91">
        <v>7</v>
      </c>
      <c r="AF408" s="91"/>
      <c r="AG408" s="91"/>
      <c r="AH408" s="91"/>
      <c r="AI408" s="91">
        <v>7</v>
      </c>
      <c r="AJ408" s="91"/>
      <c r="AK408" s="91">
        <v>7</v>
      </c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>
        <v>14</v>
      </c>
      <c r="BG408" s="91"/>
      <c r="BH408" s="91"/>
    </row>
    <row r="409" spans="1:60" x14ac:dyDescent="0.25">
      <c r="A409" s="91" t="s">
        <v>929</v>
      </c>
      <c r="B409" s="129">
        <f t="shared" si="26"/>
        <v>104</v>
      </c>
      <c r="C409" s="91">
        <f t="shared" si="27"/>
        <v>47</v>
      </c>
      <c r="D409" s="130">
        <f t="shared" si="28"/>
        <v>0.94</v>
      </c>
      <c r="E409" s="131">
        <v>46295</v>
      </c>
      <c r="F409" s="131">
        <v>46322</v>
      </c>
      <c r="G409" s="91">
        <f t="shared" si="29"/>
        <v>27</v>
      </c>
      <c r="H409" s="91">
        <v>1</v>
      </c>
      <c r="I409" s="91">
        <v>2</v>
      </c>
      <c r="J409" s="91">
        <v>4</v>
      </c>
      <c r="K409" s="91">
        <v>1</v>
      </c>
      <c r="L409" s="91">
        <v>2</v>
      </c>
      <c r="M409" s="91">
        <v>1</v>
      </c>
      <c r="N409" s="91">
        <v>5</v>
      </c>
      <c r="O409" s="91">
        <v>1</v>
      </c>
      <c r="P409" s="91">
        <v>6</v>
      </c>
      <c r="Q409" s="91">
        <v>3</v>
      </c>
      <c r="R409" s="91">
        <v>2</v>
      </c>
      <c r="S409" s="91">
        <v>2</v>
      </c>
      <c r="T409" s="91">
        <v>7</v>
      </c>
      <c r="U409" s="91">
        <v>1</v>
      </c>
      <c r="V409" s="91"/>
      <c r="W409" s="91">
        <v>1</v>
      </c>
      <c r="X409" s="91">
        <v>2</v>
      </c>
      <c r="Y409" s="91">
        <v>9</v>
      </c>
      <c r="Z409" s="91">
        <v>2</v>
      </c>
      <c r="AA409" s="91">
        <v>1</v>
      </c>
      <c r="AB409" s="91">
        <v>2</v>
      </c>
      <c r="AC409" s="91">
        <v>1</v>
      </c>
      <c r="AD409" s="91">
        <v>1</v>
      </c>
      <c r="AE409" s="91">
        <v>1</v>
      </c>
      <c r="AF409" s="91">
        <v>2</v>
      </c>
      <c r="AG409" s="91">
        <v>1</v>
      </c>
      <c r="AH409" s="91">
        <v>1</v>
      </c>
      <c r="AI409" s="91">
        <v>2</v>
      </c>
      <c r="AJ409" s="91">
        <v>2</v>
      </c>
      <c r="AK409" s="91">
        <v>4</v>
      </c>
      <c r="AL409" s="91">
        <v>1</v>
      </c>
      <c r="AM409" s="91">
        <v>3</v>
      </c>
      <c r="AN409" s="91">
        <v>3</v>
      </c>
      <c r="AO409" s="91">
        <v>2</v>
      </c>
      <c r="AP409" s="91">
        <v>1</v>
      </c>
      <c r="AQ409" s="91">
        <v>1</v>
      </c>
      <c r="AR409" s="91">
        <v>1</v>
      </c>
      <c r="AS409" s="91">
        <v>4</v>
      </c>
      <c r="AT409" s="91">
        <v>7</v>
      </c>
      <c r="AU409" s="91">
        <v>1</v>
      </c>
      <c r="AV409" s="91">
        <v>1</v>
      </c>
      <c r="AW409" s="91">
        <v>1</v>
      </c>
      <c r="AX409" s="91"/>
      <c r="AY409" s="91">
        <v>1</v>
      </c>
      <c r="AZ409" s="91">
        <v>3</v>
      </c>
      <c r="BA409" s="91"/>
      <c r="BB409" s="91">
        <v>1</v>
      </c>
      <c r="BC409" s="91">
        <v>1</v>
      </c>
      <c r="BD409" s="91">
        <v>1</v>
      </c>
      <c r="BE409" s="91">
        <v>1</v>
      </c>
      <c r="BF409" s="91"/>
      <c r="BG409" s="91"/>
      <c r="BH409" s="91"/>
    </row>
    <row r="410" spans="1:60" x14ac:dyDescent="0.25">
      <c r="A410" s="91" t="s">
        <v>142</v>
      </c>
      <c r="B410" s="129">
        <f t="shared" si="26"/>
        <v>104</v>
      </c>
      <c r="C410" s="91">
        <f t="shared" si="27"/>
        <v>17</v>
      </c>
      <c r="D410" s="130">
        <f t="shared" si="28"/>
        <v>0.34</v>
      </c>
      <c r="E410" s="131">
        <v>46323</v>
      </c>
      <c r="F410" s="131">
        <v>46323</v>
      </c>
      <c r="G410" s="91">
        <f t="shared" si="29"/>
        <v>0</v>
      </c>
      <c r="H410" s="91"/>
      <c r="I410" s="91"/>
      <c r="J410" s="91"/>
      <c r="K410" s="91"/>
      <c r="L410" s="91">
        <v>6</v>
      </c>
      <c r="M410" s="91"/>
      <c r="N410" s="91">
        <v>6</v>
      </c>
      <c r="O410" s="91">
        <v>6</v>
      </c>
      <c r="P410" s="91"/>
      <c r="Q410" s="91"/>
      <c r="R410" s="91"/>
      <c r="S410" s="91"/>
      <c r="T410" s="91">
        <v>6</v>
      </c>
      <c r="U410" s="91"/>
      <c r="V410" s="91"/>
      <c r="W410" s="91"/>
      <c r="X410" s="91">
        <v>6</v>
      </c>
      <c r="Y410" s="91"/>
      <c r="Z410" s="91"/>
      <c r="AA410" s="91"/>
      <c r="AB410" s="91">
        <v>6</v>
      </c>
      <c r="AC410" s="91"/>
      <c r="AD410" s="91">
        <v>7</v>
      </c>
      <c r="AE410" s="91"/>
      <c r="AF410" s="91">
        <v>6</v>
      </c>
      <c r="AG410" s="91"/>
      <c r="AH410" s="91">
        <v>6</v>
      </c>
      <c r="AI410" s="91">
        <v>6</v>
      </c>
      <c r="AJ410" s="91">
        <v>6</v>
      </c>
      <c r="AK410" s="91"/>
      <c r="AL410" s="91"/>
      <c r="AM410" s="91"/>
      <c r="AN410" s="91"/>
      <c r="AO410" s="91">
        <v>7</v>
      </c>
      <c r="AP410" s="91"/>
      <c r="AQ410" s="91"/>
      <c r="AR410" s="91"/>
      <c r="AS410" s="91">
        <v>6</v>
      </c>
      <c r="AT410" s="91"/>
      <c r="AU410" s="91"/>
      <c r="AV410" s="91">
        <v>6</v>
      </c>
      <c r="AW410" s="91">
        <v>6</v>
      </c>
      <c r="AX410" s="91"/>
      <c r="AY410" s="91"/>
      <c r="AZ410" s="91"/>
      <c r="BA410" s="91"/>
      <c r="BB410" s="91"/>
      <c r="BC410" s="91">
        <v>6</v>
      </c>
      <c r="BD410" s="91">
        <v>6</v>
      </c>
      <c r="BE410" s="91"/>
      <c r="BF410" s="91"/>
      <c r="BG410" s="91"/>
      <c r="BH410" s="91"/>
    </row>
    <row r="411" spans="1:60" x14ac:dyDescent="0.25">
      <c r="A411" s="91" t="s">
        <v>930</v>
      </c>
      <c r="B411" s="129">
        <f t="shared" si="26"/>
        <v>97</v>
      </c>
      <c r="C411" s="91">
        <f t="shared" si="27"/>
        <v>43</v>
      </c>
      <c r="D411" s="130">
        <f t="shared" si="28"/>
        <v>0.86</v>
      </c>
      <c r="E411" s="131">
        <v>46295</v>
      </c>
      <c r="F411" s="131">
        <v>46314</v>
      </c>
      <c r="G411" s="91">
        <f t="shared" si="29"/>
        <v>19</v>
      </c>
      <c r="H411" s="91">
        <v>3</v>
      </c>
      <c r="I411" s="91">
        <v>2</v>
      </c>
      <c r="J411" s="91">
        <v>6</v>
      </c>
      <c r="K411" s="91">
        <v>3</v>
      </c>
      <c r="L411" s="91">
        <v>2</v>
      </c>
      <c r="M411" s="91">
        <v>1</v>
      </c>
      <c r="N411" s="91">
        <v>4</v>
      </c>
      <c r="O411" s="91">
        <v>4</v>
      </c>
      <c r="P411" s="91">
        <v>3</v>
      </c>
      <c r="Q411" s="91"/>
      <c r="R411" s="91">
        <v>2</v>
      </c>
      <c r="S411" s="91">
        <v>1</v>
      </c>
      <c r="T411" s="91">
        <v>6</v>
      </c>
      <c r="U411" s="91">
        <v>1</v>
      </c>
      <c r="V411" s="91">
        <v>6</v>
      </c>
      <c r="W411" s="91">
        <v>1</v>
      </c>
      <c r="X411" s="91">
        <v>2</v>
      </c>
      <c r="Y411" s="91"/>
      <c r="Z411" s="91">
        <v>2</v>
      </c>
      <c r="AA411" s="91">
        <v>1</v>
      </c>
      <c r="AB411" s="91">
        <v>1</v>
      </c>
      <c r="AC411" s="91">
        <v>2</v>
      </c>
      <c r="AD411" s="91">
        <v>4</v>
      </c>
      <c r="AE411" s="91">
        <v>1</v>
      </c>
      <c r="AF411" s="91">
        <v>1</v>
      </c>
      <c r="AG411" s="91">
        <v>2</v>
      </c>
      <c r="AH411" s="91"/>
      <c r="AI411" s="91"/>
      <c r="AJ411" s="91">
        <v>1</v>
      </c>
      <c r="AK411" s="91">
        <v>1</v>
      </c>
      <c r="AL411" s="91">
        <v>1</v>
      </c>
      <c r="AM411" s="91">
        <v>2</v>
      </c>
      <c r="AN411" s="91"/>
      <c r="AO411" s="91">
        <v>3</v>
      </c>
      <c r="AP411" s="91">
        <v>1</v>
      </c>
      <c r="AQ411" s="91"/>
      <c r="AR411" s="91">
        <v>1</v>
      </c>
      <c r="AS411" s="91">
        <v>2</v>
      </c>
      <c r="AT411" s="91">
        <v>3</v>
      </c>
      <c r="AU411" s="91"/>
      <c r="AV411" s="91">
        <v>2</v>
      </c>
      <c r="AW411" s="91">
        <v>2</v>
      </c>
      <c r="AX411" s="91">
        <v>2</v>
      </c>
      <c r="AY411" s="91">
        <v>4</v>
      </c>
      <c r="AZ411" s="91">
        <v>1</v>
      </c>
      <c r="BA411" s="91">
        <v>1</v>
      </c>
      <c r="BB411" s="91">
        <v>2</v>
      </c>
      <c r="BC411" s="91">
        <v>1</v>
      </c>
      <c r="BD411" s="91">
        <v>1</v>
      </c>
      <c r="BE411" s="91">
        <v>3</v>
      </c>
      <c r="BF411" s="91"/>
      <c r="BG411" s="91">
        <v>2</v>
      </c>
      <c r="BH411" s="91"/>
    </row>
    <row r="412" spans="1:60" x14ac:dyDescent="0.25">
      <c r="A412" s="91" t="s">
        <v>184</v>
      </c>
      <c r="B412" s="129">
        <f t="shared" si="26"/>
        <v>95</v>
      </c>
      <c r="C412" s="91">
        <f t="shared" si="27"/>
        <v>48</v>
      </c>
      <c r="D412" s="130">
        <f t="shared" si="28"/>
        <v>0.96</v>
      </c>
      <c r="E412" s="131">
        <v>46266</v>
      </c>
      <c r="F412" s="131">
        <v>46322</v>
      </c>
      <c r="G412" s="91">
        <f t="shared" si="29"/>
        <v>56</v>
      </c>
      <c r="H412" s="91">
        <v>2</v>
      </c>
      <c r="I412" s="91">
        <v>2</v>
      </c>
      <c r="J412" s="91">
        <v>2</v>
      </c>
      <c r="K412" s="91">
        <v>2</v>
      </c>
      <c r="L412" s="91">
        <v>2</v>
      </c>
      <c r="M412" s="91"/>
      <c r="N412" s="91">
        <v>2</v>
      </c>
      <c r="O412" s="91">
        <v>2</v>
      </c>
      <c r="P412" s="91">
        <v>2</v>
      </c>
      <c r="Q412" s="91">
        <v>2</v>
      </c>
      <c r="R412" s="91">
        <v>2</v>
      </c>
      <c r="S412" s="91">
        <v>2</v>
      </c>
      <c r="T412" s="91">
        <v>2</v>
      </c>
      <c r="U412" s="91">
        <v>2</v>
      </c>
      <c r="V412" s="91">
        <v>2</v>
      </c>
      <c r="W412" s="91">
        <v>2</v>
      </c>
      <c r="X412" s="91">
        <v>2</v>
      </c>
      <c r="Y412" s="91">
        <v>1</v>
      </c>
      <c r="Z412" s="91">
        <v>2</v>
      </c>
      <c r="AA412" s="91">
        <v>2</v>
      </c>
      <c r="AB412" s="91">
        <v>2</v>
      </c>
      <c r="AC412" s="91">
        <v>2</v>
      </c>
      <c r="AD412" s="91">
        <v>2</v>
      </c>
      <c r="AE412" s="91">
        <v>2</v>
      </c>
      <c r="AF412" s="91">
        <v>2</v>
      </c>
      <c r="AG412" s="91">
        <v>2</v>
      </c>
      <c r="AH412" s="91">
        <v>2</v>
      </c>
      <c r="AI412" s="91">
        <v>2</v>
      </c>
      <c r="AJ412" s="91">
        <v>2</v>
      </c>
      <c r="AK412" s="91">
        <v>2</v>
      </c>
      <c r="AL412" s="91">
        <v>2</v>
      </c>
      <c r="AM412" s="91">
        <v>2</v>
      </c>
      <c r="AN412" s="91">
        <v>2</v>
      </c>
      <c r="AO412" s="91">
        <v>2</v>
      </c>
      <c r="AP412" s="91">
        <v>2</v>
      </c>
      <c r="AQ412" s="91">
        <v>2</v>
      </c>
      <c r="AR412" s="91">
        <v>2</v>
      </c>
      <c r="AS412" s="91">
        <v>2</v>
      </c>
      <c r="AT412" s="91">
        <v>2</v>
      </c>
      <c r="AU412" s="91">
        <v>2</v>
      </c>
      <c r="AV412" s="91">
        <v>2</v>
      </c>
      <c r="AW412" s="91">
        <v>2</v>
      </c>
      <c r="AX412" s="91">
        <v>2</v>
      </c>
      <c r="AY412" s="91"/>
      <c r="AZ412" s="91">
        <v>2</v>
      </c>
      <c r="BA412" s="91">
        <v>2</v>
      </c>
      <c r="BB412" s="91">
        <v>2</v>
      </c>
      <c r="BC412" s="91">
        <v>2</v>
      </c>
      <c r="BD412" s="91">
        <v>2</v>
      </c>
      <c r="BE412" s="91">
        <v>2</v>
      </c>
      <c r="BF412" s="91"/>
      <c r="BG412" s="91"/>
      <c r="BH412" s="91"/>
    </row>
    <row r="413" spans="1:60" x14ac:dyDescent="0.25">
      <c r="A413" s="91" t="s">
        <v>284</v>
      </c>
      <c r="B413" s="129">
        <f t="shared" si="26"/>
        <v>94</v>
      </c>
      <c r="C413" s="91">
        <f t="shared" si="27"/>
        <v>47</v>
      </c>
      <c r="D413" s="130">
        <f t="shared" si="28"/>
        <v>0.94</v>
      </c>
      <c r="E413" s="131">
        <v>46266</v>
      </c>
      <c r="F413" s="131">
        <v>46267</v>
      </c>
      <c r="G413" s="91">
        <f t="shared" si="29"/>
        <v>1</v>
      </c>
      <c r="H413" s="91">
        <v>2</v>
      </c>
      <c r="I413" s="91">
        <v>2</v>
      </c>
      <c r="J413" s="91">
        <v>2</v>
      </c>
      <c r="K413" s="91">
        <v>2</v>
      </c>
      <c r="L413" s="91">
        <v>2</v>
      </c>
      <c r="M413" s="91"/>
      <c r="N413" s="91">
        <v>2</v>
      </c>
      <c r="O413" s="91">
        <v>2</v>
      </c>
      <c r="P413" s="91">
        <v>2</v>
      </c>
      <c r="Q413" s="91">
        <v>2</v>
      </c>
      <c r="R413" s="91">
        <v>2</v>
      </c>
      <c r="S413" s="91">
        <v>2</v>
      </c>
      <c r="T413" s="91">
        <v>2</v>
      </c>
      <c r="U413" s="91">
        <v>2</v>
      </c>
      <c r="V413" s="91">
        <v>2</v>
      </c>
      <c r="W413" s="91">
        <v>2</v>
      </c>
      <c r="X413" s="91">
        <v>2</v>
      </c>
      <c r="Y413" s="91"/>
      <c r="Z413" s="91">
        <v>2</v>
      </c>
      <c r="AA413" s="91">
        <v>2</v>
      </c>
      <c r="AB413" s="91">
        <v>2</v>
      </c>
      <c r="AC413" s="91">
        <v>2</v>
      </c>
      <c r="AD413" s="91">
        <v>2</v>
      </c>
      <c r="AE413" s="91">
        <v>2</v>
      </c>
      <c r="AF413" s="91">
        <v>2</v>
      </c>
      <c r="AG413" s="91">
        <v>2</v>
      </c>
      <c r="AH413" s="91">
        <v>2</v>
      </c>
      <c r="AI413" s="91">
        <v>2</v>
      </c>
      <c r="AJ413" s="91">
        <v>2</v>
      </c>
      <c r="AK413" s="91">
        <v>2</v>
      </c>
      <c r="AL413" s="91">
        <v>2</v>
      </c>
      <c r="AM413" s="91">
        <v>2</v>
      </c>
      <c r="AN413" s="91">
        <v>2</v>
      </c>
      <c r="AO413" s="91">
        <v>2</v>
      </c>
      <c r="AP413" s="91">
        <v>2</v>
      </c>
      <c r="AQ413" s="91">
        <v>2</v>
      </c>
      <c r="AR413" s="91">
        <v>2</v>
      </c>
      <c r="AS413" s="91">
        <v>2</v>
      </c>
      <c r="AT413" s="91">
        <v>2</v>
      </c>
      <c r="AU413" s="91">
        <v>2</v>
      </c>
      <c r="AV413" s="91">
        <v>2</v>
      </c>
      <c r="AW413" s="91">
        <v>2</v>
      </c>
      <c r="AX413" s="91">
        <v>2</v>
      </c>
      <c r="AY413" s="91"/>
      <c r="AZ413" s="91">
        <v>2</v>
      </c>
      <c r="BA413" s="91">
        <v>2</v>
      </c>
      <c r="BB413" s="91">
        <v>2</v>
      </c>
      <c r="BC413" s="91">
        <v>2</v>
      </c>
      <c r="BD413" s="91">
        <v>2</v>
      </c>
      <c r="BE413" s="91">
        <v>2</v>
      </c>
      <c r="BF413" s="91"/>
      <c r="BG413" s="91"/>
      <c r="BH413" s="91"/>
    </row>
    <row r="414" spans="1:60" x14ac:dyDescent="0.25">
      <c r="A414" s="91" t="s">
        <v>579</v>
      </c>
      <c r="B414" s="129">
        <f t="shared" si="26"/>
        <v>94</v>
      </c>
      <c r="C414" s="91">
        <f t="shared" si="27"/>
        <v>47</v>
      </c>
      <c r="D414" s="130">
        <f t="shared" si="28"/>
        <v>0.94</v>
      </c>
      <c r="E414" s="131">
        <v>46317</v>
      </c>
      <c r="F414" s="131">
        <v>46323</v>
      </c>
      <c r="G414" s="91">
        <f t="shared" si="29"/>
        <v>6</v>
      </c>
      <c r="H414" s="91">
        <v>2</v>
      </c>
      <c r="I414" s="91">
        <v>2</v>
      </c>
      <c r="J414" s="91">
        <v>2</v>
      </c>
      <c r="K414" s="91">
        <v>2</v>
      </c>
      <c r="L414" s="91">
        <v>2</v>
      </c>
      <c r="M414" s="91"/>
      <c r="N414" s="91">
        <v>2</v>
      </c>
      <c r="O414" s="91">
        <v>2</v>
      </c>
      <c r="P414" s="91">
        <v>2</v>
      </c>
      <c r="Q414" s="91">
        <v>2</v>
      </c>
      <c r="R414" s="91">
        <v>2</v>
      </c>
      <c r="S414" s="91">
        <v>2</v>
      </c>
      <c r="T414" s="91">
        <v>2</v>
      </c>
      <c r="U414" s="91">
        <v>2</v>
      </c>
      <c r="V414" s="91">
        <v>2</v>
      </c>
      <c r="W414" s="91">
        <v>2</v>
      </c>
      <c r="X414" s="91">
        <v>2</v>
      </c>
      <c r="Y414" s="91">
        <v>2</v>
      </c>
      <c r="Z414" s="91">
        <v>2</v>
      </c>
      <c r="AA414" s="91">
        <v>2</v>
      </c>
      <c r="AB414" s="91">
        <v>2</v>
      </c>
      <c r="AC414" s="91">
        <v>2</v>
      </c>
      <c r="AD414" s="91">
        <v>2</v>
      </c>
      <c r="AE414" s="91">
        <v>2</v>
      </c>
      <c r="AF414" s="91">
        <v>2</v>
      </c>
      <c r="AG414" s="91">
        <v>2</v>
      </c>
      <c r="AH414" s="91">
        <v>2</v>
      </c>
      <c r="AI414" s="91">
        <v>2</v>
      </c>
      <c r="AJ414" s="91">
        <v>2</v>
      </c>
      <c r="AK414" s="91">
        <v>2</v>
      </c>
      <c r="AL414" s="91">
        <v>2</v>
      </c>
      <c r="AM414" s="91">
        <v>2</v>
      </c>
      <c r="AN414" s="91">
        <v>2</v>
      </c>
      <c r="AO414" s="91">
        <v>2</v>
      </c>
      <c r="AP414" s="91">
        <v>2</v>
      </c>
      <c r="AQ414" s="91">
        <v>2</v>
      </c>
      <c r="AR414" s="91">
        <v>2</v>
      </c>
      <c r="AS414" s="91">
        <v>2</v>
      </c>
      <c r="AT414" s="91">
        <v>2</v>
      </c>
      <c r="AU414" s="91">
        <v>2</v>
      </c>
      <c r="AV414" s="91">
        <v>2</v>
      </c>
      <c r="AW414" s="91">
        <v>2</v>
      </c>
      <c r="AX414" s="91">
        <v>2</v>
      </c>
      <c r="AY414" s="91"/>
      <c r="AZ414" s="91">
        <v>2</v>
      </c>
      <c r="BA414" s="91">
        <v>2</v>
      </c>
      <c r="BB414" s="91"/>
      <c r="BC414" s="91">
        <v>2</v>
      </c>
      <c r="BD414" s="91">
        <v>2</v>
      </c>
      <c r="BE414" s="91">
        <v>2</v>
      </c>
      <c r="BF414" s="91"/>
      <c r="BG414" s="91"/>
      <c r="BH414" s="91"/>
    </row>
    <row r="415" spans="1:60" x14ac:dyDescent="0.25">
      <c r="A415" s="91" t="s">
        <v>326</v>
      </c>
      <c r="B415" s="129">
        <f t="shared" si="26"/>
        <v>90</v>
      </c>
      <c r="C415" s="91">
        <f t="shared" si="27"/>
        <v>10</v>
      </c>
      <c r="D415" s="130">
        <f t="shared" si="28"/>
        <v>0.2</v>
      </c>
      <c r="E415" s="131">
        <v>46300</v>
      </c>
      <c r="F415" s="131">
        <v>46302</v>
      </c>
      <c r="G415" s="91">
        <f t="shared" si="29"/>
        <v>2</v>
      </c>
      <c r="H415" s="91"/>
      <c r="I415" s="91"/>
      <c r="J415" s="91"/>
      <c r="K415" s="91">
        <v>7</v>
      </c>
      <c r="L415" s="91">
        <v>7</v>
      </c>
      <c r="M415" s="91"/>
      <c r="N415" s="91">
        <v>7</v>
      </c>
      <c r="O415" s="91">
        <v>7</v>
      </c>
      <c r="P415" s="91"/>
      <c r="Q415" s="91"/>
      <c r="R415" s="91"/>
      <c r="S415" s="91">
        <v>7</v>
      </c>
      <c r="T415" s="91"/>
      <c r="U415" s="91"/>
      <c r="V415" s="91"/>
      <c r="W415" s="91"/>
      <c r="X415" s="91">
        <v>7</v>
      </c>
      <c r="Y415" s="91">
        <v>1</v>
      </c>
      <c r="Z415" s="91"/>
      <c r="AA415" s="91"/>
      <c r="AB415" s="91"/>
      <c r="AC415" s="91">
        <v>7</v>
      </c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>
        <v>7</v>
      </c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>
        <v>7</v>
      </c>
      <c r="BC415" s="91"/>
      <c r="BD415" s="91"/>
      <c r="BE415" s="91"/>
      <c r="BF415" s="91">
        <v>13</v>
      </c>
      <c r="BG415" s="91">
        <v>13</v>
      </c>
      <c r="BH415" s="91"/>
    </row>
    <row r="416" spans="1:60" x14ac:dyDescent="0.25">
      <c r="A416" s="91" t="s">
        <v>159</v>
      </c>
      <c r="B416" s="129">
        <f t="shared" si="26"/>
        <v>85</v>
      </c>
      <c r="C416" s="91">
        <f t="shared" si="27"/>
        <v>7</v>
      </c>
      <c r="D416" s="130">
        <f t="shared" si="28"/>
        <v>0.14000000000000001</v>
      </c>
      <c r="E416" s="131">
        <v>46315</v>
      </c>
      <c r="F416" s="131">
        <v>46317</v>
      </c>
      <c r="G416" s="91">
        <f t="shared" si="29"/>
        <v>2</v>
      </c>
      <c r="H416" s="91"/>
      <c r="I416" s="91"/>
      <c r="J416" s="91"/>
      <c r="K416" s="91">
        <v>8</v>
      </c>
      <c r="L416" s="91">
        <v>8</v>
      </c>
      <c r="M416" s="91"/>
      <c r="N416" s="91"/>
      <c r="O416" s="91"/>
      <c r="P416" s="91"/>
      <c r="Q416" s="91">
        <v>8</v>
      </c>
      <c r="R416" s="91"/>
      <c r="S416" s="91">
        <v>6</v>
      </c>
      <c r="T416" s="91"/>
      <c r="U416" s="91"/>
      <c r="V416" s="91">
        <v>8</v>
      </c>
      <c r="W416" s="91"/>
      <c r="X416" s="91"/>
      <c r="Y416" s="91"/>
      <c r="Z416" s="91"/>
      <c r="AA416" s="91"/>
      <c r="AB416" s="91"/>
      <c r="AC416" s="91">
        <v>8</v>
      </c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>
        <v>8</v>
      </c>
      <c r="BC416" s="91"/>
      <c r="BD416" s="91"/>
      <c r="BE416" s="91"/>
      <c r="BF416" s="91">
        <v>16</v>
      </c>
      <c r="BG416" s="91">
        <v>15</v>
      </c>
      <c r="BH416" s="91"/>
    </row>
    <row r="417" spans="1:60" x14ac:dyDescent="0.25">
      <c r="A417" s="91" t="s">
        <v>131</v>
      </c>
      <c r="B417" s="129">
        <f t="shared" si="26"/>
        <v>76</v>
      </c>
      <c r="C417" s="91">
        <f t="shared" si="27"/>
        <v>1</v>
      </c>
      <c r="D417" s="130">
        <f t="shared" si="28"/>
        <v>0.02</v>
      </c>
      <c r="E417" s="131">
        <v>46317</v>
      </c>
      <c r="F417" s="131">
        <v>46317</v>
      </c>
      <c r="G417" s="91">
        <f t="shared" si="29"/>
        <v>0</v>
      </c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>
        <v>16</v>
      </c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>
        <v>30</v>
      </c>
      <c r="BG417" s="91">
        <v>30</v>
      </c>
      <c r="BH417" s="91"/>
    </row>
    <row r="418" spans="1:60" x14ac:dyDescent="0.25">
      <c r="A418" s="91" t="s">
        <v>931</v>
      </c>
      <c r="B418" s="129">
        <f t="shared" si="26"/>
        <v>70</v>
      </c>
      <c r="C418" s="91">
        <f t="shared" si="27"/>
        <v>32</v>
      </c>
      <c r="D418" s="130">
        <f t="shared" si="28"/>
        <v>0.64</v>
      </c>
      <c r="E418" s="131">
        <v>46321</v>
      </c>
      <c r="F418" s="131">
        <v>46322</v>
      </c>
      <c r="G418" s="91">
        <f t="shared" si="29"/>
        <v>1</v>
      </c>
      <c r="H418" s="91"/>
      <c r="I418" s="91"/>
      <c r="J418" s="91">
        <v>1</v>
      </c>
      <c r="K418" s="91"/>
      <c r="L418" s="91">
        <v>2</v>
      </c>
      <c r="M418" s="91">
        <v>10</v>
      </c>
      <c r="N418" s="91">
        <v>1</v>
      </c>
      <c r="O418" s="91">
        <v>2</v>
      </c>
      <c r="P418" s="91"/>
      <c r="Q418" s="91"/>
      <c r="R418" s="91">
        <v>4</v>
      </c>
      <c r="S418" s="91">
        <v>1</v>
      </c>
      <c r="T418" s="91">
        <v>1</v>
      </c>
      <c r="U418" s="91">
        <v>3</v>
      </c>
      <c r="V418" s="91">
        <v>1</v>
      </c>
      <c r="W418" s="91"/>
      <c r="X418" s="91"/>
      <c r="Y418" s="91">
        <v>1</v>
      </c>
      <c r="Z418" s="91">
        <v>2</v>
      </c>
      <c r="AA418" s="91">
        <v>2</v>
      </c>
      <c r="AB418" s="91">
        <v>2</v>
      </c>
      <c r="AC418" s="91"/>
      <c r="AD418" s="91">
        <v>1</v>
      </c>
      <c r="AE418" s="91">
        <v>2</v>
      </c>
      <c r="AF418" s="91">
        <v>1</v>
      </c>
      <c r="AG418" s="91">
        <v>1</v>
      </c>
      <c r="AH418" s="91"/>
      <c r="AI418" s="91"/>
      <c r="AJ418" s="91"/>
      <c r="AK418" s="91"/>
      <c r="AL418" s="91">
        <v>1</v>
      </c>
      <c r="AM418" s="91">
        <v>2</v>
      </c>
      <c r="AN418" s="91">
        <v>1</v>
      </c>
      <c r="AO418" s="91">
        <v>2</v>
      </c>
      <c r="AP418" s="91">
        <v>6</v>
      </c>
      <c r="AQ418" s="91">
        <v>4</v>
      </c>
      <c r="AR418" s="91"/>
      <c r="AS418" s="91"/>
      <c r="AT418" s="91">
        <v>1</v>
      </c>
      <c r="AU418" s="91"/>
      <c r="AV418" s="91"/>
      <c r="AW418" s="91">
        <v>3</v>
      </c>
      <c r="AX418" s="91"/>
      <c r="AY418" s="91">
        <v>2</v>
      </c>
      <c r="AZ418" s="91">
        <v>1</v>
      </c>
      <c r="BA418" s="91"/>
      <c r="BB418" s="91">
        <v>4</v>
      </c>
      <c r="BC418" s="91">
        <v>2</v>
      </c>
      <c r="BD418" s="91">
        <v>1</v>
      </c>
      <c r="BE418" s="91">
        <v>2</v>
      </c>
      <c r="BF418" s="91"/>
      <c r="BG418" s="91"/>
      <c r="BH418" s="91"/>
    </row>
    <row r="419" spans="1:60" x14ac:dyDescent="0.25">
      <c r="A419" s="91" t="s">
        <v>932</v>
      </c>
      <c r="B419" s="129">
        <f t="shared" si="26"/>
        <v>69</v>
      </c>
      <c r="C419" s="91">
        <f t="shared" si="27"/>
        <v>28</v>
      </c>
      <c r="D419" s="130">
        <f t="shared" si="28"/>
        <v>0.56000000000000005</v>
      </c>
      <c r="E419" s="131">
        <v>46322</v>
      </c>
      <c r="F419" s="131">
        <v>46322</v>
      </c>
      <c r="G419" s="91">
        <f t="shared" si="29"/>
        <v>0</v>
      </c>
      <c r="H419" s="91">
        <v>2</v>
      </c>
      <c r="I419" s="91"/>
      <c r="J419" s="91">
        <v>2</v>
      </c>
      <c r="K419" s="91"/>
      <c r="L419" s="91"/>
      <c r="M419" s="91">
        <v>11</v>
      </c>
      <c r="N419" s="91">
        <v>3</v>
      </c>
      <c r="O419" s="91"/>
      <c r="P419" s="91">
        <v>1</v>
      </c>
      <c r="Q419" s="91">
        <v>1</v>
      </c>
      <c r="R419" s="91"/>
      <c r="S419" s="91"/>
      <c r="T419" s="91">
        <v>2</v>
      </c>
      <c r="U419" s="91">
        <v>2</v>
      </c>
      <c r="V419" s="91"/>
      <c r="W419" s="91">
        <v>1</v>
      </c>
      <c r="X419" s="91">
        <v>2</v>
      </c>
      <c r="Y419" s="91"/>
      <c r="Z419" s="91"/>
      <c r="AA419" s="91">
        <v>4</v>
      </c>
      <c r="AB419" s="91"/>
      <c r="AC419" s="91"/>
      <c r="AD419" s="91">
        <v>2</v>
      </c>
      <c r="AE419" s="91">
        <v>1</v>
      </c>
      <c r="AF419" s="91"/>
      <c r="AG419" s="91">
        <v>1</v>
      </c>
      <c r="AH419" s="91"/>
      <c r="AI419" s="91"/>
      <c r="AJ419" s="91">
        <v>3</v>
      </c>
      <c r="AK419" s="91">
        <v>2</v>
      </c>
      <c r="AL419" s="91"/>
      <c r="AM419" s="91"/>
      <c r="AN419" s="91">
        <v>2</v>
      </c>
      <c r="AO419" s="91">
        <v>6</v>
      </c>
      <c r="AP419" s="91">
        <v>2</v>
      </c>
      <c r="AQ419" s="91">
        <v>4</v>
      </c>
      <c r="AR419" s="91">
        <v>1</v>
      </c>
      <c r="AS419" s="91"/>
      <c r="AT419" s="91">
        <v>1</v>
      </c>
      <c r="AU419" s="91">
        <v>1</v>
      </c>
      <c r="AV419" s="91">
        <v>2</v>
      </c>
      <c r="AW419" s="91">
        <v>3</v>
      </c>
      <c r="AX419" s="91"/>
      <c r="AY419" s="91"/>
      <c r="AZ419" s="91"/>
      <c r="BA419" s="91"/>
      <c r="BB419" s="91">
        <v>1</v>
      </c>
      <c r="BC419" s="91">
        <v>4</v>
      </c>
      <c r="BD419" s="91"/>
      <c r="BE419" s="91">
        <v>2</v>
      </c>
      <c r="BF419" s="91"/>
      <c r="BG419" s="91"/>
      <c r="BH419" s="91"/>
    </row>
    <row r="420" spans="1:60" x14ac:dyDescent="0.25">
      <c r="A420" s="91" t="s">
        <v>933</v>
      </c>
      <c r="B420" s="129">
        <f t="shared" si="26"/>
        <v>68</v>
      </c>
      <c r="C420" s="91">
        <f t="shared" si="27"/>
        <v>38</v>
      </c>
      <c r="D420" s="130">
        <f t="shared" si="28"/>
        <v>0.76</v>
      </c>
      <c r="E420" s="131">
        <v>46295</v>
      </c>
      <c r="F420" s="131">
        <v>46322</v>
      </c>
      <c r="G420" s="91">
        <f t="shared" si="29"/>
        <v>27</v>
      </c>
      <c r="H420" s="91"/>
      <c r="I420" s="91"/>
      <c r="J420" s="91">
        <v>2</v>
      </c>
      <c r="K420" s="91">
        <v>2</v>
      </c>
      <c r="L420" s="91">
        <v>2</v>
      </c>
      <c r="M420" s="91">
        <v>2</v>
      </c>
      <c r="N420" s="91">
        <v>2</v>
      </c>
      <c r="O420" s="91">
        <v>1</v>
      </c>
      <c r="P420" s="91"/>
      <c r="Q420" s="91">
        <v>2</v>
      </c>
      <c r="R420" s="91">
        <v>1</v>
      </c>
      <c r="S420" s="91">
        <v>2</v>
      </c>
      <c r="T420" s="91">
        <v>1</v>
      </c>
      <c r="U420" s="91">
        <v>1</v>
      </c>
      <c r="V420" s="91">
        <v>1</v>
      </c>
      <c r="W420" s="91">
        <v>1</v>
      </c>
      <c r="X420" s="91">
        <v>1</v>
      </c>
      <c r="Y420" s="91">
        <v>8</v>
      </c>
      <c r="Z420" s="91">
        <v>1</v>
      </c>
      <c r="AA420" s="91">
        <v>1</v>
      </c>
      <c r="AB420" s="91">
        <v>1</v>
      </c>
      <c r="AC420" s="91"/>
      <c r="AD420" s="91">
        <v>2</v>
      </c>
      <c r="AE420" s="91">
        <v>1</v>
      </c>
      <c r="AF420" s="91"/>
      <c r="AG420" s="91">
        <v>1</v>
      </c>
      <c r="AH420" s="91"/>
      <c r="AI420" s="91">
        <v>2</v>
      </c>
      <c r="AJ420" s="91">
        <v>2</v>
      </c>
      <c r="AK420" s="91">
        <v>1</v>
      </c>
      <c r="AL420" s="91">
        <v>1</v>
      </c>
      <c r="AM420" s="91">
        <v>2</v>
      </c>
      <c r="AN420" s="91">
        <v>3</v>
      </c>
      <c r="AO420" s="91"/>
      <c r="AP420" s="91">
        <v>1</v>
      </c>
      <c r="AQ420" s="91"/>
      <c r="AR420" s="91"/>
      <c r="AS420" s="91">
        <v>1</v>
      </c>
      <c r="AT420" s="91">
        <v>2</v>
      </c>
      <c r="AU420" s="91">
        <v>1</v>
      </c>
      <c r="AV420" s="91">
        <v>3</v>
      </c>
      <c r="AW420" s="91">
        <v>5</v>
      </c>
      <c r="AX420" s="91">
        <v>3</v>
      </c>
      <c r="AY420" s="91"/>
      <c r="AZ420" s="91"/>
      <c r="BA420" s="91"/>
      <c r="BB420" s="91">
        <v>1</v>
      </c>
      <c r="BC420" s="91">
        <v>1</v>
      </c>
      <c r="BD420" s="91">
        <v>1</v>
      </c>
      <c r="BE420" s="91">
        <v>2</v>
      </c>
      <c r="BF420" s="91"/>
      <c r="BG420" s="91"/>
      <c r="BH420" s="91"/>
    </row>
    <row r="421" spans="1:60" x14ac:dyDescent="0.25">
      <c r="A421" s="91" t="s">
        <v>934</v>
      </c>
      <c r="B421" s="129">
        <f t="shared" si="26"/>
        <v>62</v>
      </c>
      <c r="C421" s="91">
        <f t="shared" si="27"/>
        <v>35</v>
      </c>
      <c r="D421" s="130">
        <f t="shared" si="28"/>
        <v>0.7</v>
      </c>
      <c r="E421" s="131">
        <v>46295</v>
      </c>
      <c r="F421" s="131">
        <v>46321</v>
      </c>
      <c r="G421" s="91">
        <f t="shared" si="29"/>
        <v>26</v>
      </c>
      <c r="H421" s="91"/>
      <c r="I421" s="91"/>
      <c r="J421" s="91">
        <v>3</v>
      </c>
      <c r="K421" s="91"/>
      <c r="L421" s="91">
        <v>1</v>
      </c>
      <c r="M421" s="91"/>
      <c r="N421" s="91">
        <v>1</v>
      </c>
      <c r="O421" s="91">
        <v>4</v>
      </c>
      <c r="P421" s="91">
        <v>1</v>
      </c>
      <c r="Q421" s="91">
        <v>1</v>
      </c>
      <c r="R421" s="91">
        <v>2</v>
      </c>
      <c r="S421" s="91">
        <v>2</v>
      </c>
      <c r="T421" s="91">
        <v>1</v>
      </c>
      <c r="U421" s="91"/>
      <c r="V421" s="91"/>
      <c r="W421" s="91">
        <v>3</v>
      </c>
      <c r="X421" s="91">
        <v>1</v>
      </c>
      <c r="Y421" s="91"/>
      <c r="Z421" s="91">
        <v>2</v>
      </c>
      <c r="AA421" s="91"/>
      <c r="AB421" s="91">
        <v>1</v>
      </c>
      <c r="AC421" s="91">
        <v>2</v>
      </c>
      <c r="AD421" s="91">
        <v>1</v>
      </c>
      <c r="AE421" s="91"/>
      <c r="AF421" s="91"/>
      <c r="AG421" s="91"/>
      <c r="AH421" s="91">
        <v>2</v>
      </c>
      <c r="AI421" s="91"/>
      <c r="AJ421" s="91">
        <v>2</v>
      </c>
      <c r="AK421" s="91">
        <v>7</v>
      </c>
      <c r="AL421" s="91">
        <v>3</v>
      </c>
      <c r="AM421" s="91"/>
      <c r="AN421" s="91">
        <v>1</v>
      </c>
      <c r="AO421" s="91">
        <v>1</v>
      </c>
      <c r="AP421" s="91">
        <v>1</v>
      </c>
      <c r="AQ421" s="91">
        <v>1</v>
      </c>
      <c r="AR421" s="91"/>
      <c r="AS421" s="91">
        <v>1</v>
      </c>
      <c r="AT421" s="91">
        <v>2</v>
      </c>
      <c r="AU421" s="91">
        <v>1</v>
      </c>
      <c r="AV421" s="91">
        <v>4</v>
      </c>
      <c r="AW421" s="91">
        <v>1</v>
      </c>
      <c r="AX421" s="91">
        <v>1</v>
      </c>
      <c r="AY421" s="91">
        <v>1</v>
      </c>
      <c r="AZ421" s="91"/>
      <c r="BA421" s="91">
        <v>1</v>
      </c>
      <c r="BB421" s="91">
        <v>2</v>
      </c>
      <c r="BC421" s="91">
        <v>2</v>
      </c>
      <c r="BD421" s="91">
        <v>1</v>
      </c>
      <c r="BE421" s="91">
        <v>1</v>
      </c>
      <c r="BF421" s="91"/>
      <c r="BG421" s="91"/>
      <c r="BH421" s="91"/>
    </row>
    <row r="422" spans="1:60" x14ac:dyDescent="0.25">
      <c r="A422" s="91" t="s">
        <v>114</v>
      </c>
      <c r="B422" s="129">
        <f t="shared" si="26"/>
        <v>62</v>
      </c>
      <c r="C422" s="91">
        <f t="shared" si="27"/>
        <v>5</v>
      </c>
      <c r="D422" s="130">
        <f t="shared" si="28"/>
        <v>0.1</v>
      </c>
      <c r="E422" s="131">
        <v>46317</v>
      </c>
      <c r="F422" s="131">
        <v>46323</v>
      </c>
      <c r="G422" s="91">
        <f t="shared" si="29"/>
        <v>6</v>
      </c>
      <c r="H422" s="91"/>
      <c r="I422" s="91"/>
      <c r="J422" s="91"/>
      <c r="K422" s="91">
        <v>12</v>
      </c>
      <c r="L422" s="91">
        <v>12</v>
      </c>
      <c r="M422" s="91"/>
      <c r="N422" s="91"/>
      <c r="O422" s="91"/>
      <c r="P422" s="91"/>
      <c r="Q422" s="91">
        <v>12</v>
      </c>
      <c r="R422" s="91"/>
      <c r="S422" s="91">
        <v>14</v>
      </c>
      <c r="T422" s="91"/>
      <c r="U422" s="91"/>
      <c r="V422" s="91">
        <v>12</v>
      </c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</row>
    <row r="423" spans="1:60" x14ac:dyDescent="0.25">
      <c r="A423" s="91" t="s">
        <v>935</v>
      </c>
      <c r="B423" s="129">
        <f t="shared" si="26"/>
        <v>62</v>
      </c>
      <c r="C423" s="91">
        <f t="shared" si="27"/>
        <v>16</v>
      </c>
      <c r="D423" s="130">
        <f t="shared" si="28"/>
        <v>0.32</v>
      </c>
      <c r="E423" s="131">
        <v>46321</v>
      </c>
      <c r="F423" s="131">
        <v>46322</v>
      </c>
      <c r="G423" s="91">
        <f t="shared" si="29"/>
        <v>1</v>
      </c>
      <c r="H423" s="91"/>
      <c r="I423" s="91"/>
      <c r="J423" s="91"/>
      <c r="K423" s="91">
        <v>2</v>
      </c>
      <c r="L423" s="91"/>
      <c r="M423" s="91"/>
      <c r="N423" s="91"/>
      <c r="O423" s="91"/>
      <c r="P423" s="91"/>
      <c r="Q423" s="91"/>
      <c r="R423" s="91"/>
      <c r="S423" s="91">
        <v>5</v>
      </c>
      <c r="T423" s="91"/>
      <c r="U423" s="91"/>
      <c r="V423" s="91">
        <v>1</v>
      </c>
      <c r="W423" s="91"/>
      <c r="X423" s="91"/>
      <c r="Y423" s="91"/>
      <c r="Z423" s="91"/>
      <c r="AA423" s="91"/>
      <c r="AB423" s="91"/>
      <c r="AC423" s="91">
        <v>1</v>
      </c>
      <c r="AD423" s="91"/>
      <c r="AE423" s="91"/>
      <c r="AF423" s="91"/>
      <c r="AG423" s="91"/>
      <c r="AH423" s="91"/>
      <c r="AI423" s="91">
        <v>2</v>
      </c>
      <c r="AJ423" s="91">
        <v>1</v>
      </c>
      <c r="AK423" s="91"/>
      <c r="AL423" s="91"/>
      <c r="AM423" s="91"/>
      <c r="AN423" s="91"/>
      <c r="AO423" s="91">
        <v>4</v>
      </c>
      <c r="AP423" s="91">
        <v>2</v>
      </c>
      <c r="AQ423" s="91">
        <v>2</v>
      </c>
      <c r="AR423" s="91"/>
      <c r="AS423" s="91">
        <v>1</v>
      </c>
      <c r="AT423" s="91"/>
      <c r="AU423" s="91">
        <v>2</v>
      </c>
      <c r="AV423" s="91">
        <v>10</v>
      </c>
      <c r="AW423" s="91"/>
      <c r="AX423" s="91"/>
      <c r="AY423" s="91">
        <v>8</v>
      </c>
      <c r="AZ423" s="91"/>
      <c r="BA423" s="91"/>
      <c r="BB423" s="91">
        <v>3</v>
      </c>
      <c r="BC423" s="91">
        <v>9</v>
      </c>
      <c r="BD423" s="91"/>
      <c r="BE423" s="91">
        <v>9</v>
      </c>
      <c r="BF423" s="91"/>
      <c r="BG423" s="91"/>
      <c r="BH423" s="91"/>
    </row>
    <row r="424" spans="1:60" x14ac:dyDescent="0.25">
      <c r="A424" s="91" t="s">
        <v>936</v>
      </c>
      <c r="B424" s="129">
        <f t="shared" si="26"/>
        <v>62</v>
      </c>
      <c r="C424" s="91">
        <f t="shared" si="27"/>
        <v>25</v>
      </c>
      <c r="D424" s="130">
        <f t="shared" si="28"/>
        <v>0.5</v>
      </c>
      <c r="E424" s="131">
        <v>46322</v>
      </c>
      <c r="F424" s="131">
        <v>46323</v>
      </c>
      <c r="G424" s="91">
        <f t="shared" si="29"/>
        <v>1</v>
      </c>
      <c r="H424" s="91"/>
      <c r="I424" s="91"/>
      <c r="J424" s="91"/>
      <c r="K424" s="91"/>
      <c r="L424" s="91">
        <v>5</v>
      </c>
      <c r="M424" s="91">
        <v>1</v>
      </c>
      <c r="N424" s="91">
        <v>1</v>
      </c>
      <c r="O424" s="91">
        <v>2</v>
      </c>
      <c r="P424" s="91"/>
      <c r="Q424" s="91">
        <v>2</v>
      </c>
      <c r="R424" s="91">
        <v>2</v>
      </c>
      <c r="S424" s="91">
        <v>3</v>
      </c>
      <c r="T424" s="91">
        <v>1</v>
      </c>
      <c r="U424" s="91">
        <v>2</v>
      </c>
      <c r="V424" s="91"/>
      <c r="W424" s="91"/>
      <c r="X424" s="91"/>
      <c r="Y424" s="91"/>
      <c r="Z424" s="91"/>
      <c r="AA424" s="91">
        <v>1</v>
      </c>
      <c r="AB424" s="91"/>
      <c r="AC424" s="91">
        <v>2</v>
      </c>
      <c r="AD424" s="91">
        <v>3</v>
      </c>
      <c r="AE424" s="91">
        <v>1</v>
      </c>
      <c r="AF424" s="91">
        <v>4</v>
      </c>
      <c r="AG424" s="91"/>
      <c r="AH424" s="91">
        <v>1</v>
      </c>
      <c r="AI424" s="91"/>
      <c r="AJ424" s="91">
        <v>8</v>
      </c>
      <c r="AK424" s="91">
        <v>2</v>
      </c>
      <c r="AL424" s="91"/>
      <c r="AM424" s="91"/>
      <c r="AN424" s="91">
        <v>1</v>
      </c>
      <c r="AO424" s="91">
        <v>3</v>
      </c>
      <c r="AP424" s="91"/>
      <c r="AQ424" s="91">
        <v>1</v>
      </c>
      <c r="AR424" s="91"/>
      <c r="AS424" s="91">
        <v>3</v>
      </c>
      <c r="AT424" s="91"/>
      <c r="AU424" s="91">
        <v>6</v>
      </c>
      <c r="AV424" s="91">
        <v>5</v>
      </c>
      <c r="AW424" s="91"/>
      <c r="AX424" s="91"/>
      <c r="AY424" s="91"/>
      <c r="AZ424" s="91"/>
      <c r="BA424" s="91">
        <v>1</v>
      </c>
      <c r="BB424" s="91">
        <v>1</v>
      </c>
      <c r="BC424" s="91"/>
      <c r="BD424" s="91"/>
      <c r="BE424" s="91"/>
      <c r="BF424" s="91"/>
      <c r="BG424" s="91"/>
      <c r="BH424" s="91"/>
    </row>
    <row r="425" spans="1:60" x14ac:dyDescent="0.25">
      <c r="A425" s="91" t="s">
        <v>227</v>
      </c>
      <c r="B425" s="129">
        <f t="shared" si="26"/>
        <v>60</v>
      </c>
      <c r="C425" s="91">
        <f t="shared" si="27"/>
        <v>12</v>
      </c>
      <c r="D425" s="130">
        <f t="shared" si="28"/>
        <v>0.24</v>
      </c>
      <c r="E425" s="131">
        <v>46317</v>
      </c>
      <c r="F425" s="131">
        <v>46323</v>
      </c>
      <c r="G425" s="91">
        <f t="shared" si="29"/>
        <v>6</v>
      </c>
      <c r="H425" s="91"/>
      <c r="I425" s="91"/>
      <c r="J425" s="91">
        <v>4</v>
      </c>
      <c r="K425" s="91">
        <v>4</v>
      </c>
      <c r="L425" s="91">
        <v>4</v>
      </c>
      <c r="M425" s="91"/>
      <c r="N425" s="91">
        <v>4</v>
      </c>
      <c r="O425" s="91">
        <v>4</v>
      </c>
      <c r="P425" s="91"/>
      <c r="Q425" s="91"/>
      <c r="R425" s="91"/>
      <c r="S425" s="91">
        <v>4</v>
      </c>
      <c r="T425" s="91">
        <v>4</v>
      </c>
      <c r="U425" s="91"/>
      <c r="V425" s="91">
        <v>4</v>
      </c>
      <c r="W425" s="91">
        <v>4</v>
      </c>
      <c r="X425" s="91"/>
      <c r="Y425" s="91"/>
      <c r="Z425" s="91"/>
      <c r="AA425" s="91"/>
      <c r="AB425" s="91"/>
      <c r="AC425" s="91">
        <v>4</v>
      </c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>
        <v>4</v>
      </c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>
        <v>4</v>
      </c>
      <c r="BE425" s="91"/>
      <c r="BF425" s="91"/>
      <c r="BG425" s="91">
        <v>12</v>
      </c>
      <c r="BH425" s="91"/>
    </row>
    <row r="426" spans="1:60" x14ac:dyDescent="0.25">
      <c r="A426" s="91" t="s">
        <v>937</v>
      </c>
      <c r="B426" s="129">
        <f t="shared" si="26"/>
        <v>59</v>
      </c>
      <c r="C426" s="91">
        <f t="shared" si="27"/>
        <v>35</v>
      </c>
      <c r="D426" s="130">
        <f t="shared" si="28"/>
        <v>0.7</v>
      </c>
      <c r="E426" s="131">
        <v>46295</v>
      </c>
      <c r="F426" s="131">
        <v>46321</v>
      </c>
      <c r="G426" s="91">
        <f t="shared" si="29"/>
        <v>26</v>
      </c>
      <c r="H426" s="91"/>
      <c r="I426" s="91">
        <v>1</v>
      </c>
      <c r="J426" s="91">
        <v>1</v>
      </c>
      <c r="K426" s="91">
        <v>1</v>
      </c>
      <c r="L426" s="91"/>
      <c r="M426" s="91"/>
      <c r="N426" s="91">
        <v>1</v>
      </c>
      <c r="O426" s="91">
        <v>1</v>
      </c>
      <c r="P426" s="91">
        <v>1</v>
      </c>
      <c r="Q426" s="91">
        <v>1</v>
      </c>
      <c r="R426" s="91">
        <v>1</v>
      </c>
      <c r="S426" s="91">
        <v>1</v>
      </c>
      <c r="T426" s="91">
        <v>1</v>
      </c>
      <c r="U426" s="91"/>
      <c r="V426" s="91">
        <v>2</v>
      </c>
      <c r="W426" s="91">
        <v>2</v>
      </c>
      <c r="X426" s="91"/>
      <c r="Y426" s="91">
        <v>9</v>
      </c>
      <c r="Z426" s="91">
        <v>5</v>
      </c>
      <c r="AA426" s="91"/>
      <c r="AB426" s="91"/>
      <c r="AC426" s="91"/>
      <c r="AD426" s="91">
        <v>4</v>
      </c>
      <c r="AE426" s="91"/>
      <c r="AF426" s="91">
        <v>2</v>
      </c>
      <c r="AG426" s="91">
        <v>2</v>
      </c>
      <c r="AH426" s="91">
        <v>1</v>
      </c>
      <c r="AI426" s="91">
        <v>2</v>
      </c>
      <c r="AJ426" s="91">
        <v>2</v>
      </c>
      <c r="AK426" s="91">
        <v>1</v>
      </c>
      <c r="AL426" s="91"/>
      <c r="AM426" s="91">
        <v>1</v>
      </c>
      <c r="AN426" s="91">
        <v>2</v>
      </c>
      <c r="AO426" s="91"/>
      <c r="AP426" s="91">
        <v>1</v>
      </c>
      <c r="AQ426" s="91"/>
      <c r="AR426" s="91">
        <v>1</v>
      </c>
      <c r="AS426" s="91"/>
      <c r="AT426" s="91">
        <v>1</v>
      </c>
      <c r="AU426" s="91">
        <v>1</v>
      </c>
      <c r="AV426" s="91">
        <v>1</v>
      </c>
      <c r="AW426" s="91">
        <v>3</v>
      </c>
      <c r="AX426" s="91">
        <v>1</v>
      </c>
      <c r="AY426" s="91">
        <v>1</v>
      </c>
      <c r="AZ426" s="91">
        <v>1</v>
      </c>
      <c r="BA426" s="91"/>
      <c r="BB426" s="91"/>
      <c r="BC426" s="91">
        <v>1</v>
      </c>
      <c r="BD426" s="91">
        <v>1</v>
      </c>
      <c r="BE426" s="91">
        <v>1</v>
      </c>
      <c r="BF426" s="91"/>
      <c r="BG426" s="91"/>
      <c r="BH426" s="91"/>
    </row>
    <row r="427" spans="1:60" x14ac:dyDescent="0.25">
      <c r="A427" s="91" t="s">
        <v>938</v>
      </c>
      <c r="B427" s="129">
        <f t="shared" si="26"/>
        <v>54</v>
      </c>
      <c r="C427" s="91">
        <f t="shared" si="27"/>
        <v>23</v>
      </c>
      <c r="D427" s="130">
        <f t="shared" si="28"/>
        <v>0.46</v>
      </c>
      <c r="E427" s="131">
        <v>46322</v>
      </c>
      <c r="F427" s="131">
        <v>46323</v>
      </c>
      <c r="G427" s="91">
        <f t="shared" si="29"/>
        <v>1</v>
      </c>
      <c r="H427" s="91"/>
      <c r="I427" s="91">
        <v>1</v>
      </c>
      <c r="J427" s="91">
        <v>2</v>
      </c>
      <c r="K427" s="91"/>
      <c r="L427" s="91">
        <v>4</v>
      </c>
      <c r="M427" s="91">
        <v>5</v>
      </c>
      <c r="N427" s="91"/>
      <c r="O427" s="91">
        <v>1</v>
      </c>
      <c r="P427" s="91">
        <v>2</v>
      </c>
      <c r="Q427" s="91">
        <v>2</v>
      </c>
      <c r="R427" s="91">
        <v>3</v>
      </c>
      <c r="S427" s="91">
        <v>1</v>
      </c>
      <c r="T427" s="91"/>
      <c r="U427" s="91">
        <v>1</v>
      </c>
      <c r="V427" s="91"/>
      <c r="W427" s="91"/>
      <c r="X427" s="91"/>
      <c r="Y427" s="91">
        <v>2</v>
      </c>
      <c r="Z427" s="91"/>
      <c r="AA427" s="91">
        <v>1</v>
      </c>
      <c r="AB427" s="91">
        <v>2</v>
      </c>
      <c r="AC427" s="91"/>
      <c r="AD427" s="91">
        <v>1</v>
      </c>
      <c r="AE427" s="91"/>
      <c r="AF427" s="91"/>
      <c r="AG427" s="91"/>
      <c r="AH427" s="91">
        <v>3</v>
      </c>
      <c r="AI427" s="91"/>
      <c r="AJ427" s="91"/>
      <c r="AK427" s="91">
        <v>5</v>
      </c>
      <c r="AL427" s="91">
        <v>1</v>
      </c>
      <c r="AM427" s="91">
        <v>3</v>
      </c>
      <c r="AN427" s="91"/>
      <c r="AO427" s="91">
        <v>6</v>
      </c>
      <c r="AP427" s="91"/>
      <c r="AQ427" s="91"/>
      <c r="AR427" s="91"/>
      <c r="AS427" s="91">
        <v>3</v>
      </c>
      <c r="AT427" s="91"/>
      <c r="AU427" s="91">
        <v>1</v>
      </c>
      <c r="AV427" s="91">
        <v>3</v>
      </c>
      <c r="AW427" s="91"/>
      <c r="AX427" s="91"/>
      <c r="AY427" s="91"/>
      <c r="AZ427" s="91"/>
      <c r="BA427" s="91"/>
      <c r="BB427" s="91"/>
      <c r="BC427" s="91">
        <v>1</v>
      </c>
      <c r="BD427" s="91"/>
      <c r="BE427" s="91"/>
      <c r="BF427" s="91"/>
      <c r="BG427" s="91"/>
      <c r="BH427" s="91"/>
    </row>
    <row r="428" spans="1:60" x14ac:dyDescent="0.25">
      <c r="A428" s="91" t="s">
        <v>939</v>
      </c>
      <c r="B428" s="129">
        <f t="shared" si="26"/>
        <v>53</v>
      </c>
      <c r="C428" s="91">
        <f t="shared" si="27"/>
        <v>11</v>
      </c>
      <c r="D428" s="130">
        <f t="shared" si="28"/>
        <v>0.22</v>
      </c>
      <c r="E428" s="131">
        <v>46232</v>
      </c>
      <c r="F428" s="131">
        <v>46252</v>
      </c>
      <c r="G428" s="91">
        <f t="shared" si="29"/>
        <v>20</v>
      </c>
      <c r="H428" s="91"/>
      <c r="I428" s="91"/>
      <c r="J428" s="91"/>
      <c r="K428" s="91"/>
      <c r="L428" s="91">
        <v>2</v>
      </c>
      <c r="M428" s="91"/>
      <c r="N428" s="91"/>
      <c r="O428" s="91"/>
      <c r="P428" s="91"/>
      <c r="Q428" s="91"/>
      <c r="R428" s="91">
        <v>8</v>
      </c>
      <c r="S428" s="91">
        <v>6</v>
      </c>
      <c r="T428" s="91"/>
      <c r="U428" s="91"/>
      <c r="V428" s="91">
        <v>2</v>
      </c>
      <c r="W428" s="91"/>
      <c r="X428" s="91"/>
      <c r="Y428" s="91"/>
      <c r="Z428" s="91"/>
      <c r="AA428" s="91"/>
      <c r="AB428" s="91"/>
      <c r="AC428" s="91"/>
      <c r="AD428" s="91">
        <v>8</v>
      </c>
      <c r="AE428" s="91"/>
      <c r="AF428" s="91"/>
      <c r="AG428" s="91">
        <v>2</v>
      </c>
      <c r="AH428" s="91"/>
      <c r="AI428" s="91"/>
      <c r="AJ428" s="91"/>
      <c r="AK428" s="91"/>
      <c r="AL428" s="91"/>
      <c r="AM428" s="91"/>
      <c r="AN428" s="91"/>
      <c r="AO428" s="91">
        <v>6</v>
      </c>
      <c r="AP428" s="91"/>
      <c r="AQ428" s="91"/>
      <c r="AR428" s="91"/>
      <c r="AS428" s="91"/>
      <c r="AT428" s="91"/>
      <c r="AU428" s="91">
        <v>3</v>
      </c>
      <c r="AV428" s="91"/>
      <c r="AW428" s="91"/>
      <c r="AX428" s="91">
        <v>7</v>
      </c>
      <c r="AY428" s="91"/>
      <c r="AZ428" s="91"/>
      <c r="BA428" s="91"/>
      <c r="BB428" s="91"/>
      <c r="BC428" s="91"/>
      <c r="BD428" s="91">
        <v>7</v>
      </c>
      <c r="BE428" s="91">
        <v>2</v>
      </c>
      <c r="BF428" s="91"/>
      <c r="BG428" s="91"/>
      <c r="BH428" s="91"/>
    </row>
    <row r="429" spans="1:60" x14ac:dyDescent="0.25">
      <c r="A429" s="91" t="s">
        <v>269</v>
      </c>
      <c r="B429" s="129">
        <f t="shared" si="26"/>
        <v>51</v>
      </c>
      <c r="C429" s="91">
        <f t="shared" si="27"/>
        <v>11</v>
      </c>
      <c r="D429" s="130">
        <f t="shared" si="28"/>
        <v>0.22</v>
      </c>
      <c r="E429" s="131">
        <v>46317</v>
      </c>
      <c r="F429" s="131">
        <v>46323</v>
      </c>
      <c r="G429" s="91">
        <f t="shared" si="29"/>
        <v>6</v>
      </c>
      <c r="H429" s="91"/>
      <c r="I429" s="91"/>
      <c r="J429" s="91">
        <v>4</v>
      </c>
      <c r="K429" s="91">
        <v>4</v>
      </c>
      <c r="L429" s="91">
        <v>4</v>
      </c>
      <c r="M429" s="91"/>
      <c r="N429" s="91">
        <v>4</v>
      </c>
      <c r="O429" s="91">
        <v>4</v>
      </c>
      <c r="P429" s="91"/>
      <c r="Q429" s="91"/>
      <c r="R429" s="91"/>
      <c r="S429" s="91">
        <v>4</v>
      </c>
      <c r="T429" s="91">
        <v>4</v>
      </c>
      <c r="U429" s="91"/>
      <c r="V429" s="91">
        <v>4</v>
      </c>
      <c r="W429" s="91">
        <v>4</v>
      </c>
      <c r="X429" s="91"/>
      <c r="Y429" s="91"/>
      <c r="Z429" s="91"/>
      <c r="AA429" s="91"/>
      <c r="AB429" s="91"/>
      <c r="AC429" s="91">
        <v>4</v>
      </c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>
        <v>4</v>
      </c>
      <c r="BE429" s="91"/>
      <c r="BF429" s="91"/>
      <c r="BG429" s="91">
        <v>7</v>
      </c>
      <c r="BH429" s="91"/>
    </row>
    <row r="430" spans="1:60" x14ac:dyDescent="0.25">
      <c r="A430" s="91" t="s">
        <v>259</v>
      </c>
      <c r="B430" s="129">
        <f t="shared" si="26"/>
        <v>51</v>
      </c>
      <c r="C430" s="91">
        <f t="shared" si="27"/>
        <v>11</v>
      </c>
      <c r="D430" s="130">
        <f t="shared" si="28"/>
        <v>0.22</v>
      </c>
      <c r="E430" s="131">
        <v>46317</v>
      </c>
      <c r="F430" s="131">
        <v>46323</v>
      </c>
      <c r="G430" s="91">
        <f t="shared" si="29"/>
        <v>6</v>
      </c>
      <c r="H430" s="91"/>
      <c r="I430" s="91"/>
      <c r="J430" s="91">
        <v>3</v>
      </c>
      <c r="K430" s="91">
        <v>4</v>
      </c>
      <c r="L430" s="91">
        <v>4</v>
      </c>
      <c r="M430" s="91"/>
      <c r="N430" s="91">
        <v>4</v>
      </c>
      <c r="O430" s="91">
        <v>4</v>
      </c>
      <c r="P430" s="91"/>
      <c r="Q430" s="91"/>
      <c r="R430" s="91"/>
      <c r="S430" s="91">
        <v>4</v>
      </c>
      <c r="T430" s="91">
        <v>4</v>
      </c>
      <c r="U430" s="91"/>
      <c r="V430" s="91">
        <v>4</v>
      </c>
      <c r="W430" s="91">
        <v>4</v>
      </c>
      <c r="X430" s="91"/>
      <c r="Y430" s="91"/>
      <c r="Z430" s="91"/>
      <c r="AA430" s="91"/>
      <c r="AB430" s="91"/>
      <c r="AC430" s="91">
        <v>4</v>
      </c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>
        <v>4</v>
      </c>
      <c r="BE430" s="91"/>
      <c r="BF430" s="91"/>
      <c r="BG430" s="91">
        <v>8</v>
      </c>
      <c r="BH430" s="91"/>
    </row>
    <row r="431" spans="1:60" x14ac:dyDescent="0.25">
      <c r="A431" s="91" t="s">
        <v>321</v>
      </c>
      <c r="B431" s="129">
        <f t="shared" si="26"/>
        <v>51</v>
      </c>
      <c r="C431" s="91">
        <f t="shared" si="27"/>
        <v>12</v>
      </c>
      <c r="D431" s="130">
        <f t="shared" si="28"/>
        <v>0.24</v>
      </c>
      <c r="E431" s="131">
        <v>46323</v>
      </c>
      <c r="F431" s="131">
        <v>46323</v>
      </c>
      <c r="G431" s="91">
        <f t="shared" si="29"/>
        <v>0</v>
      </c>
      <c r="H431" s="91"/>
      <c r="I431" s="91"/>
      <c r="J431" s="91">
        <v>4</v>
      </c>
      <c r="K431" s="91">
        <v>4</v>
      </c>
      <c r="L431" s="91">
        <v>4</v>
      </c>
      <c r="M431" s="91"/>
      <c r="N431" s="91">
        <v>4</v>
      </c>
      <c r="O431" s="91">
        <v>4</v>
      </c>
      <c r="P431" s="91"/>
      <c r="Q431" s="91"/>
      <c r="R431" s="91"/>
      <c r="S431" s="91">
        <v>7</v>
      </c>
      <c r="T431" s="91">
        <v>4</v>
      </c>
      <c r="U431" s="91"/>
      <c r="V431" s="91">
        <v>4</v>
      </c>
      <c r="W431" s="91">
        <v>4</v>
      </c>
      <c r="X431" s="91"/>
      <c r="Y431" s="91"/>
      <c r="Z431" s="91"/>
      <c r="AA431" s="91"/>
      <c r="AB431" s="91"/>
      <c r="AC431" s="91">
        <v>4</v>
      </c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>
        <v>4</v>
      </c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>
        <v>4</v>
      </c>
      <c r="BE431" s="91"/>
      <c r="BF431" s="91"/>
      <c r="BG431" s="91"/>
      <c r="BH431" s="91"/>
    </row>
    <row r="432" spans="1:60" x14ac:dyDescent="0.25">
      <c r="A432" s="91" t="s">
        <v>940</v>
      </c>
      <c r="B432" s="129">
        <f t="shared" si="26"/>
        <v>50</v>
      </c>
      <c r="C432" s="91">
        <f t="shared" si="27"/>
        <v>7</v>
      </c>
      <c r="D432" s="130">
        <f t="shared" si="28"/>
        <v>0.14000000000000001</v>
      </c>
      <c r="E432" s="131">
        <v>46232</v>
      </c>
      <c r="F432" s="131">
        <v>46253</v>
      </c>
      <c r="G432" s="91">
        <f t="shared" si="29"/>
        <v>21</v>
      </c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>
        <v>14</v>
      </c>
      <c r="S432" s="91"/>
      <c r="T432" s="91"/>
      <c r="U432" s="91"/>
      <c r="V432" s="91">
        <v>3</v>
      </c>
      <c r="W432" s="91"/>
      <c r="X432" s="91"/>
      <c r="Y432" s="91"/>
      <c r="Z432" s="91"/>
      <c r="AA432" s="91"/>
      <c r="AB432" s="91"/>
      <c r="AC432" s="91"/>
      <c r="AD432" s="91">
        <v>9</v>
      </c>
      <c r="AE432" s="91"/>
      <c r="AF432" s="91"/>
      <c r="AG432" s="91"/>
      <c r="AH432" s="91"/>
      <c r="AI432" s="91"/>
      <c r="AJ432" s="91">
        <v>3</v>
      </c>
      <c r="AK432" s="91"/>
      <c r="AL432" s="91">
        <v>1</v>
      </c>
      <c r="AM432" s="91"/>
      <c r="AN432" s="91"/>
      <c r="AO432" s="91">
        <v>14</v>
      </c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>
        <v>6</v>
      </c>
      <c r="BE432" s="91"/>
      <c r="BF432" s="91"/>
      <c r="BG432" s="91"/>
      <c r="BH432" s="91"/>
    </row>
    <row r="433" spans="1:60" x14ac:dyDescent="0.25">
      <c r="A433" s="91" t="s">
        <v>941</v>
      </c>
      <c r="B433" s="129">
        <f t="shared" si="26"/>
        <v>50</v>
      </c>
      <c r="C433" s="91">
        <f t="shared" si="27"/>
        <v>23</v>
      </c>
      <c r="D433" s="130">
        <f t="shared" si="28"/>
        <v>0.46</v>
      </c>
      <c r="E433" s="131">
        <v>46322</v>
      </c>
      <c r="F433" s="131">
        <v>46322</v>
      </c>
      <c r="G433" s="91">
        <f t="shared" si="29"/>
        <v>0</v>
      </c>
      <c r="H433" s="91">
        <v>1</v>
      </c>
      <c r="I433" s="91">
        <v>2</v>
      </c>
      <c r="J433" s="91">
        <v>2</v>
      </c>
      <c r="K433" s="91"/>
      <c r="L433" s="91">
        <v>2</v>
      </c>
      <c r="M433" s="91">
        <v>5</v>
      </c>
      <c r="N433" s="91">
        <v>2</v>
      </c>
      <c r="O433" s="91"/>
      <c r="P433" s="91">
        <v>1</v>
      </c>
      <c r="Q433" s="91"/>
      <c r="R433" s="91">
        <v>3</v>
      </c>
      <c r="S433" s="91"/>
      <c r="T433" s="91"/>
      <c r="U433" s="91"/>
      <c r="V433" s="91"/>
      <c r="W433" s="91"/>
      <c r="X433" s="91">
        <v>1</v>
      </c>
      <c r="Y433" s="91"/>
      <c r="Z433" s="91"/>
      <c r="AA433" s="91"/>
      <c r="AB433" s="91">
        <v>2</v>
      </c>
      <c r="AC433" s="91">
        <v>1</v>
      </c>
      <c r="AD433" s="91"/>
      <c r="AE433" s="91"/>
      <c r="AF433" s="91">
        <v>4</v>
      </c>
      <c r="AG433" s="91"/>
      <c r="AH433" s="91">
        <v>4</v>
      </c>
      <c r="AI433" s="91"/>
      <c r="AJ433" s="91"/>
      <c r="AK433" s="91">
        <v>1</v>
      </c>
      <c r="AL433" s="91"/>
      <c r="AM433" s="91">
        <v>2</v>
      </c>
      <c r="AN433" s="91"/>
      <c r="AO433" s="91">
        <v>5</v>
      </c>
      <c r="AP433" s="91">
        <v>1</v>
      </c>
      <c r="AQ433" s="91"/>
      <c r="AR433" s="91"/>
      <c r="AS433" s="91">
        <v>1</v>
      </c>
      <c r="AT433" s="91">
        <v>2</v>
      </c>
      <c r="AU433" s="91">
        <v>3</v>
      </c>
      <c r="AV433" s="91">
        <v>1</v>
      </c>
      <c r="AW433" s="91"/>
      <c r="AX433" s="91"/>
      <c r="AY433" s="91"/>
      <c r="AZ433" s="91"/>
      <c r="BA433" s="91">
        <v>1</v>
      </c>
      <c r="BB433" s="91"/>
      <c r="BC433" s="91">
        <v>3</v>
      </c>
      <c r="BD433" s="91"/>
      <c r="BE433" s="91"/>
      <c r="BF433" s="91"/>
      <c r="BG433" s="91"/>
      <c r="BH433" s="91"/>
    </row>
    <row r="434" spans="1:60" x14ac:dyDescent="0.25">
      <c r="A434" s="91" t="s">
        <v>942</v>
      </c>
      <c r="B434" s="129">
        <f t="shared" si="26"/>
        <v>48</v>
      </c>
      <c r="C434" s="91">
        <f t="shared" si="27"/>
        <v>17</v>
      </c>
      <c r="D434" s="130">
        <f t="shared" si="28"/>
        <v>0.34</v>
      </c>
      <c r="E434" s="131">
        <v>46322</v>
      </c>
      <c r="F434" s="131">
        <v>46322</v>
      </c>
      <c r="G434" s="91">
        <f t="shared" si="29"/>
        <v>0</v>
      </c>
      <c r="H434" s="91"/>
      <c r="I434" s="91">
        <v>2</v>
      </c>
      <c r="J434" s="91">
        <v>2</v>
      </c>
      <c r="K434" s="91"/>
      <c r="L434" s="91">
        <v>8</v>
      </c>
      <c r="M434" s="91"/>
      <c r="N434" s="91"/>
      <c r="O434" s="91"/>
      <c r="P434" s="91"/>
      <c r="Q434" s="91"/>
      <c r="R434" s="91"/>
      <c r="S434" s="91">
        <v>4</v>
      </c>
      <c r="T434" s="91">
        <v>1</v>
      </c>
      <c r="U434" s="91"/>
      <c r="V434" s="91">
        <v>2</v>
      </c>
      <c r="W434" s="91"/>
      <c r="X434" s="91"/>
      <c r="Y434" s="91">
        <v>1</v>
      </c>
      <c r="Z434" s="91"/>
      <c r="AA434" s="91"/>
      <c r="AB434" s="91"/>
      <c r="AC434" s="91">
        <v>2</v>
      </c>
      <c r="AD434" s="91">
        <v>3</v>
      </c>
      <c r="AE434" s="91"/>
      <c r="AF434" s="91"/>
      <c r="AG434" s="91"/>
      <c r="AH434" s="91"/>
      <c r="AI434" s="91">
        <v>1</v>
      </c>
      <c r="AJ434" s="91"/>
      <c r="AK434" s="91"/>
      <c r="AL434" s="91"/>
      <c r="AM434" s="91"/>
      <c r="AN434" s="91"/>
      <c r="AO434" s="91">
        <v>4</v>
      </c>
      <c r="AP434" s="91"/>
      <c r="AQ434" s="91"/>
      <c r="AR434" s="91"/>
      <c r="AS434" s="91"/>
      <c r="AT434" s="91"/>
      <c r="AU434" s="91"/>
      <c r="AV434" s="91">
        <v>5</v>
      </c>
      <c r="AW434" s="91">
        <v>2</v>
      </c>
      <c r="AX434" s="91"/>
      <c r="AY434" s="91">
        <v>4</v>
      </c>
      <c r="AZ434" s="91"/>
      <c r="BA434" s="91"/>
      <c r="BB434" s="91">
        <v>4</v>
      </c>
      <c r="BC434" s="91">
        <v>1</v>
      </c>
      <c r="BD434" s="91"/>
      <c r="BE434" s="91">
        <v>2</v>
      </c>
      <c r="BF434" s="91"/>
      <c r="BG434" s="91"/>
      <c r="BH434" s="91"/>
    </row>
    <row r="435" spans="1:60" x14ac:dyDescent="0.25">
      <c r="A435" s="91" t="s">
        <v>943</v>
      </c>
      <c r="B435" s="129">
        <f t="shared" si="26"/>
        <v>46</v>
      </c>
      <c r="C435" s="91">
        <f t="shared" si="27"/>
        <v>29</v>
      </c>
      <c r="D435" s="130">
        <f t="shared" si="28"/>
        <v>0.57999999999999996</v>
      </c>
      <c r="E435" s="131">
        <v>46295</v>
      </c>
      <c r="F435" s="131">
        <v>46321</v>
      </c>
      <c r="G435" s="91">
        <f t="shared" si="29"/>
        <v>26</v>
      </c>
      <c r="H435" s="91">
        <v>1</v>
      </c>
      <c r="I435" s="91">
        <v>2</v>
      </c>
      <c r="J435" s="91">
        <v>4</v>
      </c>
      <c r="K435" s="91"/>
      <c r="L435" s="91"/>
      <c r="M435" s="91"/>
      <c r="N435" s="91">
        <v>1</v>
      </c>
      <c r="O435" s="91">
        <v>2</v>
      </c>
      <c r="P435" s="91">
        <v>1</v>
      </c>
      <c r="Q435" s="91"/>
      <c r="R435" s="91"/>
      <c r="S435" s="91"/>
      <c r="T435" s="91">
        <v>2</v>
      </c>
      <c r="U435" s="91"/>
      <c r="V435" s="91"/>
      <c r="W435" s="91"/>
      <c r="X435" s="91">
        <v>1</v>
      </c>
      <c r="Y435" s="91"/>
      <c r="Z435" s="91">
        <v>1</v>
      </c>
      <c r="AA435" s="91">
        <v>1</v>
      </c>
      <c r="AB435" s="91">
        <v>1</v>
      </c>
      <c r="AC435" s="91">
        <v>1</v>
      </c>
      <c r="AD435" s="91">
        <v>2</v>
      </c>
      <c r="AE435" s="91"/>
      <c r="AF435" s="91">
        <v>2</v>
      </c>
      <c r="AG435" s="91">
        <v>2</v>
      </c>
      <c r="AH435" s="91">
        <v>1</v>
      </c>
      <c r="AI435" s="91">
        <v>1</v>
      </c>
      <c r="AJ435" s="91">
        <v>1</v>
      </c>
      <c r="AK435" s="91">
        <v>4</v>
      </c>
      <c r="AL435" s="91"/>
      <c r="AM435" s="91">
        <v>1</v>
      </c>
      <c r="AN435" s="91"/>
      <c r="AO435" s="91">
        <v>1</v>
      </c>
      <c r="AP435" s="91">
        <v>2</v>
      </c>
      <c r="AQ435" s="91"/>
      <c r="AR435" s="91">
        <v>1</v>
      </c>
      <c r="AS435" s="91"/>
      <c r="AT435" s="91">
        <v>1</v>
      </c>
      <c r="AU435" s="91"/>
      <c r="AV435" s="91">
        <v>1</v>
      </c>
      <c r="AW435" s="91">
        <v>1</v>
      </c>
      <c r="AX435" s="91"/>
      <c r="AY435" s="91"/>
      <c r="AZ435" s="91">
        <v>4</v>
      </c>
      <c r="BA435" s="91"/>
      <c r="BB435" s="91">
        <v>2</v>
      </c>
      <c r="BC435" s="91">
        <v>1</v>
      </c>
      <c r="BD435" s="91"/>
      <c r="BE435" s="91"/>
      <c r="BF435" s="91"/>
      <c r="BG435" s="91"/>
      <c r="BH435" s="91"/>
    </row>
    <row r="436" spans="1:60" x14ac:dyDescent="0.25">
      <c r="A436" s="91" t="s">
        <v>153</v>
      </c>
      <c r="B436" s="129">
        <f t="shared" si="26"/>
        <v>45</v>
      </c>
      <c r="C436" s="91">
        <f t="shared" si="27"/>
        <v>0</v>
      </c>
      <c r="D436" s="130">
        <f t="shared" si="28"/>
        <v>0</v>
      </c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>
        <v>22</v>
      </c>
      <c r="BG436" s="91">
        <v>23</v>
      </c>
      <c r="BH436" s="91"/>
    </row>
    <row r="437" spans="1:60" x14ac:dyDescent="0.25">
      <c r="A437" s="91" t="s">
        <v>944</v>
      </c>
      <c r="B437" s="129">
        <f t="shared" si="26"/>
        <v>41</v>
      </c>
      <c r="C437" s="91">
        <f t="shared" si="27"/>
        <v>13</v>
      </c>
      <c r="D437" s="130">
        <f t="shared" si="28"/>
        <v>0.26</v>
      </c>
      <c r="E437" s="131">
        <v>46322</v>
      </c>
      <c r="F437" s="131">
        <v>46323</v>
      </c>
      <c r="G437" s="91">
        <f t="shared" ref="G437:G465" si="30">F437-E437</f>
        <v>1</v>
      </c>
      <c r="H437" s="91"/>
      <c r="I437" s="91"/>
      <c r="J437" s="91">
        <v>3</v>
      </c>
      <c r="K437" s="91"/>
      <c r="L437" s="91"/>
      <c r="M437" s="91"/>
      <c r="N437" s="91"/>
      <c r="O437" s="91">
        <v>13</v>
      </c>
      <c r="P437" s="91"/>
      <c r="Q437" s="91"/>
      <c r="R437" s="91">
        <v>1</v>
      </c>
      <c r="S437" s="91"/>
      <c r="T437" s="91"/>
      <c r="U437" s="91">
        <v>1</v>
      </c>
      <c r="V437" s="91"/>
      <c r="W437" s="91"/>
      <c r="X437" s="91"/>
      <c r="Y437" s="91">
        <v>1</v>
      </c>
      <c r="Z437" s="91"/>
      <c r="AA437" s="91"/>
      <c r="AB437" s="91"/>
      <c r="AC437" s="91">
        <v>2</v>
      </c>
      <c r="AD437" s="91">
        <v>6</v>
      </c>
      <c r="AE437" s="91">
        <v>2</v>
      </c>
      <c r="AF437" s="91"/>
      <c r="AG437" s="91"/>
      <c r="AH437" s="91"/>
      <c r="AI437" s="91">
        <v>5</v>
      </c>
      <c r="AJ437" s="91"/>
      <c r="AK437" s="91">
        <v>1</v>
      </c>
      <c r="AL437" s="91"/>
      <c r="AM437" s="91"/>
      <c r="AN437" s="91"/>
      <c r="AO437" s="91">
        <v>1</v>
      </c>
      <c r="AP437" s="91"/>
      <c r="AQ437" s="91">
        <v>1</v>
      </c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>
        <v>4</v>
      </c>
      <c r="BC437" s="91"/>
      <c r="BD437" s="91"/>
      <c r="BE437" s="91"/>
      <c r="BF437" s="91"/>
      <c r="BG437" s="91"/>
      <c r="BH437" s="91"/>
    </row>
    <row r="438" spans="1:60" x14ac:dyDescent="0.25">
      <c r="A438" s="91" t="s">
        <v>945</v>
      </c>
      <c r="B438" s="129">
        <f t="shared" si="26"/>
        <v>39</v>
      </c>
      <c r="C438" s="91">
        <f t="shared" si="27"/>
        <v>12</v>
      </c>
      <c r="D438" s="130">
        <f t="shared" si="28"/>
        <v>0.24</v>
      </c>
      <c r="E438" s="131">
        <v>46321</v>
      </c>
      <c r="F438" s="131">
        <v>46322</v>
      </c>
      <c r="G438" s="91">
        <f t="shared" si="30"/>
        <v>1</v>
      </c>
      <c r="H438" s="91">
        <v>1</v>
      </c>
      <c r="I438" s="91"/>
      <c r="J438" s="91">
        <v>17</v>
      </c>
      <c r="K438" s="91"/>
      <c r="L438" s="91"/>
      <c r="M438" s="91">
        <v>1</v>
      </c>
      <c r="N438" s="91"/>
      <c r="O438" s="91"/>
      <c r="P438" s="91"/>
      <c r="Q438" s="91"/>
      <c r="R438" s="91"/>
      <c r="S438" s="91"/>
      <c r="T438" s="91">
        <v>1</v>
      </c>
      <c r="U438" s="91"/>
      <c r="V438" s="91"/>
      <c r="W438" s="91"/>
      <c r="X438" s="91"/>
      <c r="Y438" s="91"/>
      <c r="Z438" s="91"/>
      <c r="AA438" s="91"/>
      <c r="AB438" s="91"/>
      <c r="AC438" s="91">
        <v>3</v>
      </c>
      <c r="AD438" s="91"/>
      <c r="AE438" s="91"/>
      <c r="AF438" s="91">
        <v>1</v>
      </c>
      <c r="AG438" s="91"/>
      <c r="AH438" s="91">
        <v>1</v>
      </c>
      <c r="AI438" s="91"/>
      <c r="AJ438" s="91"/>
      <c r="AK438" s="91"/>
      <c r="AL438" s="91"/>
      <c r="AM438" s="91">
        <v>2</v>
      </c>
      <c r="AN438" s="91"/>
      <c r="AO438" s="91"/>
      <c r="AP438" s="91"/>
      <c r="AQ438" s="91"/>
      <c r="AR438" s="91"/>
      <c r="AS438" s="91"/>
      <c r="AT438" s="91"/>
      <c r="AU438" s="91"/>
      <c r="AV438" s="91"/>
      <c r="AW438" s="91">
        <v>6</v>
      </c>
      <c r="AX438" s="91"/>
      <c r="AY438" s="91"/>
      <c r="AZ438" s="91"/>
      <c r="BA438" s="91">
        <v>3</v>
      </c>
      <c r="BB438" s="91">
        <v>1</v>
      </c>
      <c r="BC438" s="91">
        <v>2</v>
      </c>
      <c r="BD438" s="91"/>
      <c r="BE438" s="91"/>
      <c r="BF438" s="91"/>
      <c r="BG438" s="91"/>
      <c r="BH438" s="91"/>
    </row>
    <row r="439" spans="1:60" x14ac:dyDescent="0.25">
      <c r="A439" s="91" t="s">
        <v>181</v>
      </c>
      <c r="B439" s="129">
        <f t="shared" si="26"/>
        <v>38</v>
      </c>
      <c r="C439" s="91">
        <f t="shared" si="27"/>
        <v>1</v>
      </c>
      <c r="D439" s="130">
        <f t="shared" si="28"/>
        <v>0.02</v>
      </c>
      <c r="E439" s="131">
        <v>46317</v>
      </c>
      <c r="F439" s="131">
        <v>46317</v>
      </c>
      <c r="G439" s="91">
        <f t="shared" si="30"/>
        <v>0</v>
      </c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>
        <v>8</v>
      </c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>
        <v>15</v>
      </c>
      <c r="BG439" s="91">
        <v>15</v>
      </c>
      <c r="BH439" s="91"/>
    </row>
    <row r="440" spans="1:60" x14ac:dyDescent="0.25">
      <c r="A440" s="91" t="s">
        <v>147</v>
      </c>
      <c r="B440" s="129">
        <f t="shared" si="26"/>
        <v>38</v>
      </c>
      <c r="C440" s="91">
        <f t="shared" si="27"/>
        <v>1</v>
      </c>
      <c r="D440" s="130">
        <f t="shared" si="28"/>
        <v>0.02</v>
      </c>
      <c r="E440" s="131">
        <v>46317</v>
      </c>
      <c r="F440" s="131">
        <v>46317</v>
      </c>
      <c r="G440" s="91">
        <f t="shared" si="30"/>
        <v>0</v>
      </c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>
        <v>8</v>
      </c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>
        <v>15</v>
      </c>
      <c r="BG440" s="91">
        <v>15</v>
      </c>
      <c r="BH440" s="91"/>
    </row>
    <row r="441" spans="1:60" x14ac:dyDescent="0.25">
      <c r="A441" s="91" t="s">
        <v>191</v>
      </c>
      <c r="B441" s="129">
        <f t="shared" si="26"/>
        <v>38</v>
      </c>
      <c r="C441" s="91">
        <f t="shared" si="27"/>
        <v>1</v>
      </c>
      <c r="D441" s="130">
        <f t="shared" si="28"/>
        <v>0.02</v>
      </c>
      <c r="E441" s="131">
        <v>46317</v>
      </c>
      <c r="F441" s="131">
        <v>46317</v>
      </c>
      <c r="G441" s="91">
        <f t="shared" si="30"/>
        <v>0</v>
      </c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>
        <v>8</v>
      </c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>
        <v>15</v>
      </c>
      <c r="BG441" s="91">
        <v>15</v>
      </c>
      <c r="BH441" s="91"/>
    </row>
    <row r="442" spans="1:60" x14ac:dyDescent="0.25">
      <c r="A442" s="91" t="s">
        <v>156</v>
      </c>
      <c r="B442" s="129">
        <f t="shared" si="26"/>
        <v>38</v>
      </c>
      <c r="C442" s="91">
        <f t="shared" si="27"/>
        <v>1</v>
      </c>
      <c r="D442" s="130">
        <f t="shared" si="28"/>
        <v>0.02</v>
      </c>
      <c r="E442" s="131">
        <v>46317</v>
      </c>
      <c r="F442" s="131">
        <v>46317</v>
      </c>
      <c r="G442" s="91">
        <f t="shared" si="30"/>
        <v>0</v>
      </c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>
        <v>8</v>
      </c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>
        <v>15</v>
      </c>
      <c r="BG442" s="91">
        <v>15</v>
      </c>
      <c r="BH442" s="91"/>
    </row>
    <row r="443" spans="1:60" x14ac:dyDescent="0.25">
      <c r="A443" s="91" t="s">
        <v>217</v>
      </c>
      <c r="B443" s="129">
        <f t="shared" si="26"/>
        <v>36</v>
      </c>
      <c r="C443" s="91">
        <f t="shared" si="27"/>
        <v>1</v>
      </c>
      <c r="D443" s="130">
        <f t="shared" si="28"/>
        <v>0.02</v>
      </c>
      <c r="E443" s="131">
        <v>46317</v>
      </c>
      <c r="F443" s="131">
        <v>46317</v>
      </c>
      <c r="G443" s="91">
        <f t="shared" si="30"/>
        <v>0</v>
      </c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>
        <v>8</v>
      </c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>
        <v>14</v>
      </c>
      <c r="BG443" s="91">
        <v>14</v>
      </c>
      <c r="BH443" s="91"/>
    </row>
    <row r="444" spans="1:60" x14ac:dyDescent="0.25">
      <c r="A444" s="91" t="s">
        <v>946</v>
      </c>
      <c r="B444" s="129">
        <f t="shared" si="26"/>
        <v>35</v>
      </c>
      <c r="C444" s="91">
        <f t="shared" si="27"/>
        <v>20</v>
      </c>
      <c r="D444" s="130">
        <f t="shared" si="28"/>
        <v>0.4</v>
      </c>
      <c r="E444" s="131">
        <v>46322</v>
      </c>
      <c r="F444" s="131">
        <v>46322</v>
      </c>
      <c r="G444" s="91">
        <f t="shared" si="30"/>
        <v>0</v>
      </c>
      <c r="H444" s="91"/>
      <c r="I444" s="91">
        <v>1</v>
      </c>
      <c r="J444" s="91"/>
      <c r="K444" s="91"/>
      <c r="L444" s="91"/>
      <c r="M444" s="91">
        <v>1</v>
      </c>
      <c r="N444" s="91"/>
      <c r="O444" s="91"/>
      <c r="P444" s="91"/>
      <c r="Q444" s="91"/>
      <c r="R444" s="91"/>
      <c r="S444" s="91">
        <v>1</v>
      </c>
      <c r="T444" s="91">
        <v>1</v>
      </c>
      <c r="U444" s="91"/>
      <c r="V444" s="91">
        <v>1</v>
      </c>
      <c r="W444" s="91">
        <v>1</v>
      </c>
      <c r="X444" s="91">
        <v>2</v>
      </c>
      <c r="Y444" s="91"/>
      <c r="Z444" s="91">
        <v>1</v>
      </c>
      <c r="AA444" s="91"/>
      <c r="AB444" s="91">
        <v>3</v>
      </c>
      <c r="AC444" s="91">
        <v>1</v>
      </c>
      <c r="AD444" s="91">
        <v>3</v>
      </c>
      <c r="AE444" s="91">
        <v>1</v>
      </c>
      <c r="AF444" s="91"/>
      <c r="AG444" s="91"/>
      <c r="AH444" s="91"/>
      <c r="AI444" s="91"/>
      <c r="AJ444" s="91">
        <v>4</v>
      </c>
      <c r="AK444" s="91"/>
      <c r="AL444" s="91"/>
      <c r="AM444" s="91">
        <v>3</v>
      </c>
      <c r="AN444" s="91">
        <v>1</v>
      </c>
      <c r="AO444" s="91">
        <v>2</v>
      </c>
      <c r="AP444" s="91">
        <v>1</v>
      </c>
      <c r="AQ444" s="91"/>
      <c r="AR444" s="91"/>
      <c r="AS444" s="91"/>
      <c r="AT444" s="91"/>
      <c r="AU444" s="91">
        <v>1</v>
      </c>
      <c r="AV444" s="91"/>
      <c r="AW444" s="91"/>
      <c r="AX444" s="91"/>
      <c r="AY444" s="91"/>
      <c r="AZ444" s="91"/>
      <c r="BA444" s="91"/>
      <c r="BB444" s="91"/>
      <c r="BC444" s="91">
        <v>3</v>
      </c>
      <c r="BD444" s="91"/>
      <c r="BE444" s="91">
        <v>3</v>
      </c>
      <c r="BF444" s="91"/>
      <c r="BG444" s="91"/>
      <c r="BH444" s="91"/>
    </row>
    <row r="445" spans="1:60" x14ac:dyDescent="0.25">
      <c r="A445" s="91" t="s">
        <v>297</v>
      </c>
      <c r="B445" s="129">
        <f t="shared" si="26"/>
        <v>34</v>
      </c>
      <c r="C445" s="91">
        <f t="shared" si="27"/>
        <v>1</v>
      </c>
      <c r="D445" s="130">
        <f t="shared" si="28"/>
        <v>0.02</v>
      </c>
      <c r="E445" s="131">
        <v>46310</v>
      </c>
      <c r="F445" s="131">
        <v>46310</v>
      </c>
      <c r="G445" s="91">
        <f t="shared" si="30"/>
        <v>0</v>
      </c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>
        <v>2</v>
      </c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>
        <v>16</v>
      </c>
      <c r="BG445" s="91">
        <v>16</v>
      </c>
      <c r="BH445" s="91"/>
    </row>
    <row r="446" spans="1:60" x14ac:dyDescent="0.25">
      <c r="A446" s="91" t="s">
        <v>343</v>
      </c>
      <c r="B446" s="129">
        <f t="shared" si="26"/>
        <v>33</v>
      </c>
      <c r="C446" s="91">
        <f t="shared" si="27"/>
        <v>1</v>
      </c>
      <c r="D446" s="130">
        <f t="shared" si="28"/>
        <v>0.02</v>
      </c>
      <c r="E446" s="131">
        <v>46315</v>
      </c>
      <c r="F446" s="131">
        <v>46315</v>
      </c>
      <c r="G446" s="91">
        <f t="shared" si="30"/>
        <v>0</v>
      </c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>
        <v>1</v>
      </c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>
        <v>16</v>
      </c>
      <c r="BG446" s="91">
        <v>16</v>
      </c>
      <c r="BH446" s="91"/>
    </row>
    <row r="447" spans="1:60" x14ac:dyDescent="0.25">
      <c r="A447" s="91" t="s">
        <v>356</v>
      </c>
      <c r="B447" s="129">
        <f t="shared" si="26"/>
        <v>33</v>
      </c>
      <c r="C447" s="91">
        <f t="shared" si="27"/>
        <v>1</v>
      </c>
      <c r="D447" s="130">
        <f t="shared" si="28"/>
        <v>0.02</v>
      </c>
      <c r="E447" s="131">
        <v>46314</v>
      </c>
      <c r="F447" s="131">
        <v>46314</v>
      </c>
      <c r="G447" s="91">
        <f t="shared" si="30"/>
        <v>0</v>
      </c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>
        <v>1</v>
      </c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>
        <v>16</v>
      </c>
      <c r="BG447" s="91">
        <v>16</v>
      </c>
      <c r="BH447" s="91"/>
    </row>
    <row r="448" spans="1:60" x14ac:dyDescent="0.25">
      <c r="A448" s="91" t="s">
        <v>947</v>
      </c>
      <c r="B448" s="129">
        <f t="shared" si="26"/>
        <v>33</v>
      </c>
      <c r="C448" s="91">
        <f t="shared" si="27"/>
        <v>15</v>
      </c>
      <c r="D448" s="130">
        <f t="shared" si="28"/>
        <v>0.3</v>
      </c>
      <c r="E448" s="131">
        <v>46321</v>
      </c>
      <c r="F448" s="131">
        <v>46322</v>
      </c>
      <c r="G448" s="91">
        <f t="shared" si="30"/>
        <v>1</v>
      </c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>
        <v>4</v>
      </c>
      <c r="S448" s="91">
        <v>4</v>
      </c>
      <c r="T448" s="91"/>
      <c r="U448" s="91">
        <v>1</v>
      </c>
      <c r="V448" s="91">
        <v>3</v>
      </c>
      <c r="W448" s="91"/>
      <c r="X448" s="91"/>
      <c r="Y448" s="91">
        <v>1</v>
      </c>
      <c r="Z448" s="91"/>
      <c r="AA448" s="91">
        <v>1</v>
      </c>
      <c r="AB448" s="91">
        <v>1</v>
      </c>
      <c r="AC448" s="91">
        <v>1</v>
      </c>
      <c r="AD448" s="91">
        <v>1</v>
      </c>
      <c r="AE448" s="91"/>
      <c r="AF448" s="91"/>
      <c r="AG448" s="91"/>
      <c r="AH448" s="91"/>
      <c r="AI448" s="91"/>
      <c r="AJ448" s="91">
        <v>2</v>
      </c>
      <c r="AK448" s="91"/>
      <c r="AL448" s="91"/>
      <c r="AM448" s="91"/>
      <c r="AN448" s="91">
        <v>4</v>
      </c>
      <c r="AO448" s="91">
        <v>1</v>
      </c>
      <c r="AP448" s="91"/>
      <c r="AQ448" s="91"/>
      <c r="AR448" s="91"/>
      <c r="AS448" s="91"/>
      <c r="AT448" s="91"/>
      <c r="AU448" s="91"/>
      <c r="AV448" s="91"/>
      <c r="AW448" s="91">
        <v>5</v>
      </c>
      <c r="AX448" s="91"/>
      <c r="AY448" s="91">
        <v>2</v>
      </c>
      <c r="AZ448" s="91"/>
      <c r="BA448" s="91"/>
      <c r="BB448" s="91">
        <v>2</v>
      </c>
      <c r="BC448" s="91"/>
      <c r="BD448" s="91"/>
      <c r="BE448" s="91"/>
      <c r="BF448" s="91"/>
      <c r="BG448" s="91"/>
      <c r="BH448" s="91"/>
    </row>
    <row r="449" spans="1:60" x14ac:dyDescent="0.25">
      <c r="A449" s="91" t="s">
        <v>948</v>
      </c>
      <c r="B449" s="129">
        <f t="shared" si="26"/>
        <v>33</v>
      </c>
      <c r="C449" s="91">
        <f t="shared" si="27"/>
        <v>11</v>
      </c>
      <c r="D449" s="130">
        <f t="shared" si="28"/>
        <v>0.22</v>
      </c>
      <c r="E449" s="131">
        <v>46323</v>
      </c>
      <c r="F449" s="131">
        <v>46323</v>
      </c>
      <c r="G449" s="91">
        <f t="shared" si="30"/>
        <v>0</v>
      </c>
      <c r="H449" s="91"/>
      <c r="I449" s="91"/>
      <c r="J449" s="91"/>
      <c r="K449" s="91"/>
      <c r="L449" s="91">
        <v>5</v>
      </c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>
        <v>2</v>
      </c>
      <c r="AA449" s="91"/>
      <c r="AB449" s="91"/>
      <c r="AC449" s="91">
        <v>1</v>
      </c>
      <c r="AD449" s="91"/>
      <c r="AE449" s="91">
        <v>1</v>
      </c>
      <c r="AF449" s="91"/>
      <c r="AG449" s="91"/>
      <c r="AH449" s="91"/>
      <c r="AI449" s="91">
        <v>8</v>
      </c>
      <c r="AJ449" s="91"/>
      <c r="AK449" s="91">
        <v>1</v>
      </c>
      <c r="AL449" s="91"/>
      <c r="AM449" s="91"/>
      <c r="AN449" s="91"/>
      <c r="AO449" s="91">
        <v>1</v>
      </c>
      <c r="AP449" s="91"/>
      <c r="AQ449" s="91"/>
      <c r="AR449" s="91"/>
      <c r="AS449" s="91"/>
      <c r="AT449" s="91"/>
      <c r="AU449" s="91"/>
      <c r="AV449" s="91">
        <v>4</v>
      </c>
      <c r="AW449" s="91">
        <v>5</v>
      </c>
      <c r="AX449" s="91"/>
      <c r="AY449" s="91"/>
      <c r="AZ449" s="91"/>
      <c r="BA449" s="91"/>
      <c r="BB449" s="91"/>
      <c r="BC449" s="91">
        <v>4</v>
      </c>
      <c r="BD449" s="91"/>
      <c r="BE449" s="91">
        <v>1</v>
      </c>
      <c r="BF449" s="91"/>
      <c r="BG449" s="91"/>
      <c r="BH449" s="91"/>
    </row>
    <row r="450" spans="1:60" x14ac:dyDescent="0.25">
      <c r="A450" s="91" t="s">
        <v>357</v>
      </c>
      <c r="B450" s="129">
        <f t="shared" si="26"/>
        <v>32</v>
      </c>
      <c r="C450" s="91">
        <f t="shared" si="27"/>
        <v>1</v>
      </c>
      <c r="D450" s="130">
        <f t="shared" si="28"/>
        <v>0.02</v>
      </c>
      <c r="E450" s="131">
        <v>46322</v>
      </c>
      <c r="F450" s="131">
        <v>46322</v>
      </c>
      <c r="G450" s="91">
        <f t="shared" si="30"/>
        <v>0</v>
      </c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>
        <v>2</v>
      </c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>
        <v>15</v>
      </c>
      <c r="BG450" s="91">
        <v>15</v>
      </c>
      <c r="BH450" s="91"/>
    </row>
    <row r="451" spans="1:60" x14ac:dyDescent="0.25">
      <c r="A451" s="91" t="s">
        <v>949</v>
      </c>
      <c r="B451" s="129">
        <f t="shared" si="26"/>
        <v>32</v>
      </c>
      <c r="C451" s="91">
        <f t="shared" si="27"/>
        <v>23</v>
      </c>
      <c r="D451" s="130">
        <f t="shared" si="28"/>
        <v>0.46</v>
      </c>
      <c r="E451" s="131">
        <v>46295</v>
      </c>
      <c r="F451" s="131">
        <v>46323</v>
      </c>
      <c r="G451" s="91">
        <f t="shared" si="30"/>
        <v>28</v>
      </c>
      <c r="H451" s="91"/>
      <c r="I451" s="91"/>
      <c r="J451" s="91">
        <v>1</v>
      </c>
      <c r="K451" s="91"/>
      <c r="L451" s="91">
        <v>1</v>
      </c>
      <c r="M451" s="91"/>
      <c r="N451" s="91"/>
      <c r="O451" s="91"/>
      <c r="P451" s="91"/>
      <c r="Q451" s="91">
        <v>1</v>
      </c>
      <c r="R451" s="91">
        <v>1</v>
      </c>
      <c r="S451" s="91">
        <v>1</v>
      </c>
      <c r="T451" s="91"/>
      <c r="U451" s="91"/>
      <c r="V451" s="91"/>
      <c r="W451" s="91">
        <v>1</v>
      </c>
      <c r="X451" s="91">
        <v>1</v>
      </c>
      <c r="Y451" s="91">
        <v>4</v>
      </c>
      <c r="Z451" s="91">
        <v>1</v>
      </c>
      <c r="AA451" s="91"/>
      <c r="AB451" s="91">
        <v>1</v>
      </c>
      <c r="AC451" s="91">
        <v>1</v>
      </c>
      <c r="AD451" s="91"/>
      <c r="AE451" s="91"/>
      <c r="AF451" s="91">
        <v>1</v>
      </c>
      <c r="AG451" s="91">
        <v>3</v>
      </c>
      <c r="AH451" s="91">
        <v>1</v>
      </c>
      <c r="AI451" s="91"/>
      <c r="AJ451" s="91">
        <v>2</v>
      </c>
      <c r="AK451" s="91">
        <v>1</v>
      </c>
      <c r="AL451" s="91"/>
      <c r="AM451" s="91">
        <v>1</v>
      </c>
      <c r="AN451" s="91">
        <v>1</v>
      </c>
      <c r="AO451" s="91"/>
      <c r="AP451" s="91"/>
      <c r="AQ451" s="91"/>
      <c r="AR451" s="91"/>
      <c r="AS451" s="91"/>
      <c r="AT451" s="91">
        <v>1</v>
      </c>
      <c r="AU451" s="91"/>
      <c r="AV451" s="91"/>
      <c r="AW451" s="91"/>
      <c r="AX451" s="91"/>
      <c r="AY451" s="91">
        <v>1</v>
      </c>
      <c r="AZ451" s="91"/>
      <c r="BA451" s="91"/>
      <c r="BB451" s="91">
        <v>1</v>
      </c>
      <c r="BC451" s="91"/>
      <c r="BD451" s="91">
        <v>1</v>
      </c>
      <c r="BE451" s="91">
        <v>1</v>
      </c>
      <c r="BF451" s="91">
        <v>3</v>
      </c>
      <c r="BG451" s="91"/>
      <c r="BH451" s="91"/>
    </row>
    <row r="452" spans="1:60" x14ac:dyDescent="0.25">
      <c r="A452" s="91" t="s">
        <v>96</v>
      </c>
      <c r="B452" s="129">
        <f t="shared" si="26"/>
        <v>32</v>
      </c>
      <c r="C452" s="91">
        <f t="shared" si="27"/>
        <v>2</v>
      </c>
      <c r="D452" s="130">
        <f t="shared" si="28"/>
        <v>0.04</v>
      </c>
      <c r="E452" s="131">
        <v>46318</v>
      </c>
      <c r="F452" s="131">
        <v>46319</v>
      </c>
      <c r="G452" s="91">
        <f t="shared" si="30"/>
        <v>1</v>
      </c>
      <c r="H452" s="91"/>
      <c r="I452" s="91"/>
      <c r="J452" s="91"/>
      <c r="K452" s="91"/>
      <c r="L452" s="91">
        <v>16</v>
      </c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>
        <v>16</v>
      </c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</row>
    <row r="453" spans="1:60" x14ac:dyDescent="0.25">
      <c r="A453" s="91" t="s">
        <v>950</v>
      </c>
      <c r="B453" s="129">
        <f t="shared" si="26"/>
        <v>32</v>
      </c>
      <c r="C453" s="91">
        <f t="shared" si="27"/>
        <v>15</v>
      </c>
      <c r="D453" s="130">
        <f t="shared" si="28"/>
        <v>0.3</v>
      </c>
      <c r="E453" s="131">
        <v>46321</v>
      </c>
      <c r="F453" s="131">
        <v>46322</v>
      </c>
      <c r="G453" s="91">
        <f t="shared" si="30"/>
        <v>1</v>
      </c>
      <c r="H453" s="91">
        <v>1</v>
      </c>
      <c r="I453" s="91">
        <v>2</v>
      </c>
      <c r="J453" s="91"/>
      <c r="K453" s="91"/>
      <c r="L453" s="91"/>
      <c r="M453" s="91"/>
      <c r="N453" s="91"/>
      <c r="O453" s="91"/>
      <c r="P453" s="91"/>
      <c r="Q453" s="91">
        <v>1</v>
      </c>
      <c r="R453" s="91"/>
      <c r="S453" s="91">
        <v>4</v>
      </c>
      <c r="T453" s="91">
        <v>2</v>
      </c>
      <c r="U453" s="91"/>
      <c r="V453" s="91">
        <v>1</v>
      </c>
      <c r="W453" s="91"/>
      <c r="X453" s="91"/>
      <c r="Y453" s="91"/>
      <c r="Z453" s="91">
        <v>2</v>
      </c>
      <c r="AA453" s="91"/>
      <c r="AB453" s="91"/>
      <c r="AC453" s="91"/>
      <c r="AD453" s="91"/>
      <c r="AE453" s="91">
        <v>1</v>
      </c>
      <c r="AF453" s="91"/>
      <c r="AG453" s="91"/>
      <c r="AH453" s="91"/>
      <c r="AI453" s="91">
        <v>2</v>
      </c>
      <c r="AJ453" s="91"/>
      <c r="AK453" s="91">
        <v>2</v>
      </c>
      <c r="AL453" s="91"/>
      <c r="AM453" s="91"/>
      <c r="AN453" s="91"/>
      <c r="AO453" s="91"/>
      <c r="AP453" s="91"/>
      <c r="AQ453" s="91">
        <v>1</v>
      </c>
      <c r="AR453" s="91"/>
      <c r="AS453" s="91"/>
      <c r="AT453" s="91">
        <v>2</v>
      </c>
      <c r="AU453" s="91"/>
      <c r="AV453" s="91">
        <v>3</v>
      </c>
      <c r="AW453" s="91"/>
      <c r="AX453" s="91"/>
      <c r="AY453" s="91">
        <v>7</v>
      </c>
      <c r="AZ453" s="91"/>
      <c r="BA453" s="91"/>
      <c r="BB453" s="91">
        <v>1</v>
      </c>
      <c r="BC453" s="91"/>
      <c r="BD453" s="91"/>
      <c r="BE453" s="91"/>
      <c r="BF453" s="91"/>
      <c r="BG453" s="91"/>
      <c r="BH453" s="91"/>
    </row>
    <row r="454" spans="1:60" x14ac:dyDescent="0.25">
      <c r="A454" s="91" t="s">
        <v>951</v>
      </c>
      <c r="B454" s="129">
        <f t="shared" si="26"/>
        <v>31</v>
      </c>
      <c r="C454" s="91">
        <f t="shared" si="27"/>
        <v>3</v>
      </c>
      <c r="D454" s="130">
        <f t="shared" si="28"/>
        <v>0.06</v>
      </c>
      <c r="E454" s="131">
        <v>46252</v>
      </c>
      <c r="F454" s="131">
        <v>46252</v>
      </c>
      <c r="G454" s="91">
        <f t="shared" si="30"/>
        <v>0</v>
      </c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>
        <v>12</v>
      </c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>
        <v>6</v>
      </c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>
        <v>13</v>
      </c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</row>
    <row r="455" spans="1:60" x14ac:dyDescent="0.25">
      <c r="A455" s="91" t="s">
        <v>952</v>
      </c>
      <c r="B455" s="129">
        <f t="shared" si="26"/>
        <v>31</v>
      </c>
      <c r="C455" s="91">
        <f t="shared" si="27"/>
        <v>16</v>
      </c>
      <c r="D455" s="130">
        <f t="shared" si="28"/>
        <v>0.32</v>
      </c>
      <c r="E455" s="131">
        <v>46321</v>
      </c>
      <c r="F455" s="131">
        <v>46322</v>
      </c>
      <c r="G455" s="91">
        <f t="shared" si="30"/>
        <v>1</v>
      </c>
      <c r="H455" s="91"/>
      <c r="I455" s="91"/>
      <c r="J455" s="91">
        <v>1</v>
      </c>
      <c r="K455" s="91"/>
      <c r="L455" s="91"/>
      <c r="M455" s="91"/>
      <c r="N455" s="91">
        <v>1</v>
      </c>
      <c r="O455" s="91"/>
      <c r="P455" s="91"/>
      <c r="Q455" s="91"/>
      <c r="R455" s="91"/>
      <c r="S455" s="91">
        <v>4</v>
      </c>
      <c r="T455" s="91"/>
      <c r="U455" s="91"/>
      <c r="V455" s="91"/>
      <c r="W455" s="91"/>
      <c r="X455" s="91">
        <v>1</v>
      </c>
      <c r="Y455" s="91"/>
      <c r="Z455" s="91"/>
      <c r="AA455" s="91"/>
      <c r="AB455" s="91">
        <v>1</v>
      </c>
      <c r="AC455" s="91">
        <v>4</v>
      </c>
      <c r="AD455" s="91">
        <v>2</v>
      </c>
      <c r="AE455" s="91"/>
      <c r="AF455" s="91"/>
      <c r="AG455" s="91"/>
      <c r="AH455" s="91"/>
      <c r="AI455" s="91"/>
      <c r="AJ455" s="91">
        <v>1</v>
      </c>
      <c r="AK455" s="91">
        <v>2</v>
      </c>
      <c r="AL455" s="91"/>
      <c r="AM455" s="91"/>
      <c r="AN455" s="91"/>
      <c r="AO455" s="91">
        <v>2</v>
      </c>
      <c r="AP455" s="91">
        <v>2</v>
      </c>
      <c r="AQ455" s="91"/>
      <c r="AR455" s="91"/>
      <c r="AS455" s="91">
        <v>1</v>
      </c>
      <c r="AT455" s="91">
        <v>3</v>
      </c>
      <c r="AU455" s="91"/>
      <c r="AV455" s="91">
        <v>3</v>
      </c>
      <c r="AW455" s="91"/>
      <c r="AX455" s="91"/>
      <c r="AY455" s="91">
        <v>2</v>
      </c>
      <c r="AZ455" s="91"/>
      <c r="BA455" s="91"/>
      <c r="BB455" s="91"/>
      <c r="BC455" s="91"/>
      <c r="BD455" s="91">
        <v>1</v>
      </c>
      <c r="BE455" s="91"/>
      <c r="BF455" s="91"/>
      <c r="BG455" s="91"/>
      <c r="BH455" s="91"/>
    </row>
    <row r="456" spans="1:60" x14ac:dyDescent="0.25">
      <c r="A456" s="91" t="s">
        <v>248</v>
      </c>
      <c r="B456" s="129">
        <f t="shared" ref="B456:B519" si="31">SUM(H456:BH456)</f>
        <v>30</v>
      </c>
      <c r="C456" s="91">
        <f t="shared" ref="C456:C519" si="32">COUNTIF(H456:BE456,"&gt;0")</f>
        <v>1</v>
      </c>
      <c r="D456" s="130">
        <f t="shared" ref="D456:D519" si="33">IFERROR(C456/TIENDAS,0)</f>
        <v>0.02</v>
      </c>
      <c r="E456" s="131">
        <v>46323</v>
      </c>
      <c r="F456" s="131">
        <v>46323</v>
      </c>
      <c r="G456" s="91">
        <f t="shared" si="30"/>
        <v>0</v>
      </c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>
        <v>4</v>
      </c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>
        <v>13</v>
      </c>
      <c r="BG456" s="91">
        <v>13</v>
      </c>
      <c r="BH456" s="91"/>
    </row>
    <row r="457" spans="1:60" x14ac:dyDescent="0.25">
      <c r="A457" s="91" t="s">
        <v>953</v>
      </c>
      <c r="B457" s="129">
        <f t="shared" si="31"/>
        <v>29</v>
      </c>
      <c r="C457" s="91">
        <f t="shared" si="32"/>
        <v>8</v>
      </c>
      <c r="D457" s="130">
        <f t="shared" si="33"/>
        <v>0.16</v>
      </c>
      <c r="E457" s="131">
        <v>46244</v>
      </c>
      <c r="F457" s="131">
        <v>46246</v>
      </c>
      <c r="G457" s="91">
        <f t="shared" si="30"/>
        <v>2</v>
      </c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>
        <v>3</v>
      </c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>
        <v>4</v>
      </c>
      <c r="AD457" s="91">
        <v>4</v>
      </c>
      <c r="AE457" s="91"/>
      <c r="AF457" s="91"/>
      <c r="AG457" s="91">
        <v>2</v>
      </c>
      <c r="AH457" s="91"/>
      <c r="AI457" s="91"/>
      <c r="AJ457" s="91"/>
      <c r="AK457" s="91"/>
      <c r="AL457" s="91"/>
      <c r="AM457" s="91"/>
      <c r="AN457" s="91"/>
      <c r="AO457" s="91">
        <v>6</v>
      </c>
      <c r="AP457" s="91"/>
      <c r="AQ457" s="91"/>
      <c r="AR457" s="91"/>
      <c r="AS457" s="91">
        <v>4</v>
      </c>
      <c r="AT457" s="91"/>
      <c r="AU457" s="91"/>
      <c r="AV457" s="91"/>
      <c r="AW457" s="91"/>
      <c r="AX457" s="91"/>
      <c r="AY457" s="91">
        <v>3</v>
      </c>
      <c r="AZ457" s="91"/>
      <c r="BA457" s="91"/>
      <c r="BB457" s="91"/>
      <c r="BC457" s="91"/>
      <c r="BD457" s="91">
        <v>3</v>
      </c>
      <c r="BE457" s="91"/>
      <c r="BF457" s="91"/>
      <c r="BG457" s="91"/>
      <c r="BH457" s="91"/>
    </row>
    <row r="458" spans="1:60" x14ac:dyDescent="0.25">
      <c r="A458" s="91" t="s">
        <v>318</v>
      </c>
      <c r="B458" s="129">
        <f t="shared" si="31"/>
        <v>29</v>
      </c>
      <c r="C458" s="91">
        <f t="shared" si="32"/>
        <v>1</v>
      </c>
      <c r="D458" s="130">
        <f t="shared" si="33"/>
        <v>0.02</v>
      </c>
      <c r="E458" s="131">
        <v>46310</v>
      </c>
      <c r="F458" s="131">
        <v>46310</v>
      </c>
      <c r="G458" s="91">
        <f t="shared" si="30"/>
        <v>0</v>
      </c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>
        <v>1</v>
      </c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>
        <v>14</v>
      </c>
      <c r="BG458" s="91">
        <v>14</v>
      </c>
      <c r="BH458" s="91"/>
    </row>
    <row r="459" spans="1:60" x14ac:dyDescent="0.25">
      <c r="A459" s="91" t="s">
        <v>954</v>
      </c>
      <c r="B459" s="129">
        <f t="shared" si="31"/>
        <v>29</v>
      </c>
      <c r="C459" s="91">
        <f t="shared" si="32"/>
        <v>18</v>
      </c>
      <c r="D459" s="130">
        <f t="shared" si="33"/>
        <v>0.36</v>
      </c>
      <c r="E459" s="131">
        <v>46296</v>
      </c>
      <c r="F459" s="131">
        <v>46322</v>
      </c>
      <c r="G459" s="91">
        <f t="shared" si="30"/>
        <v>26</v>
      </c>
      <c r="H459" s="91"/>
      <c r="I459" s="91"/>
      <c r="J459" s="91">
        <v>2</v>
      </c>
      <c r="K459" s="91"/>
      <c r="L459" s="91">
        <v>1</v>
      </c>
      <c r="M459" s="91">
        <v>2</v>
      </c>
      <c r="N459" s="91"/>
      <c r="O459" s="91"/>
      <c r="P459" s="91"/>
      <c r="Q459" s="91"/>
      <c r="R459" s="91"/>
      <c r="S459" s="91">
        <v>1</v>
      </c>
      <c r="T459" s="91">
        <v>1</v>
      </c>
      <c r="U459" s="91"/>
      <c r="V459" s="91">
        <v>1</v>
      </c>
      <c r="W459" s="91"/>
      <c r="X459" s="91"/>
      <c r="Y459" s="91">
        <v>4</v>
      </c>
      <c r="Z459" s="91">
        <v>2</v>
      </c>
      <c r="AA459" s="91"/>
      <c r="AB459" s="91"/>
      <c r="AC459" s="91">
        <v>2</v>
      </c>
      <c r="AD459" s="91"/>
      <c r="AE459" s="91">
        <v>1</v>
      </c>
      <c r="AF459" s="91"/>
      <c r="AG459" s="91"/>
      <c r="AH459" s="91"/>
      <c r="AI459" s="91"/>
      <c r="AJ459" s="91">
        <v>1</v>
      </c>
      <c r="AK459" s="91">
        <v>1</v>
      </c>
      <c r="AL459" s="91"/>
      <c r="AM459" s="91"/>
      <c r="AN459" s="91"/>
      <c r="AO459" s="91"/>
      <c r="AP459" s="91"/>
      <c r="AQ459" s="91"/>
      <c r="AR459" s="91"/>
      <c r="AS459" s="91">
        <v>1</v>
      </c>
      <c r="AT459" s="91">
        <v>3</v>
      </c>
      <c r="AU459" s="91"/>
      <c r="AV459" s="91"/>
      <c r="AW459" s="91"/>
      <c r="AX459" s="91"/>
      <c r="AY459" s="91"/>
      <c r="AZ459" s="91">
        <v>1</v>
      </c>
      <c r="BA459" s="91"/>
      <c r="BB459" s="91">
        <v>2</v>
      </c>
      <c r="BC459" s="91">
        <v>2</v>
      </c>
      <c r="BD459" s="91"/>
      <c r="BE459" s="91">
        <v>1</v>
      </c>
      <c r="BF459" s="91"/>
      <c r="BG459" s="91"/>
      <c r="BH459" s="91"/>
    </row>
    <row r="460" spans="1:60" x14ac:dyDescent="0.25">
      <c r="A460" s="91" t="s">
        <v>955</v>
      </c>
      <c r="B460" s="129">
        <f t="shared" si="31"/>
        <v>29</v>
      </c>
      <c r="C460" s="91">
        <f t="shared" si="32"/>
        <v>14</v>
      </c>
      <c r="D460" s="130">
        <f t="shared" si="33"/>
        <v>0.28000000000000003</v>
      </c>
      <c r="E460" s="131">
        <v>46321</v>
      </c>
      <c r="F460" s="131">
        <v>46322</v>
      </c>
      <c r="G460" s="91">
        <f t="shared" si="30"/>
        <v>1</v>
      </c>
      <c r="H460" s="91">
        <v>2</v>
      </c>
      <c r="I460" s="91"/>
      <c r="J460" s="91">
        <v>4</v>
      </c>
      <c r="K460" s="91"/>
      <c r="L460" s="91"/>
      <c r="M460" s="91"/>
      <c r="N460" s="91">
        <v>1</v>
      </c>
      <c r="O460" s="91"/>
      <c r="P460" s="91"/>
      <c r="Q460" s="91"/>
      <c r="R460" s="91"/>
      <c r="S460" s="91"/>
      <c r="T460" s="91"/>
      <c r="U460" s="91"/>
      <c r="V460" s="91">
        <v>2</v>
      </c>
      <c r="W460" s="91">
        <v>2</v>
      </c>
      <c r="X460" s="91"/>
      <c r="Y460" s="91"/>
      <c r="Z460" s="91">
        <v>2</v>
      </c>
      <c r="AA460" s="91"/>
      <c r="AB460" s="91"/>
      <c r="AC460" s="91">
        <v>2</v>
      </c>
      <c r="AD460" s="91"/>
      <c r="AE460" s="91"/>
      <c r="AF460" s="91"/>
      <c r="AG460" s="91"/>
      <c r="AH460" s="91"/>
      <c r="AI460" s="91"/>
      <c r="AJ460" s="91"/>
      <c r="AK460" s="91">
        <v>1</v>
      </c>
      <c r="AL460" s="91"/>
      <c r="AM460" s="91">
        <v>1</v>
      </c>
      <c r="AN460" s="91">
        <v>1</v>
      </c>
      <c r="AO460" s="91"/>
      <c r="AP460" s="91"/>
      <c r="AQ460" s="91"/>
      <c r="AR460" s="91"/>
      <c r="AS460" s="91"/>
      <c r="AT460" s="91"/>
      <c r="AU460" s="91"/>
      <c r="AV460" s="91">
        <v>2</v>
      </c>
      <c r="AW460" s="91"/>
      <c r="AX460" s="91"/>
      <c r="AY460" s="91"/>
      <c r="AZ460" s="91"/>
      <c r="BA460" s="91">
        <v>1</v>
      </c>
      <c r="BB460" s="91"/>
      <c r="BC460" s="91">
        <v>3</v>
      </c>
      <c r="BD460" s="91"/>
      <c r="BE460" s="91">
        <v>5</v>
      </c>
      <c r="BF460" s="91"/>
      <c r="BG460" s="91"/>
      <c r="BH460" s="91"/>
    </row>
    <row r="461" spans="1:60" x14ac:dyDescent="0.25">
      <c r="A461" s="91" t="s">
        <v>956</v>
      </c>
      <c r="B461" s="129">
        <f t="shared" si="31"/>
        <v>28</v>
      </c>
      <c r="C461" s="91">
        <f t="shared" si="32"/>
        <v>6</v>
      </c>
      <c r="D461" s="130">
        <f t="shared" si="33"/>
        <v>0.12</v>
      </c>
      <c r="E461" s="131">
        <v>46240</v>
      </c>
      <c r="F461" s="131">
        <v>46252</v>
      </c>
      <c r="G461" s="91">
        <f t="shared" si="30"/>
        <v>12</v>
      </c>
      <c r="H461" s="91"/>
      <c r="I461" s="91"/>
      <c r="J461" s="91"/>
      <c r="K461" s="91"/>
      <c r="L461" s="91">
        <v>2</v>
      </c>
      <c r="M461" s="91"/>
      <c r="N461" s="91"/>
      <c r="O461" s="91"/>
      <c r="P461" s="91"/>
      <c r="Q461" s="91"/>
      <c r="R461" s="91">
        <v>4</v>
      </c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>
        <v>2</v>
      </c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>
        <v>9</v>
      </c>
      <c r="AP461" s="91"/>
      <c r="AQ461" s="91"/>
      <c r="AR461" s="91"/>
      <c r="AS461" s="91"/>
      <c r="AT461" s="91"/>
      <c r="AU461" s="91">
        <v>2</v>
      </c>
      <c r="AV461" s="91"/>
      <c r="AW461" s="91">
        <v>7</v>
      </c>
      <c r="AX461" s="91"/>
      <c r="AY461" s="91"/>
      <c r="AZ461" s="91"/>
      <c r="BA461" s="91"/>
      <c r="BB461" s="91"/>
      <c r="BC461" s="91"/>
      <c r="BD461" s="91"/>
      <c r="BE461" s="91"/>
      <c r="BF461" s="91"/>
      <c r="BG461" s="91">
        <v>2</v>
      </c>
      <c r="BH461" s="91"/>
    </row>
    <row r="462" spans="1:60" x14ac:dyDescent="0.25">
      <c r="A462" s="91" t="s">
        <v>141</v>
      </c>
      <c r="B462" s="129">
        <f t="shared" si="31"/>
        <v>28</v>
      </c>
      <c r="C462" s="91">
        <f t="shared" si="32"/>
        <v>2</v>
      </c>
      <c r="D462" s="130">
        <f t="shared" si="33"/>
        <v>0.04</v>
      </c>
      <c r="E462" s="131">
        <v>46318</v>
      </c>
      <c r="F462" s="131">
        <v>46319</v>
      </c>
      <c r="G462" s="91">
        <f t="shared" si="30"/>
        <v>1</v>
      </c>
      <c r="H462" s="91"/>
      <c r="I462" s="91"/>
      <c r="J462" s="91"/>
      <c r="K462" s="91"/>
      <c r="L462" s="91">
        <v>14</v>
      </c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>
        <v>14</v>
      </c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</row>
    <row r="463" spans="1:60" x14ac:dyDescent="0.25">
      <c r="A463" s="91" t="s">
        <v>150</v>
      </c>
      <c r="B463" s="129">
        <f t="shared" si="31"/>
        <v>27</v>
      </c>
      <c r="C463" s="91">
        <f t="shared" si="32"/>
        <v>1</v>
      </c>
      <c r="D463" s="130">
        <f t="shared" si="33"/>
        <v>0.02</v>
      </c>
      <c r="E463" s="131">
        <v>46314</v>
      </c>
      <c r="F463" s="131">
        <v>46314</v>
      </c>
      <c r="G463" s="91">
        <f t="shared" si="30"/>
        <v>0</v>
      </c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>
        <v>1</v>
      </c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>
        <v>2</v>
      </c>
      <c r="BG463" s="91">
        <v>24</v>
      </c>
      <c r="BH463" s="91"/>
    </row>
    <row r="464" spans="1:60" x14ac:dyDescent="0.25">
      <c r="A464" s="91" t="s">
        <v>957</v>
      </c>
      <c r="B464" s="129">
        <f t="shared" si="31"/>
        <v>27</v>
      </c>
      <c r="C464" s="91">
        <f t="shared" si="32"/>
        <v>15</v>
      </c>
      <c r="D464" s="130">
        <f t="shared" si="33"/>
        <v>0.3</v>
      </c>
      <c r="E464" s="131">
        <v>46321</v>
      </c>
      <c r="F464" s="131">
        <v>46322</v>
      </c>
      <c r="G464" s="91">
        <f t="shared" si="30"/>
        <v>1</v>
      </c>
      <c r="H464" s="91">
        <v>2</v>
      </c>
      <c r="I464" s="91"/>
      <c r="J464" s="91"/>
      <c r="K464" s="91"/>
      <c r="L464" s="91">
        <v>3</v>
      </c>
      <c r="M464" s="91">
        <v>1</v>
      </c>
      <c r="N464" s="91"/>
      <c r="O464" s="91"/>
      <c r="P464" s="91">
        <v>1</v>
      </c>
      <c r="Q464" s="91"/>
      <c r="R464" s="91"/>
      <c r="S464" s="91"/>
      <c r="T464" s="91">
        <v>2</v>
      </c>
      <c r="U464" s="91"/>
      <c r="V464" s="91"/>
      <c r="W464" s="91">
        <v>1</v>
      </c>
      <c r="X464" s="91">
        <v>1</v>
      </c>
      <c r="Y464" s="91"/>
      <c r="Z464" s="91"/>
      <c r="AA464" s="91"/>
      <c r="AB464" s="91"/>
      <c r="AC464" s="91"/>
      <c r="AD464" s="91"/>
      <c r="AE464" s="91"/>
      <c r="AF464" s="91"/>
      <c r="AG464" s="91"/>
      <c r="AH464" s="91">
        <v>2</v>
      </c>
      <c r="AI464" s="91"/>
      <c r="AJ464" s="91"/>
      <c r="AK464" s="91"/>
      <c r="AL464" s="91">
        <v>1</v>
      </c>
      <c r="AM464" s="91"/>
      <c r="AN464" s="91">
        <v>1</v>
      </c>
      <c r="AO464" s="91"/>
      <c r="AP464" s="91"/>
      <c r="AQ464" s="91"/>
      <c r="AR464" s="91"/>
      <c r="AS464" s="91"/>
      <c r="AT464" s="91"/>
      <c r="AU464" s="91"/>
      <c r="AV464" s="91">
        <v>3</v>
      </c>
      <c r="AW464" s="91"/>
      <c r="AX464" s="91"/>
      <c r="AY464" s="91">
        <v>3</v>
      </c>
      <c r="AZ464" s="91"/>
      <c r="BA464" s="91"/>
      <c r="BB464" s="91">
        <v>2</v>
      </c>
      <c r="BC464" s="91">
        <v>2</v>
      </c>
      <c r="BD464" s="91"/>
      <c r="BE464" s="91">
        <v>2</v>
      </c>
      <c r="BF464" s="91"/>
      <c r="BG464" s="91"/>
      <c r="BH464" s="91"/>
    </row>
    <row r="465" spans="1:60" x14ac:dyDescent="0.25">
      <c r="A465" s="91" t="s">
        <v>958</v>
      </c>
      <c r="B465" s="129">
        <f t="shared" si="31"/>
        <v>27</v>
      </c>
      <c r="C465" s="91">
        <f t="shared" si="32"/>
        <v>13</v>
      </c>
      <c r="D465" s="130">
        <f t="shared" si="33"/>
        <v>0.26</v>
      </c>
      <c r="E465" s="131">
        <v>46322</v>
      </c>
      <c r="F465" s="131">
        <v>46323</v>
      </c>
      <c r="G465" s="91">
        <f t="shared" si="30"/>
        <v>1</v>
      </c>
      <c r="H465" s="91"/>
      <c r="I465" s="91">
        <v>3</v>
      </c>
      <c r="J465" s="91">
        <v>2</v>
      </c>
      <c r="K465" s="91"/>
      <c r="L465" s="91"/>
      <c r="M465" s="91"/>
      <c r="N465" s="91">
        <v>1</v>
      </c>
      <c r="O465" s="91"/>
      <c r="P465" s="91"/>
      <c r="Q465" s="91"/>
      <c r="R465" s="91"/>
      <c r="S465" s="91"/>
      <c r="T465" s="91"/>
      <c r="U465" s="91">
        <v>2</v>
      </c>
      <c r="V465" s="91">
        <v>1</v>
      </c>
      <c r="W465" s="91"/>
      <c r="X465" s="91">
        <v>2</v>
      </c>
      <c r="Y465" s="91"/>
      <c r="Z465" s="91"/>
      <c r="AA465" s="91"/>
      <c r="AB465" s="91">
        <v>1</v>
      </c>
      <c r="AC465" s="91"/>
      <c r="AD465" s="91">
        <v>1</v>
      </c>
      <c r="AE465" s="91"/>
      <c r="AF465" s="91">
        <v>2</v>
      </c>
      <c r="AG465" s="91"/>
      <c r="AH465" s="91"/>
      <c r="AI465" s="91"/>
      <c r="AJ465" s="91">
        <v>5</v>
      </c>
      <c r="AK465" s="91"/>
      <c r="AL465" s="91"/>
      <c r="AM465" s="91"/>
      <c r="AN465" s="91"/>
      <c r="AO465" s="91"/>
      <c r="AP465" s="91"/>
      <c r="AQ465" s="91">
        <v>3</v>
      </c>
      <c r="AR465" s="91"/>
      <c r="AS465" s="91">
        <v>1</v>
      </c>
      <c r="AT465" s="91"/>
      <c r="AU465" s="91"/>
      <c r="AV465" s="91">
        <v>3</v>
      </c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</row>
    <row r="466" spans="1:60" x14ac:dyDescent="0.25">
      <c r="A466" s="91" t="s">
        <v>391</v>
      </c>
      <c r="B466" s="129">
        <f t="shared" si="31"/>
        <v>26</v>
      </c>
      <c r="C466" s="91">
        <f t="shared" si="32"/>
        <v>0</v>
      </c>
      <c r="D466" s="130">
        <f t="shared" si="33"/>
        <v>0</v>
      </c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>
        <v>13</v>
      </c>
      <c r="BG466" s="91">
        <v>13</v>
      </c>
      <c r="BH466" s="91"/>
    </row>
    <row r="467" spans="1:60" x14ac:dyDescent="0.25">
      <c r="A467" s="91" t="s">
        <v>247</v>
      </c>
      <c r="B467" s="129">
        <f t="shared" si="31"/>
        <v>26</v>
      </c>
      <c r="C467" s="91">
        <f t="shared" si="32"/>
        <v>0</v>
      </c>
      <c r="D467" s="130">
        <f t="shared" si="33"/>
        <v>0</v>
      </c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>
        <v>13</v>
      </c>
      <c r="BG467" s="91">
        <v>13</v>
      </c>
      <c r="BH467" s="91"/>
    </row>
    <row r="468" spans="1:60" x14ac:dyDescent="0.25">
      <c r="A468" s="91" t="s">
        <v>279</v>
      </c>
      <c r="B468" s="129">
        <f t="shared" si="31"/>
        <v>26</v>
      </c>
      <c r="C468" s="91">
        <f t="shared" si="32"/>
        <v>0</v>
      </c>
      <c r="D468" s="130">
        <f t="shared" si="33"/>
        <v>0</v>
      </c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>
        <v>13</v>
      </c>
      <c r="BG468" s="91">
        <v>13</v>
      </c>
      <c r="BH468" s="91"/>
    </row>
    <row r="469" spans="1:60" x14ac:dyDescent="0.25">
      <c r="A469" s="91" t="s">
        <v>291</v>
      </c>
      <c r="B469" s="129">
        <f t="shared" si="31"/>
        <v>26</v>
      </c>
      <c r="C469" s="91">
        <f t="shared" si="32"/>
        <v>0</v>
      </c>
      <c r="D469" s="130">
        <f t="shared" si="33"/>
        <v>0</v>
      </c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>
        <v>13</v>
      </c>
      <c r="BG469" s="91">
        <v>13</v>
      </c>
      <c r="BH469" s="91"/>
    </row>
    <row r="470" spans="1:60" x14ac:dyDescent="0.25">
      <c r="A470" s="91" t="s">
        <v>959</v>
      </c>
      <c r="B470" s="129">
        <f t="shared" si="31"/>
        <v>25</v>
      </c>
      <c r="C470" s="91">
        <f t="shared" si="32"/>
        <v>12</v>
      </c>
      <c r="D470" s="130">
        <f t="shared" si="33"/>
        <v>0.24</v>
      </c>
      <c r="E470" s="131">
        <v>46321</v>
      </c>
      <c r="F470" s="131">
        <v>46322</v>
      </c>
      <c r="G470" s="91">
        <f t="shared" ref="G470:G492" si="34">F470-E470</f>
        <v>1</v>
      </c>
      <c r="H470" s="91"/>
      <c r="I470" s="91"/>
      <c r="J470" s="91"/>
      <c r="K470" s="91">
        <v>1</v>
      </c>
      <c r="L470" s="91"/>
      <c r="M470" s="91"/>
      <c r="N470" s="91"/>
      <c r="O470" s="91"/>
      <c r="P470" s="91"/>
      <c r="Q470" s="91">
        <v>2</v>
      </c>
      <c r="R470" s="91"/>
      <c r="S470" s="91">
        <v>1</v>
      </c>
      <c r="T470" s="91">
        <v>1</v>
      </c>
      <c r="U470" s="91"/>
      <c r="V470" s="91"/>
      <c r="W470" s="91">
        <v>1</v>
      </c>
      <c r="X470" s="91"/>
      <c r="Y470" s="91"/>
      <c r="Z470" s="91"/>
      <c r="AA470" s="91"/>
      <c r="AB470" s="91"/>
      <c r="AC470" s="91"/>
      <c r="AD470" s="91"/>
      <c r="AE470" s="91">
        <v>2</v>
      </c>
      <c r="AF470" s="91"/>
      <c r="AG470" s="91"/>
      <c r="AH470" s="91">
        <v>1</v>
      </c>
      <c r="AI470" s="91"/>
      <c r="AJ470" s="91"/>
      <c r="AK470" s="91"/>
      <c r="AL470" s="91"/>
      <c r="AM470" s="91"/>
      <c r="AN470" s="91"/>
      <c r="AO470" s="91">
        <v>1</v>
      </c>
      <c r="AP470" s="91"/>
      <c r="AQ470" s="91"/>
      <c r="AR470" s="91">
        <v>1</v>
      </c>
      <c r="AS470" s="91"/>
      <c r="AT470" s="91"/>
      <c r="AU470" s="91"/>
      <c r="AV470" s="91">
        <v>4</v>
      </c>
      <c r="AW470" s="91"/>
      <c r="AX470" s="91"/>
      <c r="AY470" s="91">
        <v>6</v>
      </c>
      <c r="AZ470" s="91"/>
      <c r="BA470" s="91"/>
      <c r="BB470" s="91"/>
      <c r="BC470" s="91">
        <v>4</v>
      </c>
      <c r="BD470" s="91"/>
      <c r="BE470" s="91"/>
      <c r="BF470" s="91"/>
      <c r="BG470" s="91"/>
      <c r="BH470" s="91"/>
    </row>
    <row r="471" spans="1:60" x14ac:dyDescent="0.25">
      <c r="A471" s="91" t="s">
        <v>960</v>
      </c>
      <c r="B471" s="129">
        <f t="shared" si="31"/>
        <v>25</v>
      </c>
      <c r="C471" s="91">
        <f t="shared" si="32"/>
        <v>10</v>
      </c>
      <c r="D471" s="130">
        <f t="shared" si="33"/>
        <v>0.2</v>
      </c>
      <c r="E471" s="131">
        <v>46321</v>
      </c>
      <c r="F471" s="131">
        <v>46323</v>
      </c>
      <c r="G471" s="91">
        <f t="shared" si="34"/>
        <v>2</v>
      </c>
      <c r="H471" s="91">
        <v>7</v>
      </c>
      <c r="I471" s="91"/>
      <c r="J471" s="91"/>
      <c r="K471" s="91"/>
      <c r="L471" s="91"/>
      <c r="M471" s="91">
        <v>1</v>
      </c>
      <c r="N471" s="91"/>
      <c r="O471" s="91"/>
      <c r="P471" s="91"/>
      <c r="Q471" s="91"/>
      <c r="R471" s="91">
        <v>1</v>
      </c>
      <c r="S471" s="91"/>
      <c r="T471" s="91"/>
      <c r="U471" s="91">
        <v>1</v>
      </c>
      <c r="V471" s="91"/>
      <c r="W471" s="91"/>
      <c r="X471" s="91"/>
      <c r="Y471" s="91"/>
      <c r="Z471" s="91"/>
      <c r="AA471" s="91"/>
      <c r="AB471" s="91">
        <v>2</v>
      </c>
      <c r="AC471" s="91"/>
      <c r="AD471" s="91"/>
      <c r="AE471" s="91"/>
      <c r="AF471" s="91"/>
      <c r="AG471" s="91"/>
      <c r="AH471" s="91"/>
      <c r="AI471" s="91"/>
      <c r="AJ471" s="91">
        <v>3</v>
      </c>
      <c r="AK471" s="91"/>
      <c r="AL471" s="91"/>
      <c r="AM471" s="91"/>
      <c r="AN471" s="91">
        <v>1</v>
      </c>
      <c r="AO471" s="91"/>
      <c r="AP471" s="91">
        <v>1</v>
      </c>
      <c r="AQ471" s="91"/>
      <c r="AR471" s="91"/>
      <c r="AS471" s="91"/>
      <c r="AT471" s="91"/>
      <c r="AU471" s="91"/>
      <c r="AV471" s="91">
        <v>1</v>
      </c>
      <c r="AW471" s="91"/>
      <c r="AX471" s="91"/>
      <c r="AY471" s="91">
        <v>7</v>
      </c>
      <c r="AZ471" s="91"/>
      <c r="BA471" s="91"/>
      <c r="BB471" s="91"/>
      <c r="BC471" s="91"/>
      <c r="BD471" s="91"/>
      <c r="BE471" s="91"/>
      <c r="BF471" s="91"/>
      <c r="BG471" s="91"/>
      <c r="BH471" s="91"/>
    </row>
    <row r="472" spans="1:60" x14ac:dyDescent="0.25">
      <c r="A472" s="91" t="s">
        <v>961</v>
      </c>
      <c r="B472" s="129">
        <f t="shared" si="31"/>
        <v>25</v>
      </c>
      <c r="C472" s="91">
        <f t="shared" si="32"/>
        <v>14</v>
      </c>
      <c r="D472" s="130">
        <f t="shared" si="33"/>
        <v>0.28000000000000003</v>
      </c>
      <c r="E472" s="131">
        <v>46322</v>
      </c>
      <c r="F472" s="131">
        <v>46322</v>
      </c>
      <c r="G472" s="91">
        <f t="shared" si="34"/>
        <v>0</v>
      </c>
      <c r="H472" s="91"/>
      <c r="I472" s="91"/>
      <c r="J472" s="91"/>
      <c r="K472" s="91"/>
      <c r="L472" s="91">
        <v>2</v>
      </c>
      <c r="M472" s="91">
        <v>2</v>
      </c>
      <c r="N472" s="91"/>
      <c r="O472" s="91">
        <v>1</v>
      </c>
      <c r="P472" s="91"/>
      <c r="Q472" s="91">
        <v>1</v>
      </c>
      <c r="R472" s="91"/>
      <c r="S472" s="91"/>
      <c r="T472" s="91"/>
      <c r="U472" s="91"/>
      <c r="V472" s="91"/>
      <c r="W472" s="91"/>
      <c r="X472" s="91">
        <v>2</v>
      </c>
      <c r="Y472" s="91"/>
      <c r="Z472" s="91"/>
      <c r="AA472" s="91"/>
      <c r="AB472" s="91">
        <v>1</v>
      </c>
      <c r="AC472" s="91"/>
      <c r="AD472" s="91">
        <v>2</v>
      </c>
      <c r="AE472" s="91"/>
      <c r="AF472" s="91"/>
      <c r="AG472" s="91"/>
      <c r="AH472" s="91"/>
      <c r="AI472" s="91"/>
      <c r="AJ472" s="91">
        <v>3</v>
      </c>
      <c r="AK472" s="91">
        <v>1</v>
      </c>
      <c r="AL472" s="91"/>
      <c r="AM472" s="91"/>
      <c r="AN472" s="91"/>
      <c r="AO472" s="91"/>
      <c r="AP472" s="91">
        <v>1</v>
      </c>
      <c r="AQ472" s="91">
        <v>4</v>
      </c>
      <c r="AR472" s="91"/>
      <c r="AS472" s="91"/>
      <c r="AT472" s="91"/>
      <c r="AU472" s="91">
        <v>2</v>
      </c>
      <c r="AV472" s="91"/>
      <c r="AW472" s="91"/>
      <c r="AX472" s="91"/>
      <c r="AY472" s="91"/>
      <c r="AZ472" s="91"/>
      <c r="BA472" s="91"/>
      <c r="BB472" s="91">
        <v>1</v>
      </c>
      <c r="BC472" s="91">
        <v>2</v>
      </c>
      <c r="BD472" s="91"/>
      <c r="BE472" s="91"/>
      <c r="BF472" s="91"/>
      <c r="BG472" s="91"/>
      <c r="BH472" s="91"/>
    </row>
    <row r="473" spans="1:60" x14ac:dyDescent="0.25">
      <c r="A473" s="91" t="s">
        <v>962</v>
      </c>
      <c r="B473" s="129">
        <f t="shared" si="31"/>
        <v>24</v>
      </c>
      <c r="C473" s="91">
        <f t="shared" si="32"/>
        <v>6</v>
      </c>
      <c r="D473" s="130">
        <f t="shared" si="33"/>
        <v>0.12</v>
      </c>
      <c r="E473" s="131">
        <v>46244</v>
      </c>
      <c r="F473" s="131">
        <v>46296</v>
      </c>
      <c r="G473" s="91">
        <f t="shared" si="34"/>
        <v>52</v>
      </c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>
        <v>8</v>
      </c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>
        <v>3</v>
      </c>
      <c r="AE473" s="91"/>
      <c r="AF473" s="91"/>
      <c r="AG473" s="91"/>
      <c r="AH473" s="91"/>
      <c r="AI473" s="91"/>
      <c r="AJ473" s="91"/>
      <c r="AK473" s="91"/>
      <c r="AL473" s="91">
        <v>1</v>
      </c>
      <c r="AM473" s="91"/>
      <c r="AN473" s="91"/>
      <c r="AO473" s="91">
        <v>6</v>
      </c>
      <c r="AP473" s="91"/>
      <c r="AQ473" s="91"/>
      <c r="AR473" s="91"/>
      <c r="AS473" s="91">
        <v>3</v>
      </c>
      <c r="AT473" s="91"/>
      <c r="AU473" s="91">
        <v>3</v>
      </c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</row>
    <row r="474" spans="1:60" x14ac:dyDescent="0.25">
      <c r="A474" s="91" t="s">
        <v>963</v>
      </c>
      <c r="B474" s="129">
        <f t="shared" si="31"/>
        <v>23</v>
      </c>
      <c r="C474" s="91">
        <f t="shared" si="32"/>
        <v>16</v>
      </c>
      <c r="D474" s="130">
        <f t="shared" si="33"/>
        <v>0.32</v>
      </c>
      <c r="E474" s="131">
        <v>46322</v>
      </c>
      <c r="F474" s="131">
        <v>46323</v>
      </c>
      <c r="G474" s="91">
        <f t="shared" si="34"/>
        <v>1</v>
      </c>
      <c r="H474" s="91"/>
      <c r="I474" s="91">
        <v>1</v>
      </c>
      <c r="J474" s="91"/>
      <c r="K474" s="91"/>
      <c r="L474" s="91">
        <v>5</v>
      </c>
      <c r="M474" s="91"/>
      <c r="N474" s="91"/>
      <c r="O474" s="91"/>
      <c r="P474" s="91">
        <v>2</v>
      </c>
      <c r="Q474" s="91"/>
      <c r="R474" s="91"/>
      <c r="S474" s="91">
        <v>1</v>
      </c>
      <c r="T474" s="91"/>
      <c r="U474" s="91"/>
      <c r="V474" s="91">
        <v>1</v>
      </c>
      <c r="W474" s="91"/>
      <c r="X474" s="91"/>
      <c r="Y474" s="91">
        <v>1</v>
      </c>
      <c r="Z474" s="91">
        <v>1</v>
      </c>
      <c r="AA474" s="91"/>
      <c r="AB474" s="91">
        <v>2</v>
      </c>
      <c r="AC474" s="91">
        <v>2</v>
      </c>
      <c r="AD474" s="91"/>
      <c r="AE474" s="91"/>
      <c r="AF474" s="91"/>
      <c r="AG474" s="91">
        <v>1</v>
      </c>
      <c r="AH474" s="91">
        <v>1</v>
      </c>
      <c r="AI474" s="91"/>
      <c r="AJ474" s="91"/>
      <c r="AK474" s="91">
        <v>1</v>
      </c>
      <c r="AL474" s="91"/>
      <c r="AM474" s="91">
        <v>1</v>
      </c>
      <c r="AN474" s="91"/>
      <c r="AO474" s="91">
        <v>1</v>
      </c>
      <c r="AP474" s="91"/>
      <c r="AQ474" s="91"/>
      <c r="AR474" s="91"/>
      <c r="AS474" s="91"/>
      <c r="AT474" s="91"/>
      <c r="AU474" s="91"/>
      <c r="AV474" s="91">
        <v>1</v>
      </c>
      <c r="AW474" s="91"/>
      <c r="AX474" s="91"/>
      <c r="AY474" s="91"/>
      <c r="AZ474" s="91"/>
      <c r="BA474" s="91"/>
      <c r="BB474" s="91">
        <v>1</v>
      </c>
      <c r="BC474" s="91"/>
      <c r="BD474" s="91"/>
      <c r="BE474" s="91"/>
      <c r="BF474" s="91"/>
      <c r="BG474" s="91"/>
      <c r="BH474" s="91"/>
    </row>
    <row r="475" spans="1:60" x14ac:dyDescent="0.25">
      <c r="A475" s="91" t="s">
        <v>964</v>
      </c>
      <c r="B475" s="129">
        <f t="shared" si="31"/>
        <v>19</v>
      </c>
      <c r="C475" s="91">
        <f t="shared" si="32"/>
        <v>4</v>
      </c>
      <c r="D475" s="130">
        <f t="shared" si="33"/>
        <v>0.08</v>
      </c>
      <c r="E475" s="131">
        <v>46244</v>
      </c>
      <c r="F475" s="131">
        <v>46245</v>
      </c>
      <c r="G475" s="91">
        <f t="shared" si="34"/>
        <v>1</v>
      </c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>
        <v>6</v>
      </c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>
        <v>3</v>
      </c>
      <c r="AH475" s="91"/>
      <c r="AI475" s="91"/>
      <c r="AJ475" s="91">
        <v>5</v>
      </c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>
        <v>5</v>
      </c>
      <c r="BF475" s="91"/>
      <c r="BG475" s="91"/>
      <c r="BH475" s="91"/>
    </row>
    <row r="476" spans="1:60" x14ac:dyDescent="0.25">
      <c r="A476" s="91" t="s">
        <v>965</v>
      </c>
      <c r="B476" s="129">
        <f t="shared" si="31"/>
        <v>19</v>
      </c>
      <c r="C476" s="91">
        <f t="shared" si="32"/>
        <v>14</v>
      </c>
      <c r="D476" s="130">
        <f t="shared" si="33"/>
        <v>0.28000000000000003</v>
      </c>
      <c r="E476" s="131">
        <v>46321</v>
      </c>
      <c r="F476" s="131">
        <v>46323</v>
      </c>
      <c r="G476" s="91">
        <f t="shared" si="34"/>
        <v>2</v>
      </c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>
        <v>1</v>
      </c>
      <c r="T476" s="91">
        <v>1</v>
      </c>
      <c r="U476" s="91">
        <v>1</v>
      </c>
      <c r="V476" s="91"/>
      <c r="W476" s="91">
        <v>1</v>
      </c>
      <c r="X476" s="91"/>
      <c r="Y476" s="91"/>
      <c r="Z476" s="91"/>
      <c r="AA476" s="91">
        <v>2</v>
      </c>
      <c r="AB476" s="91"/>
      <c r="AC476" s="91"/>
      <c r="AD476" s="91">
        <v>2</v>
      </c>
      <c r="AE476" s="91"/>
      <c r="AF476" s="91"/>
      <c r="AG476" s="91"/>
      <c r="AH476" s="91"/>
      <c r="AI476" s="91">
        <v>1</v>
      </c>
      <c r="AJ476" s="91"/>
      <c r="AK476" s="91">
        <v>1</v>
      </c>
      <c r="AL476" s="91">
        <v>2</v>
      </c>
      <c r="AM476" s="91">
        <v>1</v>
      </c>
      <c r="AN476" s="91"/>
      <c r="AO476" s="91"/>
      <c r="AP476" s="91"/>
      <c r="AQ476" s="91"/>
      <c r="AR476" s="91"/>
      <c r="AS476" s="91">
        <v>1</v>
      </c>
      <c r="AT476" s="91"/>
      <c r="AU476" s="91"/>
      <c r="AV476" s="91">
        <v>2</v>
      </c>
      <c r="AW476" s="91"/>
      <c r="AX476" s="91"/>
      <c r="AY476" s="91">
        <v>2</v>
      </c>
      <c r="AZ476" s="91"/>
      <c r="BA476" s="91">
        <v>1</v>
      </c>
      <c r="BB476" s="91"/>
      <c r="BC476" s="91"/>
      <c r="BD476" s="91"/>
      <c r="BE476" s="91"/>
      <c r="BF476" s="91"/>
      <c r="BG476" s="91"/>
      <c r="BH476" s="91"/>
    </row>
    <row r="477" spans="1:60" x14ac:dyDescent="0.25">
      <c r="A477" s="91" t="s">
        <v>390</v>
      </c>
      <c r="B477" s="129">
        <f t="shared" si="31"/>
        <v>17</v>
      </c>
      <c r="C477" s="91">
        <f t="shared" si="32"/>
        <v>1</v>
      </c>
      <c r="D477" s="130">
        <f t="shared" si="33"/>
        <v>0.02</v>
      </c>
      <c r="E477" s="131">
        <v>46301</v>
      </c>
      <c r="F477" s="131">
        <v>46301</v>
      </c>
      <c r="G477" s="91">
        <f t="shared" si="34"/>
        <v>0</v>
      </c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>
        <v>1</v>
      </c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>
        <v>16</v>
      </c>
      <c r="BH477" s="91"/>
    </row>
    <row r="478" spans="1:60" x14ac:dyDescent="0.25">
      <c r="A478" s="91" t="s">
        <v>966</v>
      </c>
      <c r="B478" s="129">
        <f t="shared" si="31"/>
        <v>16</v>
      </c>
      <c r="C478" s="91">
        <f t="shared" si="32"/>
        <v>4</v>
      </c>
      <c r="D478" s="130">
        <f t="shared" si="33"/>
        <v>0.08</v>
      </c>
      <c r="E478" s="131">
        <v>46232</v>
      </c>
      <c r="F478" s="131">
        <v>46252</v>
      </c>
      <c r="G478" s="91">
        <f t="shared" si="34"/>
        <v>20</v>
      </c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>
        <v>4</v>
      </c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>
        <v>3</v>
      </c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>
        <v>4</v>
      </c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>
        <v>5</v>
      </c>
      <c r="BE478" s="91"/>
      <c r="BF478" s="91"/>
      <c r="BG478" s="91"/>
      <c r="BH478" s="91"/>
    </row>
    <row r="479" spans="1:60" x14ac:dyDescent="0.25">
      <c r="A479" s="91" t="s">
        <v>967</v>
      </c>
      <c r="B479" s="129">
        <f t="shared" si="31"/>
        <v>15</v>
      </c>
      <c r="C479" s="91">
        <f t="shared" si="32"/>
        <v>4</v>
      </c>
      <c r="D479" s="130">
        <f t="shared" si="33"/>
        <v>0.08</v>
      </c>
      <c r="E479" s="131">
        <v>46244</v>
      </c>
      <c r="F479" s="131">
        <v>46252</v>
      </c>
      <c r="G479" s="91">
        <f t="shared" si="34"/>
        <v>8</v>
      </c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>
        <v>4</v>
      </c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>
        <v>4</v>
      </c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>
        <v>4</v>
      </c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>
        <v>3</v>
      </c>
      <c r="BF479" s="91"/>
      <c r="BG479" s="91"/>
      <c r="BH479" s="91"/>
    </row>
    <row r="480" spans="1:60" x14ac:dyDescent="0.25">
      <c r="A480" s="91" t="s">
        <v>968</v>
      </c>
      <c r="B480" s="129">
        <f t="shared" si="31"/>
        <v>14</v>
      </c>
      <c r="C480" s="91">
        <f t="shared" si="32"/>
        <v>4</v>
      </c>
      <c r="D480" s="130">
        <f t="shared" si="33"/>
        <v>0.08</v>
      </c>
      <c r="E480" s="131">
        <v>46252</v>
      </c>
      <c r="F480" s="131">
        <v>46280</v>
      </c>
      <c r="G480" s="91">
        <f t="shared" si="34"/>
        <v>28</v>
      </c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>
        <v>5</v>
      </c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>
        <v>4</v>
      </c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>
        <v>4</v>
      </c>
      <c r="AP480" s="91"/>
      <c r="AQ480" s="91"/>
      <c r="AR480" s="91"/>
      <c r="AS480" s="91"/>
      <c r="AT480" s="91"/>
      <c r="AU480" s="91"/>
      <c r="AV480" s="91"/>
      <c r="AW480" s="91"/>
      <c r="AX480" s="91"/>
      <c r="AY480" s="91">
        <v>1</v>
      </c>
      <c r="AZ480" s="91"/>
      <c r="BA480" s="91"/>
      <c r="BB480" s="91"/>
      <c r="BC480" s="91"/>
      <c r="BD480" s="91"/>
      <c r="BE480" s="91"/>
      <c r="BF480" s="91"/>
      <c r="BG480" s="91"/>
      <c r="BH480" s="91"/>
    </row>
    <row r="481" spans="1:60" x14ac:dyDescent="0.25">
      <c r="A481" s="91" t="s">
        <v>969</v>
      </c>
      <c r="B481" s="129">
        <f t="shared" si="31"/>
        <v>14</v>
      </c>
      <c r="C481" s="91">
        <f t="shared" si="32"/>
        <v>3</v>
      </c>
      <c r="D481" s="130">
        <f t="shared" si="33"/>
        <v>0.06</v>
      </c>
      <c r="E481" s="131">
        <v>46252</v>
      </c>
      <c r="F481" s="131">
        <v>46252</v>
      </c>
      <c r="G481" s="91">
        <f t="shared" si="34"/>
        <v>0</v>
      </c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>
        <v>8</v>
      </c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>
        <v>1</v>
      </c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>
        <v>5</v>
      </c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</row>
    <row r="482" spans="1:60" x14ac:dyDescent="0.25">
      <c r="A482" s="91" t="s">
        <v>970</v>
      </c>
      <c r="B482" s="129">
        <f t="shared" si="31"/>
        <v>14</v>
      </c>
      <c r="C482" s="91">
        <f t="shared" si="32"/>
        <v>3</v>
      </c>
      <c r="D482" s="130">
        <f t="shared" si="33"/>
        <v>0.06</v>
      </c>
      <c r="E482" s="131">
        <v>46252</v>
      </c>
      <c r="F482" s="131">
        <v>46252</v>
      </c>
      <c r="G482" s="91">
        <f t="shared" si="34"/>
        <v>0</v>
      </c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>
        <v>4</v>
      </c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>
        <v>4</v>
      </c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>
        <v>6</v>
      </c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</row>
    <row r="483" spans="1:60" x14ac:dyDescent="0.25">
      <c r="A483" s="91" t="s">
        <v>971</v>
      </c>
      <c r="B483" s="129">
        <f t="shared" si="31"/>
        <v>14</v>
      </c>
      <c r="C483" s="91">
        <f t="shared" si="32"/>
        <v>3</v>
      </c>
      <c r="D483" s="130">
        <f t="shared" si="33"/>
        <v>0.06</v>
      </c>
      <c r="E483" s="131">
        <v>46252</v>
      </c>
      <c r="F483" s="131">
        <v>46252</v>
      </c>
      <c r="G483" s="91">
        <f t="shared" si="34"/>
        <v>0</v>
      </c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>
        <v>4</v>
      </c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>
        <v>4</v>
      </c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>
        <v>6</v>
      </c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</row>
    <row r="484" spans="1:60" x14ac:dyDescent="0.25">
      <c r="A484" s="91" t="s">
        <v>972</v>
      </c>
      <c r="B484" s="129">
        <f t="shared" si="31"/>
        <v>14</v>
      </c>
      <c r="C484" s="91">
        <f t="shared" si="32"/>
        <v>2</v>
      </c>
      <c r="D484" s="130">
        <f t="shared" si="33"/>
        <v>0.04</v>
      </c>
      <c r="E484" s="131">
        <v>46232</v>
      </c>
      <c r="F484" s="131">
        <v>46244</v>
      </c>
      <c r="G484" s="91">
        <f t="shared" si="34"/>
        <v>12</v>
      </c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>
        <v>3</v>
      </c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>
        <v>10</v>
      </c>
      <c r="BE484" s="91"/>
      <c r="BF484" s="91"/>
      <c r="BG484" s="91">
        <v>1</v>
      </c>
      <c r="BH484" s="91"/>
    </row>
    <row r="485" spans="1:60" x14ac:dyDescent="0.25">
      <c r="A485" s="91" t="s">
        <v>973</v>
      </c>
      <c r="B485" s="129">
        <f t="shared" si="31"/>
        <v>13</v>
      </c>
      <c r="C485" s="91">
        <f t="shared" si="32"/>
        <v>3</v>
      </c>
      <c r="D485" s="130">
        <f t="shared" si="33"/>
        <v>0.06</v>
      </c>
      <c r="E485" s="131">
        <v>46244</v>
      </c>
      <c r="F485" s="131">
        <v>46245</v>
      </c>
      <c r="G485" s="91">
        <f t="shared" si="34"/>
        <v>1</v>
      </c>
      <c r="H485" s="91"/>
      <c r="I485" s="91"/>
      <c r="J485" s="91"/>
      <c r="K485" s="91"/>
      <c r="L485" s="91">
        <v>5</v>
      </c>
      <c r="M485" s="91"/>
      <c r="N485" s="91"/>
      <c r="O485" s="91"/>
      <c r="P485" s="91"/>
      <c r="Q485" s="91"/>
      <c r="R485" s="91"/>
      <c r="S485" s="91"/>
      <c r="T485" s="91"/>
      <c r="U485" s="91"/>
      <c r="V485" s="91">
        <v>4</v>
      </c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>
        <v>4</v>
      </c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</row>
    <row r="486" spans="1:60" x14ac:dyDescent="0.25">
      <c r="A486" s="91" t="s">
        <v>974</v>
      </c>
      <c r="B486" s="129">
        <f t="shared" si="31"/>
        <v>12</v>
      </c>
      <c r="C486" s="91">
        <f t="shared" si="32"/>
        <v>4</v>
      </c>
      <c r="D486" s="130">
        <f t="shared" si="33"/>
        <v>0.08</v>
      </c>
      <c r="E486" s="131">
        <v>46246</v>
      </c>
      <c r="F486" s="131">
        <v>46252</v>
      </c>
      <c r="G486" s="91">
        <f t="shared" si="34"/>
        <v>6</v>
      </c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>
        <v>3</v>
      </c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>
        <v>3</v>
      </c>
      <c r="AD486" s="91">
        <v>2</v>
      </c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>
        <v>4</v>
      </c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</row>
    <row r="487" spans="1:60" x14ac:dyDescent="0.25">
      <c r="A487" s="91" t="s">
        <v>975</v>
      </c>
      <c r="B487" s="129">
        <f t="shared" si="31"/>
        <v>12</v>
      </c>
      <c r="C487" s="91">
        <f t="shared" si="32"/>
        <v>3</v>
      </c>
      <c r="D487" s="130">
        <f t="shared" si="33"/>
        <v>0.06</v>
      </c>
      <c r="E487" s="131">
        <v>46252</v>
      </c>
      <c r="F487" s="131">
        <v>46252</v>
      </c>
      <c r="G487" s="91">
        <f t="shared" si="34"/>
        <v>0</v>
      </c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>
        <v>4</v>
      </c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>
        <v>4</v>
      </c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>
        <v>4</v>
      </c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</row>
    <row r="488" spans="1:60" x14ac:dyDescent="0.25">
      <c r="A488" s="91" t="s">
        <v>976</v>
      </c>
      <c r="B488" s="129">
        <f t="shared" si="31"/>
        <v>12</v>
      </c>
      <c r="C488" s="91">
        <f t="shared" si="32"/>
        <v>8</v>
      </c>
      <c r="D488" s="130">
        <f t="shared" si="33"/>
        <v>0.16</v>
      </c>
      <c r="E488" s="131">
        <v>46323</v>
      </c>
      <c r="F488" s="131">
        <v>46323</v>
      </c>
      <c r="G488" s="91">
        <f t="shared" si="34"/>
        <v>0</v>
      </c>
      <c r="H488" s="91"/>
      <c r="I488" s="91">
        <v>2</v>
      </c>
      <c r="J488" s="91"/>
      <c r="K488" s="91"/>
      <c r="L488" s="91"/>
      <c r="M488" s="91"/>
      <c r="N488" s="91"/>
      <c r="O488" s="91">
        <v>1</v>
      </c>
      <c r="P488" s="91"/>
      <c r="Q488" s="91">
        <v>1</v>
      </c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>
        <v>2</v>
      </c>
      <c r="AE488" s="91"/>
      <c r="AF488" s="91"/>
      <c r="AG488" s="91"/>
      <c r="AH488" s="91"/>
      <c r="AI488" s="91">
        <v>1</v>
      </c>
      <c r="AJ488" s="91"/>
      <c r="AK488" s="91"/>
      <c r="AL488" s="91"/>
      <c r="AM488" s="91"/>
      <c r="AN488" s="91">
        <v>1</v>
      </c>
      <c r="AO488" s="91">
        <v>1</v>
      </c>
      <c r="AP488" s="91"/>
      <c r="AQ488" s="91"/>
      <c r="AR488" s="91"/>
      <c r="AS488" s="91">
        <v>2</v>
      </c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>
        <v>1</v>
      </c>
      <c r="BG488" s="91"/>
      <c r="BH488" s="91"/>
    </row>
    <row r="489" spans="1:60" x14ac:dyDescent="0.25">
      <c r="A489" s="91" t="s">
        <v>977</v>
      </c>
      <c r="B489" s="129">
        <f t="shared" si="31"/>
        <v>11</v>
      </c>
      <c r="C489" s="91">
        <f t="shared" si="32"/>
        <v>3</v>
      </c>
      <c r="D489" s="130">
        <f t="shared" si="33"/>
        <v>0.06</v>
      </c>
      <c r="E489" s="131">
        <v>46252</v>
      </c>
      <c r="F489" s="131">
        <v>46252</v>
      </c>
      <c r="G489" s="91">
        <f t="shared" si="34"/>
        <v>0</v>
      </c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>
        <v>5</v>
      </c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>
        <v>2</v>
      </c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>
        <v>4</v>
      </c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</row>
    <row r="490" spans="1:60" x14ac:dyDescent="0.25">
      <c r="A490" s="91" t="s">
        <v>978</v>
      </c>
      <c r="B490" s="129">
        <f t="shared" si="31"/>
        <v>11</v>
      </c>
      <c r="C490" s="91">
        <f t="shared" si="32"/>
        <v>2</v>
      </c>
      <c r="D490" s="130">
        <f t="shared" si="33"/>
        <v>0.04</v>
      </c>
      <c r="E490" s="131">
        <v>46240</v>
      </c>
      <c r="F490" s="131">
        <v>46244</v>
      </c>
      <c r="G490" s="91">
        <f t="shared" si="34"/>
        <v>4</v>
      </c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>
        <v>8</v>
      </c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>
        <v>3</v>
      </c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</row>
    <row r="491" spans="1:60" x14ac:dyDescent="0.25">
      <c r="A491" s="91" t="s">
        <v>979</v>
      </c>
      <c r="B491" s="129">
        <f t="shared" si="31"/>
        <v>11</v>
      </c>
      <c r="C491" s="91">
        <f t="shared" si="32"/>
        <v>2</v>
      </c>
      <c r="D491" s="130">
        <f t="shared" si="33"/>
        <v>0.04</v>
      </c>
      <c r="E491" s="131">
        <v>46232</v>
      </c>
      <c r="F491" s="131">
        <v>46240</v>
      </c>
      <c r="G491" s="91">
        <f t="shared" si="34"/>
        <v>8</v>
      </c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>
        <v>6</v>
      </c>
      <c r="AX491" s="91"/>
      <c r="AY491" s="91"/>
      <c r="AZ491" s="91"/>
      <c r="BA491" s="91"/>
      <c r="BB491" s="91"/>
      <c r="BC491" s="91"/>
      <c r="BD491" s="91">
        <v>5</v>
      </c>
      <c r="BE491" s="91"/>
      <c r="BF491" s="91"/>
      <c r="BG491" s="91"/>
      <c r="BH491" s="91"/>
    </row>
    <row r="492" spans="1:60" x14ac:dyDescent="0.25">
      <c r="A492" s="91" t="s">
        <v>980</v>
      </c>
      <c r="B492" s="129">
        <f t="shared" si="31"/>
        <v>11</v>
      </c>
      <c r="C492" s="91">
        <f t="shared" si="32"/>
        <v>3</v>
      </c>
      <c r="D492" s="130">
        <f t="shared" si="33"/>
        <v>0.06</v>
      </c>
      <c r="E492" s="131">
        <v>46246</v>
      </c>
      <c r="F492" s="131">
        <v>46246</v>
      </c>
      <c r="G492" s="91">
        <f t="shared" si="34"/>
        <v>0</v>
      </c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>
        <v>4</v>
      </c>
      <c r="AP492" s="91"/>
      <c r="AQ492" s="91"/>
      <c r="AR492" s="91"/>
      <c r="AS492" s="91"/>
      <c r="AT492" s="91"/>
      <c r="AU492" s="91"/>
      <c r="AV492" s="91"/>
      <c r="AW492" s="91"/>
      <c r="AX492" s="91"/>
      <c r="AY492" s="91">
        <v>4</v>
      </c>
      <c r="AZ492" s="91"/>
      <c r="BA492" s="91"/>
      <c r="BB492" s="91"/>
      <c r="BC492" s="91"/>
      <c r="BD492" s="91">
        <v>3</v>
      </c>
      <c r="BE492" s="91"/>
      <c r="BF492" s="91"/>
      <c r="BG492" s="91"/>
      <c r="BH492" s="91"/>
    </row>
    <row r="493" spans="1:60" x14ac:dyDescent="0.25">
      <c r="A493" s="91" t="s">
        <v>308</v>
      </c>
      <c r="B493" s="129">
        <f t="shared" si="31"/>
        <v>11</v>
      </c>
      <c r="C493" s="91">
        <f t="shared" si="32"/>
        <v>0</v>
      </c>
      <c r="D493" s="130">
        <f t="shared" si="33"/>
        <v>0</v>
      </c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>
        <v>1</v>
      </c>
      <c r="BG493" s="91">
        <v>10</v>
      </c>
      <c r="BH493" s="91"/>
    </row>
    <row r="494" spans="1:60" x14ac:dyDescent="0.25">
      <c r="A494" s="91" t="s">
        <v>981</v>
      </c>
      <c r="B494" s="129">
        <f t="shared" si="31"/>
        <v>11</v>
      </c>
      <c r="C494" s="91">
        <f t="shared" si="32"/>
        <v>7</v>
      </c>
      <c r="D494" s="130">
        <f t="shared" si="33"/>
        <v>0.14000000000000001</v>
      </c>
      <c r="E494" s="131">
        <v>46322</v>
      </c>
      <c r="F494" s="131">
        <v>46322</v>
      </c>
      <c r="G494" s="91">
        <f t="shared" ref="G494:G501" si="35">F494-E494</f>
        <v>0</v>
      </c>
      <c r="H494" s="91"/>
      <c r="I494" s="91"/>
      <c r="J494" s="91"/>
      <c r="K494" s="91"/>
      <c r="L494" s="91"/>
      <c r="M494" s="91">
        <v>1</v>
      </c>
      <c r="N494" s="91">
        <v>3</v>
      </c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>
        <v>1</v>
      </c>
      <c r="AD494" s="91">
        <v>2</v>
      </c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>
        <v>1</v>
      </c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>
        <v>1</v>
      </c>
      <c r="BA494" s="91"/>
      <c r="BB494" s="91"/>
      <c r="BC494" s="91"/>
      <c r="BD494" s="91">
        <v>2</v>
      </c>
      <c r="BE494" s="91"/>
      <c r="BF494" s="91"/>
      <c r="BG494" s="91"/>
      <c r="BH494" s="91"/>
    </row>
    <row r="495" spans="1:60" x14ac:dyDescent="0.25">
      <c r="A495" s="91" t="s">
        <v>982</v>
      </c>
      <c r="B495" s="129">
        <f t="shared" si="31"/>
        <v>11</v>
      </c>
      <c r="C495" s="91">
        <f t="shared" si="32"/>
        <v>6</v>
      </c>
      <c r="D495" s="130">
        <f t="shared" si="33"/>
        <v>0.12</v>
      </c>
      <c r="E495" s="131">
        <v>46322</v>
      </c>
      <c r="F495" s="131">
        <v>46322</v>
      </c>
      <c r="G495" s="91">
        <f t="shared" si="35"/>
        <v>0</v>
      </c>
      <c r="H495" s="91"/>
      <c r="I495" s="91"/>
      <c r="J495" s="91"/>
      <c r="K495" s="91"/>
      <c r="L495" s="91"/>
      <c r="M495" s="91">
        <v>2</v>
      </c>
      <c r="N495" s="91">
        <v>3</v>
      </c>
      <c r="O495" s="91"/>
      <c r="P495" s="91"/>
      <c r="Q495" s="91"/>
      <c r="R495" s="91"/>
      <c r="S495" s="91"/>
      <c r="T495" s="91"/>
      <c r="U495" s="91">
        <v>2</v>
      </c>
      <c r="V495" s="91"/>
      <c r="W495" s="91"/>
      <c r="X495" s="91"/>
      <c r="Y495" s="91"/>
      <c r="Z495" s="91"/>
      <c r="AA495" s="91"/>
      <c r="AB495" s="91"/>
      <c r="AC495" s="91">
        <v>2</v>
      </c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>
        <v>1</v>
      </c>
      <c r="BC495" s="91"/>
      <c r="BD495" s="91"/>
      <c r="BE495" s="91">
        <v>1</v>
      </c>
      <c r="BF495" s="91"/>
      <c r="BG495" s="91"/>
      <c r="BH495" s="91"/>
    </row>
    <row r="496" spans="1:60" x14ac:dyDescent="0.25">
      <c r="A496" s="91" t="s">
        <v>983</v>
      </c>
      <c r="B496" s="129">
        <f t="shared" si="31"/>
        <v>11</v>
      </c>
      <c r="C496" s="91">
        <f t="shared" si="32"/>
        <v>7</v>
      </c>
      <c r="D496" s="130">
        <f t="shared" si="33"/>
        <v>0.14000000000000001</v>
      </c>
      <c r="E496" s="131">
        <v>46322</v>
      </c>
      <c r="F496" s="131">
        <v>46322</v>
      </c>
      <c r="G496" s="91">
        <f t="shared" si="35"/>
        <v>0</v>
      </c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>
        <v>2</v>
      </c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>
        <v>1</v>
      </c>
      <c r="AK496" s="91"/>
      <c r="AL496" s="91">
        <v>1</v>
      </c>
      <c r="AM496" s="91"/>
      <c r="AN496" s="91">
        <v>1</v>
      </c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>
        <v>1</v>
      </c>
      <c r="AZ496" s="91">
        <v>1</v>
      </c>
      <c r="BA496" s="91"/>
      <c r="BB496" s="91"/>
      <c r="BC496" s="91">
        <v>4</v>
      </c>
      <c r="BD496" s="91"/>
      <c r="BE496" s="91"/>
      <c r="BF496" s="91"/>
      <c r="BG496" s="91"/>
      <c r="BH496" s="91"/>
    </row>
    <row r="497" spans="1:60" x14ac:dyDescent="0.25">
      <c r="A497" s="91" t="s">
        <v>984</v>
      </c>
      <c r="B497" s="129">
        <f t="shared" si="31"/>
        <v>10</v>
      </c>
      <c r="C497" s="91">
        <f t="shared" si="32"/>
        <v>3</v>
      </c>
      <c r="D497" s="130">
        <f t="shared" si="33"/>
        <v>0.06</v>
      </c>
      <c r="E497" s="131">
        <v>46244</v>
      </c>
      <c r="F497" s="131">
        <v>46309</v>
      </c>
      <c r="G497" s="91">
        <f t="shared" si="35"/>
        <v>65</v>
      </c>
      <c r="H497" s="91"/>
      <c r="I497" s="91"/>
      <c r="J497" s="91"/>
      <c r="K497" s="91"/>
      <c r="L497" s="91">
        <v>4</v>
      </c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>
        <v>5</v>
      </c>
      <c r="AP497" s="91"/>
      <c r="AQ497" s="91"/>
      <c r="AR497" s="91"/>
      <c r="AS497" s="91"/>
      <c r="AT497" s="91"/>
      <c r="AU497" s="91"/>
      <c r="AV497" s="91"/>
      <c r="AW497" s="91"/>
      <c r="AX497" s="91"/>
      <c r="AY497" s="91">
        <v>1</v>
      </c>
      <c r="AZ497" s="91"/>
      <c r="BA497" s="91"/>
      <c r="BB497" s="91"/>
      <c r="BC497" s="91"/>
      <c r="BD497" s="91"/>
      <c r="BE497" s="91"/>
      <c r="BF497" s="91"/>
      <c r="BG497" s="91"/>
      <c r="BH497" s="91"/>
    </row>
    <row r="498" spans="1:60" x14ac:dyDescent="0.25">
      <c r="A498" s="91" t="s">
        <v>985</v>
      </c>
      <c r="B498" s="129">
        <f t="shared" si="31"/>
        <v>10</v>
      </c>
      <c r="C498" s="91">
        <f t="shared" si="32"/>
        <v>1</v>
      </c>
      <c r="D498" s="130">
        <f t="shared" si="33"/>
        <v>0.02</v>
      </c>
      <c r="E498" s="131">
        <v>46261</v>
      </c>
      <c r="F498" s="131">
        <v>46261</v>
      </c>
      <c r="G498" s="91">
        <f t="shared" si="35"/>
        <v>0</v>
      </c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>
        <v>10</v>
      </c>
      <c r="AZ498" s="91"/>
      <c r="BA498" s="91"/>
      <c r="BB498" s="91"/>
      <c r="BC498" s="91"/>
      <c r="BD498" s="91"/>
      <c r="BE498" s="91"/>
      <c r="BF498" s="91"/>
      <c r="BG498" s="91"/>
      <c r="BH498" s="91"/>
    </row>
    <row r="499" spans="1:60" x14ac:dyDescent="0.25">
      <c r="A499" s="91" t="s">
        <v>986</v>
      </c>
      <c r="B499" s="129">
        <f t="shared" si="31"/>
        <v>10</v>
      </c>
      <c r="C499" s="91">
        <f t="shared" si="32"/>
        <v>2</v>
      </c>
      <c r="D499" s="130">
        <f t="shared" si="33"/>
        <v>0.04</v>
      </c>
      <c r="E499" s="131">
        <v>46232</v>
      </c>
      <c r="F499" s="131">
        <v>46244</v>
      </c>
      <c r="G499" s="91">
        <f t="shared" si="35"/>
        <v>12</v>
      </c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>
        <v>3</v>
      </c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>
        <v>7</v>
      </c>
      <c r="BE499" s="91"/>
      <c r="BF499" s="91"/>
      <c r="BG499" s="91"/>
      <c r="BH499" s="91"/>
    </row>
    <row r="500" spans="1:60" x14ac:dyDescent="0.25">
      <c r="A500" s="91" t="s">
        <v>987</v>
      </c>
      <c r="B500" s="129">
        <f t="shared" si="31"/>
        <v>10</v>
      </c>
      <c r="C500" s="91">
        <f t="shared" si="32"/>
        <v>2</v>
      </c>
      <c r="D500" s="130">
        <f t="shared" si="33"/>
        <v>0.04</v>
      </c>
      <c r="E500" s="131">
        <v>46244</v>
      </c>
      <c r="F500" s="131">
        <v>46244</v>
      </c>
      <c r="G500" s="91">
        <f t="shared" si="35"/>
        <v>0</v>
      </c>
      <c r="H500" s="91"/>
      <c r="I500" s="91"/>
      <c r="J500" s="91"/>
      <c r="K500" s="91"/>
      <c r="L500" s="91">
        <v>5</v>
      </c>
      <c r="M500" s="91"/>
      <c r="N500" s="91"/>
      <c r="O500" s="91"/>
      <c r="P500" s="91"/>
      <c r="Q500" s="91"/>
      <c r="R500" s="91"/>
      <c r="S500" s="91"/>
      <c r="T500" s="91"/>
      <c r="U500" s="91"/>
      <c r="V500" s="91">
        <v>5</v>
      </c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</row>
    <row r="501" spans="1:60" x14ac:dyDescent="0.25">
      <c r="A501" s="91" t="s">
        <v>988</v>
      </c>
      <c r="B501" s="129">
        <f t="shared" si="31"/>
        <v>10</v>
      </c>
      <c r="C501" s="91">
        <f t="shared" si="32"/>
        <v>6</v>
      </c>
      <c r="D501" s="130">
        <f t="shared" si="33"/>
        <v>0.12</v>
      </c>
      <c r="E501" s="131">
        <v>46220</v>
      </c>
      <c r="F501" s="131">
        <v>46323</v>
      </c>
      <c r="G501" s="91">
        <f t="shared" si="35"/>
        <v>103</v>
      </c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>
        <v>1</v>
      </c>
      <c r="T501" s="91"/>
      <c r="U501" s="91"/>
      <c r="V501" s="91"/>
      <c r="W501" s="91"/>
      <c r="X501" s="91"/>
      <c r="Y501" s="91"/>
      <c r="Z501" s="91"/>
      <c r="AA501" s="91"/>
      <c r="AB501" s="91">
        <v>3</v>
      </c>
      <c r="AC501" s="91"/>
      <c r="AD501" s="91"/>
      <c r="AE501" s="91"/>
      <c r="AF501" s="91"/>
      <c r="AG501" s="91">
        <v>1</v>
      </c>
      <c r="AH501" s="91"/>
      <c r="AI501" s="91"/>
      <c r="AJ501" s="91">
        <v>1</v>
      </c>
      <c r="AK501" s="91"/>
      <c r="AL501" s="91"/>
      <c r="AM501" s="91"/>
      <c r="AN501" s="91"/>
      <c r="AO501" s="91">
        <v>3</v>
      </c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>
        <v>1</v>
      </c>
      <c r="BE501" s="91"/>
      <c r="BF501" s="91"/>
      <c r="BG501" s="91"/>
      <c r="BH501" s="91"/>
    </row>
    <row r="502" spans="1:60" x14ac:dyDescent="0.25">
      <c r="A502" s="91" t="s">
        <v>352</v>
      </c>
      <c r="B502" s="129">
        <f t="shared" si="31"/>
        <v>10</v>
      </c>
      <c r="C502" s="91">
        <f t="shared" si="32"/>
        <v>0</v>
      </c>
      <c r="D502" s="130">
        <f t="shared" si="33"/>
        <v>0</v>
      </c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>
        <v>10</v>
      </c>
      <c r="BH502" s="91"/>
    </row>
    <row r="503" spans="1:60" x14ac:dyDescent="0.25">
      <c r="A503" s="91" t="s">
        <v>989</v>
      </c>
      <c r="B503" s="129">
        <f t="shared" si="31"/>
        <v>10</v>
      </c>
      <c r="C503" s="91">
        <f t="shared" si="32"/>
        <v>6</v>
      </c>
      <c r="D503" s="130">
        <f t="shared" si="33"/>
        <v>0.12</v>
      </c>
      <c r="E503" s="131">
        <v>46321</v>
      </c>
      <c r="F503" s="131">
        <v>46322</v>
      </c>
      <c r="G503" s="91">
        <f t="shared" ref="G503:G530" si="36">F503-E503</f>
        <v>1</v>
      </c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>
        <v>2</v>
      </c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>
        <v>1</v>
      </c>
      <c r="AD503" s="91"/>
      <c r="AE503" s="91"/>
      <c r="AF503" s="91"/>
      <c r="AG503" s="91"/>
      <c r="AH503" s="91"/>
      <c r="AI503" s="91">
        <v>2</v>
      </c>
      <c r="AJ503" s="91"/>
      <c r="AK503" s="91">
        <v>2</v>
      </c>
      <c r="AL503" s="91"/>
      <c r="AM503" s="91"/>
      <c r="AN503" s="91"/>
      <c r="AO503" s="91">
        <v>1</v>
      </c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>
        <v>2</v>
      </c>
      <c r="BD503" s="91"/>
      <c r="BE503" s="91"/>
      <c r="BF503" s="91"/>
      <c r="BG503" s="91"/>
      <c r="BH503" s="91"/>
    </row>
    <row r="504" spans="1:60" x14ac:dyDescent="0.25">
      <c r="A504" s="91" t="s">
        <v>990</v>
      </c>
      <c r="B504" s="129">
        <f t="shared" si="31"/>
        <v>9</v>
      </c>
      <c r="C504" s="91">
        <f t="shared" si="32"/>
        <v>2</v>
      </c>
      <c r="D504" s="130">
        <f t="shared" si="33"/>
        <v>0.04</v>
      </c>
      <c r="E504" s="131">
        <v>46244</v>
      </c>
      <c r="F504" s="131">
        <v>46246</v>
      </c>
      <c r="G504" s="91">
        <f t="shared" si="36"/>
        <v>2</v>
      </c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>
        <v>2</v>
      </c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>
        <v>7</v>
      </c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</row>
    <row r="505" spans="1:60" x14ac:dyDescent="0.25">
      <c r="A505" s="91" t="s">
        <v>991</v>
      </c>
      <c r="B505" s="129">
        <f t="shared" si="31"/>
        <v>9</v>
      </c>
      <c r="C505" s="91">
        <f t="shared" si="32"/>
        <v>3</v>
      </c>
      <c r="D505" s="130">
        <f t="shared" si="33"/>
        <v>0.06</v>
      </c>
      <c r="E505" s="131">
        <v>46244</v>
      </c>
      <c r="F505" s="131">
        <v>46255</v>
      </c>
      <c r="G505" s="91">
        <f t="shared" si="36"/>
        <v>11</v>
      </c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>
        <v>3</v>
      </c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>
        <v>3</v>
      </c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>
        <v>3</v>
      </c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</row>
    <row r="506" spans="1:60" x14ac:dyDescent="0.25">
      <c r="A506" s="91" t="s">
        <v>992</v>
      </c>
      <c r="B506" s="129">
        <f t="shared" si="31"/>
        <v>9</v>
      </c>
      <c r="C506" s="91">
        <f t="shared" si="32"/>
        <v>4</v>
      </c>
      <c r="D506" s="130">
        <f t="shared" si="33"/>
        <v>0.08</v>
      </c>
      <c r="E506" s="131">
        <v>46244</v>
      </c>
      <c r="F506" s="131">
        <v>46255</v>
      </c>
      <c r="G506" s="91">
        <f t="shared" si="36"/>
        <v>11</v>
      </c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>
        <v>2</v>
      </c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>
        <v>1</v>
      </c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>
        <v>3</v>
      </c>
      <c r="AR506" s="91"/>
      <c r="AS506" s="91">
        <v>3</v>
      </c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</row>
    <row r="507" spans="1:60" x14ac:dyDescent="0.25">
      <c r="A507" s="91" t="s">
        <v>993</v>
      </c>
      <c r="B507" s="129">
        <f t="shared" si="31"/>
        <v>9</v>
      </c>
      <c r="C507" s="91">
        <f t="shared" si="32"/>
        <v>1</v>
      </c>
      <c r="D507" s="130">
        <f t="shared" si="33"/>
        <v>0.02</v>
      </c>
      <c r="E507" s="131">
        <v>46232</v>
      </c>
      <c r="F507" s="131">
        <v>46232</v>
      </c>
      <c r="G507" s="91">
        <f t="shared" si="36"/>
        <v>0</v>
      </c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>
        <v>9</v>
      </c>
      <c r="BE507" s="91"/>
      <c r="BF507" s="91"/>
      <c r="BG507" s="91"/>
      <c r="BH507" s="91"/>
    </row>
    <row r="508" spans="1:60" x14ac:dyDescent="0.25">
      <c r="A508" s="91" t="s">
        <v>994</v>
      </c>
      <c r="B508" s="129">
        <f t="shared" si="31"/>
        <v>9</v>
      </c>
      <c r="C508" s="91">
        <f t="shared" si="32"/>
        <v>3</v>
      </c>
      <c r="D508" s="130">
        <f t="shared" si="33"/>
        <v>0.06</v>
      </c>
      <c r="E508" s="131">
        <v>46252</v>
      </c>
      <c r="F508" s="131">
        <v>46255</v>
      </c>
      <c r="G508" s="91">
        <f t="shared" si="36"/>
        <v>3</v>
      </c>
      <c r="H508" s="91"/>
      <c r="I508" s="91"/>
      <c r="J508" s="91"/>
      <c r="K508" s="91"/>
      <c r="L508" s="91"/>
      <c r="M508" s="91">
        <v>3</v>
      </c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>
        <v>1</v>
      </c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>
        <v>5</v>
      </c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</row>
    <row r="509" spans="1:60" x14ac:dyDescent="0.25">
      <c r="A509" s="91" t="s">
        <v>995</v>
      </c>
      <c r="B509" s="129">
        <f t="shared" si="31"/>
        <v>9</v>
      </c>
      <c r="C509" s="91">
        <f t="shared" si="32"/>
        <v>2</v>
      </c>
      <c r="D509" s="130">
        <f t="shared" si="33"/>
        <v>0.04</v>
      </c>
      <c r="E509" s="131">
        <v>46252</v>
      </c>
      <c r="F509" s="131">
        <v>46252</v>
      </c>
      <c r="G509" s="91">
        <f t="shared" si="36"/>
        <v>0</v>
      </c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>
        <v>5</v>
      </c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>
        <v>4</v>
      </c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</row>
    <row r="510" spans="1:60" x14ac:dyDescent="0.25">
      <c r="A510" s="91" t="s">
        <v>996</v>
      </c>
      <c r="B510" s="129">
        <f t="shared" si="31"/>
        <v>9</v>
      </c>
      <c r="C510" s="91">
        <f t="shared" si="32"/>
        <v>3</v>
      </c>
      <c r="D510" s="130">
        <f t="shared" si="33"/>
        <v>0.06</v>
      </c>
      <c r="E510" s="131">
        <v>46252</v>
      </c>
      <c r="F510" s="131">
        <v>46252</v>
      </c>
      <c r="G510" s="91">
        <f t="shared" si="36"/>
        <v>0</v>
      </c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>
        <v>4</v>
      </c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>
        <v>2</v>
      </c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>
        <v>3</v>
      </c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</row>
    <row r="511" spans="1:60" x14ac:dyDescent="0.25">
      <c r="A511" s="91" t="s">
        <v>997</v>
      </c>
      <c r="B511" s="129">
        <f t="shared" si="31"/>
        <v>9</v>
      </c>
      <c r="C511" s="91">
        <f t="shared" si="32"/>
        <v>2</v>
      </c>
      <c r="D511" s="130">
        <f t="shared" si="33"/>
        <v>0.04</v>
      </c>
      <c r="E511" s="131">
        <v>46252</v>
      </c>
      <c r="F511" s="131">
        <v>46252</v>
      </c>
      <c r="G511" s="91">
        <f t="shared" si="36"/>
        <v>0</v>
      </c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>
        <v>5</v>
      </c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>
        <v>4</v>
      </c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</row>
    <row r="512" spans="1:60" x14ac:dyDescent="0.25">
      <c r="A512" s="91" t="s">
        <v>998</v>
      </c>
      <c r="B512" s="129">
        <f t="shared" si="31"/>
        <v>9</v>
      </c>
      <c r="C512" s="91">
        <f t="shared" si="32"/>
        <v>3</v>
      </c>
      <c r="D512" s="130">
        <f t="shared" si="33"/>
        <v>0.06</v>
      </c>
      <c r="E512" s="131">
        <v>46252</v>
      </c>
      <c r="F512" s="131">
        <v>46252</v>
      </c>
      <c r="G512" s="91">
        <f t="shared" si="36"/>
        <v>0</v>
      </c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>
        <v>4</v>
      </c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>
        <v>2</v>
      </c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>
        <v>3</v>
      </c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</row>
    <row r="513" spans="1:60" x14ac:dyDescent="0.25">
      <c r="A513" s="91" t="s">
        <v>999</v>
      </c>
      <c r="B513" s="129">
        <f t="shared" si="31"/>
        <v>9</v>
      </c>
      <c r="C513" s="91">
        <f t="shared" si="32"/>
        <v>2</v>
      </c>
      <c r="D513" s="130">
        <f t="shared" si="33"/>
        <v>0.04</v>
      </c>
      <c r="E513" s="131">
        <v>46241</v>
      </c>
      <c r="F513" s="131">
        <v>46244</v>
      </c>
      <c r="G513" s="91">
        <f t="shared" si="36"/>
        <v>3</v>
      </c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>
        <v>3</v>
      </c>
      <c r="AV513" s="91"/>
      <c r="AW513" s="91"/>
      <c r="AX513" s="91"/>
      <c r="AY513" s="91"/>
      <c r="AZ513" s="91"/>
      <c r="BA513" s="91"/>
      <c r="BB513" s="91"/>
      <c r="BC513" s="91"/>
      <c r="BD513" s="91"/>
      <c r="BE513" s="91">
        <v>6</v>
      </c>
      <c r="BF513" s="91"/>
      <c r="BG513" s="91"/>
      <c r="BH513" s="91"/>
    </row>
    <row r="514" spans="1:60" x14ac:dyDescent="0.25">
      <c r="A514" s="91" t="s">
        <v>1000</v>
      </c>
      <c r="B514" s="129">
        <f t="shared" si="31"/>
        <v>9</v>
      </c>
      <c r="C514" s="91">
        <f t="shared" si="32"/>
        <v>1</v>
      </c>
      <c r="D514" s="130">
        <f t="shared" si="33"/>
        <v>0.02</v>
      </c>
      <c r="E514" s="131">
        <v>46181</v>
      </c>
      <c r="F514" s="131">
        <v>46181</v>
      </c>
      <c r="G514" s="91">
        <f t="shared" si="36"/>
        <v>0</v>
      </c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>
        <v>9</v>
      </c>
      <c r="AZ514" s="91"/>
      <c r="BA514" s="91"/>
      <c r="BB514" s="91"/>
      <c r="BC514" s="91"/>
      <c r="BD514" s="91"/>
      <c r="BE514" s="91"/>
      <c r="BF514" s="91"/>
      <c r="BG514" s="91"/>
      <c r="BH514" s="91"/>
    </row>
    <row r="515" spans="1:60" x14ac:dyDescent="0.25">
      <c r="A515" s="91" t="s">
        <v>1001</v>
      </c>
      <c r="B515" s="129">
        <f t="shared" si="31"/>
        <v>9</v>
      </c>
      <c r="C515" s="91">
        <f t="shared" si="32"/>
        <v>3</v>
      </c>
      <c r="D515" s="130">
        <f t="shared" si="33"/>
        <v>0.06</v>
      </c>
      <c r="E515" s="131">
        <v>46244</v>
      </c>
      <c r="F515" s="131">
        <v>46272</v>
      </c>
      <c r="G515" s="91">
        <f t="shared" si="36"/>
        <v>28</v>
      </c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>
        <v>4</v>
      </c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>
        <v>1</v>
      </c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>
        <v>4</v>
      </c>
      <c r="BF515" s="91"/>
      <c r="BG515" s="91"/>
      <c r="BH515" s="91"/>
    </row>
    <row r="516" spans="1:60" x14ac:dyDescent="0.25">
      <c r="A516" s="91" t="s">
        <v>1002</v>
      </c>
      <c r="B516" s="129">
        <f t="shared" si="31"/>
        <v>9</v>
      </c>
      <c r="C516" s="91">
        <f t="shared" si="32"/>
        <v>5</v>
      </c>
      <c r="D516" s="130">
        <f t="shared" si="33"/>
        <v>0.1</v>
      </c>
      <c r="E516" s="131">
        <v>46322</v>
      </c>
      <c r="F516" s="131">
        <v>46323</v>
      </c>
      <c r="G516" s="91">
        <f t="shared" si="36"/>
        <v>1</v>
      </c>
      <c r="H516" s="91"/>
      <c r="I516" s="91"/>
      <c r="J516" s="91"/>
      <c r="K516" s="91"/>
      <c r="L516" s="91"/>
      <c r="M516" s="91"/>
      <c r="N516" s="91">
        <v>4</v>
      </c>
      <c r="O516" s="91"/>
      <c r="P516" s="91"/>
      <c r="Q516" s="91"/>
      <c r="R516" s="91"/>
      <c r="S516" s="91"/>
      <c r="T516" s="91"/>
      <c r="U516" s="91"/>
      <c r="V516" s="91"/>
      <c r="W516" s="91">
        <v>1</v>
      </c>
      <c r="X516" s="91">
        <v>1</v>
      </c>
      <c r="Y516" s="91"/>
      <c r="Z516" s="91"/>
      <c r="AA516" s="91"/>
      <c r="AB516" s="91"/>
      <c r="AC516" s="91"/>
      <c r="AD516" s="91"/>
      <c r="AE516" s="91"/>
      <c r="AF516" s="91"/>
      <c r="AG516" s="91"/>
      <c r="AH516" s="91">
        <v>2</v>
      </c>
      <c r="AI516" s="91"/>
      <c r="AJ516" s="91">
        <v>1</v>
      </c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</row>
    <row r="517" spans="1:60" x14ac:dyDescent="0.25">
      <c r="A517" s="91" t="s">
        <v>1003</v>
      </c>
      <c r="B517" s="129">
        <f t="shared" si="31"/>
        <v>8</v>
      </c>
      <c r="C517" s="91">
        <f t="shared" si="32"/>
        <v>4</v>
      </c>
      <c r="D517" s="130">
        <f t="shared" si="33"/>
        <v>0.08</v>
      </c>
      <c r="E517" s="131">
        <v>46244</v>
      </c>
      <c r="F517" s="131">
        <v>46255</v>
      </c>
      <c r="G517" s="91">
        <f t="shared" si="36"/>
        <v>11</v>
      </c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>
        <v>1</v>
      </c>
      <c r="S517" s="91"/>
      <c r="T517" s="91"/>
      <c r="U517" s="91"/>
      <c r="V517" s="91"/>
      <c r="W517" s="91"/>
      <c r="X517" s="91">
        <v>3</v>
      </c>
      <c r="Y517" s="91"/>
      <c r="Z517" s="91"/>
      <c r="AA517" s="91"/>
      <c r="AB517" s="91"/>
      <c r="AC517" s="91"/>
      <c r="AD517" s="91">
        <v>1</v>
      </c>
      <c r="AE517" s="91"/>
      <c r="AF517" s="91"/>
      <c r="AG517" s="91"/>
      <c r="AH517" s="91"/>
      <c r="AI517" s="91"/>
      <c r="AJ517" s="91">
        <v>3</v>
      </c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</row>
    <row r="518" spans="1:60" x14ac:dyDescent="0.25">
      <c r="A518" s="91" t="s">
        <v>1004</v>
      </c>
      <c r="B518" s="129">
        <f t="shared" si="31"/>
        <v>8</v>
      </c>
      <c r="C518" s="91">
        <f t="shared" si="32"/>
        <v>1</v>
      </c>
      <c r="D518" s="130">
        <f t="shared" si="33"/>
        <v>0.02</v>
      </c>
      <c r="E518" s="131">
        <v>46232</v>
      </c>
      <c r="F518" s="131">
        <v>46232</v>
      </c>
      <c r="G518" s="91">
        <f t="shared" si="36"/>
        <v>0</v>
      </c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>
        <v>8</v>
      </c>
      <c r="BE518" s="91"/>
      <c r="BF518" s="91"/>
      <c r="BG518" s="91"/>
      <c r="BH518" s="91"/>
    </row>
    <row r="519" spans="1:60" x14ac:dyDescent="0.25">
      <c r="A519" s="91" t="s">
        <v>1005</v>
      </c>
      <c r="B519" s="129">
        <f t="shared" si="31"/>
        <v>8</v>
      </c>
      <c r="C519" s="91">
        <f t="shared" si="32"/>
        <v>2</v>
      </c>
      <c r="D519" s="130">
        <f t="shared" si="33"/>
        <v>0.04</v>
      </c>
      <c r="E519" s="131">
        <v>46246</v>
      </c>
      <c r="F519" s="131">
        <v>46246</v>
      </c>
      <c r="G519" s="91">
        <f t="shared" si="36"/>
        <v>0</v>
      </c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>
        <v>6</v>
      </c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>
        <v>2</v>
      </c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</row>
    <row r="520" spans="1:60" x14ac:dyDescent="0.25">
      <c r="A520" s="91" t="s">
        <v>1006</v>
      </c>
      <c r="B520" s="129">
        <f t="shared" ref="B520:B583" si="37">SUM(H520:BH520)</f>
        <v>8</v>
      </c>
      <c r="C520" s="91">
        <f t="shared" ref="C520:C583" si="38">COUNTIF(H520:BE520,"&gt;0")</f>
        <v>7</v>
      </c>
      <c r="D520" s="130">
        <f t="shared" ref="D520:D583" si="39">IFERROR(C520/TIENDAS,0)</f>
        <v>0.14000000000000001</v>
      </c>
      <c r="E520" s="131">
        <v>46269</v>
      </c>
      <c r="F520" s="131">
        <v>46322</v>
      </c>
      <c r="G520" s="91">
        <f t="shared" si="36"/>
        <v>53</v>
      </c>
      <c r="H520" s="91"/>
      <c r="I520" s="91"/>
      <c r="J520" s="91"/>
      <c r="K520" s="91"/>
      <c r="L520" s="91"/>
      <c r="M520" s="91">
        <v>1</v>
      </c>
      <c r="N520" s="91">
        <v>1</v>
      </c>
      <c r="O520" s="91"/>
      <c r="P520" s="91"/>
      <c r="Q520" s="91"/>
      <c r="R520" s="91"/>
      <c r="S520" s="91"/>
      <c r="T520" s="91"/>
      <c r="U520" s="91"/>
      <c r="V520" s="91">
        <v>1</v>
      </c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>
        <v>1</v>
      </c>
      <c r="AM520" s="91"/>
      <c r="AN520" s="91"/>
      <c r="AO520" s="91"/>
      <c r="AP520" s="91">
        <v>1</v>
      </c>
      <c r="AQ520" s="91"/>
      <c r="AR520" s="91"/>
      <c r="AS520" s="91"/>
      <c r="AT520" s="91"/>
      <c r="AU520" s="91"/>
      <c r="AV520" s="91"/>
      <c r="AW520" s="91"/>
      <c r="AX520" s="91"/>
      <c r="AY520" s="91">
        <v>1</v>
      </c>
      <c r="AZ520" s="91"/>
      <c r="BA520" s="91"/>
      <c r="BB520" s="91"/>
      <c r="BC520" s="91"/>
      <c r="BD520" s="91"/>
      <c r="BE520" s="91">
        <v>1</v>
      </c>
      <c r="BF520" s="91">
        <v>1</v>
      </c>
      <c r="BG520" s="91"/>
      <c r="BH520" s="91"/>
    </row>
    <row r="521" spans="1:60" x14ac:dyDescent="0.25">
      <c r="A521" s="91" t="s">
        <v>1007</v>
      </c>
      <c r="B521" s="129">
        <f t="shared" si="37"/>
        <v>8</v>
      </c>
      <c r="C521" s="91">
        <f t="shared" si="38"/>
        <v>6</v>
      </c>
      <c r="D521" s="130">
        <f t="shared" si="39"/>
        <v>0.12</v>
      </c>
      <c r="E521" s="131">
        <v>46322</v>
      </c>
      <c r="F521" s="131">
        <v>46322</v>
      </c>
      <c r="G521" s="91">
        <f t="shared" si="36"/>
        <v>0</v>
      </c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>
        <v>2</v>
      </c>
      <c r="Y521" s="91">
        <v>1</v>
      </c>
      <c r="Z521" s="91"/>
      <c r="AA521" s="91"/>
      <c r="AB521" s="91">
        <v>1</v>
      </c>
      <c r="AC521" s="91">
        <v>2</v>
      </c>
      <c r="AD521" s="91"/>
      <c r="AE521" s="91"/>
      <c r="AF521" s="91"/>
      <c r="AG521" s="91"/>
      <c r="AH521" s="91"/>
      <c r="AI521" s="91"/>
      <c r="AJ521" s="91">
        <v>1</v>
      </c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>
        <v>1</v>
      </c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</row>
    <row r="522" spans="1:60" x14ac:dyDescent="0.25">
      <c r="A522" s="91" t="s">
        <v>1008</v>
      </c>
      <c r="B522" s="129">
        <f t="shared" si="37"/>
        <v>8</v>
      </c>
      <c r="C522" s="91">
        <f t="shared" si="38"/>
        <v>5</v>
      </c>
      <c r="D522" s="130">
        <f t="shared" si="39"/>
        <v>0.1</v>
      </c>
      <c r="E522" s="131">
        <v>46322</v>
      </c>
      <c r="F522" s="131">
        <v>46322</v>
      </c>
      <c r="G522" s="91">
        <f t="shared" si="36"/>
        <v>0</v>
      </c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>
        <v>1</v>
      </c>
      <c r="AA522" s="91"/>
      <c r="AB522" s="91"/>
      <c r="AC522" s="91"/>
      <c r="AD522" s="91"/>
      <c r="AE522" s="91"/>
      <c r="AF522" s="91"/>
      <c r="AG522" s="91"/>
      <c r="AH522" s="91">
        <v>1</v>
      </c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>
        <v>2</v>
      </c>
      <c r="AT522" s="91"/>
      <c r="AU522" s="91"/>
      <c r="AV522" s="91"/>
      <c r="AW522" s="91">
        <v>1</v>
      </c>
      <c r="AX522" s="91"/>
      <c r="AY522" s="91"/>
      <c r="AZ522" s="91"/>
      <c r="BA522" s="91"/>
      <c r="BB522" s="91">
        <v>3</v>
      </c>
      <c r="BC522" s="91"/>
      <c r="BD522" s="91"/>
      <c r="BE522" s="91"/>
      <c r="BF522" s="91"/>
      <c r="BG522" s="91"/>
      <c r="BH522" s="91"/>
    </row>
    <row r="523" spans="1:60" x14ac:dyDescent="0.25">
      <c r="A523" s="91" t="s">
        <v>1009</v>
      </c>
      <c r="B523" s="129">
        <f t="shared" si="37"/>
        <v>7</v>
      </c>
      <c r="C523" s="91">
        <f t="shared" si="38"/>
        <v>2</v>
      </c>
      <c r="D523" s="130">
        <f t="shared" si="39"/>
        <v>0.04</v>
      </c>
      <c r="E523" s="131">
        <v>46241</v>
      </c>
      <c r="F523" s="131">
        <v>46244</v>
      </c>
      <c r="G523" s="91">
        <f t="shared" si="36"/>
        <v>3</v>
      </c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>
        <v>2</v>
      </c>
      <c r="AP523" s="91"/>
      <c r="AQ523" s="91"/>
      <c r="AR523" s="91"/>
      <c r="AS523" s="91">
        <v>5</v>
      </c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</row>
    <row r="524" spans="1:60" x14ac:dyDescent="0.25">
      <c r="A524" s="91" t="s">
        <v>1010</v>
      </c>
      <c r="B524" s="129">
        <f t="shared" si="37"/>
        <v>7</v>
      </c>
      <c r="C524" s="91">
        <f t="shared" si="38"/>
        <v>3</v>
      </c>
      <c r="D524" s="130">
        <f t="shared" si="39"/>
        <v>0.06</v>
      </c>
      <c r="E524" s="131">
        <v>46246</v>
      </c>
      <c r="F524" s="131">
        <v>46246</v>
      </c>
      <c r="G524" s="91">
        <f t="shared" si="36"/>
        <v>0</v>
      </c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>
        <v>3</v>
      </c>
      <c r="AP524" s="91"/>
      <c r="AQ524" s="91"/>
      <c r="AR524" s="91"/>
      <c r="AS524" s="91">
        <v>2</v>
      </c>
      <c r="AT524" s="91"/>
      <c r="AU524" s="91"/>
      <c r="AV524" s="91"/>
      <c r="AW524" s="91"/>
      <c r="AX524" s="91"/>
      <c r="AY524" s="91">
        <v>2</v>
      </c>
      <c r="AZ524" s="91"/>
      <c r="BA524" s="91"/>
      <c r="BB524" s="91"/>
      <c r="BC524" s="91"/>
      <c r="BD524" s="91"/>
      <c r="BE524" s="91"/>
      <c r="BF524" s="91"/>
      <c r="BG524" s="91"/>
      <c r="BH524" s="91"/>
    </row>
    <row r="525" spans="1:60" x14ac:dyDescent="0.25">
      <c r="A525" s="91" t="s">
        <v>1011</v>
      </c>
      <c r="B525" s="129">
        <f t="shared" si="37"/>
        <v>7</v>
      </c>
      <c r="C525" s="91">
        <f t="shared" si="38"/>
        <v>6</v>
      </c>
      <c r="D525" s="130">
        <f t="shared" si="39"/>
        <v>0.12</v>
      </c>
      <c r="E525" s="131">
        <v>46322</v>
      </c>
      <c r="F525" s="131">
        <v>46322</v>
      </c>
      <c r="G525" s="91">
        <f t="shared" si="36"/>
        <v>0</v>
      </c>
      <c r="H525" s="91"/>
      <c r="I525" s="91">
        <v>2</v>
      </c>
      <c r="J525" s="91">
        <v>1</v>
      </c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>
        <v>1</v>
      </c>
      <c r="AI525" s="91"/>
      <c r="AJ525" s="91"/>
      <c r="AK525" s="91"/>
      <c r="AL525" s="91"/>
      <c r="AM525" s="91">
        <v>1</v>
      </c>
      <c r="AN525" s="91"/>
      <c r="AO525" s="91">
        <v>1</v>
      </c>
      <c r="AP525" s="91"/>
      <c r="AQ525" s="91"/>
      <c r="AR525" s="91"/>
      <c r="AS525" s="91">
        <v>1</v>
      </c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</row>
    <row r="526" spans="1:60" x14ac:dyDescent="0.25">
      <c r="A526" s="91" t="s">
        <v>1012</v>
      </c>
      <c r="B526" s="129">
        <f t="shared" si="37"/>
        <v>6</v>
      </c>
      <c r="C526" s="91">
        <f t="shared" si="38"/>
        <v>2</v>
      </c>
      <c r="D526" s="130">
        <f t="shared" si="39"/>
        <v>0.04</v>
      </c>
      <c r="E526" s="131">
        <v>46244</v>
      </c>
      <c r="F526" s="131">
        <v>46246</v>
      </c>
      <c r="G526" s="91">
        <f t="shared" si="36"/>
        <v>2</v>
      </c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>
        <v>3</v>
      </c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>
        <v>3</v>
      </c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</row>
    <row r="527" spans="1:60" x14ac:dyDescent="0.25">
      <c r="A527" s="91" t="s">
        <v>1013</v>
      </c>
      <c r="B527" s="129">
        <f t="shared" si="37"/>
        <v>6</v>
      </c>
      <c r="C527" s="91">
        <f t="shared" si="38"/>
        <v>2</v>
      </c>
      <c r="D527" s="130">
        <f t="shared" si="39"/>
        <v>0.04</v>
      </c>
      <c r="E527" s="131">
        <v>46252</v>
      </c>
      <c r="F527" s="131">
        <v>46252</v>
      </c>
      <c r="G527" s="91">
        <f t="shared" si="36"/>
        <v>0</v>
      </c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>
        <v>4</v>
      </c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>
        <v>2</v>
      </c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</row>
    <row r="528" spans="1:60" x14ac:dyDescent="0.25">
      <c r="A528" s="91" t="s">
        <v>1014</v>
      </c>
      <c r="B528" s="129">
        <f t="shared" si="37"/>
        <v>6</v>
      </c>
      <c r="C528" s="91">
        <f t="shared" si="38"/>
        <v>3</v>
      </c>
      <c r="D528" s="130">
        <f t="shared" si="39"/>
        <v>0.06</v>
      </c>
      <c r="E528" s="131">
        <v>46244</v>
      </c>
      <c r="F528" s="131">
        <v>46246</v>
      </c>
      <c r="G528" s="91">
        <f t="shared" si="36"/>
        <v>2</v>
      </c>
      <c r="H528" s="91">
        <v>2</v>
      </c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>
        <v>2</v>
      </c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>
        <v>2</v>
      </c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</row>
    <row r="529" spans="1:60" x14ac:dyDescent="0.25">
      <c r="A529" s="91" t="s">
        <v>1015</v>
      </c>
      <c r="B529" s="129">
        <f t="shared" si="37"/>
        <v>6</v>
      </c>
      <c r="C529" s="91">
        <f t="shared" si="38"/>
        <v>2</v>
      </c>
      <c r="D529" s="130">
        <f t="shared" si="39"/>
        <v>0.04</v>
      </c>
      <c r="E529" s="131">
        <v>46245</v>
      </c>
      <c r="F529" s="131">
        <v>46245</v>
      </c>
      <c r="G529" s="91">
        <f t="shared" si="36"/>
        <v>0</v>
      </c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>
        <v>3</v>
      </c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>
        <v>3</v>
      </c>
      <c r="BD529" s="91"/>
      <c r="BE529" s="91"/>
      <c r="BF529" s="91"/>
      <c r="BG529" s="91"/>
      <c r="BH529" s="91"/>
    </row>
    <row r="530" spans="1:60" x14ac:dyDescent="0.25">
      <c r="A530" s="91" t="s">
        <v>1016</v>
      </c>
      <c r="B530" s="129">
        <f t="shared" si="37"/>
        <v>6</v>
      </c>
      <c r="C530" s="91">
        <f t="shared" si="38"/>
        <v>1</v>
      </c>
      <c r="D530" s="130">
        <f t="shared" si="39"/>
        <v>0.02</v>
      </c>
      <c r="E530" s="131">
        <v>46269</v>
      </c>
      <c r="F530" s="131">
        <v>46269</v>
      </c>
      <c r="G530" s="91">
        <f t="shared" si="36"/>
        <v>0</v>
      </c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>
        <v>1</v>
      </c>
      <c r="AZ530" s="91"/>
      <c r="BA530" s="91"/>
      <c r="BB530" s="91"/>
      <c r="BC530" s="91"/>
      <c r="BD530" s="91"/>
      <c r="BE530" s="91"/>
      <c r="BF530" s="91">
        <v>1</v>
      </c>
      <c r="BG530" s="91">
        <v>4</v>
      </c>
      <c r="BH530" s="91"/>
    </row>
    <row r="531" spans="1:60" x14ac:dyDescent="0.25">
      <c r="A531" s="91" t="s">
        <v>1017</v>
      </c>
      <c r="B531" s="129">
        <f t="shared" si="37"/>
        <v>6</v>
      </c>
      <c r="C531" s="91">
        <f t="shared" si="38"/>
        <v>0</v>
      </c>
      <c r="D531" s="130">
        <f t="shared" si="39"/>
        <v>0</v>
      </c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>
        <v>6</v>
      </c>
      <c r="BH531" s="91"/>
    </row>
    <row r="532" spans="1:60" x14ac:dyDescent="0.25">
      <c r="A532" s="91" t="s">
        <v>1018</v>
      </c>
      <c r="B532" s="129">
        <f t="shared" si="37"/>
        <v>6</v>
      </c>
      <c r="C532" s="91">
        <f t="shared" si="38"/>
        <v>0</v>
      </c>
      <c r="D532" s="130">
        <f t="shared" si="39"/>
        <v>0</v>
      </c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>
        <v>6</v>
      </c>
      <c r="BH532" s="91"/>
    </row>
    <row r="533" spans="1:60" x14ac:dyDescent="0.25">
      <c r="A533" s="91" t="s">
        <v>1019</v>
      </c>
      <c r="B533" s="129">
        <f t="shared" si="37"/>
        <v>6</v>
      </c>
      <c r="C533" s="91">
        <f t="shared" si="38"/>
        <v>2</v>
      </c>
      <c r="D533" s="130">
        <f t="shared" si="39"/>
        <v>0.04</v>
      </c>
      <c r="E533" s="131">
        <v>46269</v>
      </c>
      <c r="F533" s="131">
        <v>46269</v>
      </c>
      <c r="G533" s="91">
        <f t="shared" ref="G533:G554" si="40">F533-E533</f>
        <v>0</v>
      </c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>
        <v>2</v>
      </c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>
        <v>1</v>
      </c>
      <c r="BD533" s="91"/>
      <c r="BE533" s="91"/>
      <c r="BF533" s="91">
        <v>1</v>
      </c>
      <c r="BG533" s="91">
        <v>2</v>
      </c>
      <c r="BH533" s="91"/>
    </row>
    <row r="534" spans="1:60" x14ac:dyDescent="0.25">
      <c r="A534" s="91" t="s">
        <v>1020</v>
      </c>
      <c r="B534" s="129">
        <f t="shared" si="37"/>
        <v>6</v>
      </c>
      <c r="C534" s="91">
        <f t="shared" si="38"/>
        <v>3</v>
      </c>
      <c r="D534" s="130">
        <f t="shared" si="39"/>
        <v>0.06</v>
      </c>
      <c r="E534" s="131">
        <v>46269</v>
      </c>
      <c r="F534" s="131">
        <v>46269</v>
      </c>
      <c r="G534" s="91">
        <f t="shared" si="40"/>
        <v>0</v>
      </c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>
        <v>1</v>
      </c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>
        <v>1</v>
      </c>
      <c r="AP534" s="91"/>
      <c r="AQ534" s="91"/>
      <c r="AR534" s="91"/>
      <c r="AS534" s="91">
        <v>1</v>
      </c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>
        <v>3</v>
      </c>
      <c r="BH534" s="91"/>
    </row>
    <row r="535" spans="1:60" x14ac:dyDescent="0.25">
      <c r="A535" s="91" t="s">
        <v>1021</v>
      </c>
      <c r="B535" s="129">
        <f t="shared" si="37"/>
        <v>6</v>
      </c>
      <c r="C535" s="91">
        <f t="shared" si="38"/>
        <v>3</v>
      </c>
      <c r="D535" s="130">
        <f t="shared" si="39"/>
        <v>0.06</v>
      </c>
      <c r="E535" s="131">
        <v>46269</v>
      </c>
      <c r="F535" s="131">
        <v>46269</v>
      </c>
      <c r="G535" s="91">
        <f t="shared" si="40"/>
        <v>0</v>
      </c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>
        <v>1</v>
      </c>
      <c r="U535" s="91"/>
      <c r="V535" s="91"/>
      <c r="W535" s="91"/>
      <c r="X535" s="91"/>
      <c r="Y535" s="91"/>
      <c r="Z535" s="91"/>
      <c r="AA535" s="91"/>
      <c r="AB535" s="91"/>
      <c r="AC535" s="91">
        <v>2</v>
      </c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>
        <v>3</v>
      </c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</row>
    <row r="536" spans="1:60" x14ac:dyDescent="0.25">
      <c r="A536" s="91" t="s">
        <v>1022</v>
      </c>
      <c r="B536" s="129">
        <f t="shared" si="37"/>
        <v>6</v>
      </c>
      <c r="C536" s="91">
        <f t="shared" si="38"/>
        <v>3</v>
      </c>
      <c r="D536" s="130">
        <f t="shared" si="39"/>
        <v>0.06</v>
      </c>
      <c r="E536" s="131">
        <v>46269</v>
      </c>
      <c r="F536" s="131">
        <v>46269</v>
      </c>
      <c r="G536" s="91">
        <f t="shared" si="40"/>
        <v>0</v>
      </c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>
        <v>1</v>
      </c>
      <c r="Y536" s="91"/>
      <c r="Z536" s="91"/>
      <c r="AA536" s="91"/>
      <c r="AB536" s="91"/>
      <c r="AC536" s="91"/>
      <c r="AD536" s="91">
        <v>1</v>
      </c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>
        <v>4</v>
      </c>
      <c r="AZ536" s="91"/>
      <c r="BA536" s="91"/>
      <c r="BB536" s="91"/>
      <c r="BC536" s="91"/>
      <c r="BD536" s="91"/>
      <c r="BE536" s="91"/>
      <c r="BF536" s="91"/>
      <c r="BG536" s="91"/>
      <c r="BH536" s="91"/>
    </row>
    <row r="537" spans="1:60" x14ac:dyDescent="0.25">
      <c r="A537" s="91" t="s">
        <v>1023</v>
      </c>
      <c r="B537" s="129">
        <f t="shared" si="37"/>
        <v>6</v>
      </c>
      <c r="C537" s="91">
        <f t="shared" si="38"/>
        <v>5</v>
      </c>
      <c r="D537" s="130">
        <f t="shared" si="39"/>
        <v>0.1</v>
      </c>
      <c r="E537" s="131">
        <v>46321</v>
      </c>
      <c r="F537" s="131">
        <v>46322</v>
      </c>
      <c r="G537" s="91">
        <f t="shared" si="40"/>
        <v>1</v>
      </c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>
        <v>1</v>
      </c>
      <c r="AD537" s="91">
        <v>1</v>
      </c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>
        <v>1</v>
      </c>
      <c r="AP537" s="91"/>
      <c r="AQ537" s="91"/>
      <c r="AR537" s="91"/>
      <c r="AS537" s="91"/>
      <c r="AT537" s="91"/>
      <c r="AU537" s="91"/>
      <c r="AV537" s="91">
        <v>2</v>
      </c>
      <c r="AW537" s="91"/>
      <c r="AX537" s="91"/>
      <c r="AY537" s="91"/>
      <c r="AZ537" s="91"/>
      <c r="BA537" s="91"/>
      <c r="BB537" s="91"/>
      <c r="BC537" s="91">
        <v>1</v>
      </c>
      <c r="BD537" s="91"/>
      <c r="BE537" s="91"/>
      <c r="BF537" s="91"/>
      <c r="BG537" s="91"/>
      <c r="BH537" s="91"/>
    </row>
    <row r="538" spans="1:60" x14ac:dyDescent="0.25">
      <c r="A538" s="91" t="s">
        <v>1024</v>
      </c>
      <c r="B538" s="129">
        <f t="shared" si="37"/>
        <v>6</v>
      </c>
      <c r="C538" s="91">
        <f t="shared" si="38"/>
        <v>3</v>
      </c>
      <c r="D538" s="130">
        <f t="shared" si="39"/>
        <v>0.06</v>
      </c>
      <c r="E538" s="131">
        <v>46322</v>
      </c>
      <c r="F538" s="131">
        <v>46322</v>
      </c>
      <c r="G538" s="91">
        <f t="shared" si="40"/>
        <v>0</v>
      </c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>
        <v>3</v>
      </c>
      <c r="AT538" s="91"/>
      <c r="AU538" s="91"/>
      <c r="AV538" s="91"/>
      <c r="AW538" s="91"/>
      <c r="AX538" s="91"/>
      <c r="AY538" s="91">
        <v>1</v>
      </c>
      <c r="AZ538" s="91">
        <v>2</v>
      </c>
      <c r="BA538" s="91"/>
      <c r="BB538" s="91"/>
      <c r="BC538" s="91"/>
      <c r="BD538" s="91"/>
      <c r="BE538" s="91"/>
      <c r="BF538" s="91"/>
      <c r="BG538" s="91"/>
      <c r="BH538" s="91"/>
    </row>
    <row r="539" spans="1:60" x14ac:dyDescent="0.25">
      <c r="A539" s="91" t="s">
        <v>1025</v>
      </c>
      <c r="B539" s="129">
        <f t="shared" si="37"/>
        <v>5</v>
      </c>
      <c r="C539" s="91">
        <f t="shared" si="38"/>
        <v>2</v>
      </c>
      <c r="D539" s="130">
        <f t="shared" si="39"/>
        <v>0.04</v>
      </c>
      <c r="E539" s="131">
        <v>46244</v>
      </c>
      <c r="F539" s="131">
        <v>46246</v>
      </c>
      <c r="G539" s="91">
        <f t="shared" si="40"/>
        <v>2</v>
      </c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>
        <v>3</v>
      </c>
      <c r="AH539" s="91"/>
      <c r="AI539" s="91"/>
      <c r="AJ539" s="91"/>
      <c r="AK539" s="91"/>
      <c r="AL539" s="91"/>
      <c r="AM539" s="91"/>
      <c r="AN539" s="91"/>
      <c r="AO539" s="91">
        <v>2</v>
      </c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</row>
    <row r="540" spans="1:60" x14ac:dyDescent="0.25">
      <c r="A540" s="91" t="s">
        <v>1026</v>
      </c>
      <c r="B540" s="129">
        <f t="shared" si="37"/>
        <v>5</v>
      </c>
      <c r="C540" s="91">
        <f t="shared" si="38"/>
        <v>2</v>
      </c>
      <c r="D540" s="130">
        <f t="shared" si="39"/>
        <v>0.04</v>
      </c>
      <c r="E540" s="131">
        <v>46255</v>
      </c>
      <c r="F540" s="131">
        <v>46255</v>
      </c>
      <c r="G540" s="91">
        <f t="shared" si="40"/>
        <v>0</v>
      </c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>
        <v>3</v>
      </c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>
        <v>2</v>
      </c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</row>
    <row r="541" spans="1:60" x14ac:dyDescent="0.25">
      <c r="A541" s="91" t="s">
        <v>1027</v>
      </c>
      <c r="B541" s="129">
        <f t="shared" si="37"/>
        <v>5</v>
      </c>
      <c r="C541" s="91">
        <f t="shared" si="38"/>
        <v>3</v>
      </c>
      <c r="D541" s="130">
        <f t="shared" si="39"/>
        <v>0.06</v>
      </c>
      <c r="E541" s="131">
        <v>46252</v>
      </c>
      <c r="F541" s="131">
        <v>46255</v>
      </c>
      <c r="G541" s="91">
        <f t="shared" si="40"/>
        <v>3</v>
      </c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>
        <v>3</v>
      </c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>
        <v>1</v>
      </c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>
        <v>1</v>
      </c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</row>
    <row r="542" spans="1:60" x14ac:dyDescent="0.25">
      <c r="A542" s="91" t="s">
        <v>1028</v>
      </c>
      <c r="B542" s="129">
        <f t="shared" si="37"/>
        <v>5</v>
      </c>
      <c r="C542" s="91">
        <f t="shared" si="38"/>
        <v>1</v>
      </c>
      <c r="D542" s="130">
        <f t="shared" si="39"/>
        <v>0.02</v>
      </c>
      <c r="E542" s="131">
        <v>46241</v>
      </c>
      <c r="F542" s="131">
        <v>46241</v>
      </c>
      <c r="G542" s="91">
        <f t="shared" si="40"/>
        <v>0</v>
      </c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>
        <v>5</v>
      </c>
      <c r="AZ542" s="91"/>
      <c r="BA542" s="91"/>
      <c r="BB542" s="91"/>
      <c r="BC542" s="91"/>
      <c r="BD542" s="91"/>
      <c r="BE542" s="91"/>
      <c r="BF542" s="91"/>
      <c r="BG542" s="91"/>
      <c r="BH542" s="91"/>
    </row>
    <row r="543" spans="1:60" x14ac:dyDescent="0.25">
      <c r="A543" s="91" t="s">
        <v>1029</v>
      </c>
      <c r="B543" s="129">
        <f t="shared" si="37"/>
        <v>5</v>
      </c>
      <c r="C543" s="91">
        <f t="shared" si="38"/>
        <v>2</v>
      </c>
      <c r="D543" s="130">
        <f t="shared" si="39"/>
        <v>0.04</v>
      </c>
      <c r="E543" s="131">
        <v>46240</v>
      </c>
      <c r="F543" s="131">
        <v>46255</v>
      </c>
      <c r="G543" s="91">
        <f t="shared" si="40"/>
        <v>15</v>
      </c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>
        <v>3</v>
      </c>
      <c r="AX543" s="91"/>
      <c r="AY543" s="91">
        <v>2</v>
      </c>
      <c r="AZ543" s="91"/>
      <c r="BA543" s="91"/>
      <c r="BB543" s="91"/>
      <c r="BC543" s="91"/>
      <c r="BD543" s="91"/>
      <c r="BE543" s="91"/>
      <c r="BF543" s="91"/>
      <c r="BG543" s="91"/>
      <c r="BH543" s="91"/>
    </row>
    <row r="544" spans="1:60" x14ac:dyDescent="0.25">
      <c r="A544" s="91" t="s">
        <v>1030</v>
      </c>
      <c r="B544" s="129">
        <f t="shared" si="37"/>
        <v>5</v>
      </c>
      <c r="C544" s="91">
        <f t="shared" si="38"/>
        <v>1</v>
      </c>
      <c r="D544" s="130">
        <f t="shared" si="39"/>
        <v>0.02</v>
      </c>
      <c r="E544" s="131">
        <v>46272</v>
      </c>
      <c r="F544" s="131">
        <v>46272</v>
      </c>
      <c r="G544" s="91">
        <f t="shared" si="40"/>
        <v>0</v>
      </c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>
        <v>5</v>
      </c>
      <c r="AZ544" s="91"/>
      <c r="BA544" s="91"/>
      <c r="BB544" s="91"/>
      <c r="BC544" s="91"/>
      <c r="BD544" s="91"/>
      <c r="BE544" s="91"/>
      <c r="BF544" s="91"/>
      <c r="BG544" s="91"/>
      <c r="BH544" s="91"/>
    </row>
    <row r="545" spans="1:60" x14ac:dyDescent="0.25">
      <c r="A545" s="91" t="s">
        <v>1031</v>
      </c>
      <c r="B545" s="129">
        <f t="shared" si="37"/>
        <v>5</v>
      </c>
      <c r="C545" s="91">
        <f t="shared" si="38"/>
        <v>1</v>
      </c>
      <c r="D545" s="130">
        <f t="shared" si="39"/>
        <v>0.02</v>
      </c>
      <c r="E545" s="131">
        <v>46269</v>
      </c>
      <c r="F545" s="131">
        <v>46269</v>
      </c>
      <c r="G545" s="91">
        <f t="shared" si="40"/>
        <v>0</v>
      </c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>
        <v>1</v>
      </c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>
        <v>4</v>
      </c>
      <c r="BH545" s="91"/>
    </row>
    <row r="546" spans="1:60" x14ac:dyDescent="0.25">
      <c r="A546" s="91" t="s">
        <v>1032</v>
      </c>
      <c r="B546" s="129">
        <f t="shared" si="37"/>
        <v>5</v>
      </c>
      <c r="C546" s="91">
        <f t="shared" si="38"/>
        <v>3</v>
      </c>
      <c r="D546" s="130">
        <f t="shared" si="39"/>
        <v>0.06</v>
      </c>
      <c r="E546" s="131">
        <v>46322</v>
      </c>
      <c r="F546" s="131">
        <v>46322</v>
      </c>
      <c r="G546" s="91">
        <f t="shared" si="40"/>
        <v>0</v>
      </c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>
        <v>2</v>
      </c>
      <c r="AP546" s="91"/>
      <c r="AQ546" s="91"/>
      <c r="AR546" s="91"/>
      <c r="AS546" s="91"/>
      <c r="AT546" s="91"/>
      <c r="AU546" s="91"/>
      <c r="AV546" s="91"/>
      <c r="AW546" s="91"/>
      <c r="AX546" s="91"/>
      <c r="AY546" s="91">
        <v>2</v>
      </c>
      <c r="AZ546" s="91"/>
      <c r="BA546" s="91"/>
      <c r="BB546" s="91"/>
      <c r="BC546" s="91">
        <v>1</v>
      </c>
      <c r="BD546" s="91"/>
      <c r="BE546" s="91"/>
      <c r="BF546" s="91"/>
      <c r="BG546" s="91"/>
      <c r="BH546" s="91"/>
    </row>
    <row r="547" spans="1:60" x14ac:dyDescent="0.25">
      <c r="A547" s="91" t="s">
        <v>1033</v>
      </c>
      <c r="B547" s="129">
        <f t="shared" si="37"/>
        <v>4</v>
      </c>
      <c r="C547" s="91">
        <f t="shared" si="38"/>
        <v>2</v>
      </c>
      <c r="D547" s="130">
        <f t="shared" si="39"/>
        <v>0.04</v>
      </c>
      <c r="E547" s="131">
        <v>46255</v>
      </c>
      <c r="F547" s="131">
        <v>46255</v>
      </c>
      <c r="G547" s="91">
        <f t="shared" si="40"/>
        <v>0</v>
      </c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>
        <v>2</v>
      </c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>
        <v>2</v>
      </c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</row>
    <row r="548" spans="1:60" x14ac:dyDescent="0.25">
      <c r="A548" s="91" t="s">
        <v>1034</v>
      </c>
      <c r="B548" s="129">
        <f t="shared" si="37"/>
        <v>4</v>
      </c>
      <c r="C548" s="91">
        <f t="shared" si="38"/>
        <v>2</v>
      </c>
      <c r="D548" s="130">
        <f t="shared" si="39"/>
        <v>0.04</v>
      </c>
      <c r="E548" s="131">
        <v>46255</v>
      </c>
      <c r="F548" s="131">
        <v>46255</v>
      </c>
      <c r="G548" s="91">
        <f t="shared" si="40"/>
        <v>0</v>
      </c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>
        <v>2</v>
      </c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>
        <v>2</v>
      </c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</row>
    <row r="549" spans="1:60" x14ac:dyDescent="0.25">
      <c r="A549" s="91" t="s">
        <v>1035</v>
      </c>
      <c r="B549" s="129">
        <f t="shared" si="37"/>
        <v>4</v>
      </c>
      <c r="C549" s="91">
        <f t="shared" si="38"/>
        <v>1</v>
      </c>
      <c r="D549" s="130">
        <f t="shared" si="39"/>
        <v>0.02</v>
      </c>
      <c r="E549" s="131">
        <v>46244</v>
      </c>
      <c r="F549" s="131">
        <v>46244</v>
      </c>
      <c r="G549" s="91">
        <f t="shared" si="40"/>
        <v>0</v>
      </c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>
        <v>4</v>
      </c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</row>
    <row r="550" spans="1:60" x14ac:dyDescent="0.25">
      <c r="A550" s="91" t="s">
        <v>1036</v>
      </c>
      <c r="B550" s="129">
        <f t="shared" si="37"/>
        <v>4</v>
      </c>
      <c r="C550" s="91">
        <f t="shared" si="38"/>
        <v>1</v>
      </c>
      <c r="D550" s="130">
        <f t="shared" si="39"/>
        <v>0.02</v>
      </c>
      <c r="E550" s="131">
        <v>46244</v>
      </c>
      <c r="F550" s="131">
        <v>46244</v>
      </c>
      <c r="G550" s="91">
        <f t="shared" si="40"/>
        <v>0</v>
      </c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>
        <v>4</v>
      </c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</row>
    <row r="551" spans="1:60" x14ac:dyDescent="0.25">
      <c r="A551" s="91" t="s">
        <v>1037</v>
      </c>
      <c r="B551" s="129">
        <f t="shared" si="37"/>
        <v>4</v>
      </c>
      <c r="C551" s="91">
        <f t="shared" si="38"/>
        <v>1</v>
      </c>
      <c r="D551" s="130">
        <f t="shared" si="39"/>
        <v>0.02</v>
      </c>
      <c r="E551" s="131">
        <v>46240</v>
      </c>
      <c r="F551" s="131">
        <v>46240</v>
      </c>
      <c r="G551" s="91">
        <f t="shared" si="40"/>
        <v>0</v>
      </c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>
        <v>4</v>
      </c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</row>
    <row r="552" spans="1:60" x14ac:dyDescent="0.25">
      <c r="A552" s="91" t="s">
        <v>1038</v>
      </c>
      <c r="B552" s="129">
        <f t="shared" si="37"/>
        <v>4</v>
      </c>
      <c r="C552" s="91">
        <f t="shared" si="38"/>
        <v>1</v>
      </c>
      <c r="D552" s="130">
        <f t="shared" si="39"/>
        <v>0.02</v>
      </c>
      <c r="E552" s="131">
        <v>46240</v>
      </c>
      <c r="F552" s="131">
        <v>46240</v>
      </c>
      <c r="G552" s="91">
        <f t="shared" si="40"/>
        <v>0</v>
      </c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>
        <v>4</v>
      </c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</row>
    <row r="553" spans="1:60" x14ac:dyDescent="0.25">
      <c r="A553" s="91" t="s">
        <v>1039</v>
      </c>
      <c r="B553" s="129">
        <f t="shared" si="37"/>
        <v>4</v>
      </c>
      <c r="C553" s="91">
        <f t="shared" si="38"/>
        <v>1</v>
      </c>
      <c r="D553" s="130">
        <f t="shared" si="39"/>
        <v>0.02</v>
      </c>
      <c r="E553" s="131">
        <v>46240</v>
      </c>
      <c r="F553" s="131">
        <v>46240</v>
      </c>
      <c r="G553" s="91">
        <f t="shared" si="40"/>
        <v>0</v>
      </c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>
        <v>4</v>
      </c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</row>
    <row r="554" spans="1:60" x14ac:dyDescent="0.25">
      <c r="A554" s="91" t="s">
        <v>1040</v>
      </c>
      <c r="B554" s="129">
        <f t="shared" si="37"/>
        <v>4</v>
      </c>
      <c r="C554" s="91">
        <f t="shared" si="38"/>
        <v>1</v>
      </c>
      <c r="D554" s="130">
        <f t="shared" si="39"/>
        <v>0.02</v>
      </c>
      <c r="E554" s="131">
        <v>46246</v>
      </c>
      <c r="F554" s="131">
        <v>46246</v>
      </c>
      <c r="G554" s="91">
        <f t="shared" si="40"/>
        <v>0</v>
      </c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>
        <v>4</v>
      </c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</row>
    <row r="555" spans="1:60" x14ac:dyDescent="0.25">
      <c r="A555" s="91" t="s">
        <v>1041</v>
      </c>
      <c r="B555" s="129">
        <f t="shared" si="37"/>
        <v>4</v>
      </c>
      <c r="C555" s="91">
        <f t="shared" si="38"/>
        <v>0</v>
      </c>
      <c r="D555" s="130">
        <f t="shared" si="39"/>
        <v>0</v>
      </c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>
        <v>2</v>
      </c>
      <c r="BG555" s="91">
        <v>2</v>
      </c>
      <c r="BH555" s="91"/>
    </row>
    <row r="556" spans="1:60" x14ac:dyDescent="0.25">
      <c r="A556" s="91" t="s">
        <v>1042</v>
      </c>
      <c r="B556" s="129">
        <f t="shared" si="37"/>
        <v>4</v>
      </c>
      <c r="C556" s="91">
        <f t="shared" si="38"/>
        <v>3</v>
      </c>
      <c r="D556" s="130">
        <f t="shared" si="39"/>
        <v>0.06</v>
      </c>
      <c r="E556" s="131">
        <v>46322</v>
      </c>
      <c r="F556" s="131">
        <v>46322</v>
      </c>
      <c r="G556" s="91">
        <f t="shared" ref="G556:G577" si="41">F556-E556</f>
        <v>0</v>
      </c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>
        <v>2</v>
      </c>
      <c r="AP556" s="91"/>
      <c r="AQ556" s="91"/>
      <c r="AR556" s="91">
        <v>1</v>
      </c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>
        <v>1</v>
      </c>
      <c r="BE556" s="91"/>
      <c r="BF556" s="91"/>
      <c r="BG556" s="91"/>
      <c r="BH556" s="91"/>
    </row>
    <row r="557" spans="1:60" x14ac:dyDescent="0.25">
      <c r="A557" s="91" t="s">
        <v>1043</v>
      </c>
      <c r="B557" s="129">
        <f t="shared" si="37"/>
        <v>4</v>
      </c>
      <c r="C557" s="91">
        <f t="shared" si="38"/>
        <v>3</v>
      </c>
      <c r="D557" s="130">
        <f t="shared" si="39"/>
        <v>0.06</v>
      </c>
      <c r="E557" s="131">
        <v>46322</v>
      </c>
      <c r="F557" s="131">
        <v>46323</v>
      </c>
      <c r="G557" s="91">
        <f t="shared" si="41"/>
        <v>1</v>
      </c>
      <c r="H557" s="91"/>
      <c r="I557" s="91"/>
      <c r="J557" s="91"/>
      <c r="K557" s="91"/>
      <c r="L557" s="91"/>
      <c r="M557" s="91">
        <v>2</v>
      </c>
      <c r="N557" s="91"/>
      <c r="O557" s="91"/>
      <c r="P557" s="91"/>
      <c r="Q557" s="91"/>
      <c r="R557" s="91"/>
      <c r="S557" s="91">
        <v>1</v>
      </c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>
        <v>1</v>
      </c>
      <c r="AZ557" s="91"/>
      <c r="BA557" s="91"/>
      <c r="BB557" s="91"/>
      <c r="BC557" s="91"/>
      <c r="BD557" s="91"/>
      <c r="BE557" s="91"/>
      <c r="BF557" s="91"/>
      <c r="BG557" s="91"/>
      <c r="BH557" s="91"/>
    </row>
    <row r="558" spans="1:60" x14ac:dyDescent="0.25">
      <c r="A558" s="91" t="s">
        <v>1044</v>
      </c>
      <c r="B558" s="129">
        <f t="shared" si="37"/>
        <v>3</v>
      </c>
      <c r="C558" s="91">
        <f t="shared" si="38"/>
        <v>1</v>
      </c>
      <c r="D558" s="130">
        <f t="shared" si="39"/>
        <v>0.02</v>
      </c>
      <c r="E558" s="131">
        <v>46246</v>
      </c>
      <c r="F558" s="131">
        <v>46246</v>
      </c>
      <c r="G558" s="91">
        <f t="shared" si="41"/>
        <v>0</v>
      </c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>
        <v>3</v>
      </c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</row>
    <row r="559" spans="1:60" x14ac:dyDescent="0.25">
      <c r="A559" s="91" t="s">
        <v>1045</v>
      </c>
      <c r="B559" s="129">
        <f t="shared" si="37"/>
        <v>3</v>
      </c>
      <c r="C559" s="91">
        <f t="shared" si="38"/>
        <v>2</v>
      </c>
      <c r="D559" s="130">
        <f t="shared" si="39"/>
        <v>0.04</v>
      </c>
      <c r="E559" s="131">
        <v>46255</v>
      </c>
      <c r="F559" s="131">
        <v>46255</v>
      </c>
      <c r="G559" s="91">
        <f t="shared" si="41"/>
        <v>0</v>
      </c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>
        <v>2</v>
      </c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>
        <v>1</v>
      </c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</row>
    <row r="560" spans="1:60" x14ac:dyDescent="0.25">
      <c r="A560" s="91" t="s">
        <v>1046</v>
      </c>
      <c r="B560" s="129">
        <f t="shared" si="37"/>
        <v>3</v>
      </c>
      <c r="C560" s="91">
        <f t="shared" si="38"/>
        <v>3</v>
      </c>
      <c r="D560" s="130">
        <f t="shared" si="39"/>
        <v>0.06</v>
      </c>
      <c r="E560" s="131">
        <v>46255</v>
      </c>
      <c r="F560" s="131">
        <v>46255</v>
      </c>
      <c r="G560" s="91">
        <f t="shared" si="41"/>
        <v>0</v>
      </c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>
        <v>1</v>
      </c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>
        <v>1</v>
      </c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>
        <v>1</v>
      </c>
      <c r="AZ560" s="91"/>
      <c r="BA560" s="91"/>
      <c r="BB560" s="91"/>
      <c r="BC560" s="91"/>
      <c r="BD560" s="91"/>
      <c r="BE560" s="91"/>
      <c r="BF560" s="91"/>
      <c r="BG560" s="91"/>
      <c r="BH560" s="91"/>
    </row>
    <row r="561" spans="1:60" x14ac:dyDescent="0.25">
      <c r="A561" s="91" t="s">
        <v>1047</v>
      </c>
      <c r="B561" s="129">
        <f t="shared" si="37"/>
        <v>3</v>
      </c>
      <c r="C561" s="91">
        <f t="shared" si="38"/>
        <v>1</v>
      </c>
      <c r="D561" s="130">
        <f t="shared" si="39"/>
        <v>0.02</v>
      </c>
      <c r="E561" s="131">
        <v>46244</v>
      </c>
      <c r="F561" s="131">
        <v>46244</v>
      </c>
      <c r="G561" s="91">
        <f t="shared" si="41"/>
        <v>0</v>
      </c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>
        <v>3</v>
      </c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</row>
    <row r="562" spans="1:60" x14ac:dyDescent="0.25">
      <c r="A562" s="91" t="s">
        <v>1048</v>
      </c>
      <c r="B562" s="129">
        <f t="shared" si="37"/>
        <v>3</v>
      </c>
      <c r="C562" s="91">
        <f t="shared" si="38"/>
        <v>1</v>
      </c>
      <c r="D562" s="130">
        <f t="shared" si="39"/>
        <v>0.02</v>
      </c>
      <c r="E562" s="131">
        <v>46244</v>
      </c>
      <c r="F562" s="131">
        <v>46244</v>
      </c>
      <c r="G562" s="91">
        <f t="shared" si="41"/>
        <v>0</v>
      </c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>
        <v>3</v>
      </c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</row>
    <row r="563" spans="1:60" x14ac:dyDescent="0.25">
      <c r="A563" s="91" t="s">
        <v>1049</v>
      </c>
      <c r="B563" s="129">
        <f t="shared" si="37"/>
        <v>3</v>
      </c>
      <c r="C563" s="91">
        <f t="shared" si="38"/>
        <v>1</v>
      </c>
      <c r="D563" s="130">
        <f t="shared" si="39"/>
        <v>0.02</v>
      </c>
      <c r="E563" s="131">
        <v>46244</v>
      </c>
      <c r="F563" s="131">
        <v>46244</v>
      </c>
      <c r="G563" s="91">
        <f t="shared" si="41"/>
        <v>0</v>
      </c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>
        <v>3</v>
      </c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</row>
    <row r="564" spans="1:60" x14ac:dyDescent="0.25">
      <c r="A564" s="91" t="s">
        <v>1050</v>
      </c>
      <c r="B564" s="129">
        <f t="shared" si="37"/>
        <v>3</v>
      </c>
      <c r="C564" s="91">
        <f t="shared" si="38"/>
        <v>2</v>
      </c>
      <c r="D564" s="130">
        <f t="shared" si="39"/>
        <v>0.04</v>
      </c>
      <c r="E564" s="131">
        <v>46255</v>
      </c>
      <c r="F564" s="131">
        <v>46255</v>
      </c>
      <c r="G564" s="91">
        <f t="shared" si="41"/>
        <v>0</v>
      </c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>
        <v>2</v>
      </c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>
        <v>1</v>
      </c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</row>
    <row r="565" spans="1:60" x14ac:dyDescent="0.25">
      <c r="A565" s="91" t="s">
        <v>1051</v>
      </c>
      <c r="B565" s="129">
        <f t="shared" si="37"/>
        <v>3</v>
      </c>
      <c r="C565" s="91">
        <f t="shared" si="38"/>
        <v>1</v>
      </c>
      <c r="D565" s="130">
        <f t="shared" si="39"/>
        <v>0.02</v>
      </c>
      <c r="E565" s="131">
        <v>46255</v>
      </c>
      <c r="F565" s="131">
        <v>46255</v>
      </c>
      <c r="G565" s="91">
        <f t="shared" si="41"/>
        <v>0</v>
      </c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>
        <v>3</v>
      </c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</row>
    <row r="566" spans="1:60" x14ac:dyDescent="0.25">
      <c r="A566" s="91" t="s">
        <v>1052</v>
      </c>
      <c r="B566" s="129">
        <f t="shared" si="37"/>
        <v>3</v>
      </c>
      <c r="C566" s="91">
        <f t="shared" si="38"/>
        <v>1</v>
      </c>
      <c r="D566" s="130">
        <f t="shared" si="39"/>
        <v>0.02</v>
      </c>
      <c r="E566" s="131">
        <v>46244</v>
      </c>
      <c r="F566" s="131">
        <v>46244</v>
      </c>
      <c r="G566" s="91">
        <f t="shared" si="41"/>
        <v>0</v>
      </c>
      <c r="H566" s="91">
        <v>3</v>
      </c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</row>
    <row r="567" spans="1:60" x14ac:dyDescent="0.25">
      <c r="A567" s="91" t="s">
        <v>1053</v>
      </c>
      <c r="B567" s="129">
        <f t="shared" si="37"/>
        <v>3</v>
      </c>
      <c r="C567" s="91">
        <f t="shared" si="38"/>
        <v>1</v>
      </c>
      <c r="D567" s="130">
        <f t="shared" si="39"/>
        <v>0.02</v>
      </c>
      <c r="E567" s="131">
        <v>46244</v>
      </c>
      <c r="F567" s="131">
        <v>46244</v>
      </c>
      <c r="G567" s="91">
        <f t="shared" si="41"/>
        <v>0</v>
      </c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>
        <v>3</v>
      </c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</row>
    <row r="568" spans="1:60" x14ac:dyDescent="0.25">
      <c r="A568" s="91" t="s">
        <v>1054</v>
      </c>
      <c r="B568" s="129">
        <f t="shared" si="37"/>
        <v>3</v>
      </c>
      <c r="C568" s="91">
        <f t="shared" si="38"/>
        <v>1</v>
      </c>
      <c r="D568" s="130">
        <f t="shared" si="39"/>
        <v>0.02</v>
      </c>
      <c r="E568" s="131">
        <v>46244</v>
      </c>
      <c r="F568" s="131">
        <v>46244</v>
      </c>
      <c r="G568" s="91">
        <f t="shared" si="41"/>
        <v>0</v>
      </c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>
        <v>3</v>
      </c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</row>
    <row r="569" spans="1:60" x14ac:dyDescent="0.25">
      <c r="A569" s="91" t="s">
        <v>1055</v>
      </c>
      <c r="B569" s="129">
        <f t="shared" si="37"/>
        <v>3</v>
      </c>
      <c r="C569" s="91">
        <f t="shared" si="38"/>
        <v>1</v>
      </c>
      <c r="D569" s="130">
        <f t="shared" si="39"/>
        <v>0.02</v>
      </c>
      <c r="E569" s="131">
        <v>46244</v>
      </c>
      <c r="F569" s="131">
        <v>46244</v>
      </c>
      <c r="G569" s="91">
        <f t="shared" si="41"/>
        <v>0</v>
      </c>
      <c r="H569" s="91"/>
      <c r="I569" s="91"/>
      <c r="J569" s="91"/>
      <c r="K569" s="91"/>
      <c r="L569" s="91">
        <v>3</v>
      </c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</row>
    <row r="570" spans="1:60" x14ac:dyDescent="0.25">
      <c r="A570" s="91" t="s">
        <v>1056</v>
      </c>
      <c r="B570" s="129">
        <f t="shared" si="37"/>
        <v>3</v>
      </c>
      <c r="C570" s="91">
        <f t="shared" si="38"/>
        <v>1</v>
      </c>
      <c r="D570" s="130">
        <f t="shared" si="39"/>
        <v>0.02</v>
      </c>
      <c r="E570" s="131">
        <v>46244</v>
      </c>
      <c r="F570" s="131">
        <v>46244</v>
      </c>
      <c r="G570" s="91">
        <f t="shared" si="41"/>
        <v>0</v>
      </c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>
        <v>3</v>
      </c>
      <c r="BF570" s="91"/>
      <c r="BG570" s="91"/>
      <c r="BH570" s="91"/>
    </row>
    <row r="571" spans="1:60" x14ac:dyDescent="0.25">
      <c r="A571" s="91" t="s">
        <v>1057</v>
      </c>
      <c r="B571" s="129">
        <f t="shared" si="37"/>
        <v>3</v>
      </c>
      <c r="C571" s="91">
        <f t="shared" si="38"/>
        <v>1</v>
      </c>
      <c r="D571" s="130">
        <f t="shared" si="39"/>
        <v>0.02</v>
      </c>
      <c r="E571" s="131">
        <v>46245</v>
      </c>
      <c r="F571" s="131">
        <v>46245</v>
      </c>
      <c r="G571" s="91">
        <f t="shared" si="41"/>
        <v>0</v>
      </c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>
        <v>3</v>
      </c>
      <c r="BD571" s="91"/>
      <c r="BE571" s="91"/>
      <c r="BF571" s="91"/>
      <c r="BG571" s="91"/>
      <c r="BH571" s="91"/>
    </row>
    <row r="572" spans="1:60" x14ac:dyDescent="0.25">
      <c r="A572" s="91" t="s">
        <v>1058</v>
      </c>
      <c r="B572" s="129">
        <f t="shared" si="37"/>
        <v>3</v>
      </c>
      <c r="C572" s="91">
        <f t="shared" si="38"/>
        <v>1</v>
      </c>
      <c r="D572" s="130">
        <f t="shared" si="39"/>
        <v>0.02</v>
      </c>
      <c r="E572" s="131">
        <v>46246</v>
      </c>
      <c r="F572" s="131">
        <v>46246</v>
      </c>
      <c r="G572" s="91">
        <f t="shared" si="41"/>
        <v>0</v>
      </c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>
        <v>3</v>
      </c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</row>
    <row r="573" spans="1:60" x14ac:dyDescent="0.25">
      <c r="A573" s="91" t="s">
        <v>1059</v>
      </c>
      <c r="B573" s="129">
        <f t="shared" si="37"/>
        <v>3</v>
      </c>
      <c r="C573" s="91">
        <f t="shared" si="38"/>
        <v>1</v>
      </c>
      <c r="D573" s="130">
        <f t="shared" si="39"/>
        <v>0.02</v>
      </c>
      <c r="E573" s="131">
        <v>46240</v>
      </c>
      <c r="F573" s="131">
        <v>46240</v>
      </c>
      <c r="G573" s="91">
        <f t="shared" si="41"/>
        <v>0</v>
      </c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>
        <v>3</v>
      </c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</row>
    <row r="574" spans="1:60" x14ac:dyDescent="0.25">
      <c r="A574" s="91" t="s">
        <v>1060</v>
      </c>
      <c r="B574" s="129">
        <f t="shared" si="37"/>
        <v>3</v>
      </c>
      <c r="C574" s="91">
        <f t="shared" si="38"/>
        <v>1</v>
      </c>
      <c r="D574" s="130">
        <f t="shared" si="39"/>
        <v>0.02</v>
      </c>
      <c r="E574" s="131">
        <v>46245</v>
      </c>
      <c r="F574" s="131">
        <v>46245</v>
      </c>
      <c r="G574" s="91">
        <f t="shared" si="41"/>
        <v>0</v>
      </c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>
        <v>3</v>
      </c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</row>
    <row r="575" spans="1:60" x14ac:dyDescent="0.25">
      <c r="A575" s="91" t="s">
        <v>1061</v>
      </c>
      <c r="B575" s="129">
        <f t="shared" si="37"/>
        <v>3</v>
      </c>
      <c r="C575" s="91">
        <f t="shared" si="38"/>
        <v>1</v>
      </c>
      <c r="D575" s="130">
        <f t="shared" si="39"/>
        <v>0.02</v>
      </c>
      <c r="E575" s="131">
        <v>46246</v>
      </c>
      <c r="F575" s="131">
        <v>46246</v>
      </c>
      <c r="G575" s="91">
        <f t="shared" si="41"/>
        <v>0</v>
      </c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>
        <v>3</v>
      </c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</row>
    <row r="576" spans="1:60" x14ac:dyDescent="0.25">
      <c r="A576" s="91" t="s">
        <v>1062</v>
      </c>
      <c r="B576" s="129">
        <f t="shared" si="37"/>
        <v>3</v>
      </c>
      <c r="C576" s="91">
        <f t="shared" si="38"/>
        <v>1</v>
      </c>
      <c r="D576" s="130">
        <f t="shared" si="39"/>
        <v>0.02</v>
      </c>
      <c r="E576" s="131">
        <v>46246</v>
      </c>
      <c r="F576" s="131">
        <v>46246</v>
      </c>
      <c r="G576" s="91">
        <f t="shared" si="41"/>
        <v>0</v>
      </c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>
        <v>3</v>
      </c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</row>
    <row r="577" spans="1:60" x14ac:dyDescent="0.25">
      <c r="A577" s="91" t="s">
        <v>1063</v>
      </c>
      <c r="B577" s="129">
        <f t="shared" si="37"/>
        <v>3</v>
      </c>
      <c r="C577" s="91">
        <f t="shared" si="38"/>
        <v>2</v>
      </c>
      <c r="D577" s="130">
        <f t="shared" si="39"/>
        <v>0.04</v>
      </c>
      <c r="E577" s="131">
        <v>46269</v>
      </c>
      <c r="F577" s="131">
        <v>46322</v>
      </c>
      <c r="G577" s="91">
        <f t="shared" si="41"/>
        <v>53</v>
      </c>
      <c r="H577" s="91"/>
      <c r="I577" s="91"/>
      <c r="J577" s="91">
        <v>1</v>
      </c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>
        <v>1</v>
      </c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>
        <v>1</v>
      </c>
      <c r="BH577" s="91"/>
    </row>
    <row r="578" spans="1:60" x14ac:dyDescent="0.25">
      <c r="A578" s="91" t="s">
        <v>1064</v>
      </c>
      <c r="B578" s="129">
        <f t="shared" si="37"/>
        <v>3</v>
      </c>
      <c r="C578" s="91">
        <f t="shared" si="38"/>
        <v>0</v>
      </c>
      <c r="D578" s="130">
        <f t="shared" si="39"/>
        <v>0</v>
      </c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>
        <v>3</v>
      </c>
      <c r="BH578" s="91"/>
    </row>
    <row r="579" spans="1:60" x14ac:dyDescent="0.25">
      <c r="A579" s="91" t="s">
        <v>1065</v>
      </c>
      <c r="B579" s="129">
        <f t="shared" si="37"/>
        <v>3</v>
      </c>
      <c r="C579" s="91">
        <f t="shared" si="38"/>
        <v>3</v>
      </c>
      <c r="D579" s="130">
        <f t="shared" si="39"/>
        <v>0.06</v>
      </c>
      <c r="E579" s="131">
        <v>46322</v>
      </c>
      <c r="F579" s="131">
        <v>46322</v>
      </c>
      <c r="G579" s="91">
        <f t="shared" ref="G579:G595" si="42">F579-E579</f>
        <v>0</v>
      </c>
      <c r="H579" s="91"/>
      <c r="I579" s="91"/>
      <c r="J579" s="91"/>
      <c r="K579" s="91"/>
      <c r="L579" s="91"/>
      <c r="M579" s="91"/>
      <c r="N579" s="91">
        <v>1</v>
      </c>
      <c r="O579" s="91"/>
      <c r="P579" s="91"/>
      <c r="Q579" s="91"/>
      <c r="R579" s="91"/>
      <c r="S579" s="91">
        <v>1</v>
      </c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>
        <v>1</v>
      </c>
      <c r="BC579" s="91"/>
      <c r="BD579" s="91"/>
      <c r="BE579" s="91"/>
      <c r="BF579" s="91"/>
      <c r="BG579" s="91"/>
      <c r="BH579" s="91"/>
    </row>
    <row r="580" spans="1:60" x14ac:dyDescent="0.25">
      <c r="A580" s="91" t="s">
        <v>1066</v>
      </c>
      <c r="B580" s="129">
        <f t="shared" si="37"/>
        <v>3</v>
      </c>
      <c r="C580" s="91">
        <f t="shared" si="38"/>
        <v>2</v>
      </c>
      <c r="D580" s="130">
        <f t="shared" si="39"/>
        <v>0.04</v>
      </c>
      <c r="E580" s="131">
        <v>46322</v>
      </c>
      <c r="F580" s="131">
        <v>46322</v>
      </c>
      <c r="G580" s="91">
        <f t="shared" si="42"/>
        <v>0</v>
      </c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>
        <v>1</v>
      </c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>
        <v>2</v>
      </c>
      <c r="BC580" s="91"/>
      <c r="BD580" s="91"/>
      <c r="BE580" s="91"/>
      <c r="BF580" s="91"/>
      <c r="BG580" s="91"/>
      <c r="BH580" s="91"/>
    </row>
    <row r="581" spans="1:60" x14ac:dyDescent="0.25">
      <c r="A581" s="91" t="s">
        <v>1067</v>
      </c>
      <c r="B581" s="129">
        <f t="shared" si="37"/>
        <v>2</v>
      </c>
      <c r="C581" s="91">
        <f t="shared" si="38"/>
        <v>2</v>
      </c>
      <c r="D581" s="130">
        <f t="shared" si="39"/>
        <v>0.04</v>
      </c>
      <c r="E581" s="131">
        <v>46255</v>
      </c>
      <c r="F581" s="131">
        <v>46255</v>
      </c>
      <c r="G581" s="91">
        <f t="shared" si="42"/>
        <v>0</v>
      </c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>
        <v>1</v>
      </c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>
        <v>1</v>
      </c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</row>
    <row r="582" spans="1:60" x14ac:dyDescent="0.25">
      <c r="A582" s="91" t="s">
        <v>1068</v>
      </c>
      <c r="B582" s="129">
        <f t="shared" si="37"/>
        <v>2</v>
      </c>
      <c r="C582" s="91">
        <f t="shared" si="38"/>
        <v>2</v>
      </c>
      <c r="D582" s="130">
        <f t="shared" si="39"/>
        <v>0.04</v>
      </c>
      <c r="E582" s="131">
        <v>46255</v>
      </c>
      <c r="F582" s="131">
        <v>46255</v>
      </c>
      <c r="G582" s="91">
        <f t="shared" si="42"/>
        <v>0</v>
      </c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>
        <v>1</v>
      </c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>
        <v>1</v>
      </c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</row>
    <row r="583" spans="1:60" x14ac:dyDescent="0.25">
      <c r="A583" s="91" t="s">
        <v>1069</v>
      </c>
      <c r="B583" s="129">
        <f t="shared" si="37"/>
        <v>2</v>
      </c>
      <c r="C583" s="91">
        <f t="shared" si="38"/>
        <v>2</v>
      </c>
      <c r="D583" s="130">
        <f t="shared" si="39"/>
        <v>0.04</v>
      </c>
      <c r="E583" s="131">
        <v>46255</v>
      </c>
      <c r="F583" s="131">
        <v>46255</v>
      </c>
      <c r="G583" s="91">
        <f t="shared" si="42"/>
        <v>0</v>
      </c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>
        <v>1</v>
      </c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>
        <v>1</v>
      </c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</row>
    <row r="584" spans="1:60" x14ac:dyDescent="0.25">
      <c r="A584" s="91" t="s">
        <v>1070</v>
      </c>
      <c r="B584" s="129">
        <f t="shared" ref="B584:B647" si="43">SUM(H584:BH584)</f>
        <v>2</v>
      </c>
      <c r="C584" s="91">
        <f t="shared" ref="C584:C647" si="44">COUNTIF(H584:BE584,"&gt;0")</f>
        <v>1</v>
      </c>
      <c r="D584" s="130">
        <f t="shared" ref="D584:D647" si="45">IFERROR(C584/TIENDAS,0)</f>
        <v>0.02</v>
      </c>
      <c r="E584" s="131">
        <v>46246</v>
      </c>
      <c r="F584" s="131">
        <v>46246</v>
      </c>
      <c r="G584" s="91">
        <f t="shared" si="42"/>
        <v>0</v>
      </c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>
        <v>2</v>
      </c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</row>
    <row r="585" spans="1:60" x14ac:dyDescent="0.25">
      <c r="A585" s="91" t="s">
        <v>1071</v>
      </c>
      <c r="B585" s="129">
        <f t="shared" si="43"/>
        <v>2</v>
      </c>
      <c r="C585" s="91">
        <f t="shared" si="44"/>
        <v>1</v>
      </c>
      <c r="D585" s="130">
        <f t="shared" si="45"/>
        <v>0.02</v>
      </c>
      <c r="E585" s="131">
        <v>46255</v>
      </c>
      <c r="F585" s="131">
        <v>46255</v>
      </c>
      <c r="G585" s="91">
        <f t="shared" si="42"/>
        <v>0</v>
      </c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>
        <v>2</v>
      </c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</row>
    <row r="586" spans="1:60" x14ac:dyDescent="0.25">
      <c r="A586" s="91" t="s">
        <v>1072</v>
      </c>
      <c r="B586" s="129">
        <f t="shared" si="43"/>
        <v>2</v>
      </c>
      <c r="C586" s="91">
        <f t="shared" si="44"/>
        <v>1</v>
      </c>
      <c r="D586" s="130">
        <f t="shared" si="45"/>
        <v>0.02</v>
      </c>
      <c r="E586" s="131">
        <v>46246</v>
      </c>
      <c r="F586" s="131">
        <v>46246</v>
      </c>
      <c r="G586" s="91">
        <f t="shared" si="42"/>
        <v>0</v>
      </c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>
        <v>2</v>
      </c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</row>
    <row r="587" spans="1:60" x14ac:dyDescent="0.25">
      <c r="A587" s="91" t="s">
        <v>1073</v>
      </c>
      <c r="B587" s="129">
        <f t="shared" si="43"/>
        <v>2</v>
      </c>
      <c r="C587" s="91">
        <f t="shared" si="44"/>
        <v>1</v>
      </c>
      <c r="D587" s="130">
        <f t="shared" si="45"/>
        <v>0.02</v>
      </c>
      <c r="E587" s="131">
        <v>46255</v>
      </c>
      <c r="F587" s="131">
        <v>46255</v>
      </c>
      <c r="G587" s="91">
        <f t="shared" si="42"/>
        <v>0</v>
      </c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>
        <v>2</v>
      </c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</row>
    <row r="588" spans="1:60" x14ac:dyDescent="0.25">
      <c r="A588" s="91" t="s">
        <v>1074</v>
      </c>
      <c r="B588" s="129">
        <f t="shared" si="43"/>
        <v>2</v>
      </c>
      <c r="C588" s="91">
        <f t="shared" si="44"/>
        <v>2</v>
      </c>
      <c r="D588" s="130">
        <f t="shared" si="45"/>
        <v>0.04</v>
      </c>
      <c r="E588" s="131">
        <v>46255</v>
      </c>
      <c r="F588" s="131">
        <v>46255</v>
      </c>
      <c r="G588" s="91">
        <f t="shared" si="42"/>
        <v>0</v>
      </c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>
        <v>1</v>
      </c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>
        <v>1</v>
      </c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</row>
    <row r="589" spans="1:60" x14ac:dyDescent="0.25">
      <c r="A589" s="91" t="s">
        <v>1075</v>
      </c>
      <c r="B589" s="129">
        <f t="shared" si="43"/>
        <v>2</v>
      </c>
      <c r="C589" s="91">
        <f t="shared" si="44"/>
        <v>2</v>
      </c>
      <c r="D589" s="130">
        <f t="shared" si="45"/>
        <v>0.04</v>
      </c>
      <c r="E589" s="131">
        <v>46255</v>
      </c>
      <c r="F589" s="131">
        <v>46255</v>
      </c>
      <c r="G589" s="91">
        <f t="shared" si="42"/>
        <v>0</v>
      </c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>
        <v>1</v>
      </c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>
        <v>1</v>
      </c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</row>
    <row r="590" spans="1:60" x14ac:dyDescent="0.25">
      <c r="A590" s="91" t="s">
        <v>1076</v>
      </c>
      <c r="B590" s="129">
        <f t="shared" si="43"/>
        <v>2</v>
      </c>
      <c r="C590" s="91">
        <f t="shared" si="44"/>
        <v>2</v>
      </c>
      <c r="D590" s="130">
        <f t="shared" si="45"/>
        <v>0.04</v>
      </c>
      <c r="E590" s="131">
        <v>46255</v>
      </c>
      <c r="F590" s="131">
        <v>46255</v>
      </c>
      <c r="G590" s="91">
        <f t="shared" si="42"/>
        <v>0</v>
      </c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>
        <v>1</v>
      </c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>
        <v>1</v>
      </c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</row>
    <row r="591" spans="1:60" x14ac:dyDescent="0.25">
      <c r="A591" s="91" t="s">
        <v>1077</v>
      </c>
      <c r="B591" s="129">
        <f t="shared" si="43"/>
        <v>2</v>
      </c>
      <c r="C591" s="91">
        <f t="shared" si="44"/>
        <v>1</v>
      </c>
      <c r="D591" s="130">
        <f t="shared" si="45"/>
        <v>0.02</v>
      </c>
      <c r="E591" s="131">
        <v>46255</v>
      </c>
      <c r="F591" s="131">
        <v>46255</v>
      </c>
      <c r="G591" s="91">
        <f t="shared" si="42"/>
        <v>0</v>
      </c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>
        <v>2</v>
      </c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</row>
    <row r="592" spans="1:60" x14ac:dyDescent="0.25">
      <c r="A592" s="91" t="s">
        <v>1078</v>
      </c>
      <c r="B592" s="129">
        <f t="shared" si="43"/>
        <v>2</v>
      </c>
      <c r="C592" s="91">
        <f t="shared" si="44"/>
        <v>1</v>
      </c>
      <c r="D592" s="130">
        <f t="shared" si="45"/>
        <v>0.02</v>
      </c>
      <c r="E592" s="131">
        <v>46255</v>
      </c>
      <c r="F592" s="131">
        <v>46255</v>
      </c>
      <c r="G592" s="91">
        <f t="shared" si="42"/>
        <v>0</v>
      </c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>
        <v>2</v>
      </c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</row>
    <row r="593" spans="1:60" x14ac:dyDescent="0.25">
      <c r="A593" s="91" t="s">
        <v>1079</v>
      </c>
      <c r="B593" s="129">
        <f t="shared" si="43"/>
        <v>2</v>
      </c>
      <c r="C593" s="91">
        <f t="shared" si="44"/>
        <v>1</v>
      </c>
      <c r="D593" s="130">
        <f t="shared" si="45"/>
        <v>0.02</v>
      </c>
      <c r="E593" s="131">
        <v>46240</v>
      </c>
      <c r="F593" s="131">
        <v>46240</v>
      </c>
      <c r="G593" s="91">
        <f t="shared" si="42"/>
        <v>0</v>
      </c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>
        <v>2</v>
      </c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</row>
    <row r="594" spans="1:60" x14ac:dyDescent="0.25">
      <c r="A594" s="91" t="s">
        <v>1080</v>
      </c>
      <c r="B594" s="129">
        <f t="shared" si="43"/>
        <v>2</v>
      </c>
      <c r="C594" s="91">
        <f t="shared" si="44"/>
        <v>1</v>
      </c>
      <c r="D594" s="130">
        <f t="shared" si="45"/>
        <v>0.02</v>
      </c>
      <c r="E594" s="131">
        <v>46246</v>
      </c>
      <c r="F594" s="131">
        <v>46246</v>
      </c>
      <c r="G594" s="91">
        <f t="shared" si="42"/>
        <v>0</v>
      </c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>
        <v>2</v>
      </c>
      <c r="BE594" s="91"/>
      <c r="BF594" s="91"/>
      <c r="BG594" s="91"/>
      <c r="BH594" s="91"/>
    </row>
    <row r="595" spans="1:60" x14ac:dyDescent="0.25">
      <c r="A595" s="91" t="s">
        <v>1081</v>
      </c>
      <c r="B595" s="129">
        <f t="shared" si="43"/>
        <v>2</v>
      </c>
      <c r="C595" s="91">
        <f t="shared" si="44"/>
        <v>1</v>
      </c>
      <c r="D595" s="130">
        <f t="shared" si="45"/>
        <v>0.02</v>
      </c>
      <c r="E595" s="131">
        <v>46210</v>
      </c>
      <c r="F595" s="131">
        <v>46210</v>
      </c>
      <c r="G595" s="91">
        <f t="shared" si="42"/>
        <v>0</v>
      </c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>
        <v>2</v>
      </c>
      <c r="AZ595" s="91"/>
      <c r="BA595" s="91"/>
      <c r="BB595" s="91"/>
      <c r="BC595" s="91"/>
      <c r="BD595" s="91"/>
      <c r="BE595" s="91"/>
      <c r="BF595" s="91"/>
      <c r="BG595" s="91"/>
      <c r="BH595" s="91"/>
    </row>
    <row r="596" spans="1:60" x14ac:dyDescent="0.25">
      <c r="A596" s="91" t="s">
        <v>1082</v>
      </c>
      <c r="B596" s="129">
        <f t="shared" si="43"/>
        <v>2</v>
      </c>
      <c r="C596" s="91">
        <f t="shared" si="44"/>
        <v>0</v>
      </c>
      <c r="D596" s="130">
        <f t="shared" si="45"/>
        <v>0</v>
      </c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>
        <v>1</v>
      </c>
      <c r="BG596" s="91">
        <v>1</v>
      </c>
      <c r="BH596" s="91"/>
    </row>
    <row r="597" spans="1:60" x14ac:dyDescent="0.25">
      <c r="A597" s="91" t="s">
        <v>1083</v>
      </c>
      <c r="B597" s="129">
        <f t="shared" si="43"/>
        <v>2</v>
      </c>
      <c r="C597" s="91">
        <f t="shared" si="44"/>
        <v>2</v>
      </c>
      <c r="D597" s="130">
        <f t="shared" si="45"/>
        <v>0.04</v>
      </c>
      <c r="E597" s="131">
        <v>46219</v>
      </c>
      <c r="F597" s="131">
        <v>46251</v>
      </c>
      <c r="G597" s="91">
        <f>F597-E597</f>
        <v>32</v>
      </c>
      <c r="H597" s="91"/>
      <c r="I597" s="91"/>
      <c r="J597" s="91"/>
      <c r="K597" s="91"/>
      <c r="L597" s="91"/>
      <c r="M597" s="91"/>
      <c r="N597" s="91">
        <v>1</v>
      </c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>
        <v>1</v>
      </c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</row>
    <row r="598" spans="1:60" x14ac:dyDescent="0.25">
      <c r="A598" s="91" t="s">
        <v>1084</v>
      </c>
      <c r="B598" s="129">
        <f t="shared" si="43"/>
        <v>2</v>
      </c>
      <c r="C598" s="91">
        <f t="shared" si="44"/>
        <v>2</v>
      </c>
      <c r="D598" s="130">
        <f t="shared" si="45"/>
        <v>0.04</v>
      </c>
      <c r="E598" s="131">
        <v>46219</v>
      </c>
      <c r="F598" s="131">
        <v>46224</v>
      </c>
      <c r="G598" s="91">
        <f>F598-E598</f>
        <v>5</v>
      </c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>
        <v>1</v>
      </c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>
        <v>1</v>
      </c>
      <c r="AZ598" s="91"/>
      <c r="BA598" s="91"/>
      <c r="BB598" s="91"/>
      <c r="BC598" s="91"/>
      <c r="BD598" s="91"/>
      <c r="BE598" s="91"/>
      <c r="BF598" s="91"/>
      <c r="BG598" s="91"/>
      <c r="BH598" s="91"/>
    </row>
    <row r="599" spans="1:60" x14ac:dyDescent="0.25">
      <c r="A599" s="91" t="s">
        <v>1085</v>
      </c>
      <c r="B599" s="129">
        <f t="shared" si="43"/>
        <v>2</v>
      </c>
      <c r="C599" s="91">
        <f t="shared" si="44"/>
        <v>0</v>
      </c>
      <c r="D599" s="130">
        <f t="shared" si="45"/>
        <v>0</v>
      </c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>
        <v>2</v>
      </c>
      <c r="BH599" s="91"/>
    </row>
    <row r="600" spans="1:60" x14ac:dyDescent="0.25">
      <c r="A600" s="91" t="s">
        <v>1086</v>
      </c>
      <c r="B600" s="129">
        <f t="shared" si="43"/>
        <v>2</v>
      </c>
      <c r="C600" s="91">
        <f t="shared" si="44"/>
        <v>1</v>
      </c>
      <c r="D600" s="130">
        <f t="shared" si="45"/>
        <v>0.02</v>
      </c>
      <c r="E600" s="131">
        <v>46322</v>
      </c>
      <c r="F600" s="131">
        <v>46322</v>
      </c>
      <c r="G600" s="91">
        <f t="shared" ref="G600:G615" si="46">F600-E600</f>
        <v>0</v>
      </c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>
        <v>1</v>
      </c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>
        <v>1</v>
      </c>
      <c r="BH600" s="91"/>
    </row>
    <row r="601" spans="1:60" x14ac:dyDescent="0.25">
      <c r="A601" s="91" t="s">
        <v>1087</v>
      </c>
      <c r="B601" s="129">
        <f t="shared" si="43"/>
        <v>2</v>
      </c>
      <c r="C601" s="91">
        <f t="shared" si="44"/>
        <v>1</v>
      </c>
      <c r="D601" s="130">
        <f t="shared" si="45"/>
        <v>0.02</v>
      </c>
      <c r="E601" s="131">
        <v>46269</v>
      </c>
      <c r="F601" s="131">
        <v>46269</v>
      </c>
      <c r="G601" s="91">
        <f t="shared" si="46"/>
        <v>0</v>
      </c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>
        <v>1</v>
      </c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>
        <v>1</v>
      </c>
      <c r="BG601" s="91"/>
      <c r="BH601" s="91"/>
    </row>
    <row r="602" spans="1:60" x14ac:dyDescent="0.25">
      <c r="A602" s="91" t="s">
        <v>1088</v>
      </c>
      <c r="B602" s="129">
        <f t="shared" si="43"/>
        <v>2</v>
      </c>
      <c r="C602" s="91">
        <f t="shared" si="44"/>
        <v>2</v>
      </c>
      <c r="D602" s="130">
        <f t="shared" si="45"/>
        <v>0.04</v>
      </c>
      <c r="E602" s="131">
        <v>46269</v>
      </c>
      <c r="F602" s="131">
        <v>46274</v>
      </c>
      <c r="G602" s="91">
        <f t="shared" si="46"/>
        <v>5</v>
      </c>
      <c r="H602" s="91"/>
      <c r="I602" s="91"/>
      <c r="J602" s="91"/>
      <c r="K602" s="91"/>
      <c r="L602" s="91"/>
      <c r="M602" s="91"/>
      <c r="N602" s="91"/>
      <c r="O602" s="91">
        <v>1</v>
      </c>
      <c r="P602" s="91"/>
      <c r="Q602" s="91">
        <v>1</v>
      </c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</row>
    <row r="603" spans="1:60" x14ac:dyDescent="0.25">
      <c r="A603" s="91" t="s">
        <v>1089</v>
      </c>
      <c r="B603" s="129">
        <f t="shared" si="43"/>
        <v>2</v>
      </c>
      <c r="C603" s="91">
        <f t="shared" si="44"/>
        <v>2</v>
      </c>
      <c r="D603" s="130">
        <f t="shared" si="45"/>
        <v>0.04</v>
      </c>
      <c r="E603" s="131">
        <v>46321</v>
      </c>
      <c r="F603" s="131">
        <v>46321</v>
      </c>
      <c r="G603" s="91">
        <f t="shared" si="46"/>
        <v>0</v>
      </c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>
        <v>1</v>
      </c>
      <c r="S603" s="91"/>
      <c r="T603" s="91"/>
      <c r="U603" s="91"/>
      <c r="V603" s="91"/>
      <c r="W603" s="91"/>
      <c r="X603" s="91"/>
      <c r="Y603" s="91"/>
      <c r="Z603" s="91"/>
      <c r="AA603" s="91">
        <v>1</v>
      </c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</row>
    <row r="604" spans="1:60" x14ac:dyDescent="0.25">
      <c r="A604" s="91" t="s">
        <v>1090</v>
      </c>
      <c r="B604" s="129">
        <f t="shared" si="43"/>
        <v>2</v>
      </c>
      <c r="C604" s="91">
        <f t="shared" si="44"/>
        <v>2</v>
      </c>
      <c r="D604" s="130">
        <f t="shared" si="45"/>
        <v>0.04</v>
      </c>
      <c r="E604" s="131">
        <v>46321</v>
      </c>
      <c r="F604" s="131">
        <v>46322</v>
      </c>
      <c r="G604" s="91">
        <f t="shared" si="46"/>
        <v>1</v>
      </c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>
        <v>1</v>
      </c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>
        <v>1</v>
      </c>
      <c r="BD604" s="91"/>
      <c r="BE604" s="91"/>
      <c r="BF604" s="91"/>
      <c r="BG604" s="91"/>
      <c r="BH604" s="91"/>
    </row>
    <row r="605" spans="1:60" x14ac:dyDescent="0.25">
      <c r="A605" s="91" t="s">
        <v>1091</v>
      </c>
      <c r="B605" s="129">
        <f t="shared" si="43"/>
        <v>2</v>
      </c>
      <c r="C605" s="91">
        <f t="shared" si="44"/>
        <v>2</v>
      </c>
      <c r="D605" s="130">
        <f t="shared" si="45"/>
        <v>0.04</v>
      </c>
      <c r="E605" s="131">
        <v>46322</v>
      </c>
      <c r="F605" s="131">
        <v>46322</v>
      </c>
      <c r="G605" s="91">
        <f t="shared" si="46"/>
        <v>0</v>
      </c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>
        <v>1</v>
      </c>
      <c r="T605" s="91"/>
      <c r="U605" s="91"/>
      <c r="V605" s="91"/>
      <c r="W605" s="91"/>
      <c r="X605" s="91"/>
      <c r="Y605" s="91"/>
      <c r="Z605" s="91"/>
      <c r="AA605" s="91"/>
      <c r="AB605" s="91">
        <v>1</v>
      </c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</row>
    <row r="606" spans="1:60" x14ac:dyDescent="0.25">
      <c r="A606" s="91" t="s">
        <v>1092</v>
      </c>
      <c r="B606" s="129">
        <f t="shared" si="43"/>
        <v>2</v>
      </c>
      <c r="C606" s="91">
        <f t="shared" si="44"/>
        <v>1</v>
      </c>
      <c r="D606" s="130">
        <f t="shared" si="45"/>
        <v>0.02</v>
      </c>
      <c r="E606" s="131">
        <v>46322</v>
      </c>
      <c r="F606" s="131">
        <v>46322</v>
      </c>
      <c r="G606" s="91">
        <f t="shared" si="46"/>
        <v>0</v>
      </c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>
        <v>2</v>
      </c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</row>
    <row r="607" spans="1:60" x14ac:dyDescent="0.25">
      <c r="A607" s="91" t="s">
        <v>1093</v>
      </c>
      <c r="B607" s="129">
        <f t="shared" si="43"/>
        <v>2</v>
      </c>
      <c r="C607" s="91">
        <f t="shared" si="44"/>
        <v>1</v>
      </c>
      <c r="D607" s="130">
        <f t="shared" si="45"/>
        <v>0.02</v>
      </c>
      <c r="E607" s="131">
        <v>46322</v>
      </c>
      <c r="F607" s="131">
        <v>46322</v>
      </c>
      <c r="G607" s="91">
        <f t="shared" si="46"/>
        <v>0</v>
      </c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>
        <v>2</v>
      </c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</row>
    <row r="608" spans="1:60" x14ac:dyDescent="0.25">
      <c r="A608" s="91" t="s">
        <v>1094</v>
      </c>
      <c r="B608" s="129">
        <f t="shared" si="43"/>
        <v>2</v>
      </c>
      <c r="C608" s="91">
        <f t="shared" si="44"/>
        <v>2</v>
      </c>
      <c r="D608" s="130">
        <f t="shared" si="45"/>
        <v>0.04</v>
      </c>
      <c r="E608" s="131">
        <v>46322</v>
      </c>
      <c r="F608" s="131">
        <v>46322</v>
      </c>
      <c r="G608" s="91">
        <f t="shared" si="46"/>
        <v>0</v>
      </c>
      <c r="H608" s="91"/>
      <c r="I608" s="91">
        <v>1</v>
      </c>
      <c r="J608" s="91">
        <v>1</v>
      </c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</row>
    <row r="609" spans="1:60" x14ac:dyDescent="0.25">
      <c r="A609" s="91" t="s">
        <v>1095</v>
      </c>
      <c r="B609" s="129">
        <f t="shared" si="43"/>
        <v>2</v>
      </c>
      <c r="C609" s="91">
        <f t="shared" si="44"/>
        <v>2</v>
      </c>
      <c r="D609" s="130">
        <f t="shared" si="45"/>
        <v>0.04</v>
      </c>
      <c r="E609" s="131">
        <v>46322</v>
      </c>
      <c r="F609" s="131">
        <v>46322</v>
      </c>
      <c r="G609" s="91">
        <f t="shared" si="46"/>
        <v>0</v>
      </c>
      <c r="H609" s="91"/>
      <c r="I609" s="91"/>
      <c r="J609" s="91"/>
      <c r="K609" s="91"/>
      <c r="L609" s="91"/>
      <c r="M609" s="91"/>
      <c r="N609" s="91">
        <v>1</v>
      </c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>
        <v>1</v>
      </c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</row>
    <row r="610" spans="1:60" x14ac:dyDescent="0.25">
      <c r="A610" s="91" t="s">
        <v>1096</v>
      </c>
      <c r="B610" s="129">
        <f t="shared" si="43"/>
        <v>2</v>
      </c>
      <c r="C610" s="91">
        <f t="shared" si="44"/>
        <v>2</v>
      </c>
      <c r="D610" s="130">
        <f t="shared" si="45"/>
        <v>0.04</v>
      </c>
      <c r="E610" s="131">
        <v>46322</v>
      </c>
      <c r="F610" s="131">
        <v>46322</v>
      </c>
      <c r="G610" s="91">
        <f t="shared" si="46"/>
        <v>0</v>
      </c>
      <c r="H610" s="91"/>
      <c r="I610" s="91"/>
      <c r="J610" s="91"/>
      <c r="K610" s="91">
        <v>1</v>
      </c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>
        <v>1</v>
      </c>
      <c r="BC610" s="91"/>
      <c r="BD610" s="91"/>
      <c r="BE610" s="91"/>
      <c r="BF610" s="91"/>
      <c r="BG610" s="91"/>
      <c r="BH610" s="91"/>
    </row>
    <row r="611" spans="1:60" x14ac:dyDescent="0.25">
      <c r="A611" s="91" t="s">
        <v>1097</v>
      </c>
      <c r="B611" s="129">
        <f t="shared" si="43"/>
        <v>2</v>
      </c>
      <c r="C611" s="91">
        <f t="shared" si="44"/>
        <v>1</v>
      </c>
      <c r="D611" s="130">
        <f t="shared" si="45"/>
        <v>0.02</v>
      </c>
      <c r="E611" s="131">
        <v>46322</v>
      </c>
      <c r="F611" s="131">
        <v>46322</v>
      </c>
      <c r="G611" s="91">
        <f t="shared" si="46"/>
        <v>0</v>
      </c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>
        <v>2</v>
      </c>
      <c r="AZ611" s="91"/>
      <c r="BA611" s="91"/>
      <c r="BB611" s="91"/>
      <c r="BC611" s="91"/>
      <c r="BD611" s="91"/>
      <c r="BE611" s="91"/>
      <c r="BF611" s="91"/>
      <c r="BG611" s="91"/>
      <c r="BH611" s="91"/>
    </row>
    <row r="612" spans="1:60" x14ac:dyDescent="0.25">
      <c r="A612" s="91" t="s">
        <v>1098</v>
      </c>
      <c r="B612" s="129">
        <f t="shared" si="43"/>
        <v>2</v>
      </c>
      <c r="C612" s="91">
        <f t="shared" si="44"/>
        <v>2</v>
      </c>
      <c r="D612" s="130">
        <f t="shared" si="45"/>
        <v>0.04</v>
      </c>
      <c r="E612" s="131">
        <v>46323</v>
      </c>
      <c r="F612" s="131">
        <v>46323</v>
      </c>
      <c r="G612" s="91">
        <f t="shared" si="46"/>
        <v>0</v>
      </c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>
        <v>1</v>
      </c>
      <c r="AP612" s="91"/>
      <c r="AQ612" s="91"/>
      <c r="AR612" s="91"/>
      <c r="AS612" s="91">
        <v>1</v>
      </c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</row>
    <row r="613" spans="1:60" x14ac:dyDescent="0.25">
      <c r="A613" s="91" t="s">
        <v>1099</v>
      </c>
      <c r="B613" s="129">
        <f t="shared" si="43"/>
        <v>1</v>
      </c>
      <c r="C613" s="91">
        <f t="shared" si="44"/>
        <v>1</v>
      </c>
      <c r="D613" s="130">
        <f t="shared" si="45"/>
        <v>0.02</v>
      </c>
      <c r="E613" s="131">
        <v>46254</v>
      </c>
      <c r="F613" s="131">
        <v>46254</v>
      </c>
      <c r="G613" s="91">
        <f t="shared" si="46"/>
        <v>0</v>
      </c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>
        <v>1</v>
      </c>
      <c r="AZ613" s="91"/>
      <c r="BA613" s="91"/>
      <c r="BB613" s="91"/>
      <c r="BC613" s="91"/>
      <c r="BD613" s="91"/>
      <c r="BE613" s="91"/>
      <c r="BF613" s="91"/>
      <c r="BG613" s="91"/>
      <c r="BH613" s="91"/>
    </row>
    <row r="614" spans="1:60" x14ac:dyDescent="0.25">
      <c r="A614" s="91" t="s">
        <v>1100</v>
      </c>
      <c r="B614" s="129">
        <f t="shared" si="43"/>
        <v>1</v>
      </c>
      <c r="C614" s="91">
        <f t="shared" si="44"/>
        <v>1</v>
      </c>
      <c r="D614" s="130">
        <f t="shared" si="45"/>
        <v>0.02</v>
      </c>
      <c r="E614" s="131">
        <v>46255</v>
      </c>
      <c r="F614" s="131">
        <v>46255</v>
      </c>
      <c r="G614" s="91">
        <f t="shared" si="46"/>
        <v>0</v>
      </c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>
        <v>1</v>
      </c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</row>
    <row r="615" spans="1:60" x14ac:dyDescent="0.25">
      <c r="A615" s="91" t="s">
        <v>1101</v>
      </c>
      <c r="B615" s="129">
        <f t="shared" si="43"/>
        <v>1</v>
      </c>
      <c r="C615" s="91">
        <f t="shared" si="44"/>
        <v>1</v>
      </c>
      <c r="D615" s="130">
        <f t="shared" si="45"/>
        <v>0.02</v>
      </c>
      <c r="E615" s="131">
        <v>46265</v>
      </c>
      <c r="F615" s="131">
        <v>46265</v>
      </c>
      <c r="G615" s="91">
        <f t="shared" si="46"/>
        <v>0</v>
      </c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>
        <v>1</v>
      </c>
      <c r="AZ615" s="91"/>
      <c r="BA615" s="91"/>
      <c r="BB615" s="91"/>
      <c r="BC615" s="91"/>
      <c r="BD615" s="91"/>
      <c r="BE615" s="91"/>
      <c r="BF615" s="91"/>
      <c r="BG615" s="91"/>
      <c r="BH615" s="91"/>
    </row>
    <row r="616" spans="1:60" x14ac:dyDescent="0.25">
      <c r="A616" s="91" t="s">
        <v>1102</v>
      </c>
      <c r="B616" s="129">
        <f t="shared" si="43"/>
        <v>1</v>
      </c>
      <c r="C616" s="91">
        <f t="shared" si="44"/>
        <v>0</v>
      </c>
      <c r="D616" s="130">
        <f t="shared" si="45"/>
        <v>0</v>
      </c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>
        <v>1</v>
      </c>
      <c r="BH616" s="91"/>
    </row>
    <row r="617" spans="1:60" x14ac:dyDescent="0.25">
      <c r="A617" s="91" t="s">
        <v>1103</v>
      </c>
      <c r="B617" s="129">
        <f t="shared" si="43"/>
        <v>1</v>
      </c>
      <c r="C617" s="91">
        <f t="shared" si="44"/>
        <v>1</v>
      </c>
      <c r="D617" s="130">
        <f t="shared" si="45"/>
        <v>0.02</v>
      </c>
      <c r="E617" s="131">
        <v>46232</v>
      </c>
      <c r="F617" s="131">
        <v>46232</v>
      </c>
      <c r="G617" s="91">
        <f>F617-E617</f>
        <v>0</v>
      </c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>
        <v>1</v>
      </c>
      <c r="AZ617" s="91"/>
      <c r="BA617" s="91"/>
      <c r="BB617" s="91"/>
      <c r="BC617" s="91"/>
      <c r="BD617" s="91"/>
      <c r="BE617" s="91"/>
      <c r="BF617" s="91"/>
      <c r="BG617" s="91"/>
      <c r="BH617" s="91"/>
    </row>
    <row r="618" spans="1:60" x14ac:dyDescent="0.25">
      <c r="A618" s="91" t="s">
        <v>1104</v>
      </c>
      <c r="B618" s="129">
        <f t="shared" si="43"/>
        <v>1</v>
      </c>
      <c r="C618" s="91">
        <f t="shared" si="44"/>
        <v>1</v>
      </c>
      <c r="D618" s="130">
        <f t="shared" si="45"/>
        <v>0.02</v>
      </c>
      <c r="E618" s="131">
        <v>46177</v>
      </c>
      <c r="F618" s="131">
        <v>46177</v>
      </c>
      <c r="G618" s="91">
        <f>F618-E618</f>
        <v>0</v>
      </c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>
        <v>1</v>
      </c>
      <c r="AZ618" s="91"/>
      <c r="BA618" s="91"/>
      <c r="BB618" s="91"/>
      <c r="BC618" s="91"/>
      <c r="BD618" s="91"/>
      <c r="BE618" s="91"/>
      <c r="BF618" s="91"/>
      <c r="BG618" s="91"/>
      <c r="BH618" s="91"/>
    </row>
    <row r="619" spans="1:60" x14ac:dyDescent="0.25">
      <c r="A619" s="91" t="s">
        <v>1105</v>
      </c>
      <c r="B619" s="129">
        <f t="shared" si="43"/>
        <v>1</v>
      </c>
      <c r="C619" s="91">
        <f t="shared" si="44"/>
        <v>0</v>
      </c>
      <c r="D619" s="130">
        <f t="shared" si="45"/>
        <v>0</v>
      </c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>
        <v>1</v>
      </c>
      <c r="BG619" s="91"/>
      <c r="BH619" s="91"/>
    </row>
    <row r="620" spans="1:60" x14ac:dyDescent="0.25">
      <c r="A620" s="91" t="s">
        <v>1106</v>
      </c>
      <c r="B620" s="129">
        <f t="shared" si="43"/>
        <v>1</v>
      </c>
      <c r="C620" s="91">
        <f t="shared" si="44"/>
        <v>0</v>
      </c>
      <c r="D620" s="130">
        <f t="shared" si="45"/>
        <v>0</v>
      </c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>
        <v>1</v>
      </c>
      <c r="BG620" s="91"/>
      <c r="BH620" s="91"/>
    </row>
    <row r="621" spans="1:60" x14ac:dyDescent="0.25">
      <c r="A621" s="91" t="s">
        <v>1107</v>
      </c>
      <c r="B621" s="129">
        <f t="shared" si="43"/>
        <v>1</v>
      </c>
      <c r="C621" s="91">
        <f t="shared" si="44"/>
        <v>0</v>
      </c>
      <c r="D621" s="130">
        <f t="shared" si="45"/>
        <v>0</v>
      </c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>
        <v>1</v>
      </c>
      <c r="BG621" s="91"/>
      <c r="BH621" s="91"/>
    </row>
    <row r="622" spans="1:60" x14ac:dyDescent="0.25">
      <c r="A622" s="91" t="s">
        <v>1108</v>
      </c>
      <c r="B622" s="129">
        <f t="shared" si="43"/>
        <v>1</v>
      </c>
      <c r="C622" s="91">
        <f t="shared" si="44"/>
        <v>0</v>
      </c>
      <c r="D622" s="130">
        <f t="shared" si="45"/>
        <v>0</v>
      </c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>
        <v>1</v>
      </c>
      <c r="BH622" s="91"/>
    </row>
    <row r="623" spans="1:60" x14ac:dyDescent="0.25">
      <c r="A623" s="91" t="s">
        <v>1109</v>
      </c>
      <c r="B623" s="129">
        <f t="shared" si="43"/>
        <v>1</v>
      </c>
      <c r="C623" s="91">
        <f t="shared" si="44"/>
        <v>1</v>
      </c>
      <c r="D623" s="130">
        <f t="shared" si="45"/>
        <v>0.02</v>
      </c>
      <c r="E623" s="131">
        <v>46205</v>
      </c>
      <c r="F623" s="131">
        <v>46205</v>
      </c>
      <c r="G623" s="91">
        <f>F623-E623</f>
        <v>0</v>
      </c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>
        <v>1</v>
      </c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</row>
    <row r="624" spans="1:60" x14ac:dyDescent="0.25">
      <c r="A624" s="91" t="s">
        <v>1110</v>
      </c>
      <c r="B624" s="129">
        <f t="shared" si="43"/>
        <v>1</v>
      </c>
      <c r="C624" s="91">
        <f t="shared" si="44"/>
        <v>1</v>
      </c>
      <c r="D624" s="130">
        <f t="shared" si="45"/>
        <v>0.02</v>
      </c>
      <c r="E624" s="131">
        <v>46220</v>
      </c>
      <c r="F624" s="131">
        <v>46220</v>
      </c>
      <c r="G624" s="91">
        <f>F624-E624</f>
        <v>0</v>
      </c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>
        <v>1</v>
      </c>
      <c r="BE624" s="91"/>
      <c r="BF624" s="91"/>
      <c r="BG624" s="91"/>
      <c r="BH624" s="91"/>
    </row>
    <row r="625" spans="1:60" x14ac:dyDescent="0.25">
      <c r="A625" s="91" t="s">
        <v>1111</v>
      </c>
      <c r="B625" s="129">
        <f t="shared" si="43"/>
        <v>1</v>
      </c>
      <c r="C625" s="91">
        <f t="shared" si="44"/>
        <v>1</v>
      </c>
      <c r="D625" s="130">
        <f t="shared" si="45"/>
        <v>0.02</v>
      </c>
      <c r="E625" s="131">
        <v>46219</v>
      </c>
      <c r="F625" s="131">
        <v>46219</v>
      </c>
      <c r="G625" s="91">
        <f>F625-E625</f>
        <v>0</v>
      </c>
      <c r="H625" s="91"/>
      <c r="I625" s="91"/>
      <c r="J625" s="91">
        <v>1</v>
      </c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</row>
    <row r="626" spans="1:60" x14ac:dyDescent="0.25">
      <c r="A626" s="91" t="s">
        <v>1112</v>
      </c>
      <c r="B626" s="129">
        <f t="shared" si="43"/>
        <v>1</v>
      </c>
      <c r="C626" s="91">
        <f t="shared" si="44"/>
        <v>1</v>
      </c>
      <c r="D626" s="130">
        <f t="shared" si="45"/>
        <v>0.02</v>
      </c>
      <c r="E626" s="131">
        <v>46239</v>
      </c>
      <c r="F626" s="131">
        <v>46239</v>
      </c>
      <c r="G626" s="91">
        <f>F626-E626</f>
        <v>0</v>
      </c>
      <c r="H626" s="91"/>
      <c r="I626" s="91"/>
      <c r="J626" s="91">
        <v>1</v>
      </c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</row>
    <row r="627" spans="1:60" x14ac:dyDescent="0.25">
      <c r="A627" s="91" t="s">
        <v>1113</v>
      </c>
      <c r="B627" s="129">
        <f t="shared" si="43"/>
        <v>1</v>
      </c>
      <c r="C627" s="91">
        <f t="shared" si="44"/>
        <v>1</v>
      </c>
      <c r="D627" s="130">
        <f t="shared" si="45"/>
        <v>0.02</v>
      </c>
      <c r="E627" s="131">
        <v>46265</v>
      </c>
      <c r="F627" s="131">
        <v>46265</v>
      </c>
      <c r="G627" s="91">
        <f>F627-E627</f>
        <v>0</v>
      </c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>
        <v>1</v>
      </c>
      <c r="AZ627" s="91"/>
      <c r="BA627" s="91"/>
      <c r="BB627" s="91"/>
      <c r="BC627" s="91"/>
      <c r="BD627" s="91"/>
      <c r="BE627" s="91"/>
      <c r="BF627" s="91"/>
      <c r="BG627" s="91"/>
      <c r="BH627" s="91"/>
    </row>
    <row r="628" spans="1:60" x14ac:dyDescent="0.25">
      <c r="A628" s="91" t="s">
        <v>1114</v>
      </c>
      <c r="B628" s="129">
        <f t="shared" si="43"/>
        <v>1</v>
      </c>
      <c r="C628" s="91">
        <f t="shared" si="44"/>
        <v>0</v>
      </c>
      <c r="D628" s="130">
        <f t="shared" si="45"/>
        <v>0</v>
      </c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>
        <v>1</v>
      </c>
      <c r="BH628" s="91"/>
    </row>
    <row r="629" spans="1:60" x14ac:dyDescent="0.25">
      <c r="A629" s="91" t="s">
        <v>1115</v>
      </c>
      <c r="B629" s="129">
        <f t="shared" si="43"/>
        <v>1</v>
      </c>
      <c r="C629" s="91">
        <f t="shared" si="44"/>
        <v>0</v>
      </c>
      <c r="D629" s="130">
        <f t="shared" si="45"/>
        <v>0</v>
      </c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>
        <v>1</v>
      </c>
      <c r="BH629" s="91"/>
    </row>
    <row r="630" spans="1:60" x14ac:dyDescent="0.25">
      <c r="A630" s="91" t="s">
        <v>1116</v>
      </c>
      <c r="B630" s="129">
        <f t="shared" si="43"/>
        <v>1</v>
      </c>
      <c r="C630" s="91">
        <f t="shared" si="44"/>
        <v>0</v>
      </c>
      <c r="D630" s="130">
        <f t="shared" si="45"/>
        <v>0</v>
      </c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>
        <v>1</v>
      </c>
      <c r="BH630" s="91"/>
    </row>
    <row r="631" spans="1:60" x14ac:dyDescent="0.25">
      <c r="A631" s="91" t="s">
        <v>1117</v>
      </c>
      <c r="B631" s="129">
        <f t="shared" si="43"/>
        <v>1</v>
      </c>
      <c r="C631" s="91">
        <f t="shared" si="44"/>
        <v>0</v>
      </c>
      <c r="D631" s="130">
        <f t="shared" si="45"/>
        <v>0</v>
      </c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>
        <v>1</v>
      </c>
      <c r="BH631" s="91"/>
    </row>
    <row r="632" spans="1:60" x14ac:dyDescent="0.25">
      <c r="A632" s="91" t="s">
        <v>1118</v>
      </c>
      <c r="B632" s="129">
        <f t="shared" si="43"/>
        <v>1</v>
      </c>
      <c r="C632" s="91">
        <f t="shared" si="44"/>
        <v>0</v>
      </c>
      <c r="D632" s="130">
        <f t="shared" si="45"/>
        <v>0</v>
      </c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>
        <v>1</v>
      </c>
      <c r="BH632" s="91"/>
    </row>
    <row r="633" spans="1:60" x14ac:dyDescent="0.25">
      <c r="A633" s="91" t="s">
        <v>1119</v>
      </c>
      <c r="B633" s="129">
        <f t="shared" si="43"/>
        <v>1</v>
      </c>
      <c r="C633" s="91">
        <f t="shared" si="44"/>
        <v>0</v>
      </c>
      <c r="D633" s="130">
        <f t="shared" si="45"/>
        <v>0</v>
      </c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>
        <v>1</v>
      </c>
      <c r="BH633" s="91"/>
    </row>
    <row r="634" spans="1:60" x14ac:dyDescent="0.25">
      <c r="A634" s="91" t="s">
        <v>1120</v>
      </c>
      <c r="B634" s="129">
        <f t="shared" si="43"/>
        <v>1</v>
      </c>
      <c r="C634" s="91">
        <f t="shared" si="44"/>
        <v>0</v>
      </c>
      <c r="D634" s="130">
        <f t="shared" si="45"/>
        <v>0</v>
      </c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>
        <v>1</v>
      </c>
      <c r="BH634" s="91"/>
    </row>
    <row r="635" spans="1:60" x14ac:dyDescent="0.25">
      <c r="A635" s="91" t="s">
        <v>1121</v>
      </c>
      <c r="B635" s="129">
        <f t="shared" si="43"/>
        <v>1</v>
      </c>
      <c r="C635" s="91">
        <f t="shared" si="44"/>
        <v>0</v>
      </c>
      <c r="D635" s="130">
        <f t="shared" si="45"/>
        <v>0</v>
      </c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>
        <v>1</v>
      </c>
      <c r="BH635" s="91"/>
    </row>
    <row r="636" spans="1:60" x14ac:dyDescent="0.25">
      <c r="A636" s="91" t="s">
        <v>1122</v>
      </c>
      <c r="B636" s="129">
        <f t="shared" si="43"/>
        <v>1</v>
      </c>
      <c r="C636" s="91">
        <f t="shared" si="44"/>
        <v>0</v>
      </c>
      <c r="D636" s="130">
        <f t="shared" si="45"/>
        <v>0</v>
      </c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>
        <v>1</v>
      </c>
      <c r="BH636" s="91"/>
    </row>
    <row r="637" spans="1:60" x14ac:dyDescent="0.25">
      <c r="A637" s="91" t="s">
        <v>1123</v>
      </c>
      <c r="B637" s="129">
        <f t="shared" si="43"/>
        <v>1</v>
      </c>
      <c r="C637" s="91">
        <f t="shared" si="44"/>
        <v>0</v>
      </c>
      <c r="D637" s="130">
        <f t="shared" si="45"/>
        <v>0</v>
      </c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>
        <v>1</v>
      </c>
      <c r="BH637" s="91"/>
    </row>
    <row r="638" spans="1:60" x14ac:dyDescent="0.25">
      <c r="A638" s="91" t="s">
        <v>1124</v>
      </c>
      <c r="B638" s="129">
        <f t="shared" si="43"/>
        <v>1</v>
      </c>
      <c r="C638" s="91">
        <f t="shared" si="44"/>
        <v>0</v>
      </c>
      <c r="D638" s="130">
        <f t="shared" si="45"/>
        <v>0</v>
      </c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>
        <v>1</v>
      </c>
      <c r="BH638" s="91"/>
    </row>
    <row r="639" spans="1:60" x14ac:dyDescent="0.25">
      <c r="A639" s="91" t="s">
        <v>1125</v>
      </c>
      <c r="B639" s="129">
        <f t="shared" si="43"/>
        <v>1</v>
      </c>
      <c r="C639" s="91">
        <f t="shared" si="44"/>
        <v>1</v>
      </c>
      <c r="D639" s="130">
        <f t="shared" si="45"/>
        <v>0.02</v>
      </c>
      <c r="E639" s="131">
        <v>46269</v>
      </c>
      <c r="F639" s="131">
        <v>46269</v>
      </c>
      <c r="G639" s="91">
        <f t="shared" ref="G639:G644" si="47">F639-E639</f>
        <v>0</v>
      </c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>
        <v>1</v>
      </c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</row>
    <row r="640" spans="1:60" x14ac:dyDescent="0.25">
      <c r="A640" s="91" t="s">
        <v>1126</v>
      </c>
      <c r="B640" s="129">
        <f t="shared" si="43"/>
        <v>1</v>
      </c>
      <c r="C640" s="91">
        <f t="shared" si="44"/>
        <v>1</v>
      </c>
      <c r="D640" s="130">
        <f t="shared" si="45"/>
        <v>0.02</v>
      </c>
      <c r="E640" s="131">
        <v>46269</v>
      </c>
      <c r="F640" s="131">
        <v>46269</v>
      </c>
      <c r="G640" s="91">
        <f t="shared" si="47"/>
        <v>0</v>
      </c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>
        <v>1</v>
      </c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</row>
    <row r="641" spans="1:60" x14ac:dyDescent="0.25">
      <c r="A641" s="91" t="s">
        <v>1127</v>
      </c>
      <c r="B641" s="129">
        <f t="shared" si="43"/>
        <v>1</v>
      </c>
      <c r="C641" s="91">
        <f t="shared" si="44"/>
        <v>1</v>
      </c>
      <c r="D641" s="130">
        <f t="shared" si="45"/>
        <v>0.02</v>
      </c>
      <c r="E641" s="131">
        <v>46269</v>
      </c>
      <c r="F641" s="131">
        <v>46269</v>
      </c>
      <c r="G641" s="91">
        <f t="shared" si="47"/>
        <v>0</v>
      </c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>
        <v>1</v>
      </c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</row>
    <row r="642" spans="1:60" x14ac:dyDescent="0.25">
      <c r="A642" s="91" t="s">
        <v>1128</v>
      </c>
      <c r="B642" s="129">
        <f t="shared" si="43"/>
        <v>1</v>
      </c>
      <c r="C642" s="91">
        <f t="shared" si="44"/>
        <v>1</v>
      </c>
      <c r="D642" s="130">
        <f t="shared" si="45"/>
        <v>0.02</v>
      </c>
      <c r="E642" s="131">
        <v>46269</v>
      </c>
      <c r="F642" s="131">
        <v>46269</v>
      </c>
      <c r="G642" s="91">
        <f t="shared" si="47"/>
        <v>0</v>
      </c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>
        <v>1</v>
      </c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</row>
    <row r="643" spans="1:60" x14ac:dyDescent="0.25">
      <c r="A643" s="91" t="s">
        <v>1129</v>
      </c>
      <c r="B643" s="129">
        <f t="shared" si="43"/>
        <v>1</v>
      </c>
      <c r="C643" s="91">
        <f t="shared" si="44"/>
        <v>1</v>
      </c>
      <c r="D643" s="130">
        <f t="shared" si="45"/>
        <v>0.02</v>
      </c>
      <c r="E643" s="131">
        <v>46269</v>
      </c>
      <c r="F643" s="131">
        <v>46269</v>
      </c>
      <c r="G643" s="91">
        <f t="shared" si="47"/>
        <v>0</v>
      </c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>
        <v>1</v>
      </c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</row>
    <row r="644" spans="1:60" x14ac:dyDescent="0.25">
      <c r="A644" s="91" t="s">
        <v>1130</v>
      </c>
      <c r="B644" s="129">
        <f t="shared" si="43"/>
        <v>1</v>
      </c>
      <c r="C644" s="91">
        <f t="shared" si="44"/>
        <v>1</v>
      </c>
      <c r="D644" s="130">
        <f t="shared" si="45"/>
        <v>0.02</v>
      </c>
      <c r="E644" s="131">
        <v>46269</v>
      </c>
      <c r="F644" s="131">
        <v>46269</v>
      </c>
      <c r="G644" s="91">
        <f t="shared" si="47"/>
        <v>0</v>
      </c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>
        <v>1</v>
      </c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</row>
    <row r="645" spans="1:60" x14ac:dyDescent="0.25">
      <c r="A645" s="91" t="s">
        <v>1131</v>
      </c>
      <c r="B645" s="129">
        <f t="shared" si="43"/>
        <v>1</v>
      </c>
      <c r="C645" s="91">
        <f t="shared" si="44"/>
        <v>0</v>
      </c>
      <c r="D645" s="130">
        <f t="shared" si="45"/>
        <v>0</v>
      </c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>
        <v>1</v>
      </c>
      <c r="BH645" s="91"/>
    </row>
    <row r="646" spans="1:60" x14ac:dyDescent="0.25">
      <c r="A646" s="91" t="s">
        <v>1132</v>
      </c>
      <c r="B646" s="129">
        <f t="shared" si="43"/>
        <v>1</v>
      </c>
      <c r="C646" s="91">
        <f t="shared" si="44"/>
        <v>1</v>
      </c>
      <c r="D646" s="130">
        <f t="shared" si="45"/>
        <v>0.02</v>
      </c>
      <c r="E646" s="131">
        <v>46295</v>
      </c>
      <c r="F646" s="131">
        <v>46295</v>
      </c>
      <c r="G646" s="91">
        <f t="shared" ref="G646:G659" si="48">F646-E646</f>
        <v>0</v>
      </c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>
        <v>1</v>
      </c>
      <c r="AZ646" s="91"/>
      <c r="BA646" s="91"/>
      <c r="BB646" s="91"/>
      <c r="BC646" s="91"/>
      <c r="BD646" s="91"/>
      <c r="BE646" s="91"/>
      <c r="BF646" s="91"/>
      <c r="BG646" s="91"/>
      <c r="BH646" s="91"/>
    </row>
    <row r="647" spans="1:60" x14ac:dyDescent="0.25">
      <c r="A647" s="91" t="s">
        <v>1133</v>
      </c>
      <c r="B647" s="129">
        <f t="shared" si="43"/>
        <v>1</v>
      </c>
      <c r="C647" s="91">
        <f t="shared" si="44"/>
        <v>1</v>
      </c>
      <c r="D647" s="130">
        <f t="shared" si="45"/>
        <v>0.02</v>
      </c>
      <c r="E647" s="131">
        <v>46304</v>
      </c>
      <c r="F647" s="131">
        <v>46304</v>
      </c>
      <c r="G647" s="91">
        <f t="shared" si="48"/>
        <v>0</v>
      </c>
      <c r="H647" s="91"/>
      <c r="I647" s="91"/>
      <c r="J647" s="91"/>
      <c r="K647" s="91"/>
      <c r="L647" s="91"/>
      <c r="M647" s="91"/>
      <c r="N647" s="91"/>
      <c r="O647" s="91">
        <v>1</v>
      </c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</row>
    <row r="648" spans="1:60" x14ac:dyDescent="0.25">
      <c r="A648" s="91" t="s">
        <v>1134</v>
      </c>
      <c r="B648" s="129">
        <f t="shared" ref="B648:B659" si="49">SUM(H648:BH648)</f>
        <v>1</v>
      </c>
      <c r="C648" s="91">
        <f t="shared" ref="C648:C659" si="50">COUNTIF(H648:BE648,"&gt;0")</f>
        <v>1</v>
      </c>
      <c r="D648" s="130">
        <f t="shared" ref="D648:D659" si="51">IFERROR(C648/TIENDAS,0)</f>
        <v>0.02</v>
      </c>
      <c r="E648" s="131">
        <v>46321</v>
      </c>
      <c r="F648" s="131">
        <v>46321</v>
      </c>
      <c r="G648" s="91">
        <f t="shared" si="48"/>
        <v>0</v>
      </c>
      <c r="H648" s="91"/>
      <c r="I648" s="91"/>
      <c r="J648" s="91"/>
      <c r="K648" s="91"/>
      <c r="L648" s="91"/>
      <c r="M648" s="91"/>
      <c r="N648" s="91"/>
      <c r="O648" s="91">
        <v>1</v>
      </c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</row>
    <row r="649" spans="1:60" x14ac:dyDescent="0.25">
      <c r="A649" s="91" t="s">
        <v>1135</v>
      </c>
      <c r="B649" s="129">
        <f t="shared" si="49"/>
        <v>1</v>
      </c>
      <c r="C649" s="91">
        <f t="shared" si="50"/>
        <v>1</v>
      </c>
      <c r="D649" s="130">
        <f t="shared" si="51"/>
        <v>0.02</v>
      </c>
      <c r="E649" s="131">
        <v>46322</v>
      </c>
      <c r="F649" s="131">
        <v>46322</v>
      </c>
      <c r="G649" s="91">
        <f t="shared" si="48"/>
        <v>0</v>
      </c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>
        <v>1</v>
      </c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</row>
    <row r="650" spans="1:60" x14ac:dyDescent="0.25">
      <c r="A650" s="91" t="s">
        <v>1136</v>
      </c>
      <c r="B650" s="129">
        <f t="shared" si="49"/>
        <v>1</v>
      </c>
      <c r="C650" s="91">
        <f t="shared" si="50"/>
        <v>1</v>
      </c>
      <c r="D650" s="130">
        <f t="shared" si="51"/>
        <v>0.02</v>
      </c>
      <c r="E650" s="131">
        <v>46321</v>
      </c>
      <c r="F650" s="131">
        <v>46321</v>
      </c>
      <c r="G650" s="91">
        <f t="shared" si="48"/>
        <v>0</v>
      </c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>
        <v>1</v>
      </c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</row>
    <row r="651" spans="1:60" x14ac:dyDescent="0.25">
      <c r="A651" s="91" t="s">
        <v>1137</v>
      </c>
      <c r="B651" s="129">
        <f t="shared" si="49"/>
        <v>1</v>
      </c>
      <c r="C651" s="91">
        <f t="shared" si="50"/>
        <v>1</v>
      </c>
      <c r="D651" s="130">
        <f t="shared" si="51"/>
        <v>0.02</v>
      </c>
      <c r="E651" s="131">
        <v>46322</v>
      </c>
      <c r="F651" s="131">
        <v>46322</v>
      </c>
      <c r="G651" s="91">
        <f t="shared" si="48"/>
        <v>0</v>
      </c>
      <c r="H651" s="91"/>
      <c r="I651" s="91"/>
      <c r="J651" s="91">
        <v>1</v>
      </c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</row>
    <row r="652" spans="1:60" x14ac:dyDescent="0.25">
      <c r="A652" s="91" t="s">
        <v>1138</v>
      </c>
      <c r="B652" s="129">
        <f t="shared" si="49"/>
        <v>1</v>
      </c>
      <c r="C652" s="91">
        <f t="shared" si="50"/>
        <v>1</v>
      </c>
      <c r="D652" s="130">
        <f t="shared" si="51"/>
        <v>0.02</v>
      </c>
      <c r="E652" s="131">
        <v>46322</v>
      </c>
      <c r="F652" s="131">
        <v>46322</v>
      </c>
      <c r="G652" s="91">
        <f t="shared" si="48"/>
        <v>0</v>
      </c>
      <c r="H652" s="91"/>
      <c r="I652" s="91"/>
      <c r="J652" s="91">
        <v>1</v>
      </c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</row>
    <row r="653" spans="1:60" x14ac:dyDescent="0.25">
      <c r="A653" s="91" t="s">
        <v>1139</v>
      </c>
      <c r="B653" s="129">
        <f t="shared" si="49"/>
        <v>1</v>
      </c>
      <c r="C653" s="91">
        <f t="shared" si="50"/>
        <v>1</v>
      </c>
      <c r="D653" s="130">
        <f t="shared" si="51"/>
        <v>0.02</v>
      </c>
      <c r="E653" s="131">
        <v>46322</v>
      </c>
      <c r="F653" s="131">
        <v>46322</v>
      </c>
      <c r="G653" s="91">
        <f t="shared" si="48"/>
        <v>0</v>
      </c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>
        <v>1</v>
      </c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</row>
    <row r="654" spans="1:60" x14ac:dyDescent="0.25">
      <c r="A654" s="91" t="s">
        <v>1140</v>
      </c>
      <c r="B654" s="129">
        <f t="shared" si="49"/>
        <v>1</v>
      </c>
      <c r="C654" s="91">
        <f t="shared" si="50"/>
        <v>1</v>
      </c>
      <c r="D654" s="130">
        <f t="shared" si="51"/>
        <v>0.02</v>
      </c>
      <c r="E654" s="131">
        <v>46322</v>
      </c>
      <c r="F654" s="131">
        <v>46322</v>
      </c>
      <c r="G654" s="91">
        <f t="shared" si="48"/>
        <v>0</v>
      </c>
      <c r="H654" s="91">
        <v>1</v>
      </c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</row>
    <row r="655" spans="1:60" x14ac:dyDescent="0.25">
      <c r="A655" s="91" t="s">
        <v>1141</v>
      </c>
      <c r="B655" s="129">
        <f t="shared" si="49"/>
        <v>1</v>
      </c>
      <c r="C655" s="91">
        <f t="shared" si="50"/>
        <v>1</v>
      </c>
      <c r="D655" s="130">
        <f t="shared" si="51"/>
        <v>0.02</v>
      </c>
      <c r="E655" s="131">
        <v>46322</v>
      </c>
      <c r="F655" s="131">
        <v>46322</v>
      </c>
      <c r="G655" s="91">
        <f t="shared" si="48"/>
        <v>0</v>
      </c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>
        <v>1</v>
      </c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</row>
    <row r="656" spans="1:60" x14ac:dyDescent="0.25">
      <c r="A656" s="91" t="s">
        <v>1142</v>
      </c>
      <c r="B656" s="129">
        <f t="shared" si="49"/>
        <v>1</v>
      </c>
      <c r="C656" s="91">
        <f t="shared" si="50"/>
        <v>1</v>
      </c>
      <c r="D656" s="130">
        <f t="shared" si="51"/>
        <v>0.02</v>
      </c>
      <c r="E656" s="131">
        <v>46322</v>
      </c>
      <c r="F656" s="131">
        <v>46322</v>
      </c>
      <c r="G656" s="91">
        <f t="shared" si="48"/>
        <v>0</v>
      </c>
      <c r="H656" s="91"/>
      <c r="I656" s="91"/>
      <c r="J656" s="91"/>
      <c r="K656" s="91"/>
      <c r="L656" s="91"/>
      <c r="M656" s="91">
        <v>1</v>
      </c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</row>
    <row r="657" spans="1:60" x14ac:dyDescent="0.25">
      <c r="A657" s="91" t="s">
        <v>1143</v>
      </c>
      <c r="B657" s="129">
        <f t="shared" si="49"/>
        <v>1</v>
      </c>
      <c r="C657" s="91">
        <f t="shared" si="50"/>
        <v>1</v>
      </c>
      <c r="D657" s="130">
        <f t="shared" si="51"/>
        <v>0.02</v>
      </c>
      <c r="E657" s="131">
        <v>46322</v>
      </c>
      <c r="F657" s="131">
        <v>46322</v>
      </c>
      <c r="G657" s="91">
        <f t="shared" si="48"/>
        <v>0</v>
      </c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>
        <v>1</v>
      </c>
      <c r="AZ657" s="91"/>
      <c r="BA657" s="91"/>
      <c r="BB657" s="91"/>
      <c r="BC657" s="91"/>
      <c r="BD657" s="91"/>
      <c r="BE657" s="91"/>
      <c r="BF657" s="91"/>
      <c r="BG657" s="91"/>
      <c r="BH657" s="91"/>
    </row>
    <row r="658" spans="1:60" x14ac:dyDescent="0.25">
      <c r="A658" s="91" t="s">
        <v>1144</v>
      </c>
      <c r="B658" s="129">
        <f t="shared" si="49"/>
        <v>1</v>
      </c>
      <c r="C658" s="91">
        <f t="shared" si="50"/>
        <v>1</v>
      </c>
      <c r="D658" s="130">
        <f t="shared" si="51"/>
        <v>0.02</v>
      </c>
      <c r="E658" s="131">
        <v>46322</v>
      </c>
      <c r="F658" s="131">
        <v>46322</v>
      </c>
      <c r="G658" s="91">
        <f t="shared" si="48"/>
        <v>0</v>
      </c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>
        <v>1</v>
      </c>
      <c r="AZ658" s="91"/>
      <c r="BA658" s="91"/>
      <c r="BB658" s="91"/>
      <c r="BC658" s="91"/>
      <c r="BD658" s="91"/>
      <c r="BE658" s="91"/>
      <c r="BF658" s="91"/>
      <c r="BG658" s="91"/>
      <c r="BH658" s="91"/>
    </row>
    <row r="659" spans="1:60" x14ac:dyDescent="0.25">
      <c r="A659" s="91" t="s">
        <v>1145</v>
      </c>
      <c r="B659" s="129">
        <f t="shared" si="49"/>
        <v>1</v>
      </c>
      <c r="C659" s="91">
        <f t="shared" si="50"/>
        <v>1</v>
      </c>
      <c r="D659" s="130">
        <f t="shared" si="51"/>
        <v>0.02</v>
      </c>
      <c r="E659" s="131">
        <v>46323</v>
      </c>
      <c r="F659" s="131">
        <v>46323</v>
      </c>
      <c r="G659" s="91">
        <f t="shared" si="48"/>
        <v>0</v>
      </c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>
        <v>1</v>
      </c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</row>
  </sheetData>
  <autoFilter ref="A7:BH659" xr:uid="{00000000-0009-0000-0000-000005000000}"/>
  <conditionalFormatting sqref="D8:D65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8:BH659">
    <cfRule type="colorScale" priority="1">
      <colorScale>
        <cfvo type="num" val="0"/>
        <cfvo type="percentile" val="95"/>
        <color rgb="FFFFFFFF"/>
        <color rgb="FF5B9BD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659"/>
  <sheetViews>
    <sheetView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11" customWidth="1"/>
    <col min="3" max="55" width="6" customWidth="1"/>
  </cols>
  <sheetData>
    <row r="1" spans="1:55" ht="18" x14ac:dyDescent="0.25">
      <c r="A1" s="13" t="s">
        <v>1146</v>
      </c>
    </row>
    <row r="2" spans="1:55" x14ac:dyDescent="0.25">
      <c r="A2" s="14" t="s">
        <v>1147</v>
      </c>
    </row>
    <row r="6" spans="1:55" x14ac:dyDescent="0.25">
      <c r="A6" s="126" t="s">
        <v>5</v>
      </c>
      <c r="B6" s="17">
        <f t="shared" ref="B6:AG6" si="0">SUM(B8:B659)</f>
        <v>85090</v>
      </c>
      <c r="C6" s="17">
        <f t="shared" si="0"/>
        <v>1651</v>
      </c>
      <c r="D6" s="17">
        <f t="shared" si="0"/>
        <v>1975</v>
      </c>
      <c r="E6" s="17">
        <f t="shared" si="0"/>
        <v>2384</v>
      </c>
      <c r="F6" s="17">
        <f t="shared" si="0"/>
        <v>2245</v>
      </c>
      <c r="G6" s="17">
        <f t="shared" si="0"/>
        <v>2770</v>
      </c>
      <c r="H6" s="17">
        <f t="shared" si="0"/>
        <v>993</v>
      </c>
      <c r="I6" s="17">
        <f t="shared" si="0"/>
        <v>2497</v>
      </c>
      <c r="J6" s="17">
        <f t="shared" si="0"/>
        <v>2875</v>
      </c>
      <c r="K6" s="17">
        <f t="shared" si="0"/>
        <v>1270</v>
      </c>
      <c r="L6" s="17">
        <f t="shared" si="0"/>
        <v>1091</v>
      </c>
      <c r="M6" s="17">
        <f t="shared" si="0"/>
        <v>1463</v>
      </c>
      <c r="N6" s="17">
        <f t="shared" si="0"/>
        <v>3254</v>
      </c>
      <c r="O6" s="17">
        <f t="shared" si="0"/>
        <v>1338</v>
      </c>
      <c r="P6" s="17">
        <f t="shared" si="0"/>
        <v>1487</v>
      </c>
      <c r="Q6" s="17">
        <f t="shared" si="0"/>
        <v>1608</v>
      </c>
      <c r="R6" s="17">
        <f t="shared" si="0"/>
        <v>1463</v>
      </c>
      <c r="S6" s="17">
        <f t="shared" si="0"/>
        <v>2767</v>
      </c>
      <c r="T6" s="17">
        <f t="shared" si="0"/>
        <v>683</v>
      </c>
      <c r="U6" s="17">
        <f t="shared" si="0"/>
        <v>1752</v>
      </c>
      <c r="V6" s="17">
        <f t="shared" si="0"/>
        <v>1134</v>
      </c>
      <c r="W6" s="17">
        <f t="shared" si="0"/>
        <v>2421</v>
      </c>
      <c r="X6" s="17">
        <f t="shared" si="0"/>
        <v>2259</v>
      </c>
      <c r="Y6" s="17">
        <f t="shared" si="0"/>
        <v>2166</v>
      </c>
      <c r="Z6" s="17">
        <f t="shared" si="0"/>
        <v>1071</v>
      </c>
      <c r="AA6" s="17">
        <f t="shared" si="0"/>
        <v>1555</v>
      </c>
      <c r="AB6" s="17">
        <f t="shared" si="0"/>
        <v>1127</v>
      </c>
      <c r="AC6" s="17">
        <f t="shared" si="0"/>
        <v>1395</v>
      </c>
      <c r="AD6" s="17">
        <f t="shared" si="0"/>
        <v>1574</v>
      </c>
      <c r="AE6" s="17">
        <f t="shared" si="0"/>
        <v>1559</v>
      </c>
      <c r="AF6" s="17">
        <f t="shared" si="0"/>
        <v>968</v>
      </c>
      <c r="AG6" s="17">
        <f t="shared" si="0"/>
        <v>1154</v>
      </c>
      <c r="AH6" s="17">
        <f t="shared" ref="AH6:BC6" si="1">SUM(AH8:AH659)</f>
        <v>1653</v>
      </c>
      <c r="AI6" s="17">
        <f t="shared" si="1"/>
        <v>1456</v>
      </c>
      <c r="AJ6" s="17">
        <f t="shared" si="1"/>
        <v>1976</v>
      </c>
      <c r="AK6" s="17">
        <f t="shared" si="1"/>
        <v>1351</v>
      </c>
      <c r="AL6" s="17">
        <f t="shared" si="1"/>
        <v>1762</v>
      </c>
      <c r="AM6" s="17">
        <f t="shared" si="1"/>
        <v>1128</v>
      </c>
      <c r="AN6" s="17">
        <f t="shared" si="1"/>
        <v>1458</v>
      </c>
      <c r="AO6" s="17">
        <f t="shared" si="1"/>
        <v>1924</v>
      </c>
      <c r="AP6" s="17">
        <f t="shared" si="1"/>
        <v>1254</v>
      </c>
      <c r="AQ6" s="17">
        <f t="shared" si="1"/>
        <v>1696</v>
      </c>
      <c r="AR6" s="17">
        <f t="shared" si="1"/>
        <v>1778</v>
      </c>
      <c r="AS6" s="17">
        <f t="shared" si="1"/>
        <v>1426</v>
      </c>
      <c r="AT6" s="17">
        <f t="shared" si="1"/>
        <v>88</v>
      </c>
      <c r="AU6" s="17">
        <f t="shared" si="1"/>
        <v>1378</v>
      </c>
      <c r="AV6" s="17">
        <f t="shared" si="1"/>
        <v>1187</v>
      </c>
      <c r="AW6" s="17">
        <f t="shared" si="1"/>
        <v>2499</v>
      </c>
      <c r="AX6" s="17">
        <f t="shared" si="1"/>
        <v>1244</v>
      </c>
      <c r="AY6" s="17">
        <f t="shared" si="1"/>
        <v>998</v>
      </c>
      <c r="AZ6" s="17">
        <f t="shared" si="1"/>
        <v>1311</v>
      </c>
      <c r="BA6" s="17">
        <f t="shared" si="1"/>
        <v>1163</v>
      </c>
      <c r="BB6" s="17">
        <f t="shared" si="1"/>
        <v>2406</v>
      </c>
      <c r="BC6" s="17">
        <f t="shared" si="1"/>
        <v>5</v>
      </c>
    </row>
    <row r="7" spans="1:55" ht="120" customHeight="1" x14ac:dyDescent="0.25">
      <c r="A7" s="30" t="s">
        <v>9</v>
      </c>
      <c r="B7" s="30" t="s">
        <v>864</v>
      </c>
      <c r="C7" s="128" t="s">
        <v>869</v>
      </c>
      <c r="D7" s="128" t="s">
        <v>870</v>
      </c>
      <c r="E7" s="128" t="s">
        <v>871</v>
      </c>
      <c r="F7" s="128" t="s">
        <v>872</v>
      </c>
      <c r="G7" s="128" t="s">
        <v>873</v>
      </c>
      <c r="H7" s="128" t="s">
        <v>874</v>
      </c>
      <c r="I7" s="128" t="s">
        <v>875</v>
      </c>
      <c r="J7" s="128" t="s">
        <v>876</v>
      </c>
      <c r="K7" s="128" t="s">
        <v>877</v>
      </c>
      <c r="L7" s="128" t="s">
        <v>878</v>
      </c>
      <c r="M7" s="128" t="s">
        <v>879</v>
      </c>
      <c r="N7" s="128" t="s">
        <v>880</v>
      </c>
      <c r="O7" s="128" t="s">
        <v>881</v>
      </c>
      <c r="P7" s="128" t="s">
        <v>882</v>
      </c>
      <c r="Q7" s="128" t="s">
        <v>883</v>
      </c>
      <c r="R7" s="128" t="s">
        <v>884</v>
      </c>
      <c r="S7" s="128" t="s">
        <v>885</v>
      </c>
      <c r="T7" s="128" t="s">
        <v>886</v>
      </c>
      <c r="U7" s="128" t="s">
        <v>887</v>
      </c>
      <c r="V7" s="128" t="s">
        <v>888</v>
      </c>
      <c r="W7" s="128" t="s">
        <v>889</v>
      </c>
      <c r="X7" s="128" t="s">
        <v>890</v>
      </c>
      <c r="Y7" s="128" t="s">
        <v>891</v>
      </c>
      <c r="Z7" s="128" t="s">
        <v>892</v>
      </c>
      <c r="AA7" s="128" t="s">
        <v>893</v>
      </c>
      <c r="AB7" s="128" t="s">
        <v>894</v>
      </c>
      <c r="AC7" s="128" t="s">
        <v>895</v>
      </c>
      <c r="AD7" s="128" t="s">
        <v>896</v>
      </c>
      <c r="AE7" s="128" t="s">
        <v>897</v>
      </c>
      <c r="AF7" s="128" t="s">
        <v>898</v>
      </c>
      <c r="AG7" s="128" t="s">
        <v>899</v>
      </c>
      <c r="AH7" s="128" t="s">
        <v>900</v>
      </c>
      <c r="AI7" s="128" t="s">
        <v>901</v>
      </c>
      <c r="AJ7" s="128" t="s">
        <v>902</v>
      </c>
      <c r="AK7" s="128" t="s">
        <v>903</v>
      </c>
      <c r="AL7" s="128" t="s">
        <v>904</v>
      </c>
      <c r="AM7" s="128" t="s">
        <v>905</v>
      </c>
      <c r="AN7" s="128" t="s">
        <v>906</v>
      </c>
      <c r="AO7" s="128" t="s">
        <v>907</v>
      </c>
      <c r="AP7" s="128" t="s">
        <v>908</v>
      </c>
      <c r="AQ7" s="128" t="s">
        <v>909</v>
      </c>
      <c r="AR7" s="128" t="s">
        <v>910</v>
      </c>
      <c r="AS7" s="128" t="s">
        <v>911</v>
      </c>
      <c r="AT7" s="128" t="s">
        <v>912</v>
      </c>
      <c r="AU7" s="128" t="s">
        <v>913</v>
      </c>
      <c r="AV7" s="128" t="s">
        <v>914</v>
      </c>
      <c r="AW7" s="128" t="s">
        <v>915</v>
      </c>
      <c r="AX7" s="128" t="s">
        <v>916</v>
      </c>
      <c r="AY7" s="128" t="s">
        <v>917</v>
      </c>
      <c r="AZ7" s="128" t="s">
        <v>918</v>
      </c>
      <c r="BA7" s="128" t="s">
        <v>919</v>
      </c>
      <c r="BB7" s="128" t="s">
        <v>920</v>
      </c>
      <c r="BC7" s="128" t="s">
        <v>921</v>
      </c>
    </row>
    <row r="8" spans="1:55" x14ac:dyDescent="0.25">
      <c r="A8" s="91" t="s">
        <v>76</v>
      </c>
      <c r="B8" s="129">
        <f t="shared" ref="B8:B71" si="2">SUM(C8:BC8)</f>
        <v>750</v>
      </c>
      <c r="C8" s="91">
        <v>35</v>
      </c>
      <c r="D8" s="91">
        <v>11</v>
      </c>
      <c r="E8" s="91">
        <v>7</v>
      </c>
      <c r="F8" s="91">
        <v>9</v>
      </c>
      <c r="G8" s="91">
        <v>24</v>
      </c>
      <c r="H8" s="91"/>
      <c r="I8" s="91">
        <v>23</v>
      </c>
      <c r="J8" s="91">
        <v>21</v>
      </c>
      <c r="K8" s="91">
        <v>18</v>
      </c>
      <c r="L8" s="91">
        <v>13</v>
      </c>
      <c r="M8" s="91">
        <v>31</v>
      </c>
      <c r="N8" s="91">
        <v>47</v>
      </c>
      <c r="O8" s="91">
        <v>1</v>
      </c>
      <c r="P8" s="91">
        <v>19</v>
      </c>
      <c r="Q8" s="91">
        <v>28</v>
      </c>
      <c r="R8" s="91">
        <v>4</v>
      </c>
      <c r="S8" s="91">
        <v>30</v>
      </c>
      <c r="T8" s="91">
        <v>17</v>
      </c>
      <c r="U8" s="91">
        <v>5</v>
      </c>
      <c r="V8" s="91">
        <v>20</v>
      </c>
      <c r="W8" s="91">
        <v>20</v>
      </c>
      <c r="X8" s="91">
        <v>5</v>
      </c>
      <c r="Y8" s="91">
        <v>26</v>
      </c>
      <c r="Z8" s="91">
        <v>3</v>
      </c>
      <c r="AA8" s="91">
        <v>14</v>
      </c>
      <c r="AB8" s="91">
        <v>11</v>
      </c>
      <c r="AC8" s="91">
        <v>4</v>
      </c>
      <c r="AD8" s="91">
        <v>11</v>
      </c>
      <c r="AE8" s="91">
        <v>1</v>
      </c>
      <c r="AF8" s="91">
        <v>8</v>
      </c>
      <c r="AG8" s="91"/>
      <c r="AH8" s="91">
        <v>24</v>
      </c>
      <c r="AI8" s="91">
        <v>21</v>
      </c>
      <c r="AJ8" s="91">
        <v>7</v>
      </c>
      <c r="AK8" s="91">
        <v>19</v>
      </c>
      <c r="AL8" s="91">
        <v>18</v>
      </c>
      <c r="AM8" s="91">
        <v>5</v>
      </c>
      <c r="AN8" s="91">
        <v>23</v>
      </c>
      <c r="AO8" s="91">
        <v>3</v>
      </c>
      <c r="AP8" s="91">
        <v>13</v>
      </c>
      <c r="AQ8" s="91">
        <v>12</v>
      </c>
      <c r="AR8" s="91">
        <v>35</v>
      </c>
      <c r="AS8" s="91">
        <v>22</v>
      </c>
      <c r="AT8" s="91">
        <v>7</v>
      </c>
      <c r="AU8" s="91">
        <v>7</v>
      </c>
      <c r="AV8" s="91">
        <v>18</v>
      </c>
      <c r="AW8" s="91">
        <v>26</v>
      </c>
      <c r="AX8" s="91">
        <v>14</v>
      </c>
      <c r="AY8" s="91">
        <v>7</v>
      </c>
      <c r="AZ8" s="91">
        <v>2</v>
      </c>
      <c r="BA8" s="91">
        <v>1</v>
      </c>
      <c r="BB8" s="91"/>
      <c r="BC8" s="91"/>
    </row>
    <row r="9" spans="1:55" x14ac:dyDescent="0.25">
      <c r="A9" s="91" t="s">
        <v>61</v>
      </c>
      <c r="B9" s="129">
        <f t="shared" si="2"/>
        <v>672</v>
      </c>
      <c r="C9" s="91">
        <v>14</v>
      </c>
      <c r="D9" s="91">
        <v>30</v>
      </c>
      <c r="E9" s="91">
        <v>22</v>
      </c>
      <c r="F9" s="91">
        <v>21</v>
      </c>
      <c r="G9" s="91">
        <v>30</v>
      </c>
      <c r="H9" s="91"/>
      <c r="I9" s="91">
        <v>37</v>
      </c>
      <c r="J9" s="91">
        <v>53</v>
      </c>
      <c r="K9" s="91">
        <v>6</v>
      </c>
      <c r="L9" s="91">
        <v>4</v>
      </c>
      <c r="M9" s="91">
        <v>10</v>
      </c>
      <c r="N9" s="91">
        <v>27</v>
      </c>
      <c r="O9" s="91">
        <v>4</v>
      </c>
      <c r="P9" s="91">
        <v>8</v>
      </c>
      <c r="Q9" s="91">
        <v>8</v>
      </c>
      <c r="R9" s="91">
        <v>12</v>
      </c>
      <c r="S9" s="91">
        <v>19</v>
      </c>
      <c r="T9" s="91"/>
      <c r="U9" s="91">
        <v>7</v>
      </c>
      <c r="V9" s="91">
        <v>9</v>
      </c>
      <c r="W9" s="91">
        <v>33</v>
      </c>
      <c r="X9" s="91">
        <v>12</v>
      </c>
      <c r="Y9" s="91">
        <v>12</v>
      </c>
      <c r="Z9" s="91">
        <v>17</v>
      </c>
      <c r="AA9" s="91">
        <v>26</v>
      </c>
      <c r="AB9" s="91">
        <v>3</v>
      </c>
      <c r="AC9" s="91">
        <v>13</v>
      </c>
      <c r="AD9" s="91">
        <v>14</v>
      </c>
      <c r="AE9" s="91">
        <v>6</v>
      </c>
      <c r="AF9" s="91">
        <v>7</v>
      </c>
      <c r="AG9" s="91">
        <v>4</v>
      </c>
      <c r="AH9" s="91">
        <v>15</v>
      </c>
      <c r="AI9" s="91">
        <v>8</v>
      </c>
      <c r="AJ9" s="91">
        <v>6</v>
      </c>
      <c r="AK9" s="91">
        <v>10</v>
      </c>
      <c r="AL9" s="91">
        <v>19</v>
      </c>
      <c r="AM9" s="91">
        <v>7</v>
      </c>
      <c r="AN9" s="91">
        <v>7</v>
      </c>
      <c r="AO9" s="91">
        <v>15</v>
      </c>
      <c r="AP9" s="91">
        <v>5</v>
      </c>
      <c r="AQ9" s="91"/>
      <c r="AR9" s="91">
        <v>33</v>
      </c>
      <c r="AS9" s="91">
        <v>23</v>
      </c>
      <c r="AT9" s="91"/>
      <c r="AU9" s="91">
        <v>10</v>
      </c>
      <c r="AV9" s="91">
        <v>2</v>
      </c>
      <c r="AW9" s="91"/>
      <c r="AX9" s="91"/>
      <c r="AY9" s="91"/>
      <c r="AZ9" s="91">
        <v>4</v>
      </c>
      <c r="BA9" s="91">
        <v>24</v>
      </c>
      <c r="BB9" s="91">
        <v>16</v>
      </c>
      <c r="BC9" s="91"/>
    </row>
    <row r="10" spans="1:55" x14ac:dyDescent="0.25">
      <c r="A10" s="91" t="s">
        <v>173</v>
      </c>
      <c r="B10" s="129">
        <f t="shared" si="2"/>
        <v>629</v>
      </c>
      <c r="C10" s="91">
        <v>25</v>
      </c>
      <c r="D10" s="91">
        <v>6</v>
      </c>
      <c r="E10" s="91">
        <v>9</v>
      </c>
      <c r="F10" s="91">
        <v>29</v>
      </c>
      <c r="G10" s="91">
        <v>30</v>
      </c>
      <c r="H10" s="91"/>
      <c r="I10" s="91">
        <v>20</v>
      </c>
      <c r="J10" s="91">
        <v>17</v>
      </c>
      <c r="K10" s="91">
        <v>7</v>
      </c>
      <c r="L10" s="91">
        <v>1</v>
      </c>
      <c r="M10" s="91">
        <v>10</v>
      </c>
      <c r="N10" s="91">
        <v>5</v>
      </c>
      <c r="O10" s="91">
        <v>1</v>
      </c>
      <c r="P10" s="91">
        <v>5</v>
      </c>
      <c r="Q10" s="91">
        <v>25</v>
      </c>
      <c r="R10" s="91">
        <v>2</v>
      </c>
      <c r="S10" s="91">
        <v>21</v>
      </c>
      <c r="T10" s="91">
        <v>8</v>
      </c>
      <c r="U10" s="91">
        <v>2</v>
      </c>
      <c r="V10" s="91">
        <v>11</v>
      </c>
      <c r="W10" s="91">
        <v>11</v>
      </c>
      <c r="X10" s="91">
        <v>17</v>
      </c>
      <c r="Y10" s="91">
        <v>24</v>
      </c>
      <c r="Z10" s="91">
        <v>9</v>
      </c>
      <c r="AA10" s="91">
        <v>10</v>
      </c>
      <c r="AB10" s="91">
        <v>4</v>
      </c>
      <c r="AC10" s="91">
        <v>6</v>
      </c>
      <c r="AD10" s="91">
        <v>5</v>
      </c>
      <c r="AE10" s="91">
        <v>11</v>
      </c>
      <c r="AF10" s="91">
        <v>8</v>
      </c>
      <c r="AG10" s="91">
        <v>3</v>
      </c>
      <c r="AH10" s="91">
        <v>14</v>
      </c>
      <c r="AI10" s="91">
        <v>5</v>
      </c>
      <c r="AJ10" s="91">
        <v>19</v>
      </c>
      <c r="AK10" s="91">
        <v>9</v>
      </c>
      <c r="AL10" s="91">
        <v>2</v>
      </c>
      <c r="AM10" s="91">
        <v>12</v>
      </c>
      <c r="AN10" s="91">
        <v>14</v>
      </c>
      <c r="AO10" s="91">
        <v>21</v>
      </c>
      <c r="AP10" s="91">
        <v>24</v>
      </c>
      <c r="AQ10" s="91">
        <v>29</v>
      </c>
      <c r="AR10" s="91">
        <v>8</v>
      </c>
      <c r="AS10" s="91">
        <v>7</v>
      </c>
      <c r="AT10" s="91"/>
      <c r="AU10" s="91">
        <v>2</v>
      </c>
      <c r="AV10" s="91">
        <v>14</v>
      </c>
      <c r="AW10" s="91">
        <v>36</v>
      </c>
      <c r="AX10" s="91">
        <v>11</v>
      </c>
      <c r="AY10" s="91">
        <v>3</v>
      </c>
      <c r="AZ10" s="91">
        <v>24</v>
      </c>
      <c r="BA10" s="91">
        <v>31</v>
      </c>
      <c r="BB10" s="91">
        <v>2</v>
      </c>
      <c r="BC10" s="91"/>
    </row>
    <row r="11" spans="1:55" x14ac:dyDescent="0.25">
      <c r="A11" s="91" t="s">
        <v>113</v>
      </c>
      <c r="B11" s="129">
        <f t="shared" si="2"/>
        <v>709</v>
      </c>
      <c r="C11" s="91">
        <v>33</v>
      </c>
      <c r="D11" s="91">
        <v>16</v>
      </c>
      <c r="E11" s="91">
        <v>32</v>
      </c>
      <c r="F11" s="91">
        <v>26</v>
      </c>
      <c r="G11" s="91">
        <v>21</v>
      </c>
      <c r="H11" s="91"/>
      <c r="I11" s="91">
        <v>39</v>
      </c>
      <c r="J11" s="91">
        <v>23</v>
      </c>
      <c r="K11" s="91">
        <v>21</v>
      </c>
      <c r="L11" s="91">
        <v>11</v>
      </c>
      <c r="M11" s="91">
        <v>6</v>
      </c>
      <c r="N11" s="91">
        <v>33</v>
      </c>
      <c r="O11" s="91">
        <v>2</v>
      </c>
      <c r="P11" s="91">
        <v>9</v>
      </c>
      <c r="Q11" s="91">
        <v>12</v>
      </c>
      <c r="R11" s="91">
        <v>13</v>
      </c>
      <c r="S11" s="91">
        <v>11</v>
      </c>
      <c r="T11" s="91">
        <v>22</v>
      </c>
      <c r="U11" s="91">
        <v>15</v>
      </c>
      <c r="V11" s="91">
        <v>10</v>
      </c>
      <c r="W11" s="91">
        <v>13</v>
      </c>
      <c r="X11" s="91">
        <v>15</v>
      </c>
      <c r="Y11" s="91">
        <v>35</v>
      </c>
      <c r="Z11" s="91">
        <v>12</v>
      </c>
      <c r="AA11" s="91">
        <v>4</v>
      </c>
      <c r="AB11" s="91">
        <v>6</v>
      </c>
      <c r="AC11" s="91">
        <v>11</v>
      </c>
      <c r="AD11" s="91">
        <v>4</v>
      </c>
      <c r="AE11" s="91">
        <v>16</v>
      </c>
      <c r="AF11" s="91">
        <v>10</v>
      </c>
      <c r="AG11" s="91">
        <v>8</v>
      </c>
      <c r="AH11" s="91">
        <v>12</v>
      </c>
      <c r="AI11" s="91">
        <v>4</v>
      </c>
      <c r="AJ11" s="91">
        <v>6</v>
      </c>
      <c r="AK11" s="91">
        <v>5</v>
      </c>
      <c r="AL11" s="91">
        <v>38</v>
      </c>
      <c r="AM11" s="91">
        <v>20</v>
      </c>
      <c r="AN11" s="91">
        <v>47</v>
      </c>
      <c r="AO11" s="91"/>
      <c r="AP11" s="91">
        <v>15</v>
      </c>
      <c r="AQ11" s="91"/>
      <c r="AR11" s="91">
        <v>14</v>
      </c>
      <c r="AS11" s="91">
        <v>9</v>
      </c>
      <c r="AT11" s="91"/>
      <c r="AU11" s="91"/>
      <c r="AV11" s="91">
        <v>30</v>
      </c>
      <c r="AW11" s="91"/>
      <c r="AX11" s="91"/>
      <c r="AY11" s="91"/>
      <c r="AZ11" s="91">
        <v>9</v>
      </c>
      <c r="BA11" s="91"/>
      <c r="BB11" s="91">
        <v>11</v>
      </c>
      <c r="BC11" s="91"/>
    </row>
    <row r="12" spans="1:55" x14ac:dyDescent="0.25">
      <c r="A12" s="91" t="s">
        <v>69</v>
      </c>
      <c r="B12" s="129">
        <f t="shared" si="2"/>
        <v>494</v>
      </c>
      <c r="C12" s="91">
        <v>2</v>
      </c>
      <c r="D12" s="91">
        <v>6</v>
      </c>
      <c r="E12" s="91">
        <v>17</v>
      </c>
      <c r="F12" s="91">
        <v>18</v>
      </c>
      <c r="G12" s="91">
        <v>23</v>
      </c>
      <c r="H12" s="91"/>
      <c r="I12" s="91">
        <v>32</v>
      </c>
      <c r="J12" s="91">
        <v>19</v>
      </c>
      <c r="K12" s="91">
        <v>10</v>
      </c>
      <c r="L12" s="91">
        <v>11</v>
      </c>
      <c r="M12" s="91">
        <v>9</v>
      </c>
      <c r="N12" s="91">
        <v>14</v>
      </c>
      <c r="O12" s="91">
        <v>14</v>
      </c>
      <c r="P12" s="91">
        <v>2</v>
      </c>
      <c r="Q12" s="91">
        <v>19</v>
      </c>
      <c r="R12" s="91">
        <v>12</v>
      </c>
      <c r="S12" s="91">
        <v>9</v>
      </c>
      <c r="T12" s="91"/>
      <c r="U12" s="91">
        <v>9</v>
      </c>
      <c r="V12" s="91">
        <v>1</v>
      </c>
      <c r="W12" s="91">
        <v>12</v>
      </c>
      <c r="X12" s="91">
        <v>11</v>
      </c>
      <c r="Y12" s="91">
        <v>19</v>
      </c>
      <c r="Z12" s="91">
        <v>3</v>
      </c>
      <c r="AA12" s="91">
        <v>10</v>
      </c>
      <c r="AB12" s="91">
        <v>10</v>
      </c>
      <c r="AC12" s="91">
        <v>9</v>
      </c>
      <c r="AD12" s="91">
        <v>9</v>
      </c>
      <c r="AE12" s="91">
        <v>14</v>
      </c>
      <c r="AF12" s="91"/>
      <c r="AG12" s="91">
        <v>9</v>
      </c>
      <c r="AH12" s="91">
        <v>11</v>
      </c>
      <c r="AI12" s="91">
        <v>10</v>
      </c>
      <c r="AJ12" s="91">
        <v>10</v>
      </c>
      <c r="AK12" s="91">
        <v>9</v>
      </c>
      <c r="AL12" s="91">
        <v>5</v>
      </c>
      <c r="AM12" s="91"/>
      <c r="AN12" s="91">
        <v>11</v>
      </c>
      <c r="AO12" s="91">
        <v>14</v>
      </c>
      <c r="AP12" s="91">
        <v>10</v>
      </c>
      <c r="AQ12" s="91">
        <v>6</v>
      </c>
      <c r="AR12" s="91">
        <v>18</v>
      </c>
      <c r="AS12" s="91"/>
      <c r="AT12" s="91"/>
      <c r="AU12" s="91">
        <v>1</v>
      </c>
      <c r="AV12" s="91">
        <v>1</v>
      </c>
      <c r="AW12" s="91">
        <v>21</v>
      </c>
      <c r="AX12" s="91">
        <v>9</v>
      </c>
      <c r="AY12" s="91">
        <v>11</v>
      </c>
      <c r="AZ12" s="91">
        <v>14</v>
      </c>
      <c r="BA12" s="91"/>
      <c r="BB12" s="91"/>
      <c r="BC12" s="91"/>
    </row>
    <row r="13" spans="1:55" x14ac:dyDescent="0.25">
      <c r="A13" s="91" t="s">
        <v>59</v>
      </c>
      <c r="B13" s="129">
        <f t="shared" si="2"/>
        <v>553</v>
      </c>
      <c r="C13" s="91"/>
      <c r="D13" s="91">
        <v>28</v>
      </c>
      <c r="E13" s="91">
        <v>20</v>
      </c>
      <c r="F13" s="91">
        <v>24</v>
      </c>
      <c r="G13" s="91">
        <v>22</v>
      </c>
      <c r="H13" s="91"/>
      <c r="I13" s="91">
        <v>21</v>
      </c>
      <c r="J13" s="91">
        <v>40</v>
      </c>
      <c r="K13" s="91">
        <v>14</v>
      </c>
      <c r="L13" s="91">
        <v>6</v>
      </c>
      <c r="M13" s="91">
        <v>2</v>
      </c>
      <c r="N13" s="91">
        <v>24</v>
      </c>
      <c r="O13" s="91">
        <v>12</v>
      </c>
      <c r="P13" s="91">
        <v>10</v>
      </c>
      <c r="Q13" s="91">
        <v>10</v>
      </c>
      <c r="R13" s="91">
        <v>16</v>
      </c>
      <c r="S13" s="91">
        <v>5</v>
      </c>
      <c r="T13" s="91">
        <v>3</v>
      </c>
      <c r="U13" s="91">
        <v>9</v>
      </c>
      <c r="V13" s="91"/>
      <c r="W13" s="91">
        <v>9</v>
      </c>
      <c r="X13" s="91">
        <v>4</v>
      </c>
      <c r="Y13" s="91">
        <v>19</v>
      </c>
      <c r="Z13" s="91">
        <v>12</v>
      </c>
      <c r="AA13" s="91">
        <v>18</v>
      </c>
      <c r="AB13" s="91">
        <v>3</v>
      </c>
      <c r="AC13" s="91"/>
      <c r="AD13" s="91">
        <v>11</v>
      </c>
      <c r="AE13" s="91">
        <v>5</v>
      </c>
      <c r="AF13" s="91">
        <v>1</v>
      </c>
      <c r="AG13" s="91">
        <v>2</v>
      </c>
      <c r="AH13" s="91">
        <v>22</v>
      </c>
      <c r="AI13" s="91">
        <v>21</v>
      </c>
      <c r="AJ13" s="91">
        <v>5</v>
      </c>
      <c r="AK13" s="91"/>
      <c r="AL13" s="91"/>
      <c r="AM13" s="91">
        <v>10</v>
      </c>
      <c r="AN13" s="91">
        <v>28</v>
      </c>
      <c r="AO13" s="91">
        <v>13</v>
      </c>
      <c r="AP13" s="91">
        <v>5</v>
      </c>
      <c r="AQ13" s="91"/>
      <c r="AR13" s="91"/>
      <c r="AS13" s="91">
        <v>10</v>
      </c>
      <c r="AT13" s="91"/>
      <c r="AU13" s="91">
        <v>3</v>
      </c>
      <c r="AV13" s="91">
        <v>8</v>
      </c>
      <c r="AW13" s="91">
        <v>22</v>
      </c>
      <c r="AX13" s="91"/>
      <c r="AY13" s="91"/>
      <c r="AZ13" s="91">
        <v>2</v>
      </c>
      <c r="BA13" s="91">
        <v>25</v>
      </c>
      <c r="BB13" s="91">
        <v>29</v>
      </c>
      <c r="BC13" s="91"/>
    </row>
    <row r="14" spans="1:55" x14ac:dyDescent="0.25">
      <c r="A14" s="91" t="s">
        <v>92</v>
      </c>
      <c r="B14" s="129">
        <f t="shared" si="2"/>
        <v>986</v>
      </c>
      <c r="C14" s="91">
        <v>21</v>
      </c>
      <c r="D14" s="91">
        <v>23</v>
      </c>
      <c r="E14" s="91">
        <v>28</v>
      </c>
      <c r="F14" s="91">
        <v>32</v>
      </c>
      <c r="G14" s="91">
        <v>24</v>
      </c>
      <c r="H14" s="91"/>
      <c r="I14" s="91">
        <v>40</v>
      </c>
      <c r="J14" s="91">
        <v>24</v>
      </c>
      <c r="K14" s="91">
        <v>13</v>
      </c>
      <c r="L14" s="91">
        <v>14</v>
      </c>
      <c r="M14" s="91">
        <v>33</v>
      </c>
      <c r="N14" s="91">
        <v>30</v>
      </c>
      <c r="O14" s="91">
        <v>5</v>
      </c>
      <c r="P14" s="91">
        <v>12</v>
      </c>
      <c r="Q14" s="91">
        <v>23</v>
      </c>
      <c r="R14" s="91">
        <v>8</v>
      </c>
      <c r="S14" s="91">
        <v>49</v>
      </c>
      <c r="T14" s="91">
        <v>16</v>
      </c>
      <c r="U14" s="91">
        <v>10</v>
      </c>
      <c r="V14" s="91">
        <v>2</v>
      </c>
      <c r="W14" s="91">
        <v>14</v>
      </c>
      <c r="X14" s="91">
        <v>15</v>
      </c>
      <c r="Y14" s="91">
        <v>16</v>
      </c>
      <c r="Z14" s="91">
        <v>7</v>
      </c>
      <c r="AA14" s="91">
        <v>23</v>
      </c>
      <c r="AB14" s="91">
        <v>14</v>
      </c>
      <c r="AC14" s="91">
        <v>19</v>
      </c>
      <c r="AD14" s="91">
        <v>10</v>
      </c>
      <c r="AE14" s="91">
        <v>15</v>
      </c>
      <c r="AF14" s="91">
        <v>14</v>
      </c>
      <c r="AG14" s="91">
        <v>5</v>
      </c>
      <c r="AH14" s="91">
        <v>20</v>
      </c>
      <c r="AI14" s="91">
        <v>20</v>
      </c>
      <c r="AJ14" s="91">
        <v>17</v>
      </c>
      <c r="AK14" s="91">
        <v>12</v>
      </c>
      <c r="AL14" s="91">
        <v>24</v>
      </c>
      <c r="AM14" s="91">
        <v>19</v>
      </c>
      <c r="AN14" s="91">
        <v>8</v>
      </c>
      <c r="AO14" s="91">
        <v>14</v>
      </c>
      <c r="AP14" s="91">
        <v>6</v>
      </c>
      <c r="AQ14" s="91">
        <v>38</v>
      </c>
      <c r="AR14" s="91">
        <v>26</v>
      </c>
      <c r="AS14" s="91">
        <v>24</v>
      </c>
      <c r="AT14" s="91"/>
      <c r="AU14" s="91">
        <v>30</v>
      </c>
      <c r="AV14" s="91">
        <v>3</v>
      </c>
      <c r="AW14" s="91">
        <v>19</v>
      </c>
      <c r="AX14" s="91">
        <v>37</v>
      </c>
      <c r="AY14" s="91">
        <v>20</v>
      </c>
      <c r="AZ14" s="91">
        <v>2</v>
      </c>
      <c r="BA14" s="91">
        <v>33</v>
      </c>
      <c r="BB14" s="91">
        <v>55</v>
      </c>
      <c r="BC14" s="91"/>
    </row>
    <row r="15" spans="1:55" x14ac:dyDescent="0.25">
      <c r="A15" s="91" t="s">
        <v>75</v>
      </c>
      <c r="B15" s="129">
        <f t="shared" si="2"/>
        <v>961</v>
      </c>
      <c r="C15" s="91">
        <v>27</v>
      </c>
      <c r="D15" s="91">
        <v>36</v>
      </c>
      <c r="E15" s="91">
        <v>23</v>
      </c>
      <c r="F15" s="91">
        <v>42</v>
      </c>
      <c r="G15" s="91">
        <v>34</v>
      </c>
      <c r="H15" s="91"/>
      <c r="I15" s="91">
        <v>23</v>
      </c>
      <c r="J15" s="91">
        <v>25</v>
      </c>
      <c r="K15" s="91">
        <v>15</v>
      </c>
      <c r="L15" s="91">
        <v>6</v>
      </c>
      <c r="M15" s="91">
        <v>16</v>
      </c>
      <c r="N15" s="91">
        <v>30</v>
      </c>
      <c r="O15" s="91">
        <v>16</v>
      </c>
      <c r="P15" s="91">
        <v>14</v>
      </c>
      <c r="Q15" s="91"/>
      <c r="R15" s="91">
        <v>4</v>
      </c>
      <c r="S15" s="91">
        <v>14</v>
      </c>
      <c r="T15" s="91">
        <v>37</v>
      </c>
      <c r="U15" s="91">
        <v>14</v>
      </c>
      <c r="V15" s="91">
        <v>12</v>
      </c>
      <c r="W15" s="91">
        <v>28</v>
      </c>
      <c r="X15" s="91">
        <v>12</v>
      </c>
      <c r="Y15" s="91">
        <v>47</v>
      </c>
      <c r="Z15" s="91">
        <v>3</v>
      </c>
      <c r="AA15" s="91">
        <v>12</v>
      </c>
      <c r="AB15" s="91">
        <v>41</v>
      </c>
      <c r="AC15" s="91">
        <v>10</v>
      </c>
      <c r="AD15" s="91">
        <v>3</v>
      </c>
      <c r="AE15" s="91">
        <v>13</v>
      </c>
      <c r="AF15" s="91">
        <v>10</v>
      </c>
      <c r="AG15" s="91">
        <v>19</v>
      </c>
      <c r="AH15" s="91">
        <v>23</v>
      </c>
      <c r="AI15" s="91">
        <v>10</v>
      </c>
      <c r="AJ15" s="91">
        <v>24</v>
      </c>
      <c r="AK15" s="91">
        <v>39</v>
      </c>
      <c r="AL15" s="91">
        <v>17</v>
      </c>
      <c r="AM15" s="91">
        <v>11</v>
      </c>
      <c r="AN15" s="91">
        <v>32</v>
      </c>
      <c r="AO15" s="91">
        <v>4</v>
      </c>
      <c r="AP15" s="91">
        <v>17</v>
      </c>
      <c r="AQ15" s="91">
        <v>21</v>
      </c>
      <c r="AR15" s="91">
        <v>24</v>
      </c>
      <c r="AS15" s="91">
        <v>15</v>
      </c>
      <c r="AT15" s="91"/>
      <c r="AU15" s="91">
        <v>25</v>
      </c>
      <c r="AV15" s="91">
        <v>10</v>
      </c>
      <c r="AW15" s="91">
        <v>34</v>
      </c>
      <c r="AX15" s="91">
        <v>6</v>
      </c>
      <c r="AY15" s="91">
        <v>8</v>
      </c>
      <c r="AZ15" s="91">
        <v>19</v>
      </c>
      <c r="BA15" s="91">
        <v>18</v>
      </c>
      <c r="BB15" s="91">
        <v>18</v>
      </c>
      <c r="BC15" s="91"/>
    </row>
    <row r="16" spans="1:55" x14ac:dyDescent="0.25">
      <c r="A16" s="91" t="s">
        <v>290</v>
      </c>
      <c r="B16" s="129">
        <f t="shared" si="2"/>
        <v>278</v>
      </c>
      <c r="C16" s="91">
        <v>3</v>
      </c>
      <c r="D16" s="91">
        <v>3</v>
      </c>
      <c r="E16" s="91">
        <v>4</v>
      </c>
      <c r="F16" s="91">
        <v>3</v>
      </c>
      <c r="G16" s="91">
        <v>1</v>
      </c>
      <c r="H16" s="91"/>
      <c r="I16" s="91">
        <v>4</v>
      </c>
      <c r="J16" s="91">
        <v>4</v>
      </c>
      <c r="K16" s="91">
        <v>5</v>
      </c>
      <c r="L16" s="91">
        <v>3</v>
      </c>
      <c r="M16" s="91">
        <v>2</v>
      </c>
      <c r="N16" s="91">
        <v>14</v>
      </c>
      <c r="O16" s="91">
        <v>4</v>
      </c>
      <c r="P16" s="91">
        <v>3</v>
      </c>
      <c r="Q16" s="91">
        <v>4</v>
      </c>
      <c r="R16" s="91">
        <v>8</v>
      </c>
      <c r="S16" s="91">
        <v>3</v>
      </c>
      <c r="T16" s="91"/>
      <c r="U16" s="91">
        <v>6</v>
      </c>
      <c r="V16" s="91">
        <v>6</v>
      </c>
      <c r="W16" s="91"/>
      <c r="X16" s="91">
        <v>4</v>
      </c>
      <c r="Y16" s="91">
        <v>5</v>
      </c>
      <c r="Z16" s="91">
        <v>1</v>
      </c>
      <c r="AA16" s="91">
        <v>9</v>
      </c>
      <c r="AB16" s="91"/>
      <c r="AC16" s="91">
        <v>2</v>
      </c>
      <c r="AD16" s="91">
        <v>7</v>
      </c>
      <c r="AE16" s="91">
        <v>9</v>
      </c>
      <c r="AF16" s="91">
        <v>6</v>
      </c>
      <c r="AG16" s="91">
        <v>1</v>
      </c>
      <c r="AH16" s="91">
        <v>6</v>
      </c>
      <c r="AI16" s="91">
        <v>5</v>
      </c>
      <c r="AJ16" s="91">
        <v>8</v>
      </c>
      <c r="AK16" s="91">
        <v>7</v>
      </c>
      <c r="AL16" s="91">
        <v>10</v>
      </c>
      <c r="AM16" s="91">
        <v>7</v>
      </c>
      <c r="AN16" s="91">
        <v>15</v>
      </c>
      <c r="AO16" s="91">
        <v>13</v>
      </c>
      <c r="AP16" s="91">
        <v>1</v>
      </c>
      <c r="AQ16" s="91">
        <v>12</v>
      </c>
      <c r="AR16" s="91">
        <v>15</v>
      </c>
      <c r="AS16" s="91">
        <v>1</v>
      </c>
      <c r="AT16" s="91"/>
      <c r="AU16" s="91">
        <v>2</v>
      </c>
      <c r="AV16" s="91">
        <v>5</v>
      </c>
      <c r="AW16" s="91">
        <v>2</v>
      </c>
      <c r="AX16" s="91">
        <v>3</v>
      </c>
      <c r="AY16" s="91">
        <v>6</v>
      </c>
      <c r="AZ16" s="91">
        <v>10</v>
      </c>
      <c r="BA16" s="91">
        <v>16</v>
      </c>
      <c r="BB16" s="91">
        <v>10</v>
      </c>
      <c r="BC16" s="91"/>
    </row>
    <row r="17" spans="1:55" x14ac:dyDescent="0.25">
      <c r="A17" s="91" t="s">
        <v>101</v>
      </c>
      <c r="B17" s="129">
        <f t="shared" si="2"/>
        <v>422</v>
      </c>
      <c r="C17" s="91">
        <v>9</v>
      </c>
      <c r="D17" s="91">
        <v>16</v>
      </c>
      <c r="E17" s="91">
        <v>18</v>
      </c>
      <c r="F17" s="91">
        <v>5</v>
      </c>
      <c r="G17" s="91">
        <v>11</v>
      </c>
      <c r="H17" s="91"/>
      <c r="I17" s="91">
        <v>12</v>
      </c>
      <c r="J17" s="91">
        <v>7</v>
      </c>
      <c r="K17" s="91">
        <v>8</v>
      </c>
      <c r="L17" s="91"/>
      <c r="M17" s="91">
        <v>14</v>
      </c>
      <c r="N17" s="91">
        <v>17</v>
      </c>
      <c r="O17" s="91">
        <v>10</v>
      </c>
      <c r="P17" s="91"/>
      <c r="Q17" s="91">
        <v>2</v>
      </c>
      <c r="R17" s="91">
        <v>3</v>
      </c>
      <c r="S17" s="91">
        <v>15</v>
      </c>
      <c r="T17" s="91">
        <v>1</v>
      </c>
      <c r="U17" s="91">
        <v>1</v>
      </c>
      <c r="V17" s="91">
        <v>14</v>
      </c>
      <c r="W17" s="91">
        <v>3</v>
      </c>
      <c r="X17" s="91">
        <v>5</v>
      </c>
      <c r="Y17" s="91">
        <v>8</v>
      </c>
      <c r="Z17" s="91"/>
      <c r="AA17" s="91">
        <v>13</v>
      </c>
      <c r="AB17" s="91">
        <v>14</v>
      </c>
      <c r="AC17" s="91">
        <v>12</v>
      </c>
      <c r="AD17" s="91">
        <v>7</v>
      </c>
      <c r="AE17" s="91">
        <v>15</v>
      </c>
      <c r="AF17" s="91">
        <v>5</v>
      </c>
      <c r="AG17" s="91">
        <v>10</v>
      </c>
      <c r="AH17" s="91">
        <v>8</v>
      </c>
      <c r="AI17" s="91">
        <v>10</v>
      </c>
      <c r="AJ17" s="91">
        <v>17</v>
      </c>
      <c r="AK17" s="91">
        <v>8</v>
      </c>
      <c r="AL17" s="91">
        <v>8</v>
      </c>
      <c r="AM17" s="91">
        <v>10</v>
      </c>
      <c r="AN17" s="91">
        <v>7</v>
      </c>
      <c r="AO17" s="91">
        <v>20</v>
      </c>
      <c r="AP17" s="91">
        <v>12</v>
      </c>
      <c r="AQ17" s="91"/>
      <c r="AR17" s="91">
        <v>9</v>
      </c>
      <c r="AS17" s="91">
        <v>13</v>
      </c>
      <c r="AT17" s="91"/>
      <c r="AU17" s="91">
        <v>9</v>
      </c>
      <c r="AV17" s="91">
        <v>9</v>
      </c>
      <c r="AW17" s="91">
        <v>3</v>
      </c>
      <c r="AX17" s="91">
        <v>1</v>
      </c>
      <c r="AY17" s="91"/>
      <c r="AZ17" s="91">
        <v>9</v>
      </c>
      <c r="BA17" s="91">
        <v>2</v>
      </c>
      <c r="BB17" s="91">
        <v>12</v>
      </c>
      <c r="BC17" s="91"/>
    </row>
    <row r="18" spans="1:55" x14ac:dyDescent="0.25">
      <c r="A18" s="91" t="s">
        <v>65</v>
      </c>
      <c r="B18" s="129">
        <f t="shared" si="2"/>
        <v>602</v>
      </c>
      <c r="C18" s="91">
        <v>15</v>
      </c>
      <c r="D18" s="91">
        <v>19</v>
      </c>
      <c r="E18" s="91">
        <v>8</v>
      </c>
      <c r="F18" s="91">
        <v>25</v>
      </c>
      <c r="G18" s="91">
        <v>28</v>
      </c>
      <c r="H18" s="91"/>
      <c r="I18" s="91">
        <v>41</v>
      </c>
      <c r="J18" s="91">
        <v>27</v>
      </c>
      <c r="K18" s="91">
        <v>7</v>
      </c>
      <c r="L18" s="91">
        <v>13</v>
      </c>
      <c r="M18" s="91">
        <v>6</v>
      </c>
      <c r="N18" s="91">
        <v>11</v>
      </c>
      <c r="O18" s="91">
        <v>8</v>
      </c>
      <c r="P18" s="91">
        <v>8</v>
      </c>
      <c r="Q18" s="91">
        <v>8</v>
      </c>
      <c r="R18" s="91">
        <v>15</v>
      </c>
      <c r="S18" s="91">
        <v>13</v>
      </c>
      <c r="T18" s="91"/>
      <c r="U18" s="91">
        <v>18</v>
      </c>
      <c r="V18" s="91">
        <v>1</v>
      </c>
      <c r="W18" s="91">
        <v>23</v>
      </c>
      <c r="X18" s="91">
        <v>14</v>
      </c>
      <c r="Y18" s="91">
        <v>12</v>
      </c>
      <c r="Z18" s="91">
        <v>1</v>
      </c>
      <c r="AA18" s="91"/>
      <c r="AB18" s="91">
        <v>1</v>
      </c>
      <c r="AC18" s="91">
        <v>14</v>
      </c>
      <c r="AD18" s="91">
        <v>15</v>
      </c>
      <c r="AE18" s="91">
        <v>9</v>
      </c>
      <c r="AF18" s="91">
        <v>4</v>
      </c>
      <c r="AG18" s="91">
        <v>1</v>
      </c>
      <c r="AH18" s="91">
        <v>15</v>
      </c>
      <c r="AI18" s="91">
        <v>11</v>
      </c>
      <c r="AJ18" s="91">
        <v>13</v>
      </c>
      <c r="AK18" s="91">
        <v>4</v>
      </c>
      <c r="AL18" s="91">
        <v>15</v>
      </c>
      <c r="AM18" s="91">
        <v>1</v>
      </c>
      <c r="AN18" s="91">
        <v>17</v>
      </c>
      <c r="AO18" s="91">
        <v>17</v>
      </c>
      <c r="AP18" s="91">
        <v>1</v>
      </c>
      <c r="AQ18" s="91"/>
      <c r="AR18" s="91">
        <v>30</v>
      </c>
      <c r="AS18" s="91">
        <v>21</v>
      </c>
      <c r="AT18" s="91"/>
      <c r="AU18" s="91">
        <v>12</v>
      </c>
      <c r="AV18" s="91">
        <v>8</v>
      </c>
      <c r="AW18" s="91"/>
      <c r="AX18" s="91"/>
      <c r="AY18" s="91"/>
      <c r="AZ18" s="91">
        <v>12</v>
      </c>
      <c r="BA18" s="91">
        <v>59</v>
      </c>
      <c r="BB18" s="91">
        <v>1</v>
      </c>
      <c r="BC18" s="91"/>
    </row>
    <row r="19" spans="1:55" x14ac:dyDescent="0.25">
      <c r="A19" s="91" t="s">
        <v>175</v>
      </c>
      <c r="B19" s="129">
        <f t="shared" si="2"/>
        <v>844</v>
      </c>
      <c r="C19" s="91">
        <v>35</v>
      </c>
      <c r="D19" s="91">
        <v>19</v>
      </c>
      <c r="E19" s="91">
        <v>18</v>
      </c>
      <c r="F19" s="91">
        <v>19</v>
      </c>
      <c r="G19" s="91">
        <v>58</v>
      </c>
      <c r="H19" s="91"/>
      <c r="I19" s="91">
        <v>35</v>
      </c>
      <c r="J19" s="91">
        <v>6</v>
      </c>
      <c r="K19" s="91">
        <v>6</v>
      </c>
      <c r="L19" s="91">
        <v>9</v>
      </c>
      <c r="M19" s="91">
        <v>14</v>
      </c>
      <c r="N19" s="91">
        <v>37</v>
      </c>
      <c r="O19" s="91">
        <v>27</v>
      </c>
      <c r="P19" s="91">
        <v>26</v>
      </c>
      <c r="Q19" s="91">
        <v>31</v>
      </c>
      <c r="R19" s="91">
        <v>16</v>
      </c>
      <c r="S19" s="91">
        <v>24</v>
      </c>
      <c r="T19" s="91">
        <v>21</v>
      </c>
      <c r="U19" s="91">
        <v>14</v>
      </c>
      <c r="V19" s="91">
        <v>7</v>
      </c>
      <c r="W19" s="91">
        <v>17</v>
      </c>
      <c r="X19" s="91">
        <v>20</v>
      </c>
      <c r="Y19" s="91">
        <v>31</v>
      </c>
      <c r="Z19" s="91">
        <v>9</v>
      </c>
      <c r="AA19" s="91">
        <v>23</v>
      </c>
      <c r="AB19" s="91">
        <v>7</v>
      </c>
      <c r="AC19" s="91">
        <v>25</v>
      </c>
      <c r="AD19" s="91">
        <v>5</v>
      </c>
      <c r="AE19" s="91">
        <v>27</v>
      </c>
      <c r="AF19" s="91">
        <v>21</v>
      </c>
      <c r="AG19" s="91">
        <v>9</v>
      </c>
      <c r="AH19" s="91">
        <v>9</v>
      </c>
      <c r="AI19" s="91">
        <v>20</v>
      </c>
      <c r="AJ19" s="91">
        <v>17</v>
      </c>
      <c r="AK19" s="91">
        <v>25</v>
      </c>
      <c r="AL19" s="91">
        <v>13</v>
      </c>
      <c r="AM19" s="91"/>
      <c r="AN19" s="91">
        <v>19</v>
      </c>
      <c r="AO19" s="91">
        <v>16</v>
      </c>
      <c r="AP19" s="91">
        <v>3</v>
      </c>
      <c r="AQ19" s="91"/>
      <c r="AR19" s="91">
        <v>24</v>
      </c>
      <c r="AS19" s="91">
        <v>13</v>
      </c>
      <c r="AT19" s="91"/>
      <c r="AU19" s="91">
        <v>27</v>
      </c>
      <c r="AV19" s="91">
        <v>23</v>
      </c>
      <c r="AW19" s="91"/>
      <c r="AX19" s="91"/>
      <c r="AY19" s="91"/>
      <c r="AZ19" s="91">
        <v>13</v>
      </c>
      <c r="BA19" s="91">
        <v>1</v>
      </c>
      <c r="BB19" s="91">
        <v>5</v>
      </c>
      <c r="BC19" s="91"/>
    </row>
    <row r="20" spans="1:55" x14ac:dyDescent="0.25">
      <c r="A20" s="91" t="s">
        <v>265</v>
      </c>
      <c r="B20" s="129">
        <f t="shared" si="2"/>
        <v>924</v>
      </c>
      <c r="C20" s="91">
        <v>19</v>
      </c>
      <c r="D20" s="91">
        <v>15</v>
      </c>
      <c r="E20" s="91">
        <v>14</v>
      </c>
      <c r="F20" s="91">
        <v>14</v>
      </c>
      <c r="G20" s="91">
        <v>29</v>
      </c>
      <c r="H20" s="91">
        <v>61</v>
      </c>
      <c r="I20" s="91">
        <v>15</v>
      </c>
      <c r="J20" s="91">
        <v>13</v>
      </c>
      <c r="K20" s="91">
        <v>17</v>
      </c>
      <c r="L20" s="91">
        <v>13</v>
      </c>
      <c r="M20" s="91">
        <v>10</v>
      </c>
      <c r="N20" s="91">
        <v>33</v>
      </c>
      <c r="O20" s="91">
        <v>14</v>
      </c>
      <c r="P20" s="91">
        <v>13</v>
      </c>
      <c r="Q20" s="91">
        <v>11</v>
      </c>
      <c r="R20" s="91">
        <v>14</v>
      </c>
      <c r="S20" s="91">
        <v>28</v>
      </c>
      <c r="T20" s="91">
        <v>10</v>
      </c>
      <c r="U20" s="91">
        <v>17</v>
      </c>
      <c r="V20" s="91">
        <v>26</v>
      </c>
      <c r="W20" s="91">
        <v>17</v>
      </c>
      <c r="X20" s="91">
        <v>24</v>
      </c>
      <c r="Y20" s="91">
        <v>25</v>
      </c>
      <c r="Z20" s="91">
        <v>10</v>
      </c>
      <c r="AA20" s="91">
        <v>11</v>
      </c>
      <c r="AB20" s="91">
        <v>15</v>
      </c>
      <c r="AC20" s="91">
        <v>19</v>
      </c>
      <c r="AD20" s="91">
        <v>13</v>
      </c>
      <c r="AE20" s="91">
        <v>14</v>
      </c>
      <c r="AF20" s="91">
        <v>21</v>
      </c>
      <c r="AG20" s="91">
        <v>10</v>
      </c>
      <c r="AH20" s="91">
        <v>28</v>
      </c>
      <c r="AI20" s="91">
        <v>11</v>
      </c>
      <c r="AJ20" s="91">
        <v>18</v>
      </c>
      <c r="AK20" s="91">
        <v>27</v>
      </c>
      <c r="AL20" s="91">
        <v>18</v>
      </c>
      <c r="AM20" s="91">
        <v>12</v>
      </c>
      <c r="AN20" s="91">
        <v>17</v>
      </c>
      <c r="AO20" s="91">
        <v>12</v>
      </c>
      <c r="AP20" s="91">
        <v>13</v>
      </c>
      <c r="AQ20" s="91">
        <v>17</v>
      </c>
      <c r="AR20" s="91">
        <v>25</v>
      </c>
      <c r="AS20" s="91">
        <v>15</v>
      </c>
      <c r="AT20" s="91"/>
      <c r="AU20" s="91">
        <v>25</v>
      </c>
      <c r="AV20" s="91">
        <v>11</v>
      </c>
      <c r="AW20" s="91">
        <v>18</v>
      </c>
      <c r="AX20" s="91">
        <v>40</v>
      </c>
      <c r="AY20" s="91">
        <v>24</v>
      </c>
      <c r="AZ20" s="91">
        <v>23</v>
      </c>
      <c r="BA20" s="91">
        <v>3</v>
      </c>
      <c r="BB20" s="91">
        <v>2</v>
      </c>
      <c r="BC20" s="91"/>
    </row>
    <row r="21" spans="1:55" x14ac:dyDescent="0.25">
      <c r="A21" s="91" t="s">
        <v>73</v>
      </c>
      <c r="B21" s="129">
        <f t="shared" si="2"/>
        <v>243</v>
      </c>
      <c r="C21" s="91">
        <v>1</v>
      </c>
      <c r="D21" s="91">
        <v>2</v>
      </c>
      <c r="E21" s="91">
        <v>4</v>
      </c>
      <c r="F21" s="91">
        <v>2</v>
      </c>
      <c r="G21" s="91">
        <v>6</v>
      </c>
      <c r="H21" s="91"/>
      <c r="I21" s="91">
        <v>4</v>
      </c>
      <c r="J21" s="91">
        <v>7</v>
      </c>
      <c r="K21" s="91"/>
      <c r="L21" s="91">
        <v>3</v>
      </c>
      <c r="M21" s="91"/>
      <c r="N21" s="91">
        <v>14</v>
      </c>
      <c r="O21" s="91">
        <v>5</v>
      </c>
      <c r="P21" s="91">
        <v>1</v>
      </c>
      <c r="Q21" s="91">
        <v>1</v>
      </c>
      <c r="R21" s="91">
        <v>1</v>
      </c>
      <c r="S21" s="91"/>
      <c r="T21" s="91"/>
      <c r="U21" s="91">
        <v>5</v>
      </c>
      <c r="V21" s="91">
        <v>2</v>
      </c>
      <c r="W21" s="91">
        <v>4</v>
      </c>
      <c r="X21" s="91">
        <v>2</v>
      </c>
      <c r="Y21" s="91">
        <v>2</v>
      </c>
      <c r="Z21" s="91"/>
      <c r="AA21" s="91">
        <v>1</v>
      </c>
      <c r="AB21" s="91">
        <v>1</v>
      </c>
      <c r="AC21" s="91">
        <v>2</v>
      </c>
      <c r="AD21" s="91"/>
      <c r="AE21" s="91">
        <v>2</v>
      </c>
      <c r="AF21" s="91"/>
      <c r="AG21" s="91"/>
      <c r="AH21" s="91">
        <v>7</v>
      </c>
      <c r="AI21" s="91"/>
      <c r="AJ21" s="91">
        <v>1</v>
      </c>
      <c r="AK21" s="91"/>
      <c r="AL21" s="91">
        <v>2</v>
      </c>
      <c r="AM21" s="91"/>
      <c r="AN21" s="91"/>
      <c r="AO21" s="91">
        <v>2</v>
      </c>
      <c r="AP21" s="91">
        <v>1</v>
      </c>
      <c r="AQ21" s="91"/>
      <c r="AR21" s="91">
        <v>6</v>
      </c>
      <c r="AS21" s="91">
        <v>5</v>
      </c>
      <c r="AT21" s="91"/>
      <c r="AU21" s="91">
        <v>3</v>
      </c>
      <c r="AV21" s="91">
        <v>5</v>
      </c>
      <c r="AW21" s="91">
        <v>18</v>
      </c>
      <c r="AX21" s="91">
        <v>16</v>
      </c>
      <c r="AY21" s="91">
        <v>16</v>
      </c>
      <c r="AZ21" s="91">
        <v>1</v>
      </c>
      <c r="BA21" s="91">
        <v>52</v>
      </c>
      <c r="BB21" s="91">
        <v>36</v>
      </c>
      <c r="BC21" s="91"/>
    </row>
    <row r="22" spans="1:55" x14ac:dyDescent="0.25">
      <c r="A22" s="91" t="s">
        <v>104</v>
      </c>
      <c r="B22" s="129">
        <f t="shared" si="2"/>
        <v>2509</v>
      </c>
      <c r="C22" s="91">
        <v>66</v>
      </c>
      <c r="D22" s="91">
        <v>26</v>
      </c>
      <c r="E22" s="91">
        <v>55</v>
      </c>
      <c r="F22" s="91">
        <v>61</v>
      </c>
      <c r="G22" s="91">
        <v>74</v>
      </c>
      <c r="H22" s="91">
        <v>145</v>
      </c>
      <c r="I22" s="91">
        <v>41</v>
      </c>
      <c r="J22" s="91">
        <v>86</v>
      </c>
      <c r="K22" s="91">
        <v>28</v>
      </c>
      <c r="L22" s="91">
        <v>24</v>
      </c>
      <c r="M22" s="91">
        <v>62</v>
      </c>
      <c r="N22" s="91">
        <v>71</v>
      </c>
      <c r="O22" s="91">
        <v>13</v>
      </c>
      <c r="P22" s="91">
        <v>50</v>
      </c>
      <c r="Q22" s="91">
        <v>31</v>
      </c>
      <c r="R22" s="91">
        <v>64</v>
      </c>
      <c r="S22" s="91">
        <v>36</v>
      </c>
      <c r="T22" s="91">
        <v>38</v>
      </c>
      <c r="U22" s="91">
        <v>106</v>
      </c>
      <c r="V22" s="91">
        <v>19</v>
      </c>
      <c r="W22" s="91">
        <v>116</v>
      </c>
      <c r="X22" s="91">
        <v>47</v>
      </c>
      <c r="Y22" s="91">
        <v>67</v>
      </c>
      <c r="Z22" s="91">
        <v>31</v>
      </c>
      <c r="AA22" s="91">
        <v>49</v>
      </c>
      <c r="AB22" s="91">
        <v>58</v>
      </c>
      <c r="AC22" s="91">
        <v>16</v>
      </c>
      <c r="AD22" s="91">
        <v>29</v>
      </c>
      <c r="AE22" s="91">
        <v>74</v>
      </c>
      <c r="AF22" s="91">
        <v>24</v>
      </c>
      <c r="AG22" s="91">
        <v>33</v>
      </c>
      <c r="AH22" s="91">
        <v>61</v>
      </c>
      <c r="AI22" s="91">
        <v>42</v>
      </c>
      <c r="AJ22" s="91">
        <v>59</v>
      </c>
      <c r="AK22" s="91">
        <v>60</v>
      </c>
      <c r="AL22" s="91">
        <v>65</v>
      </c>
      <c r="AM22" s="91">
        <v>10</v>
      </c>
      <c r="AN22" s="91">
        <v>27</v>
      </c>
      <c r="AO22" s="91">
        <v>49</v>
      </c>
      <c r="AP22" s="91">
        <v>50</v>
      </c>
      <c r="AQ22" s="91">
        <v>25</v>
      </c>
      <c r="AR22" s="91">
        <v>61</v>
      </c>
      <c r="AS22" s="91">
        <v>35</v>
      </c>
      <c r="AT22" s="91"/>
      <c r="AU22" s="91">
        <v>48</v>
      </c>
      <c r="AV22" s="91">
        <v>45</v>
      </c>
      <c r="AW22" s="91">
        <v>83</v>
      </c>
      <c r="AX22" s="91">
        <v>30</v>
      </c>
      <c r="AY22" s="91">
        <v>28</v>
      </c>
      <c r="AZ22" s="91">
        <v>18</v>
      </c>
      <c r="BA22" s="91"/>
      <c r="BB22" s="91">
        <v>73</v>
      </c>
      <c r="BC22" s="91"/>
    </row>
    <row r="23" spans="1:55" x14ac:dyDescent="0.25">
      <c r="A23" s="91" t="s">
        <v>293</v>
      </c>
      <c r="B23" s="129">
        <f t="shared" si="2"/>
        <v>141</v>
      </c>
      <c r="C23" s="91">
        <v>2</v>
      </c>
      <c r="D23" s="91">
        <v>1</v>
      </c>
      <c r="E23" s="91">
        <v>2</v>
      </c>
      <c r="F23" s="91">
        <v>2</v>
      </c>
      <c r="G23" s="91">
        <v>7</v>
      </c>
      <c r="H23" s="91"/>
      <c r="I23" s="91"/>
      <c r="J23" s="91">
        <v>5</v>
      </c>
      <c r="K23" s="91">
        <v>4</v>
      </c>
      <c r="L23" s="91">
        <v>3</v>
      </c>
      <c r="M23" s="91">
        <v>1</v>
      </c>
      <c r="N23" s="91">
        <v>12</v>
      </c>
      <c r="O23" s="91"/>
      <c r="P23" s="91">
        <v>3</v>
      </c>
      <c r="Q23" s="91">
        <v>2</v>
      </c>
      <c r="R23" s="91">
        <v>2</v>
      </c>
      <c r="S23" s="91">
        <v>9</v>
      </c>
      <c r="T23" s="91"/>
      <c r="U23" s="91">
        <v>4</v>
      </c>
      <c r="V23" s="91">
        <v>2</v>
      </c>
      <c r="W23" s="91">
        <v>1</v>
      </c>
      <c r="X23" s="91">
        <v>6</v>
      </c>
      <c r="Y23" s="91">
        <v>5</v>
      </c>
      <c r="Z23" s="91">
        <v>1</v>
      </c>
      <c r="AA23" s="91">
        <v>1</v>
      </c>
      <c r="AB23" s="91">
        <v>1</v>
      </c>
      <c r="AC23" s="91">
        <v>3</v>
      </c>
      <c r="AD23" s="91">
        <v>1</v>
      </c>
      <c r="AE23" s="91">
        <v>5</v>
      </c>
      <c r="AF23" s="91">
        <v>2</v>
      </c>
      <c r="AG23" s="91">
        <v>2</v>
      </c>
      <c r="AH23" s="91">
        <v>2</v>
      </c>
      <c r="AI23" s="91">
        <v>1</v>
      </c>
      <c r="AJ23" s="91">
        <v>2</v>
      </c>
      <c r="AK23" s="91">
        <v>3</v>
      </c>
      <c r="AL23" s="91">
        <v>4</v>
      </c>
      <c r="AM23" s="91">
        <v>4</v>
      </c>
      <c r="AN23" s="91">
        <v>2</v>
      </c>
      <c r="AO23" s="91">
        <v>5</v>
      </c>
      <c r="AP23" s="91">
        <v>3</v>
      </c>
      <c r="AQ23" s="91">
        <v>9</v>
      </c>
      <c r="AR23" s="91">
        <v>1</v>
      </c>
      <c r="AS23" s="91">
        <v>4</v>
      </c>
      <c r="AT23" s="91"/>
      <c r="AU23" s="91">
        <v>2</v>
      </c>
      <c r="AV23" s="91">
        <v>2</v>
      </c>
      <c r="AW23" s="91"/>
      <c r="AX23" s="91">
        <v>7</v>
      </c>
      <c r="AY23" s="91">
        <v>1</v>
      </c>
      <c r="AZ23" s="91"/>
      <c r="BA23" s="91"/>
      <c r="BB23" s="91"/>
      <c r="BC23" s="91"/>
    </row>
    <row r="24" spans="1:55" x14ac:dyDescent="0.25">
      <c r="A24" s="91" t="s">
        <v>127</v>
      </c>
      <c r="B24" s="129">
        <f t="shared" si="2"/>
        <v>48</v>
      </c>
      <c r="C24" s="91">
        <v>4</v>
      </c>
      <c r="D24" s="91">
        <v>1</v>
      </c>
      <c r="E24" s="91"/>
      <c r="F24" s="91">
        <v>3</v>
      </c>
      <c r="G24" s="91">
        <v>1</v>
      </c>
      <c r="H24" s="91"/>
      <c r="I24" s="91"/>
      <c r="J24" s="91">
        <v>1</v>
      </c>
      <c r="K24" s="91">
        <v>1</v>
      </c>
      <c r="L24" s="91">
        <v>3</v>
      </c>
      <c r="M24" s="91"/>
      <c r="N24" s="91">
        <v>2</v>
      </c>
      <c r="O24" s="91">
        <v>3</v>
      </c>
      <c r="P24" s="91"/>
      <c r="Q24" s="91"/>
      <c r="R24" s="91"/>
      <c r="S24" s="91">
        <v>1</v>
      </c>
      <c r="T24" s="91">
        <v>1</v>
      </c>
      <c r="U24" s="91"/>
      <c r="V24" s="91"/>
      <c r="W24" s="91">
        <v>1</v>
      </c>
      <c r="X24" s="91">
        <v>4</v>
      </c>
      <c r="Y24" s="91">
        <v>3</v>
      </c>
      <c r="Z24" s="91">
        <v>1</v>
      </c>
      <c r="AA24" s="91"/>
      <c r="AB24" s="91">
        <v>1</v>
      </c>
      <c r="AC24" s="91"/>
      <c r="AD24" s="91"/>
      <c r="AE24" s="91">
        <v>1</v>
      </c>
      <c r="AF24" s="91"/>
      <c r="AG24" s="91">
        <v>1</v>
      </c>
      <c r="AH24" s="91">
        <v>4</v>
      </c>
      <c r="AI24" s="91">
        <v>1</v>
      </c>
      <c r="AJ24" s="91">
        <v>1</v>
      </c>
      <c r="AK24" s="91"/>
      <c r="AL24" s="91"/>
      <c r="AM24" s="91"/>
      <c r="AN24" s="91"/>
      <c r="AO24" s="91">
        <v>1</v>
      </c>
      <c r="AP24" s="91"/>
      <c r="AQ24" s="91">
        <v>2</v>
      </c>
      <c r="AR24" s="91">
        <v>1</v>
      </c>
      <c r="AS24" s="91"/>
      <c r="AT24" s="91"/>
      <c r="AU24" s="91"/>
      <c r="AV24" s="91"/>
      <c r="AW24" s="91">
        <v>2</v>
      </c>
      <c r="AX24" s="91"/>
      <c r="AY24" s="91"/>
      <c r="AZ24" s="91">
        <v>1</v>
      </c>
      <c r="BA24" s="91">
        <v>2</v>
      </c>
      <c r="BB24" s="91"/>
      <c r="BC24" s="91"/>
    </row>
    <row r="25" spans="1:55" x14ac:dyDescent="0.25">
      <c r="A25" s="91" t="s">
        <v>163</v>
      </c>
      <c r="B25" s="129">
        <f t="shared" si="2"/>
        <v>211</v>
      </c>
      <c r="C25" s="91">
        <v>7</v>
      </c>
      <c r="D25" s="91"/>
      <c r="E25" s="91">
        <v>5</v>
      </c>
      <c r="F25" s="91">
        <v>1</v>
      </c>
      <c r="G25" s="91">
        <v>10</v>
      </c>
      <c r="H25" s="91"/>
      <c r="I25" s="91">
        <v>14</v>
      </c>
      <c r="J25" s="91">
        <v>8</v>
      </c>
      <c r="K25" s="91">
        <v>6</v>
      </c>
      <c r="L25" s="91"/>
      <c r="M25" s="91">
        <v>5</v>
      </c>
      <c r="N25" s="91">
        <v>7</v>
      </c>
      <c r="O25" s="91">
        <v>2</v>
      </c>
      <c r="P25" s="91"/>
      <c r="Q25" s="91">
        <v>6</v>
      </c>
      <c r="R25" s="91">
        <v>2</v>
      </c>
      <c r="S25" s="91">
        <v>3</v>
      </c>
      <c r="T25" s="91">
        <v>5</v>
      </c>
      <c r="U25" s="91">
        <v>2</v>
      </c>
      <c r="V25" s="91"/>
      <c r="W25" s="91">
        <v>2</v>
      </c>
      <c r="X25" s="91">
        <v>5</v>
      </c>
      <c r="Y25" s="91">
        <v>3</v>
      </c>
      <c r="Z25" s="91"/>
      <c r="AA25" s="91">
        <v>10</v>
      </c>
      <c r="AB25" s="91"/>
      <c r="AC25" s="91">
        <v>7</v>
      </c>
      <c r="AD25" s="91"/>
      <c r="AE25" s="91">
        <v>2</v>
      </c>
      <c r="AF25" s="91"/>
      <c r="AG25" s="91">
        <v>3</v>
      </c>
      <c r="AH25" s="91">
        <v>4</v>
      </c>
      <c r="AI25" s="91">
        <v>3</v>
      </c>
      <c r="AJ25" s="91">
        <v>6</v>
      </c>
      <c r="AK25" s="91">
        <v>2</v>
      </c>
      <c r="AL25" s="91">
        <v>4</v>
      </c>
      <c r="AM25" s="91"/>
      <c r="AN25" s="91">
        <v>8</v>
      </c>
      <c r="AO25" s="91">
        <v>14</v>
      </c>
      <c r="AP25" s="91">
        <v>4</v>
      </c>
      <c r="AQ25" s="91">
        <v>12</v>
      </c>
      <c r="AR25" s="91">
        <v>1</v>
      </c>
      <c r="AS25" s="91"/>
      <c r="AT25" s="91"/>
      <c r="AU25" s="91">
        <v>1</v>
      </c>
      <c r="AV25" s="91">
        <v>1</v>
      </c>
      <c r="AW25" s="91">
        <v>16</v>
      </c>
      <c r="AX25" s="91">
        <v>5</v>
      </c>
      <c r="AY25" s="91">
        <v>9</v>
      </c>
      <c r="AZ25" s="91">
        <v>6</v>
      </c>
      <c r="BA25" s="91"/>
      <c r="BB25" s="91"/>
      <c r="BC25" s="91"/>
    </row>
    <row r="26" spans="1:55" x14ac:dyDescent="0.25">
      <c r="A26" s="91" t="s">
        <v>389</v>
      </c>
      <c r="B26" s="129">
        <f t="shared" si="2"/>
        <v>369</v>
      </c>
      <c r="C26" s="91">
        <v>3</v>
      </c>
      <c r="D26" s="91">
        <v>10</v>
      </c>
      <c r="E26" s="91">
        <v>17</v>
      </c>
      <c r="F26" s="91">
        <v>7</v>
      </c>
      <c r="G26" s="91">
        <v>11</v>
      </c>
      <c r="H26" s="91"/>
      <c r="I26" s="91">
        <v>16</v>
      </c>
      <c r="J26" s="91">
        <v>16</v>
      </c>
      <c r="K26" s="91">
        <v>12</v>
      </c>
      <c r="L26" s="91">
        <v>2</v>
      </c>
      <c r="M26" s="91">
        <v>4</v>
      </c>
      <c r="N26" s="91">
        <v>5</v>
      </c>
      <c r="O26" s="91">
        <v>3</v>
      </c>
      <c r="P26" s="91">
        <v>7</v>
      </c>
      <c r="Q26" s="91">
        <v>2</v>
      </c>
      <c r="R26" s="91">
        <v>2</v>
      </c>
      <c r="S26" s="91">
        <v>11</v>
      </c>
      <c r="T26" s="91">
        <v>8</v>
      </c>
      <c r="U26" s="91">
        <v>4</v>
      </c>
      <c r="V26" s="91">
        <v>3</v>
      </c>
      <c r="W26" s="91">
        <v>6</v>
      </c>
      <c r="X26" s="91">
        <v>5</v>
      </c>
      <c r="Y26" s="91">
        <v>13</v>
      </c>
      <c r="Z26" s="91">
        <v>3</v>
      </c>
      <c r="AA26" s="91">
        <v>1</v>
      </c>
      <c r="AB26" s="91">
        <v>2</v>
      </c>
      <c r="AC26" s="91">
        <v>7</v>
      </c>
      <c r="AD26" s="91">
        <v>10</v>
      </c>
      <c r="AE26" s="91">
        <v>17</v>
      </c>
      <c r="AF26" s="91">
        <v>1</v>
      </c>
      <c r="AG26" s="91">
        <v>12</v>
      </c>
      <c r="AH26" s="91">
        <v>5</v>
      </c>
      <c r="AI26" s="91">
        <v>7</v>
      </c>
      <c r="AJ26" s="91">
        <v>8</v>
      </c>
      <c r="AK26" s="91">
        <v>6</v>
      </c>
      <c r="AL26" s="91">
        <v>15</v>
      </c>
      <c r="AM26" s="91">
        <v>6</v>
      </c>
      <c r="AN26" s="91">
        <v>10</v>
      </c>
      <c r="AO26" s="91">
        <v>5</v>
      </c>
      <c r="AP26" s="91">
        <v>2</v>
      </c>
      <c r="AQ26" s="91">
        <v>3</v>
      </c>
      <c r="AR26" s="91">
        <v>5</v>
      </c>
      <c r="AS26" s="91">
        <v>14</v>
      </c>
      <c r="AT26" s="91"/>
      <c r="AU26" s="91">
        <v>17</v>
      </c>
      <c r="AV26" s="91">
        <v>2</v>
      </c>
      <c r="AW26" s="91">
        <v>10</v>
      </c>
      <c r="AX26" s="91">
        <v>1</v>
      </c>
      <c r="AY26" s="91"/>
      <c r="AZ26" s="91">
        <v>10</v>
      </c>
      <c r="BA26" s="91"/>
      <c r="BB26" s="91">
        <v>23</v>
      </c>
      <c r="BC26" s="91"/>
    </row>
    <row r="27" spans="1:55" x14ac:dyDescent="0.25">
      <c r="A27" s="91" t="s">
        <v>117</v>
      </c>
      <c r="B27" s="129">
        <f t="shared" si="2"/>
        <v>481</v>
      </c>
      <c r="C27" s="91">
        <v>19</v>
      </c>
      <c r="D27" s="91">
        <v>11</v>
      </c>
      <c r="E27" s="91">
        <v>14</v>
      </c>
      <c r="F27" s="91">
        <v>11</v>
      </c>
      <c r="G27" s="91">
        <v>24</v>
      </c>
      <c r="H27" s="91"/>
      <c r="I27" s="91">
        <v>19</v>
      </c>
      <c r="J27" s="91">
        <v>9</v>
      </c>
      <c r="K27" s="91">
        <v>7</v>
      </c>
      <c r="L27" s="91">
        <v>3</v>
      </c>
      <c r="M27" s="91">
        <v>4</v>
      </c>
      <c r="N27" s="91">
        <v>14</v>
      </c>
      <c r="O27" s="91">
        <v>5</v>
      </c>
      <c r="P27" s="91">
        <v>2</v>
      </c>
      <c r="Q27" s="91">
        <v>2</v>
      </c>
      <c r="R27" s="91">
        <v>3</v>
      </c>
      <c r="S27" s="91">
        <v>22</v>
      </c>
      <c r="T27" s="91">
        <v>9</v>
      </c>
      <c r="U27" s="91">
        <v>5</v>
      </c>
      <c r="V27" s="91">
        <v>2</v>
      </c>
      <c r="W27" s="91">
        <v>20</v>
      </c>
      <c r="X27" s="91">
        <v>23</v>
      </c>
      <c r="Y27" s="91">
        <v>18</v>
      </c>
      <c r="Z27" s="91">
        <v>4</v>
      </c>
      <c r="AA27" s="91">
        <v>3</v>
      </c>
      <c r="AB27" s="91">
        <v>1</v>
      </c>
      <c r="AC27" s="91">
        <v>4</v>
      </c>
      <c r="AD27" s="91">
        <v>8</v>
      </c>
      <c r="AE27" s="91">
        <v>2</v>
      </c>
      <c r="AF27" s="91">
        <v>3</v>
      </c>
      <c r="AG27" s="91">
        <v>5</v>
      </c>
      <c r="AH27" s="91">
        <v>14</v>
      </c>
      <c r="AI27" s="91">
        <v>9</v>
      </c>
      <c r="AJ27" s="91">
        <v>4</v>
      </c>
      <c r="AK27" s="91">
        <v>6</v>
      </c>
      <c r="AL27" s="91">
        <v>4</v>
      </c>
      <c r="AM27" s="91">
        <v>7</v>
      </c>
      <c r="AN27" s="91">
        <v>13</v>
      </c>
      <c r="AO27" s="91">
        <v>22</v>
      </c>
      <c r="AP27" s="91">
        <v>7</v>
      </c>
      <c r="AQ27" s="91">
        <v>25</v>
      </c>
      <c r="AR27" s="91">
        <v>6</v>
      </c>
      <c r="AS27" s="91">
        <v>13</v>
      </c>
      <c r="AT27" s="91">
        <v>12</v>
      </c>
      <c r="AU27" s="91"/>
      <c r="AV27" s="91">
        <v>7</v>
      </c>
      <c r="AW27" s="91">
        <v>32</v>
      </c>
      <c r="AX27" s="91">
        <v>9</v>
      </c>
      <c r="AY27" s="91">
        <v>3</v>
      </c>
      <c r="AZ27" s="91">
        <v>10</v>
      </c>
      <c r="BA27" s="91">
        <v>2</v>
      </c>
      <c r="BB27" s="91"/>
      <c r="BC27" s="91"/>
    </row>
    <row r="28" spans="1:55" x14ac:dyDescent="0.25">
      <c r="A28" s="91" t="s">
        <v>268</v>
      </c>
      <c r="B28" s="129">
        <f t="shared" si="2"/>
        <v>358</v>
      </c>
      <c r="C28" s="91">
        <v>6</v>
      </c>
      <c r="D28" s="91">
        <v>1</v>
      </c>
      <c r="E28" s="91">
        <v>11</v>
      </c>
      <c r="F28" s="91">
        <v>20</v>
      </c>
      <c r="G28" s="91">
        <v>13</v>
      </c>
      <c r="H28" s="91"/>
      <c r="I28" s="91">
        <v>3</v>
      </c>
      <c r="J28" s="91">
        <v>11</v>
      </c>
      <c r="K28" s="91">
        <v>9</v>
      </c>
      <c r="L28" s="91">
        <v>2</v>
      </c>
      <c r="M28" s="91">
        <v>3</v>
      </c>
      <c r="N28" s="91">
        <v>15</v>
      </c>
      <c r="O28" s="91">
        <v>2</v>
      </c>
      <c r="P28" s="91">
        <v>12</v>
      </c>
      <c r="Q28" s="91">
        <v>13</v>
      </c>
      <c r="R28" s="91">
        <v>12</v>
      </c>
      <c r="S28" s="91">
        <v>4</v>
      </c>
      <c r="T28" s="91">
        <v>13</v>
      </c>
      <c r="U28" s="91">
        <v>1</v>
      </c>
      <c r="V28" s="91">
        <v>13</v>
      </c>
      <c r="W28" s="91">
        <v>18</v>
      </c>
      <c r="X28" s="91">
        <v>14</v>
      </c>
      <c r="Y28" s="91">
        <v>21</v>
      </c>
      <c r="Z28" s="91">
        <v>2</v>
      </c>
      <c r="AA28" s="91">
        <v>2</v>
      </c>
      <c r="AB28" s="91">
        <v>6</v>
      </c>
      <c r="AC28" s="91">
        <v>7</v>
      </c>
      <c r="AD28" s="91">
        <v>2</v>
      </c>
      <c r="AE28" s="91">
        <v>2</v>
      </c>
      <c r="AF28" s="91">
        <v>8</v>
      </c>
      <c r="AG28" s="91">
        <v>1</v>
      </c>
      <c r="AH28" s="91"/>
      <c r="AI28" s="91">
        <v>6</v>
      </c>
      <c r="AJ28" s="91">
        <v>17</v>
      </c>
      <c r="AK28" s="91">
        <v>1</v>
      </c>
      <c r="AL28" s="91">
        <v>2</v>
      </c>
      <c r="AM28" s="91">
        <v>8</v>
      </c>
      <c r="AN28" s="91">
        <v>2</v>
      </c>
      <c r="AO28" s="91">
        <v>6</v>
      </c>
      <c r="AP28" s="91">
        <v>8</v>
      </c>
      <c r="AQ28" s="91">
        <v>10</v>
      </c>
      <c r="AR28" s="91">
        <v>2</v>
      </c>
      <c r="AS28" s="91">
        <v>7</v>
      </c>
      <c r="AT28" s="91"/>
      <c r="AU28" s="91">
        <v>10</v>
      </c>
      <c r="AV28" s="91">
        <v>8</v>
      </c>
      <c r="AW28" s="91">
        <v>3</v>
      </c>
      <c r="AX28" s="91">
        <v>3</v>
      </c>
      <c r="AY28" s="91"/>
      <c r="AZ28" s="91">
        <v>5</v>
      </c>
      <c r="BA28" s="91">
        <v>11</v>
      </c>
      <c r="BB28" s="91">
        <v>2</v>
      </c>
      <c r="BC28" s="91"/>
    </row>
    <row r="29" spans="1:55" x14ac:dyDescent="0.25">
      <c r="A29" s="91" t="s">
        <v>332</v>
      </c>
      <c r="B29" s="129">
        <f t="shared" si="2"/>
        <v>410</v>
      </c>
      <c r="C29" s="91">
        <v>33</v>
      </c>
      <c r="D29" s="91">
        <v>19</v>
      </c>
      <c r="E29" s="91">
        <v>4</v>
      </c>
      <c r="F29" s="91">
        <v>1</v>
      </c>
      <c r="G29" s="91">
        <v>2</v>
      </c>
      <c r="H29" s="91"/>
      <c r="I29" s="91">
        <v>23</v>
      </c>
      <c r="J29" s="91">
        <v>11</v>
      </c>
      <c r="K29" s="91">
        <v>12</v>
      </c>
      <c r="L29" s="91">
        <v>6</v>
      </c>
      <c r="M29" s="91">
        <v>5</v>
      </c>
      <c r="N29" s="91">
        <v>21</v>
      </c>
      <c r="O29" s="91">
        <v>5</v>
      </c>
      <c r="P29" s="91">
        <v>1</v>
      </c>
      <c r="Q29" s="91">
        <v>2</v>
      </c>
      <c r="R29" s="91">
        <v>14</v>
      </c>
      <c r="S29" s="91">
        <v>11</v>
      </c>
      <c r="T29" s="91">
        <v>1</v>
      </c>
      <c r="U29" s="91">
        <v>14</v>
      </c>
      <c r="V29" s="91">
        <v>9</v>
      </c>
      <c r="W29" s="91">
        <v>5</v>
      </c>
      <c r="X29" s="91">
        <v>15</v>
      </c>
      <c r="Y29" s="91">
        <v>18</v>
      </c>
      <c r="Z29" s="91">
        <v>1</v>
      </c>
      <c r="AA29" s="91">
        <v>1</v>
      </c>
      <c r="AB29" s="91">
        <v>16</v>
      </c>
      <c r="AC29" s="91">
        <v>15</v>
      </c>
      <c r="AD29" s="91"/>
      <c r="AE29" s="91">
        <v>12</v>
      </c>
      <c r="AF29" s="91">
        <v>6</v>
      </c>
      <c r="AG29" s="91">
        <v>8</v>
      </c>
      <c r="AH29" s="91">
        <v>4</v>
      </c>
      <c r="AI29" s="91">
        <v>11</v>
      </c>
      <c r="AJ29" s="91">
        <v>17</v>
      </c>
      <c r="AK29" s="91"/>
      <c r="AL29" s="91">
        <v>2</v>
      </c>
      <c r="AM29" s="91">
        <v>10</v>
      </c>
      <c r="AN29" s="91">
        <v>2</v>
      </c>
      <c r="AO29" s="91">
        <v>17</v>
      </c>
      <c r="AP29" s="91">
        <v>4</v>
      </c>
      <c r="AQ29" s="91">
        <v>6</v>
      </c>
      <c r="AR29" s="91">
        <v>2</v>
      </c>
      <c r="AS29" s="91">
        <v>4</v>
      </c>
      <c r="AT29" s="91"/>
      <c r="AU29" s="91">
        <v>5</v>
      </c>
      <c r="AV29" s="91">
        <v>11</v>
      </c>
      <c r="AW29" s="91">
        <v>7</v>
      </c>
      <c r="AX29" s="91">
        <v>3</v>
      </c>
      <c r="AY29" s="91"/>
      <c r="AZ29" s="91">
        <v>5</v>
      </c>
      <c r="BA29" s="91">
        <v>9</v>
      </c>
      <c r="BB29" s="91"/>
      <c r="BC29" s="91"/>
    </row>
    <row r="30" spans="1:55" x14ac:dyDescent="0.25">
      <c r="A30" s="91" t="s">
        <v>83</v>
      </c>
      <c r="B30" s="129">
        <f t="shared" si="2"/>
        <v>696</v>
      </c>
      <c r="C30" s="91">
        <v>6</v>
      </c>
      <c r="D30" s="91">
        <v>28</v>
      </c>
      <c r="E30" s="91">
        <v>26</v>
      </c>
      <c r="F30" s="91">
        <v>19</v>
      </c>
      <c r="G30" s="91">
        <v>13</v>
      </c>
      <c r="H30" s="91"/>
      <c r="I30" s="91">
        <v>16</v>
      </c>
      <c r="J30" s="91">
        <v>38</v>
      </c>
      <c r="K30" s="91">
        <v>7</v>
      </c>
      <c r="L30" s="91">
        <v>5</v>
      </c>
      <c r="M30" s="91">
        <v>25</v>
      </c>
      <c r="N30" s="91">
        <v>20</v>
      </c>
      <c r="O30" s="91">
        <v>10</v>
      </c>
      <c r="P30" s="91">
        <v>8</v>
      </c>
      <c r="Q30" s="91">
        <v>3</v>
      </c>
      <c r="R30" s="91">
        <v>1</v>
      </c>
      <c r="S30" s="91">
        <v>19</v>
      </c>
      <c r="T30" s="91">
        <v>6</v>
      </c>
      <c r="U30" s="91">
        <v>1</v>
      </c>
      <c r="V30" s="91">
        <v>6</v>
      </c>
      <c r="W30" s="91">
        <v>20</v>
      </c>
      <c r="X30" s="91">
        <v>8</v>
      </c>
      <c r="Y30" s="91">
        <v>13</v>
      </c>
      <c r="Z30" s="91">
        <v>15</v>
      </c>
      <c r="AA30" s="91">
        <v>14</v>
      </c>
      <c r="AB30" s="91">
        <v>8</v>
      </c>
      <c r="AC30" s="91">
        <v>12</v>
      </c>
      <c r="AD30" s="91">
        <v>11</v>
      </c>
      <c r="AE30" s="91">
        <v>7</v>
      </c>
      <c r="AF30" s="91">
        <v>10</v>
      </c>
      <c r="AG30" s="91">
        <v>14</v>
      </c>
      <c r="AH30" s="91">
        <v>22</v>
      </c>
      <c r="AI30" s="91">
        <v>15</v>
      </c>
      <c r="AJ30" s="91">
        <v>12</v>
      </c>
      <c r="AK30" s="91">
        <v>12</v>
      </c>
      <c r="AL30" s="91">
        <v>17</v>
      </c>
      <c r="AM30" s="91">
        <v>5</v>
      </c>
      <c r="AN30" s="91">
        <v>17</v>
      </c>
      <c r="AO30" s="91">
        <v>18</v>
      </c>
      <c r="AP30" s="91">
        <v>4</v>
      </c>
      <c r="AQ30" s="91">
        <v>23</v>
      </c>
      <c r="AR30" s="91">
        <v>20</v>
      </c>
      <c r="AS30" s="91">
        <v>36</v>
      </c>
      <c r="AT30" s="91"/>
      <c r="AU30" s="91">
        <v>8</v>
      </c>
      <c r="AV30" s="91">
        <v>3</v>
      </c>
      <c r="AW30" s="91">
        <v>25</v>
      </c>
      <c r="AX30" s="91">
        <v>16</v>
      </c>
      <c r="AY30" s="91">
        <v>12</v>
      </c>
      <c r="AZ30" s="91">
        <v>7</v>
      </c>
      <c r="BA30" s="91">
        <v>22</v>
      </c>
      <c r="BB30" s="91">
        <v>13</v>
      </c>
      <c r="BC30" s="91"/>
    </row>
    <row r="31" spans="1:55" x14ac:dyDescent="0.25">
      <c r="A31" s="91" t="s">
        <v>165</v>
      </c>
      <c r="B31" s="129">
        <f t="shared" si="2"/>
        <v>198</v>
      </c>
      <c r="C31" s="91">
        <v>8</v>
      </c>
      <c r="D31" s="91">
        <v>4</v>
      </c>
      <c r="E31" s="91">
        <v>6</v>
      </c>
      <c r="F31" s="91">
        <v>1</v>
      </c>
      <c r="G31" s="91">
        <v>3</v>
      </c>
      <c r="H31" s="91"/>
      <c r="I31" s="91">
        <v>4</v>
      </c>
      <c r="J31" s="91">
        <v>8</v>
      </c>
      <c r="K31" s="91">
        <v>6</v>
      </c>
      <c r="L31" s="91">
        <v>1</v>
      </c>
      <c r="M31" s="91">
        <v>3</v>
      </c>
      <c r="N31" s="91">
        <v>3</v>
      </c>
      <c r="O31" s="91">
        <v>3</v>
      </c>
      <c r="P31" s="91">
        <v>4</v>
      </c>
      <c r="Q31" s="91">
        <v>1</v>
      </c>
      <c r="R31" s="91">
        <v>5</v>
      </c>
      <c r="S31" s="91">
        <v>7</v>
      </c>
      <c r="T31" s="91">
        <v>1</v>
      </c>
      <c r="U31" s="91">
        <v>7</v>
      </c>
      <c r="V31" s="91"/>
      <c r="W31" s="91">
        <v>9</v>
      </c>
      <c r="X31" s="91">
        <v>4</v>
      </c>
      <c r="Y31" s="91">
        <v>3</v>
      </c>
      <c r="Z31" s="91">
        <v>5</v>
      </c>
      <c r="AA31" s="91">
        <v>1</v>
      </c>
      <c r="AB31" s="91">
        <v>3</v>
      </c>
      <c r="AC31" s="91">
        <v>4</v>
      </c>
      <c r="AD31" s="91">
        <v>1</v>
      </c>
      <c r="AE31" s="91">
        <v>5</v>
      </c>
      <c r="AF31" s="91">
        <v>2</v>
      </c>
      <c r="AG31" s="91">
        <v>5</v>
      </c>
      <c r="AH31" s="91">
        <v>2</v>
      </c>
      <c r="AI31" s="91"/>
      <c r="AJ31" s="91"/>
      <c r="AK31" s="91">
        <v>1</v>
      </c>
      <c r="AL31" s="91">
        <v>1</v>
      </c>
      <c r="AM31" s="91">
        <v>1</v>
      </c>
      <c r="AN31" s="91">
        <v>3</v>
      </c>
      <c r="AO31" s="91">
        <v>4</v>
      </c>
      <c r="AP31" s="91">
        <v>1</v>
      </c>
      <c r="AQ31" s="91">
        <v>12</v>
      </c>
      <c r="AR31" s="91">
        <v>8</v>
      </c>
      <c r="AS31" s="91">
        <v>9</v>
      </c>
      <c r="AT31" s="91"/>
      <c r="AU31" s="91"/>
      <c r="AV31" s="91">
        <v>4</v>
      </c>
      <c r="AW31" s="91">
        <v>18</v>
      </c>
      <c r="AX31" s="91">
        <v>9</v>
      </c>
      <c r="AY31" s="91">
        <v>1</v>
      </c>
      <c r="AZ31" s="91">
        <v>5</v>
      </c>
      <c r="BA31" s="91">
        <v>2</v>
      </c>
      <c r="BB31" s="91"/>
      <c r="BC31" s="91"/>
    </row>
    <row r="32" spans="1:55" x14ac:dyDescent="0.25">
      <c r="A32" s="91" t="s">
        <v>136</v>
      </c>
      <c r="B32" s="129">
        <f t="shared" si="2"/>
        <v>589</v>
      </c>
      <c r="C32" s="91">
        <v>14</v>
      </c>
      <c r="D32" s="91">
        <v>16</v>
      </c>
      <c r="E32" s="91">
        <v>4</v>
      </c>
      <c r="F32" s="91">
        <v>36</v>
      </c>
      <c r="G32" s="91">
        <v>15</v>
      </c>
      <c r="H32" s="91"/>
      <c r="I32" s="91">
        <v>22</v>
      </c>
      <c r="J32" s="91">
        <v>24</v>
      </c>
      <c r="K32" s="91">
        <v>12</v>
      </c>
      <c r="L32" s="91">
        <v>7</v>
      </c>
      <c r="M32" s="91">
        <v>8</v>
      </c>
      <c r="N32" s="91">
        <v>11</v>
      </c>
      <c r="O32" s="91">
        <v>2</v>
      </c>
      <c r="P32" s="91">
        <v>12</v>
      </c>
      <c r="Q32" s="91">
        <v>9</v>
      </c>
      <c r="R32" s="91">
        <v>4</v>
      </c>
      <c r="S32" s="91">
        <v>17</v>
      </c>
      <c r="T32" s="91">
        <v>5</v>
      </c>
      <c r="U32" s="91">
        <v>9</v>
      </c>
      <c r="V32" s="91">
        <v>13</v>
      </c>
      <c r="W32" s="91">
        <v>7</v>
      </c>
      <c r="X32" s="91">
        <v>6</v>
      </c>
      <c r="Y32" s="91">
        <v>31</v>
      </c>
      <c r="Z32" s="91">
        <v>3</v>
      </c>
      <c r="AA32" s="91">
        <v>9</v>
      </c>
      <c r="AB32" s="91">
        <v>9</v>
      </c>
      <c r="AC32" s="91">
        <v>10</v>
      </c>
      <c r="AD32" s="91">
        <v>7</v>
      </c>
      <c r="AE32" s="91">
        <v>13</v>
      </c>
      <c r="AF32" s="91">
        <v>13</v>
      </c>
      <c r="AG32" s="91">
        <v>13</v>
      </c>
      <c r="AH32" s="91">
        <v>4</v>
      </c>
      <c r="AI32" s="91">
        <v>17</v>
      </c>
      <c r="AJ32" s="91">
        <v>8</v>
      </c>
      <c r="AK32" s="91">
        <v>14</v>
      </c>
      <c r="AL32" s="91">
        <v>13</v>
      </c>
      <c r="AM32" s="91">
        <v>11</v>
      </c>
      <c r="AN32" s="91">
        <v>11</v>
      </c>
      <c r="AO32" s="91">
        <v>9</v>
      </c>
      <c r="AP32" s="91">
        <v>8</v>
      </c>
      <c r="AQ32" s="91">
        <v>5</v>
      </c>
      <c r="AR32" s="91">
        <v>22</v>
      </c>
      <c r="AS32" s="91">
        <v>15</v>
      </c>
      <c r="AT32" s="91"/>
      <c r="AU32" s="91">
        <v>8</v>
      </c>
      <c r="AV32" s="91">
        <v>14</v>
      </c>
      <c r="AW32" s="91">
        <v>20</v>
      </c>
      <c r="AX32" s="91"/>
      <c r="AY32" s="91">
        <v>14</v>
      </c>
      <c r="AZ32" s="91">
        <v>9</v>
      </c>
      <c r="BA32" s="91">
        <v>9</v>
      </c>
      <c r="BB32" s="91">
        <v>17</v>
      </c>
      <c r="BC32" s="91"/>
    </row>
    <row r="33" spans="1:55" x14ac:dyDescent="0.25">
      <c r="A33" s="91" t="s">
        <v>193</v>
      </c>
      <c r="B33" s="129">
        <f t="shared" si="2"/>
        <v>678</v>
      </c>
      <c r="C33" s="91">
        <v>8</v>
      </c>
      <c r="D33" s="91">
        <v>18</v>
      </c>
      <c r="E33" s="91">
        <v>9</v>
      </c>
      <c r="F33" s="91">
        <v>23</v>
      </c>
      <c r="G33" s="91">
        <v>29</v>
      </c>
      <c r="H33" s="91"/>
      <c r="I33" s="91">
        <v>21</v>
      </c>
      <c r="J33" s="91">
        <v>29</v>
      </c>
      <c r="K33" s="91">
        <v>3</v>
      </c>
      <c r="L33" s="91">
        <v>14</v>
      </c>
      <c r="M33" s="91">
        <v>15</v>
      </c>
      <c r="N33" s="91">
        <v>32</v>
      </c>
      <c r="O33" s="91">
        <v>5</v>
      </c>
      <c r="P33" s="91">
        <v>6</v>
      </c>
      <c r="Q33" s="91">
        <v>10</v>
      </c>
      <c r="R33" s="91">
        <v>10</v>
      </c>
      <c r="S33" s="91">
        <v>22</v>
      </c>
      <c r="T33" s="91">
        <v>7</v>
      </c>
      <c r="U33" s="91">
        <v>22</v>
      </c>
      <c r="V33" s="91">
        <v>31</v>
      </c>
      <c r="W33" s="91">
        <v>53</v>
      </c>
      <c r="X33" s="91">
        <v>11</v>
      </c>
      <c r="Y33" s="91">
        <v>31</v>
      </c>
      <c r="Z33" s="91">
        <v>14</v>
      </c>
      <c r="AA33" s="91">
        <v>6</v>
      </c>
      <c r="AB33" s="91">
        <v>9</v>
      </c>
      <c r="AC33" s="91">
        <v>6</v>
      </c>
      <c r="AD33" s="91">
        <v>12</v>
      </c>
      <c r="AE33" s="91">
        <v>10</v>
      </c>
      <c r="AF33" s="91">
        <v>7</v>
      </c>
      <c r="AG33" s="91">
        <v>7</v>
      </c>
      <c r="AH33" s="91">
        <v>10</v>
      </c>
      <c r="AI33" s="91">
        <v>2</v>
      </c>
      <c r="AJ33" s="91">
        <v>23</v>
      </c>
      <c r="AK33" s="91">
        <v>4</v>
      </c>
      <c r="AL33" s="91">
        <v>13</v>
      </c>
      <c r="AM33" s="91">
        <v>1</v>
      </c>
      <c r="AN33" s="91">
        <v>4</v>
      </c>
      <c r="AO33" s="91">
        <v>4</v>
      </c>
      <c r="AP33" s="91">
        <v>2</v>
      </c>
      <c r="AQ33" s="91">
        <v>7</v>
      </c>
      <c r="AR33" s="91">
        <v>5</v>
      </c>
      <c r="AS33" s="91">
        <v>2</v>
      </c>
      <c r="AT33" s="91"/>
      <c r="AU33" s="91">
        <v>10</v>
      </c>
      <c r="AV33" s="91">
        <v>6</v>
      </c>
      <c r="AW33" s="91">
        <v>31</v>
      </c>
      <c r="AX33" s="91">
        <v>20</v>
      </c>
      <c r="AY33" s="91">
        <v>12</v>
      </c>
      <c r="AZ33" s="91">
        <v>5</v>
      </c>
      <c r="BA33" s="91">
        <v>2</v>
      </c>
      <c r="BB33" s="91">
        <v>35</v>
      </c>
      <c r="BC33" s="91"/>
    </row>
    <row r="34" spans="1:55" x14ac:dyDescent="0.25">
      <c r="A34" s="91" t="s">
        <v>372</v>
      </c>
      <c r="B34" s="129">
        <f t="shared" si="2"/>
        <v>427</v>
      </c>
      <c r="C34" s="91">
        <v>11</v>
      </c>
      <c r="D34" s="91">
        <v>10</v>
      </c>
      <c r="E34" s="91">
        <v>8</v>
      </c>
      <c r="F34" s="91">
        <v>25</v>
      </c>
      <c r="G34" s="91">
        <v>3</v>
      </c>
      <c r="H34" s="91">
        <v>18</v>
      </c>
      <c r="I34" s="91">
        <v>4</v>
      </c>
      <c r="J34" s="91">
        <v>7</v>
      </c>
      <c r="K34" s="91">
        <v>4</v>
      </c>
      <c r="L34" s="91"/>
      <c r="M34" s="91">
        <v>13</v>
      </c>
      <c r="N34" s="91">
        <v>6</v>
      </c>
      <c r="O34" s="91">
        <v>10</v>
      </c>
      <c r="P34" s="91"/>
      <c r="Q34" s="91">
        <v>1</v>
      </c>
      <c r="R34" s="91">
        <v>5</v>
      </c>
      <c r="S34" s="91">
        <v>1</v>
      </c>
      <c r="T34" s="91">
        <v>4</v>
      </c>
      <c r="U34" s="91">
        <v>16</v>
      </c>
      <c r="V34" s="91">
        <v>2</v>
      </c>
      <c r="W34" s="91">
        <v>9</v>
      </c>
      <c r="X34" s="91">
        <v>12</v>
      </c>
      <c r="Y34" s="91">
        <v>10</v>
      </c>
      <c r="Z34" s="91">
        <v>9</v>
      </c>
      <c r="AA34" s="91">
        <v>4</v>
      </c>
      <c r="AB34" s="91">
        <v>5</v>
      </c>
      <c r="AC34" s="91">
        <v>2</v>
      </c>
      <c r="AD34" s="91">
        <v>5</v>
      </c>
      <c r="AE34" s="91">
        <v>8</v>
      </c>
      <c r="AF34" s="91">
        <v>7</v>
      </c>
      <c r="AG34" s="91">
        <v>3</v>
      </c>
      <c r="AH34" s="91">
        <v>9</v>
      </c>
      <c r="AI34" s="91">
        <v>11</v>
      </c>
      <c r="AJ34" s="91">
        <v>7</v>
      </c>
      <c r="AK34" s="91">
        <v>6</v>
      </c>
      <c r="AL34" s="91">
        <v>3</v>
      </c>
      <c r="AM34" s="91">
        <v>8</v>
      </c>
      <c r="AN34" s="91">
        <v>32</v>
      </c>
      <c r="AO34" s="91">
        <v>19</v>
      </c>
      <c r="AP34" s="91">
        <v>8</v>
      </c>
      <c r="AQ34" s="91">
        <v>6</v>
      </c>
      <c r="AR34" s="91">
        <v>11</v>
      </c>
      <c r="AS34" s="91">
        <v>11</v>
      </c>
      <c r="AT34" s="91"/>
      <c r="AU34" s="91">
        <v>5</v>
      </c>
      <c r="AV34" s="91">
        <v>6</v>
      </c>
      <c r="AW34" s="91">
        <v>29</v>
      </c>
      <c r="AX34" s="91">
        <v>7</v>
      </c>
      <c r="AY34" s="91">
        <v>6</v>
      </c>
      <c r="AZ34" s="91">
        <v>17</v>
      </c>
      <c r="BA34" s="91"/>
      <c r="BB34" s="91">
        <v>4</v>
      </c>
      <c r="BC34" s="91"/>
    </row>
    <row r="35" spans="1:55" x14ac:dyDescent="0.25">
      <c r="A35" s="91" t="s">
        <v>360</v>
      </c>
      <c r="B35" s="129">
        <f t="shared" si="2"/>
        <v>332</v>
      </c>
      <c r="C35" s="91">
        <v>14</v>
      </c>
      <c r="D35" s="91">
        <v>4</v>
      </c>
      <c r="E35" s="91">
        <v>6</v>
      </c>
      <c r="F35" s="91">
        <v>2</v>
      </c>
      <c r="G35" s="91">
        <v>5</v>
      </c>
      <c r="H35" s="91">
        <v>18</v>
      </c>
      <c r="I35" s="91">
        <v>2</v>
      </c>
      <c r="J35" s="91">
        <v>10</v>
      </c>
      <c r="K35" s="91">
        <v>6</v>
      </c>
      <c r="L35" s="91">
        <v>4</v>
      </c>
      <c r="M35" s="91"/>
      <c r="N35" s="91">
        <v>14</v>
      </c>
      <c r="O35" s="91">
        <v>9</v>
      </c>
      <c r="P35" s="91">
        <v>5</v>
      </c>
      <c r="Q35" s="91">
        <v>14</v>
      </c>
      <c r="R35" s="91">
        <v>6</v>
      </c>
      <c r="S35" s="91">
        <v>11</v>
      </c>
      <c r="T35" s="91"/>
      <c r="U35" s="91">
        <v>2</v>
      </c>
      <c r="V35" s="91">
        <v>8</v>
      </c>
      <c r="W35" s="91">
        <v>9</v>
      </c>
      <c r="X35" s="91">
        <v>11</v>
      </c>
      <c r="Y35" s="91">
        <v>3</v>
      </c>
      <c r="Z35" s="91"/>
      <c r="AA35" s="91">
        <v>20</v>
      </c>
      <c r="AB35" s="91">
        <v>3</v>
      </c>
      <c r="AC35" s="91">
        <v>6</v>
      </c>
      <c r="AD35" s="91">
        <v>3</v>
      </c>
      <c r="AE35" s="91">
        <v>3</v>
      </c>
      <c r="AF35" s="91">
        <v>1</v>
      </c>
      <c r="AG35" s="91">
        <v>5</v>
      </c>
      <c r="AH35" s="91">
        <v>11</v>
      </c>
      <c r="AI35" s="91">
        <v>6</v>
      </c>
      <c r="AJ35" s="91">
        <v>3</v>
      </c>
      <c r="AK35" s="91">
        <v>12</v>
      </c>
      <c r="AL35" s="91">
        <v>14</v>
      </c>
      <c r="AM35" s="91">
        <v>9</v>
      </c>
      <c r="AN35" s="91">
        <v>1</v>
      </c>
      <c r="AO35" s="91">
        <v>8</v>
      </c>
      <c r="AP35" s="91">
        <v>9</v>
      </c>
      <c r="AQ35" s="91">
        <v>5</v>
      </c>
      <c r="AR35" s="91">
        <v>3</v>
      </c>
      <c r="AS35" s="91">
        <v>3</v>
      </c>
      <c r="AT35" s="91"/>
      <c r="AU35" s="91">
        <v>3</v>
      </c>
      <c r="AV35" s="91">
        <v>6</v>
      </c>
      <c r="AW35" s="91">
        <v>1</v>
      </c>
      <c r="AX35" s="91">
        <v>14</v>
      </c>
      <c r="AY35" s="91">
        <v>2</v>
      </c>
      <c r="AZ35" s="91">
        <v>2</v>
      </c>
      <c r="BA35" s="91">
        <v>13</v>
      </c>
      <c r="BB35" s="91">
        <v>3</v>
      </c>
      <c r="BC35" s="91"/>
    </row>
    <row r="36" spans="1:55" x14ac:dyDescent="0.25">
      <c r="A36" s="91" t="s">
        <v>311</v>
      </c>
      <c r="B36" s="129">
        <f t="shared" si="2"/>
        <v>391</v>
      </c>
      <c r="C36" s="91">
        <v>3</v>
      </c>
      <c r="D36" s="91">
        <v>2</v>
      </c>
      <c r="E36" s="91">
        <v>5</v>
      </c>
      <c r="F36" s="91">
        <v>7</v>
      </c>
      <c r="G36" s="91">
        <v>2</v>
      </c>
      <c r="H36" s="91">
        <v>61</v>
      </c>
      <c r="I36" s="91">
        <v>4</v>
      </c>
      <c r="J36" s="91">
        <v>6</v>
      </c>
      <c r="K36" s="91">
        <v>1</v>
      </c>
      <c r="L36" s="91">
        <v>4</v>
      </c>
      <c r="M36" s="91">
        <v>7</v>
      </c>
      <c r="N36" s="91">
        <v>8</v>
      </c>
      <c r="O36" s="91">
        <v>1</v>
      </c>
      <c r="P36" s="91">
        <v>11</v>
      </c>
      <c r="Q36" s="91">
        <v>3</v>
      </c>
      <c r="R36" s="91">
        <v>8</v>
      </c>
      <c r="S36" s="91">
        <v>15</v>
      </c>
      <c r="T36" s="91"/>
      <c r="U36" s="91">
        <v>8</v>
      </c>
      <c r="V36" s="91">
        <v>13</v>
      </c>
      <c r="W36" s="91">
        <v>3</v>
      </c>
      <c r="X36" s="91">
        <v>2</v>
      </c>
      <c r="Y36" s="91">
        <v>6</v>
      </c>
      <c r="Z36" s="91">
        <v>1</v>
      </c>
      <c r="AA36" s="91">
        <v>11</v>
      </c>
      <c r="AB36" s="91">
        <v>6</v>
      </c>
      <c r="AC36" s="91">
        <v>20</v>
      </c>
      <c r="AD36" s="91">
        <v>7</v>
      </c>
      <c r="AE36" s="91">
        <v>9</v>
      </c>
      <c r="AF36" s="91">
        <v>11</v>
      </c>
      <c r="AG36" s="91">
        <v>6</v>
      </c>
      <c r="AH36" s="91">
        <v>8</v>
      </c>
      <c r="AI36" s="91">
        <v>19</v>
      </c>
      <c r="AJ36" s="91">
        <v>10</v>
      </c>
      <c r="AK36" s="91">
        <v>2</v>
      </c>
      <c r="AL36" s="91">
        <v>7</v>
      </c>
      <c r="AM36" s="91">
        <v>11</v>
      </c>
      <c r="AN36" s="91">
        <v>4</v>
      </c>
      <c r="AO36" s="91">
        <v>4</v>
      </c>
      <c r="AP36" s="91">
        <v>9</v>
      </c>
      <c r="AQ36" s="91">
        <v>12</v>
      </c>
      <c r="AR36" s="91">
        <v>5</v>
      </c>
      <c r="AS36" s="91">
        <v>3</v>
      </c>
      <c r="AT36" s="91"/>
      <c r="AU36" s="91">
        <v>10</v>
      </c>
      <c r="AV36" s="91">
        <v>7</v>
      </c>
      <c r="AW36" s="91">
        <v>4</v>
      </c>
      <c r="AX36" s="91">
        <v>9</v>
      </c>
      <c r="AY36" s="91">
        <v>6</v>
      </c>
      <c r="AZ36" s="91"/>
      <c r="BA36" s="91">
        <v>6</v>
      </c>
      <c r="BB36" s="91">
        <v>4</v>
      </c>
      <c r="BC36" s="91"/>
    </row>
    <row r="37" spans="1:55" x14ac:dyDescent="0.25">
      <c r="A37" s="91" t="s">
        <v>107</v>
      </c>
      <c r="B37" s="129">
        <f t="shared" si="2"/>
        <v>97</v>
      </c>
      <c r="C37" s="91"/>
      <c r="D37" s="91"/>
      <c r="E37" s="91">
        <v>2</v>
      </c>
      <c r="F37" s="91">
        <v>3</v>
      </c>
      <c r="G37" s="91">
        <v>6</v>
      </c>
      <c r="H37" s="91"/>
      <c r="I37" s="91">
        <v>7</v>
      </c>
      <c r="J37" s="91">
        <v>5</v>
      </c>
      <c r="K37" s="91">
        <v>1</v>
      </c>
      <c r="L37" s="91"/>
      <c r="M37" s="91">
        <v>2</v>
      </c>
      <c r="N37" s="91">
        <v>2</v>
      </c>
      <c r="O37" s="91"/>
      <c r="P37" s="91">
        <v>1</v>
      </c>
      <c r="Q37" s="91">
        <v>6</v>
      </c>
      <c r="R37" s="91">
        <v>2</v>
      </c>
      <c r="S37" s="91">
        <v>1</v>
      </c>
      <c r="T37" s="91"/>
      <c r="U37" s="91">
        <v>4</v>
      </c>
      <c r="V37" s="91">
        <v>3</v>
      </c>
      <c r="W37" s="91"/>
      <c r="X37" s="91">
        <v>1</v>
      </c>
      <c r="Y37" s="91">
        <v>1</v>
      </c>
      <c r="Z37" s="91">
        <v>1</v>
      </c>
      <c r="AA37" s="91"/>
      <c r="AB37" s="91"/>
      <c r="AC37" s="91"/>
      <c r="AD37" s="91">
        <v>1</v>
      </c>
      <c r="AE37" s="91">
        <v>2</v>
      </c>
      <c r="AF37" s="91">
        <v>2</v>
      </c>
      <c r="AG37" s="91"/>
      <c r="AH37" s="91">
        <v>4</v>
      </c>
      <c r="AI37" s="91">
        <v>2</v>
      </c>
      <c r="AJ37" s="91">
        <v>8</v>
      </c>
      <c r="AK37" s="91">
        <v>1</v>
      </c>
      <c r="AL37" s="91">
        <v>2</v>
      </c>
      <c r="AM37" s="91">
        <v>2</v>
      </c>
      <c r="AN37" s="91">
        <v>1</v>
      </c>
      <c r="AO37" s="91">
        <v>3</v>
      </c>
      <c r="AP37" s="91">
        <v>2</v>
      </c>
      <c r="AQ37" s="91">
        <v>2</v>
      </c>
      <c r="AR37" s="91">
        <v>1</v>
      </c>
      <c r="AS37" s="91">
        <v>5</v>
      </c>
      <c r="AT37" s="91">
        <v>1</v>
      </c>
      <c r="AU37" s="91"/>
      <c r="AV37" s="91">
        <v>2</v>
      </c>
      <c r="AW37" s="91">
        <v>1</v>
      </c>
      <c r="AX37" s="91">
        <v>2</v>
      </c>
      <c r="AY37" s="91">
        <v>2</v>
      </c>
      <c r="AZ37" s="91">
        <v>3</v>
      </c>
      <c r="BA37" s="91"/>
      <c r="BB37" s="91"/>
      <c r="BC37" s="91"/>
    </row>
    <row r="38" spans="1:55" x14ac:dyDescent="0.25">
      <c r="A38" s="91" t="s">
        <v>244</v>
      </c>
      <c r="B38" s="129">
        <f t="shared" si="2"/>
        <v>191</v>
      </c>
      <c r="C38" s="91"/>
      <c r="D38" s="91">
        <v>1</v>
      </c>
      <c r="E38" s="91">
        <v>3</v>
      </c>
      <c r="F38" s="91">
        <v>11</v>
      </c>
      <c r="G38" s="91">
        <v>11</v>
      </c>
      <c r="H38" s="91"/>
      <c r="I38" s="91">
        <v>2</v>
      </c>
      <c r="J38" s="91">
        <v>2</v>
      </c>
      <c r="K38" s="91">
        <v>2</v>
      </c>
      <c r="L38" s="91"/>
      <c r="M38" s="91">
        <v>3</v>
      </c>
      <c r="N38" s="91">
        <v>10</v>
      </c>
      <c r="O38" s="91">
        <v>1</v>
      </c>
      <c r="P38" s="91">
        <v>1</v>
      </c>
      <c r="Q38" s="91">
        <v>20</v>
      </c>
      <c r="R38" s="91">
        <v>2</v>
      </c>
      <c r="S38" s="91">
        <v>3</v>
      </c>
      <c r="T38" s="91"/>
      <c r="U38" s="91">
        <v>6</v>
      </c>
      <c r="V38" s="91">
        <v>1</v>
      </c>
      <c r="W38" s="91">
        <v>13</v>
      </c>
      <c r="X38" s="91">
        <v>14</v>
      </c>
      <c r="Y38" s="91"/>
      <c r="Z38" s="91">
        <v>2</v>
      </c>
      <c r="AA38" s="91">
        <v>1</v>
      </c>
      <c r="AB38" s="91">
        <v>2</v>
      </c>
      <c r="AC38" s="91">
        <v>1</v>
      </c>
      <c r="AD38" s="91">
        <v>1</v>
      </c>
      <c r="AE38" s="91"/>
      <c r="AF38" s="91">
        <v>1</v>
      </c>
      <c r="AG38" s="91">
        <v>2</v>
      </c>
      <c r="AH38" s="91"/>
      <c r="AI38" s="91">
        <v>1</v>
      </c>
      <c r="AJ38" s="91"/>
      <c r="AK38" s="91">
        <v>1</v>
      </c>
      <c r="AL38" s="91">
        <v>1</v>
      </c>
      <c r="AM38" s="91"/>
      <c r="AN38" s="91">
        <v>1</v>
      </c>
      <c r="AO38" s="91">
        <v>5</v>
      </c>
      <c r="AP38" s="91">
        <v>1</v>
      </c>
      <c r="AQ38" s="91">
        <v>3</v>
      </c>
      <c r="AR38" s="91">
        <v>4</v>
      </c>
      <c r="AS38" s="91">
        <v>5</v>
      </c>
      <c r="AT38" s="91"/>
      <c r="AU38" s="91"/>
      <c r="AV38" s="91">
        <v>5</v>
      </c>
      <c r="AW38" s="91">
        <v>13</v>
      </c>
      <c r="AX38" s="91"/>
      <c r="AY38" s="91">
        <v>17</v>
      </c>
      <c r="AZ38" s="91">
        <v>3</v>
      </c>
      <c r="BA38" s="91">
        <v>2</v>
      </c>
      <c r="BB38" s="91">
        <v>13</v>
      </c>
      <c r="BC38" s="91"/>
    </row>
    <row r="39" spans="1:55" x14ac:dyDescent="0.25">
      <c r="A39" s="91" t="s">
        <v>60</v>
      </c>
      <c r="B39" s="129">
        <f t="shared" si="2"/>
        <v>363</v>
      </c>
      <c r="C39" s="91">
        <v>9</v>
      </c>
      <c r="D39" s="91">
        <v>18</v>
      </c>
      <c r="E39" s="91"/>
      <c r="F39" s="91">
        <v>23</v>
      </c>
      <c r="G39" s="91">
        <v>19</v>
      </c>
      <c r="H39" s="91"/>
      <c r="I39" s="91">
        <v>21</v>
      </c>
      <c r="J39" s="91">
        <v>17</v>
      </c>
      <c r="K39" s="91">
        <v>10</v>
      </c>
      <c r="L39" s="91">
        <v>8</v>
      </c>
      <c r="M39" s="91">
        <v>9</v>
      </c>
      <c r="N39" s="91">
        <v>19</v>
      </c>
      <c r="O39" s="91">
        <v>16</v>
      </c>
      <c r="P39" s="91">
        <v>1</v>
      </c>
      <c r="Q39" s="91"/>
      <c r="R39" s="91">
        <v>8</v>
      </c>
      <c r="S39" s="91">
        <v>1</v>
      </c>
      <c r="T39" s="91">
        <v>9</v>
      </c>
      <c r="U39" s="91">
        <v>3</v>
      </c>
      <c r="V39" s="91">
        <v>2</v>
      </c>
      <c r="W39" s="91"/>
      <c r="X39" s="91">
        <v>17</v>
      </c>
      <c r="Y39" s="91">
        <v>12</v>
      </c>
      <c r="Z39" s="91">
        <v>1</v>
      </c>
      <c r="AA39" s="91">
        <v>16</v>
      </c>
      <c r="AB39" s="91">
        <v>8</v>
      </c>
      <c r="AC39" s="91">
        <v>9</v>
      </c>
      <c r="AD39" s="91">
        <v>15</v>
      </c>
      <c r="AE39" s="91">
        <v>9</v>
      </c>
      <c r="AF39" s="91">
        <v>1</v>
      </c>
      <c r="AG39" s="91">
        <v>8</v>
      </c>
      <c r="AH39" s="91">
        <v>1</v>
      </c>
      <c r="AI39" s="91"/>
      <c r="AJ39" s="91">
        <v>13</v>
      </c>
      <c r="AK39" s="91">
        <v>8</v>
      </c>
      <c r="AL39" s="91"/>
      <c r="AM39" s="91"/>
      <c r="AN39" s="91">
        <v>8</v>
      </c>
      <c r="AO39" s="91">
        <v>8</v>
      </c>
      <c r="AP39" s="91">
        <v>8</v>
      </c>
      <c r="AQ39" s="91"/>
      <c r="AR39" s="91">
        <v>9</v>
      </c>
      <c r="AS39" s="91"/>
      <c r="AT39" s="91"/>
      <c r="AU39" s="91">
        <v>2</v>
      </c>
      <c r="AV39" s="91"/>
      <c r="AW39" s="91"/>
      <c r="AX39" s="91"/>
      <c r="AY39" s="91"/>
      <c r="AZ39" s="91">
        <v>8</v>
      </c>
      <c r="BA39" s="91">
        <v>9</v>
      </c>
      <c r="BB39" s="91"/>
      <c r="BC39" s="91"/>
    </row>
    <row r="40" spans="1:55" x14ac:dyDescent="0.25">
      <c r="A40" s="91" t="s">
        <v>256</v>
      </c>
      <c r="B40" s="129">
        <f t="shared" si="2"/>
        <v>738</v>
      </c>
      <c r="C40" s="91">
        <v>12</v>
      </c>
      <c r="D40" s="91">
        <v>25</v>
      </c>
      <c r="E40" s="91">
        <v>3</v>
      </c>
      <c r="F40" s="91">
        <v>23</v>
      </c>
      <c r="G40" s="91">
        <v>10</v>
      </c>
      <c r="H40" s="91">
        <v>22</v>
      </c>
      <c r="I40" s="91">
        <v>3</v>
      </c>
      <c r="J40" s="91">
        <v>33</v>
      </c>
      <c r="K40" s="91">
        <v>3</v>
      </c>
      <c r="L40" s="91">
        <v>12</v>
      </c>
      <c r="M40" s="91">
        <v>7</v>
      </c>
      <c r="N40" s="91">
        <v>24</v>
      </c>
      <c r="O40" s="91">
        <v>8</v>
      </c>
      <c r="P40" s="91">
        <v>16</v>
      </c>
      <c r="Q40" s="91">
        <v>10</v>
      </c>
      <c r="R40" s="91">
        <v>14</v>
      </c>
      <c r="S40" s="91">
        <v>40</v>
      </c>
      <c r="T40" s="91">
        <v>1</v>
      </c>
      <c r="U40" s="91">
        <v>10</v>
      </c>
      <c r="V40" s="91">
        <v>8</v>
      </c>
      <c r="W40" s="91">
        <v>15</v>
      </c>
      <c r="X40" s="91">
        <v>43</v>
      </c>
      <c r="Y40" s="91">
        <v>22</v>
      </c>
      <c r="Z40" s="91">
        <v>10</v>
      </c>
      <c r="AA40" s="91">
        <v>1</v>
      </c>
      <c r="AB40" s="91">
        <v>18</v>
      </c>
      <c r="AC40" s="91">
        <v>6</v>
      </c>
      <c r="AD40" s="91">
        <v>16</v>
      </c>
      <c r="AE40" s="91">
        <v>14</v>
      </c>
      <c r="AF40" s="91">
        <v>2</v>
      </c>
      <c r="AG40" s="91">
        <v>19</v>
      </c>
      <c r="AH40" s="91">
        <v>5</v>
      </c>
      <c r="AI40" s="91">
        <v>8</v>
      </c>
      <c r="AJ40" s="91">
        <v>6</v>
      </c>
      <c r="AK40" s="91">
        <v>13</v>
      </c>
      <c r="AL40" s="91">
        <v>45</v>
      </c>
      <c r="AM40" s="91">
        <v>10</v>
      </c>
      <c r="AN40" s="91">
        <v>18</v>
      </c>
      <c r="AO40" s="91">
        <v>9</v>
      </c>
      <c r="AP40" s="91">
        <v>30</v>
      </c>
      <c r="AQ40" s="91">
        <v>7</v>
      </c>
      <c r="AR40" s="91">
        <v>18</v>
      </c>
      <c r="AS40" s="91">
        <v>9</v>
      </c>
      <c r="AT40" s="91"/>
      <c r="AU40" s="91">
        <v>23</v>
      </c>
      <c r="AV40" s="91">
        <v>10</v>
      </c>
      <c r="AW40" s="91">
        <v>27</v>
      </c>
      <c r="AX40" s="91">
        <v>6</v>
      </c>
      <c r="AY40" s="91">
        <v>16</v>
      </c>
      <c r="AZ40" s="91">
        <v>8</v>
      </c>
      <c r="BA40" s="91"/>
      <c r="BB40" s="91">
        <v>20</v>
      </c>
      <c r="BC40" s="91"/>
    </row>
    <row r="41" spans="1:55" x14ac:dyDescent="0.25">
      <c r="A41" s="91" t="s">
        <v>58</v>
      </c>
      <c r="B41" s="129">
        <f t="shared" si="2"/>
        <v>556</v>
      </c>
      <c r="C41" s="91"/>
      <c r="D41" s="91">
        <v>25</v>
      </c>
      <c r="E41" s="91">
        <v>19</v>
      </c>
      <c r="F41" s="91">
        <v>22</v>
      </c>
      <c r="G41" s="91">
        <v>37</v>
      </c>
      <c r="H41" s="91"/>
      <c r="I41" s="91">
        <v>31</v>
      </c>
      <c r="J41" s="91">
        <v>45</v>
      </c>
      <c r="K41" s="91">
        <v>3</v>
      </c>
      <c r="L41" s="91">
        <v>2</v>
      </c>
      <c r="M41" s="91">
        <v>1</v>
      </c>
      <c r="N41" s="91">
        <v>52</v>
      </c>
      <c r="O41" s="91">
        <v>5</v>
      </c>
      <c r="P41" s="91">
        <v>7</v>
      </c>
      <c r="Q41" s="91"/>
      <c r="R41" s="91">
        <v>7</v>
      </c>
      <c r="S41" s="91">
        <v>35</v>
      </c>
      <c r="T41" s="91">
        <v>4</v>
      </c>
      <c r="U41" s="91">
        <v>7</v>
      </c>
      <c r="V41" s="91">
        <v>2</v>
      </c>
      <c r="W41" s="91">
        <v>15</v>
      </c>
      <c r="X41" s="91">
        <v>21</v>
      </c>
      <c r="Y41" s="91">
        <v>4</v>
      </c>
      <c r="Z41" s="91">
        <v>3</v>
      </c>
      <c r="AA41" s="91">
        <v>10</v>
      </c>
      <c r="AB41" s="91">
        <v>2</v>
      </c>
      <c r="AC41" s="91">
        <v>8</v>
      </c>
      <c r="AD41" s="91">
        <v>9</v>
      </c>
      <c r="AE41" s="91">
        <v>4</v>
      </c>
      <c r="AF41" s="91">
        <v>2</v>
      </c>
      <c r="AG41" s="91">
        <v>1</v>
      </c>
      <c r="AH41" s="91">
        <v>12</v>
      </c>
      <c r="AI41" s="91">
        <v>11</v>
      </c>
      <c r="AJ41" s="91">
        <v>7</v>
      </c>
      <c r="AK41" s="91">
        <v>4</v>
      </c>
      <c r="AL41" s="91">
        <v>3</v>
      </c>
      <c r="AM41" s="91">
        <v>1</v>
      </c>
      <c r="AN41" s="91">
        <v>5</v>
      </c>
      <c r="AO41" s="91">
        <v>11</v>
      </c>
      <c r="AP41" s="91">
        <v>8</v>
      </c>
      <c r="AQ41" s="91"/>
      <c r="AR41" s="91">
        <v>7</v>
      </c>
      <c r="AS41" s="91">
        <v>21</v>
      </c>
      <c r="AT41" s="91"/>
      <c r="AU41" s="91">
        <v>6</v>
      </c>
      <c r="AV41" s="91">
        <v>1</v>
      </c>
      <c r="AW41" s="91"/>
      <c r="AX41" s="91"/>
      <c r="AY41" s="91"/>
      <c r="AZ41" s="91">
        <v>4</v>
      </c>
      <c r="BA41" s="91">
        <v>44</v>
      </c>
      <c r="BB41" s="91">
        <v>28</v>
      </c>
      <c r="BC41" s="91"/>
    </row>
    <row r="42" spans="1:55" x14ac:dyDescent="0.25">
      <c r="A42" s="91" t="s">
        <v>88</v>
      </c>
      <c r="B42" s="129">
        <f t="shared" si="2"/>
        <v>471</v>
      </c>
      <c r="C42" s="91">
        <v>5</v>
      </c>
      <c r="D42" s="91">
        <v>5</v>
      </c>
      <c r="E42" s="91">
        <v>19</v>
      </c>
      <c r="F42" s="91">
        <v>28</v>
      </c>
      <c r="G42" s="91">
        <v>36</v>
      </c>
      <c r="H42" s="91"/>
      <c r="I42" s="91">
        <v>12</v>
      </c>
      <c r="J42" s="91">
        <v>18</v>
      </c>
      <c r="K42" s="91">
        <v>15</v>
      </c>
      <c r="L42" s="91">
        <v>13</v>
      </c>
      <c r="M42" s="91">
        <v>1</v>
      </c>
      <c r="N42" s="91">
        <v>13</v>
      </c>
      <c r="O42" s="91">
        <v>6</v>
      </c>
      <c r="P42" s="91">
        <v>10</v>
      </c>
      <c r="Q42" s="91">
        <v>7</v>
      </c>
      <c r="R42" s="91">
        <v>4</v>
      </c>
      <c r="S42" s="91"/>
      <c r="T42" s="91"/>
      <c r="U42" s="91">
        <v>19</v>
      </c>
      <c r="V42" s="91">
        <v>7</v>
      </c>
      <c r="W42" s="91">
        <v>13</v>
      </c>
      <c r="X42" s="91">
        <v>8</v>
      </c>
      <c r="Y42" s="91">
        <v>17</v>
      </c>
      <c r="Z42" s="91">
        <v>4</v>
      </c>
      <c r="AA42" s="91">
        <v>8</v>
      </c>
      <c r="AB42" s="91">
        <v>9</v>
      </c>
      <c r="AC42" s="91">
        <v>5</v>
      </c>
      <c r="AD42" s="91">
        <v>2</v>
      </c>
      <c r="AE42" s="91">
        <v>9</v>
      </c>
      <c r="AF42" s="91">
        <v>5</v>
      </c>
      <c r="AG42" s="91">
        <v>2</v>
      </c>
      <c r="AH42" s="91">
        <v>8</v>
      </c>
      <c r="AI42" s="91">
        <v>20</v>
      </c>
      <c r="AJ42" s="91">
        <v>1</v>
      </c>
      <c r="AK42" s="91">
        <v>5</v>
      </c>
      <c r="AL42" s="91">
        <v>6</v>
      </c>
      <c r="AM42" s="91">
        <v>2</v>
      </c>
      <c r="AN42" s="91">
        <v>12</v>
      </c>
      <c r="AO42" s="91">
        <v>14</v>
      </c>
      <c r="AP42" s="91">
        <v>4</v>
      </c>
      <c r="AQ42" s="91">
        <v>5</v>
      </c>
      <c r="AR42" s="91">
        <v>6</v>
      </c>
      <c r="AS42" s="91">
        <v>10</v>
      </c>
      <c r="AT42" s="91">
        <v>5</v>
      </c>
      <c r="AU42" s="91">
        <v>5</v>
      </c>
      <c r="AV42" s="91">
        <v>8</v>
      </c>
      <c r="AW42" s="91">
        <v>17</v>
      </c>
      <c r="AX42" s="91"/>
      <c r="AY42" s="91">
        <v>8</v>
      </c>
      <c r="AZ42" s="91">
        <v>11</v>
      </c>
      <c r="BA42" s="91"/>
      <c r="BB42" s="91">
        <v>24</v>
      </c>
      <c r="BC42" s="91"/>
    </row>
    <row r="43" spans="1:55" x14ac:dyDescent="0.25">
      <c r="A43" s="91" t="s">
        <v>162</v>
      </c>
      <c r="B43" s="129">
        <f t="shared" si="2"/>
        <v>328</v>
      </c>
      <c r="C43" s="91">
        <v>6</v>
      </c>
      <c r="D43" s="91">
        <v>4</v>
      </c>
      <c r="E43" s="91">
        <v>14</v>
      </c>
      <c r="F43" s="91">
        <v>5</v>
      </c>
      <c r="G43" s="91">
        <v>26</v>
      </c>
      <c r="H43" s="91"/>
      <c r="I43" s="91">
        <v>10</v>
      </c>
      <c r="J43" s="91">
        <v>1</v>
      </c>
      <c r="K43" s="91">
        <v>11</v>
      </c>
      <c r="L43" s="91">
        <v>3</v>
      </c>
      <c r="M43" s="91"/>
      <c r="N43" s="91">
        <v>10</v>
      </c>
      <c r="O43" s="91">
        <v>4</v>
      </c>
      <c r="P43" s="91"/>
      <c r="Q43" s="91">
        <v>3</v>
      </c>
      <c r="R43" s="91">
        <v>10</v>
      </c>
      <c r="S43" s="91">
        <v>11</v>
      </c>
      <c r="T43" s="91"/>
      <c r="U43" s="91">
        <v>4</v>
      </c>
      <c r="V43" s="91">
        <v>6</v>
      </c>
      <c r="W43" s="91">
        <v>6</v>
      </c>
      <c r="X43" s="91">
        <v>8</v>
      </c>
      <c r="Y43" s="91">
        <v>10</v>
      </c>
      <c r="Z43" s="91">
        <v>13</v>
      </c>
      <c r="AA43" s="91">
        <v>5</v>
      </c>
      <c r="AB43" s="91">
        <v>7</v>
      </c>
      <c r="AC43" s="91">
        <v>1</v>
      </c>
      <c r="AD43" s="91">
        <v>3</v>
      </c>
      <c r="AE43" s="91">
        <v>3</v>
      </c>
      <c r="AF43" s="91">
        <v>2</v>
      </c>
      <c r="AG43" s="91">
        <v>1</v>
      </c>
      <c r="AH43" s="91">
        <v>4</v>
      </c>
      <c r="AI43" s="91">
        <v>5</v>
      </c>
      <c r="AJ43" s="91">
        <v>3</v>
      </c>
      <c r="AK43" s="91">
        <v>3</v>
      </c>
      <c r="AL43" s="91">
        <v>5</v>
      </c>
      <c r="AM43" s="91">
        <v>7</v>
      </c>
      <c r="AN43" s="91">
        <v>13</v>
      </c>
      <c r="AO43" s="91">
        <v>21</v>
      </c>
      <c r="AP43" s="91">
        <v>7</v>
      </c>
      <c r="AQ43" s="91">
        <v>10</v>
      </c>
      <c r="AR43" s="91">
        <v>3</v>
      </c>
      <c r="AS43" s="91">
        <v>1</v>
      </c>
      <c r="AT43" s="91">
        <v>1</v>
      </c>
      <c r="AU43" s="91">
        <v>5</v>
      </c>
      <c r="AV43" s="91">
        <v>1</v>
      </c>
      <c r="AW43" s="91">
        <v>5</v>
      </c>
      <c r="AX43" s="91">
        <v>9</v>
      </c>
      <c r="AY43" s="91">
        <v>8</v>
      </c>
      <c r="AZ43" s="91">
        <v>18</v>
      </c>
      <c r="BA43" s="91">
        <v>10</v>
      </c>
      <c r="BB43" s="91">
        <v>2</v>
      </c>
      <c r="BC43" s="91"/>
    </row>
    <row r="44" spans="1:55" x14ac:dyDescent="0.25">
      <c r="A44" s="91" t="s">
        <v>292</v>
      </c>
      <c r="B44" s="129">
        <f t="shared" si="2"/>
        <v>283</v>
      </c>
      <c r="C44" s="91">
        <v>6</v>
      </c>
      <c r="D44" s="91">
        <v>6</v>
      </c>
      <c r="E44" s="91">
        <v>4</v>
      </c>
      <c r="F44" s="91">
        <v>11</v>
      </c>
      <c r="G44" s="91">
        <v>18</v>
      </c>
      <c r="H44" s="91"/>
      <c r="I44" s="91">
        <v>4</v>
      </c>
      <c r="J44" s="91">
        <v>5</v>
      </c>
      <c r="K44" s="91">
        <v>1</v>
      </c>
      <c r="L44" s="91">
        <v>4</v>
      </c>
      <c r="M44" s="91">
        <v>6</v>
      </c>
      <c r="N44" s="91">
        <v>11</v>
      </c>
      <c r="O44" s="91">
        <v>5</v>
      </c>
      <c r="P44" s="91">
        <v>1</v>
      </c>
      <c r="Q44" s="91">
        <v>1</v>
      </c>
      <c r="R44" s="91">
        <v>2</v>
      </c>
      <c r="S44" s="91">
        <v>3</v>
      </c>
      <c r="T44" s="91"/>
      <c r="U44" s="91">
        <v>11</v>
      </c>
      <c r="V44" s="91">
        <v>2</v>
      </c>
      <c r="W44" s="91">
        <v>6</v>
      </c>
      <c r="X44" s="91">
        <v>22</v>
      </c>
      <c r="Y44" s="91">
        <v>3</v>
      </c>
      <c r="Z44" s="91"/>
      <c r="AA44" s="91"/>
      <c r="AB44" s="91">
        <v>13</v>
      </c>
      <c r="AC44" s="91">
        <v>2</v>
      </c>
      <c r="AD44" s="91">
        <v>6</v>
      </c>
      <c r="AE44" s="91">
        <v>3</v>
      </c>
      <c r="AF44" s="91">
        <v>1</v>
      </c>
      <c r="AG44" s="91">
        <v>6</v>
      </c>
      <c r="AH44" s="91">
        <v>2</v>
      </c>
      <c r="AI44" s="91">
        <v>8</v>
      </c>
      <c r="AJ44" s="91"/>
      <c r="AK44" s="91">
        <v>11</v>
      </c>
      <c r="AL44" s="91">
        <v>2</v>
      </c>
      <c r="AM44" s="91"/>
      <c r="AN44" s="91">
        <v>8</v>
      </c>
      <c r="AO44" s="91">
        <v>16</v>
      </c>
      <c r="AP44" s="91">
        <v>2</v>
      </c>
      <c r="AQ44" s="91">
        <v>19</v>
      </c>
      <c r="AR44" s="91">
        <v>2</v>
      </c>
      <c r="AS44" s="91">
        <v>1</v>
      </c>
      <c r="AT44" s="91"/>
      <c r="AU44" s="91">
        <v>2</v>
      </c>
      <c r="AV44" s="91">
        <v>2</v>
      </c>
      <c r="AW44" s="91">
        <v>13</v>
      </c>
      <c r="AX44" s="91"/>
      <c r="AY44" s="91">
        <v>9</v>
      </c>
      <c r="AZ44" s="91"/>
      <c r="BA44" s="91"/>
      <c r="BB44" s="91">
        <v>23</v>
      </c>
      <c r="BC44" s="91"/>
    </row>
    <row r="45" spans="1:55" x14ac:dyDescent="0.25">
      <c r="A45" s="91" t="s">
        <v>399</v>
      </c>
      <c r="B45" s="129">
        <f t="shared" si="2"/>
        <v>211</v>
      </c>
      <c r="C45" s="91">
        <v>1</v>
      </c>
      <c r="D45" s="91">
        <v>5</v>
      </c>
      <c r="E45" s="91">
        <v>8</v>
      </c>
      <c r="F45" s="91">
        <v>1</v>
      </c>
      <c r="G45" s="91">
        <v>12</v>
      </c>
      <c r="H45" s="91"/>
      <c r="I45" s="91">
        <v>4</v>
      </c>
      <c r="J45" s="91">
        <v>6</v>
      </c>
      <c r="K45" s="91">
        <v>6</v>
      </c>
      <c r="L45" s="91"/>
      <c r="M45" s="91"/>
      <c r="N45" s="91">
        <v>7</v>
      </c>
      <c r="O45" s="91">
        <v>2</v>
      </c>
      <c r="P45" s="91">
        <v>1</v>
      </c>
      <c r="Q45" s="91">
        <v>1</v>
      </c>
      <c r="R45" s="91">
        <v>12</v>
      </c>
      <c r="S45" s="91">
        <v>16</v>
      </c>
      <c r="T45" s="91">
        <v>9</v>
      </c>
      <c r="U45" s="91">
        <v>2</v>
      </c>
      <c r="V45" s="91">
        <v>3</v>
      </c>
      <c r="W45" s="91">
        <v>1</v>
      </c>
      <c r="X45" s="91">
        <v>5</v>
      </c>
      <c r="Y45" s="91">
        <v>5</v>
      </c>
      <c r="Z45" s="91">
        <v>11</v>
      </c>
      <c r="AA45" s="91">
        <v>3</v>
      </c>
      <c r="AB45" s="91">
        <v>5</v>
      </c>
      <c r="AC45" s="91">
        <v>4</v>
      </c>
      <c r="AD45" s="91"/>
      <c r="AE45" s="91">
        <v>2</v>
      </c>
      <c r="AF45" s="91">
        <v>2</v>
      </c>
      <c r="AG45" s="91">
        <v>2</v>
      </c>
      <c r="AH45" s="91">
        <v>3</v>
      </c>
      <c r="AI45" s="91"/>
      <c r="AJ45" s="91">
        <v>1</v>
      </c>
      <c r="AK45" s="91">
        <v>1</v>
      </c>
      <c r="AL45" s="91"/>
      <c r="AM45" s="91">
        <v>2</v>
      </c>
      <c r="AN45" s="91">
        <v>3</v>
      </c>
      <c r="AO45" s="91"/>
      <c r="AP45" s="91">
        <v>3</v>
      </c>
      <c r="AQ45" s="91">
        <v>5</v>
      </c>
      <c r="AR45" s="91">
        <v>3</v>
      </c>
      <c r="AS45" s="91">
        <v>5</v>
      </c>
      <c r="AT45" s="91"/>
      <c r="AU45" s="91">
        <v>3</v>
      </c>
      <c r="AV45" s="91">
        <v>1</v>
      </c>
      <c r="AW45" s="91">
        <v>16</v>
      </c>
      <c r="AX45" s="91">
        <v>5</v>
      </c>
      <c r="AY45" s="91">
        <v>1</v>
      </c>
      <c r="AZ45" s="91">
        <v>4</v>
      </c>
      <c r="BA45" s="91">
        <v>10</v>
      </c>
      <c r="BB45" s="91">
        <v>9</v>
      </c>
      <c r="BC45" s="91"/>
    </row>
    <row r="46" spans="1:55" x14ac:dyDescent="0.25">
      <c r="A46" s="91" t="s">
        <v>414</v>
      </c>
      <c r="B46" s="129">
        <f t="shared" si="2"/>
        <v>139</v>
      </c>
      <c r="C46" s="91"/>
      <c r="D46" s="91">
        <v>2</v>
      </c>
      <c r="E46" s="91">
        <v>8</v>
      </c>
      <c r="F46" s="91">
        <v>2</v>
      </c>
      <c r="G46" s="91">
        <v>1</v>
      </c>
      <c r="H46" s="91"/>
      <c r="I46" s="91">
        <v>5</v>
      </c>
      <c r="J46" s="91">
        <v>1</v>
      </c>
      <c r="K46" s="91">
        <v>9</v>
      </c>
      <c r="L46" s="91">
        <v>2</v>
      </c>
      <c r="M46" s="91">
        <v>1</v>
      </c>
      <c r="N46" s="91">
        <v>8</v>
      </c>
      <c r="O46" s="91">
        <v>7</v>
      </c>
      <c r="P46" s="91">
        <v>3</v>
      </c>
      <c r="Q46" s="91">
        <v>1</v>
      </c>
      <c r="R46" s="91">
        <v>3</v>
      </c>
      <c r="S46" s="91">
        <v>2</v>
      </c>
      <c r="T46" s="91"/>
      <c r="U46" s="91">
        <v>4</v>
      </c>
      <c r="V46" s="91"/>
      <c r="W46" s="91">
        <v>4</v>
      </c>
      <c r="X46" s="91"/>
      <c r="Y46" s="91">
        <v>1</v>
      </c>
      <c r="Z46" s="91">
        <v>4</v>
      </c>
      <c r="AA46" s="91">
        <v>1</v>
      </c>
      <c r="AB46" s="91">
        <v>5</v>
      </c>
      <c r="AC46" s="91"/>
      <c r="AD46" s="91">
        <v>1</v>
      </c>
      <c r="AE46" s="91">
        <v>1</v>
      </c>
      <c r="AF46" s="91"/>
      <c r="AG46" s="91"/>
      <c r="AH46" s="91">
        <v>2</v>
      </c>
      <c r="AI46" s="91">
        <v>2</v>
      </c>
      <c r="AJ46" s="91">
        <v>8</v>
      </c>
      <c r="AK46" s="91">
        <v>1</v>
      </c>
      <c r="AL46" s="91">
        <v>5</v>
      </c>
      <c r="AM46" s="91">
        <v>5</v>
      </c>
      <c r="AN46" s="91">
        <v>5</v>
      </c>
      <c r="AO46" s="91">
        <v>5</v>
      </c>
      <c r="AP46" s="91"/>
      <c r="AQ46" s="91">
        <v>3</v>
      </c>
      <c r="AR46" s="91">
        <v>5</v>
      </c>
      <c r="AS46" s="91"/>
      <c r="AT46" s="91"/>
      <c r="AU46" s="91"/>
      <c r="AV46" s="91"/>
      <c r="AW46" s="91">
        <v>1</v>
      </c>
      <c r="AX46" s="91">
        <v>1</v>
      </c>
      <c r="AY46" s="91"/>
      <c r="AZ46" s="91">
        <v>3</v>
      </c>
      <c r="BA46" s="91">
        <v>1</v>
      </c>
      <c r="BB46" s="91">
        <v>16</v>
      </c>
      <c r="BC46" s="91"/>
    </row>
    <row r="47" spans="1:55" x14ac:dyDescent="0.25">
      <c r="A47" s="91" t="s">
        <v>316</v>
      </c>
      <c r="B47" s="129">
        <f t="shared" si="2"/>
        <v>384</v>
      </c>
      <c r="C47" s="91">
        <v>7</v>
      </c>
      <c r="D47" s="91">
        <v>17</v>
      </c>
      <c r="E47" s="91">
        <v>7</v>
      </c>
      <c r="F47" s="91">
        <v>3</v>
      </c>
      <c r="G47" s="91">
        <v>10</v>
      </c>
      <c r="H47" s="91">
        <v>2</v>
      </c>
      <c r="I47" s="91">
        <v>2</v>
      </c>
      <c r="J47" s="91">
        <v>28</v>
      </c>
      <c r="K47" s="91">
        <v>3</v>
      </c>
      <c r="L47" s="91">
        <v>3</v>
      </c>
      <c r="M47" s="91">
        <v>8</v>
      </c>
      <c r="N47" s="91">
        <v>11</v>
      </c>
      <c r="O47" s="91">
        <v>8</v>
      </c>
      <c r="P47" s="91">
        <v>14</v>
      </c>
      <c r="Q47" s="91">
        <v>6</v>
      </c>
      <c r="R47" s="91"/>
      <c r="S47" s="91">
        <v>8</v>
      </c>
      <c r="T47" s="91"/>
      <c r="U47" s="91">
        <v>8</v>
      </c>
      <c r="V47" s="91">
        <v>15</v>
      </c>
      <c r="W47" s="91">
        <v>4</v>
      </c>
      <c r="X47" s="91">
        <v>2</v>
      </c>
      <c r="Y47" s="91">
        <v>8</v>
      </c>
      <c r="Z47" s="91">
        <v>1</v>
      </c>
      <c r="AA47" s="91">
        <v>8</v>
      </c>
      <c r="AB47" s="91">
        <v>6</v>
      </c>
      <c r="AC47" s="91">
        <v>8</v>
      </c>
      <c r="AD47" s="91">
        <v>5</v>
      </c>
      <c r="AE47" s="91">
        <v>13</v>
      </c>
      <c r="AF47" s="91">
        <v>3</v>
      </c>
      <c r="AG47" s="91">
        <v>6</v>
      </c>
      <c r="AH47" s="91">
        <v>5</v>
      </c>
      <c r="AI47" s="91">
        <v>4</v>
      </c>
      <c r="AJ47" s="91">
        <v>19</v>
      </c>
      <c r="AK47" s="91">
        <v>4</v>
      </c>
      <c r="AL47" s="91">
        <v>10</v>
      </c>
      <c r="AM47" s="91">
        <v>7</v>
      </c>
      <c r="AN47" s="91">
        <v>4</v>
      </c>
      <c r="AO47" s="91">
        <v>7</v>
      </c>
      <c r="AP47" s="91">
        <v>8</v>
      </c>
      <c r="AQ47" s="91">
        <v>5</v>
      </c>
      <c r="AR47" s="91">
        <v>12</v>
      </c>
      <c r="AS47" s="91">
        <v>13</v>
      </c>
      <c r="AT47" s="91"/>
      <c r="AU47" s="91">
        <v>7</v>
      </c>
      <c r="AV47" s="91">
        <v>8</v>
      </c>
      <c r="AW47" s="91">
        <v>3</v>
      </c>
      <c r="AX47" s="91">
        <v>3</v>
      </c>
      <c r="AY47" s="91">
        <v>6</v>
      </c>
      <c r="AZ47" s="91">
        <v>13</v>
      </c>
      <c r="BA47" s="91">
        <v>5</v>
      </c>
      <c r="BB47" s="91">
        <v>17</v>
      </c>
      <c r="BC47" s="91"/>
    </row>
    <row r="48" spans="1:55" x14ac:dyDescent="0.25">
      <c r="A48" s="91" t="s">
        <v>221</v>
      </c>
      <c r="B48" s="129">
        <f t="shared" si="2"/>
        <v>341</v>
      </c>
      <c r="C48" s="91">
        <v>4</v>
      </c>
      <c r="D48" s="91">
        <v>6</v>
      </c>
      <c r="E48" s="91">
        <v>4</v>
      </c>
      <c r="F48" s="91">
        <v>14</v>
      </c>
      <c r="G48" s="91">
        <v>27</v>
      </c>
      <c r="H48" s="91"/>
      <c r="I48" s="91">
        <v>9</v>
      </c>
      <c r="J48" s="91">
        <v>3</v>
      </c>
      <c r="K48" s="91">
        <v>7</v>
      </c>
      <c r="L48" s="91">
        <v>2</v>
      </c>
      <c r="M48" s="91">
        <v>4</v>
      </c>
      <c r="N48" s="91">
        <v>2</v>
      </c>
      <c r="O48" s="91">
        <v>6</v>
      </c>
      <c r="P48" s="91">
        <v>3</v>
      </c>
      <c r="Q48" s="91">
        <v>9</v>
      </c>
      <c r="R48" s="91">
        <v>8</v>
      </c>
      <c r="S48" s="91">
        <v>11</v>
      </c>
      <c r="T48" s="91">
        <v>1</v>
      </c>
      <c r="U48" s="91">
        <v>16</v>
      </c>
      <c r="V48" s="91">
        <v>6</v>
      </c>
      <c r="W48" s="91">
        <v>19</v>
      </c>
      <c r="X48" s="91">
        <v>16</v>
      </c>
      <c r="Y48" s="91">
        <v>1</v>
      </c>
      <c r="Z48" s="91">
        <v>3</v>
      </c>
      <c r="AA48" s="91">
        <v>6</v>
      </c>
      <c r="AB48" s="91">
        <v>11</v>
      </c>
      <c r="AC48" s="91">
        <v>9</v>
      </c>
      <c r="AD48" s="91">
        <v>1</v>
      </c>
      <c r="AE48" s="91">
        <v>19</v>
      </c>
      <c r="AF48" s="91">
        <v>6</v>
      </c>
      <c r="AG48" s="91">
        <v>5</v>
      </c>
      <c r="AH48" s="91">
        <v>6</v>
      </c>
      <c r="AI48" s="91">
        <v>3</v>
      </c>
      <c r="AJ48" s="91"/>
      <c r="AK48" s="91">
        <v>5</v>
      </c>
      <c r="AL48" s="91">
        <v>1</v>
      </c>
      <c r="AM48" s="91">
        <v>2</v>
      </c>
      <c r="AN48" s="91">
        <v>16</v>
      </c>
      <c r="AO48" s="91">
        <v>11</v>
      </c>
      <c r="AP48" s="91">
        <v>1</v>
      </c>
      <c r="AQ48" s="91">
        <v>6</v>
      </c>
      <c r="AR48" s="91">
        <v>4</v>
      </c>
      <c r="AS48" s="91">
        <v>5</v>
      </c>
      <c r="AT48" s="91"/>
      <c r="AU48" s="91">
        <v>2</v>
      </c>
      <c r="AV48" s="91">
        <v>10</v>
      </c>
      <c r="AW48" s="91">
        <v>13</v>
      </c>
      <c r="AX48" s="91">
        <v>9</v>
      </c>
      <c r="AY48" s="91">
        <v>4</v>
      </c>
      <c r="AZ48" s="91">
        <v>1</v>
      </c>
      <c r="BA48" s="91">
        <v>2</v>
      </c>
      <c r="BB48" s="91">
        <v>2</v>
      </c>
      <c r="BC48" s="91"/>
    </row>
    <row r="49" spans="1:55" x14ac:dyDescent="0.25">
      <c r="A49" s="91" t="s">
        <v>185</v>
      </c>
      <c r="B49" s="129">
        <f t="shared" si="2"/>
        <v>783</v>
      </c>
      <c r="C49" s="91">
        <v>17</v>
      </c>
      <c r="D49" s="91">
        <v>32</v>
      </c>
      <c r="E49" s="91">
        <v>16</v>
      </c>
      <c r="F49" s="91">
        <v>17</v>
      </c>
      <c r="G49" s="91">
        <v>27</v>
      </c>
      <c r="H49" s="91"/>
      <c r="I49" s="91">
        <v>28</v>
      </c>
      <c r="J49" s="91">
        <v>22</v>
      </c>
      <c r="K49" s="91">
        <v>10</v>
      </c>
      <c r="L49" s="91">
        <v>10</v>
      </c>
      <c r="M49" s="91">
        <v>6</v>
      </c>
      <c r="N49" s="91">
        <v>25</v>
      </c>
      <c r="O49" s="91">
        <v>14</v>
      </c>
      <c r="P49" s="91">
        <v>16</v>
      </c>
      <c r="Q49" s="91">
        <v>13</v>
      </c>
      <c r="R49" s="91">
        <v>8</v>
      </c>
      <c r="S49" s="91">
        <v>24</v>
      </c>
      <c r="T49" s="91">
        <v>6</v>
      </c>
      <c r="U49" s="91">
        <v>25</v>
      </c>
      <c r="V49" s="91">
        <v>8</v>
      </c>
      <c r="W49" s="91">
        <v>34</v>
      </c>
      <c r="X49" s="91">
        <v>18</v>
      </c>
      <c r="Y49" s="91">
        <v>30</v>
      </c>
      <c r="Z49" s="91"/>
      <c r="AA49" s="91">
        <v>11</v>
      </c>
      <c r="AB49" s="91">
        <v>7</v>
      </c>
      <c r="AC49" s="91">
        <v>14</v>
      </c>
      <c r="AD49" s="91">
        <v>18</v>
      </c>
      <c r="AE49" s="91">
        <v>16</v>
      </c>
      <c r="AF49" s="91">
        <v>6</v>
      </c>
      <c r="AG49" s="91">
        <v>8</v>
      </c>
      <c r="AH49" s="91">
        <v>10</v>
      </c>
      <c r="AI49" s="91">
        <v>6</v>
      </c>
      <c r="AJ49" s="91">
        <v>22</v>
      </c>
      <c r="AK49" s="91">
        <v>8</v>
      </c>
      <c r="AL49" s="91">
        <v>34</v>
      </c>
      <c r="AM49" s="91">
        <v>9</v>
      </c>
      <c r="AN49" s="91">
        <v>7</v>
      </c>
      <c r="AO49" s="91">
        <v>17</v>
      </c>
      <c r="AP49" s="91">
        <v>6</v>
      </c>
      <c r="AQ49" s="91">
        <v>27</v>
      </c>
      <c r="AR49" s="91">
        <v>6</v>
      </c>
      <c r="AS49" s="91">
        <v>9</v>
      </c>
      <c r="AT49" s="91"/>
      <c r="AU49" s="91">
        <v>1</v>
      </c>
      <c r="AV49" s="91">
        <v>26</v>
      </c>
      <c r="AW49" s="91">
        <v>40</v>
      </c>
      <c r="AX49" s="91">
        <v>8</v>
      </c>
      <c r="AY49" s="91">
        <v>18</v>
      </c>
      <c r="AZ49" s="91">
        <v>2</v>
      </c>
      <c r="BA49" s="91">
        <v>17</v>
      </c>
      <c r="BB49" s="91">
        <v>24</v>
      </c>
      <c r="BC49" s="91"/>
    </row>
    <row r="50" spans="1:55" x14ac:dyDescent="0.25">
      <c r="A50" s="91" t="s">
        <v>134</v>
      </c>
      <c r="B50" s="129">
        <f t="shared" si="2"/>
        <v>117</v>
      </c>
      <c r="C50" s="91"/>
      <c r="D50" s="91"/>
      <c r="E50" s="91">
        <v>3</v>
      </c>
      <c r="F50" s="91">
        <v>3</v>
      </c>
      <c r="G50" s="91">
        <v>10</v>
      </c>
      <c r="H50" s="91"/>
      <c r="I50" s="91">
        <v>3</v>
      </c>
      <c r="J50" s="91">
        <v>11</v>
      </c>
      <c r="K50" s="91">
        <v>1</v>
      </c>
      <c r="L50" s="91">
        <v>9</v>
      </c>
      <c r="M50" s="91"/>
      <c r="N50" s="91">
        <v>2</v>
      </c>
      <c r="O50" s="91">
        <v>3</v>
      </c>
      <c r="P50" s="91"/>
      <c r="Q50" s="91">
        <v>5</v>
      </c>
      <c r="R50" s="91">
        <v>3</v>
      </c>
      <c r="S50" s="91">
        <v>5</v>
      </c>
      <c r="T50" s="91"/>
      <c r="U50" s="91">
        <v>1</v>
      </c>
      <c r="V50" s="91"/>
      <c r="W50" s="91">
        <v>19</v>
      </c>
      <c r="X50" s="91">
        <v>2</v>
      </c>
      <c r="Y50" s="91"/>
      <c r="Z50" s="91">
        <v>2</v>
      </c>
      <c r="AA50" s="91">
        <v>1</v>
      </c>
      <c r="AB50" s="91"/>
      <c r="AC50" s="91"/>
      <c r="AD50" s="91">
        <v>11</v>
      </c>
      <c r="AE50" s="91">
        <v>1</v>
      </c>
      <c r="AF50" s="91">
        <v>1</v>
      </c>
      <c r="AG50" s="91">
        <v>2</v>
      </c>
      <c r="AH50" s="91"/>
      <c r="AI50" s="91"/>
      <c r="AJ50" s="91"/>
      <c r="AK50" s="91"/>
      <c r="AL50" s="91"/>
      <c r="AM50" s="91"/>
      <c r="AN50" s="91">
        <v>2</v>
      </c>
      <c r="AO50" s="91">
        <v>1</v>
      </c>
      <c r="AP50" s="91"/>
      <c r="AQ50" s="91">
        <v>1</v>
      </c>
      <c r="AR50" s="91">
        <v>4</v>
      </c>
      <c r="AS50" s="91">
        <v>3</v>
      </c>
      <c r="AT50" s="91"/>
      <c r="AU50" s="91">
        <v>1</v>
      </c>
      <c r="AV50" s="91">
        <v>4</v>
      </c>
      <c r="AW50" s="91">
        <v>2</v>
      </c>
      <c r="AX50" s="91"/>
      <c r="AY50" s="91">
        <v>1</v>
      </c>
      <c r="AZ50" s="91"/>
      <c r="BA50" s="91"/>
      <c r="BB50" s="91"/>
      <c r="BC50" s="91"/>
    </row>
    <row r="51" spans="1:55" x14ac:dyDescent="0.25">
      <c r="A51" s="91" t="s">
        <v>236</v>
      </c>
      <c r="B51" s="129">
        <f t="shared" si="2"/>
        <v>528</v>
      </c>
      <c r="C51" s="91">
        <v>4</v>
      </c>
      <c r="D51" s="91">
        <v>9</v>
      </c>
      <c r="E51" s="91">
        <v>27</v>
      </c>
      <c r="F51" s="91">
        <v>3</v>
      </c>
      <c r="G51" s="91">
        <v>12</v>
      </c>
      <c r="H51" s="91">
        <v>81</v>
      </c>
      <c r="I51" s="91">
        <v>10</v>
      </c>
      <c r="J51" s="91">
        <v>34</v>
      </c>
      <c r="K51" s="91">
        <v>1</v>
      </c>
      <c r="L51" s="91">
        <v>6</v>
      </c>
      <c r="M51" s="91">
        <v>2</v>
      </c>
      <c r="N51" s="91">
        <v>13</v>
      </c>
      <c r="O51" s="91">
        <v>6</v>
      </c>
      <c r="P51" s="91">
        <v>6</v>
      </c>
      <c r="Q51" s="91">
        <v>5</v>
      </c>
      <c r="R51" s="91">
        <v>10</v>
      </c>
      <c r="S51" s="91">
        <v>7</v>
      </c>
      <c r="T51" s="91">
        <v>5</v>
      </c>
      <c r="U51" s="91">
        <v>6</v>
      </c>
      <c r="V51" s="91">
        <v>5</v>
      </c>
      <c r="W51" s="91">
        <v>33</v>
      </c>
      <c r="X51" s="91">
        <v>11</v>
      </c>
      <c r="Y51" s="91">
        <v>22</v>
      </c>
      <c r="Z51" s="91">
        <v>10</v>
      </c>
      <c r="AA51" s="91">
        <v>14</v>
      </c>
      <c r="AB51" s="91">
        <v>10</v>
      </c>
      <c r="AC51" s="91">
        <v>6</v>
      </c>
      <c r="AD51" s="91">
        <v>15</v>
      </c>
      <c r="AE51" s="91">
        <v>4</v>
      </c>
      <c r="AF51" s="91">
        <v>5</v>
      </c>
      <c r="AG51" s="91">
        <v>2</v>
      </c>
      <c r="AH51" s="91">
        <v>4</v>
      </c>
      <c r="AI51" s="91">
        <v>13</v>
      </c>
      <c r="AJ51" s="91">
        <v>6</v>
      </c>
      <c r="AK51" s="91">
        <v>2</v>
      </c>
      <c r="AL51" s="91">
        <v>14</v>
      </c>
      <c r="AM51" s="91">
        <v>3</v>
      </c>
      <c r="AN51" s="91">
        <v>10</v>
      </c>
      <c r="AO51" s="91">
        <v>7</v>
      </c>
      <c r="AP51" s="91">
        <v>1</v>
      </c>
      <c r="AQ51" s="91">
        <v>4</v>
      </c>
      <c r="AR51" s="91">
        <v>3</v>
      </c>
      <c r="AS51" s="91">
        <v>1</v>
      </c>
      <c r="AT51" s="91"/>
      <c r="AU51" s="91">
        <v>6</v>
      </c>
      <c r="AV51" s="91">
        <v>9</v>
      </c>
      <c r="AW51" s="91">
        <v>17</v>
      </c>
      <c r="AX51" s="91">
        <v>9</v>
      </c>
      <c r="AY51" s="91">
        <v>11</v>
      </c>
      <c r="AZ51" s="91">
        <v>4</v>
      </c>
      <c r="BA51" s="91">
        <v>6</v>
      </c>
      <c r="BB51" s="91">
        <v>14</v>
      </c>
      <c r="BC51" s="91"/>
    </row>
    <row r="52" spans="1:55" x14ac:dyDescent="0.25">
      <c r="A52" s="91" t="s">
        <v>267</v>
      </c>
      <c r="B52" s="129">
        <f t="shared" si="2"/>
        <v>535</v>
      </c>
      <c r="C52" s="91"/>
      <c r="D52" s="91">
        <v>28</v>
      </c>
      <c r="E52" s="91">
        <v>13</v>
      </c>
      <c r="F52" s="91">
        <v>18</v>
      </c>
      <c r="G52" s="91">
        <v>27</v>
      </c>
      <c r="H52" s="91">
        <v>53</v>
      </c>
      <c r="I52" s="91">
        <v>12</v>
      </c>
      <c r="J52" s="91">
        <v>32</v>
      </c>
      <c r="K52" s="91">
        <v>2</v>
      </c>
      <c r="L52" s="91">
        <v>1</v>
      </c>
      <c r="M52" s="91">
        <v>4</v>
      </c>
      <c r="N52" s="91">
        <v>13</v>
      </c>
      <c r="O52" s="91">
        <v>6</v>
      </c>
      <c r="P52" s="91">
        <v>5</v>
      </c>
      <c r="Q52" s="91">
        <v>14</v>
      </c>
      <c r="R52" s="91">
        <v>5</v>
      </c>
      <c r="S52" s="91">
        <v>8</v>
      </c>
      <c r="T52" s="91">
        <v>8</v>
      </c>
      <c r="U52" s="91">
        <v>7</v>
      </c>
      <c r="V52" s="91">
        <v>3</v>
      </c>
      <c r="W52" s="91">
        <v>31</v>
      </c>
      <c r="X52" s="91">
        <v>17</v>
      </c>
      <c r="Y52" s="91">
        <v>26</v>
      </c>
      <c r="Z52" s="91">
        <v>1</v>
      </c>
      <c r="AA52" s="91">
        <v>3</v>
      </c>
      <c r="AB52" s="91">
        <v>1</v>
      </c>
      <c r="AC52" s="91">
        <v>9</v>
      </c>
      <c r="AD52" s="91">
        <v>7</v>
      </c>
      <c r="AE52" s="91">
        <v>25</v>
      </c>
      <c r="AF52" s="91">
        <v>4</v>
      </c>
      <c r="AG52" s="91">
        <v>3</v>
      </c>
      <c r="AH52" s="91">
        <v>12</v>
      </c>
      <c r="AI52" s="91">
        <v>3</v>
      </c>
      <c r="AJ52" s="91">
        <v>6</v>
      </c>
      <c r="AK52" s="91">
        <v>1</v>
      </c>
      <c r="AL52" s="91">
        <v>1</v>
      </c>
      <c r="AM52" s="91">
        <v>1</v>
      </c>
      <c r="AN52" s="91">
        <v>4</v>
      </c>
      <c r="AO52" s="91">
        <v>8</v>
      </c>
      <c r="AP52" s="91">
        <v>5</v>
      </c>
      <c r="AQ52" s="91">
        <v>23</v>
      </c>
      <c r="AR52" s="91">
        <v>7</v>
      </c>
      <c r="AS52" s="91">
        <v>1</v>
      </c>
      <c r="AT52" s="91"/>
      <c r="AU52" s="91">
        <v>15</v>
      </c>
      <c r="AV52" s="91">
        <v>10</v>
      </c>
      <c r="AW52" s="91">
        <v>11</v>
      </c>
      <c r="AX52" s="91">
        <v>9</v>
      </c>
      <c r="AY52" s="91">
        <v>14</v>
      </c>
      <c r="AZ52" s="91">
        <v>6</v>
      </c>
      <c r="BA52" s="91">
        <v>12</v>
      </c>
      <c r="BB52" s="91"/>
      <c r="BC52" s="91"/>
    </row>
    <row r="53" spans="1:55" x14ac:dyDescent="0.25">
      <c r="A53" s="91" t="s">
        <v>164</v>
      </c>
      <c r="B53" s="129">
        <f t="shared" si="2"/>
        <v>191</v>
      </c>
      <c r="C53" s="91"/>
      <c r="D53" s="91"/>
      <c r="E53" s="91">
        <v>15</v>
      </c>
      <c r="F53" s="91">
        <v>12</v>
      </c>
      <c r="G53" s="91">
        <v>1</v>
      </c>
      <c r="H53" s="91"/>
      <c r="I53" s="91">
        <v>15</v>
      </c>
      <c r="J53" s="91">
        <v>1</v>
      </c>
      <c r="K53" s="91">
        <v>1</v>
      </c>
      <c r="L53" s="91"/>
      <c r="M53" s="91">
        <v>4</v>
      </c>
      <c r="N53" s="91">
        <v>17</v>
      </c>
      <c r="O53" s="91">
        <v>10</v>
      </c>
      <c r="P53" s="91">
        <v>3</v>
      </c>
      <c r="Q53" s="91">
        <v>10</v>
      </c>
      <c r="R53" s="91"/>
      <c r="S53" s="91">
        <v>17</v>
      </c>
      <c r="T53" s="91">
        <v>2</v>
      </c>
      <c r="U53" s="91">
        <v>1</v>
      </c>
      <c r="V53" s="91"/>
      <c r="W53" s="91">
        <v>13</v>
      </c>
      <c r="X53" s="91">
        <v>11</v>
      </c>
      <c r="Y53" s="91">
        <v>14</v>
      </c>
      <c r="Z53" s="91"/>
      <c r="AA53" s="91"/>
      <c r="AB53" s="91"/>
      <c r="AC53" s="91">
        <v>2</v>
      </c>
      <c r="AD53" s="91"/>
      <c r="AE53" s="91"/>
      <c r="AF53" s="91"/>
      <c r="AG53" s="91"/>
      <c r="AH53" s="91">
        <v>7</v>
      </c>
      <c r="AI53" s="91"/>
      <c r="AJ53" s="91">
        <v>1</v>
      </c>
      <c r="AK53" s="91"/>
      <c r="AL53" s="91"/>
      <c r="AM53" s="91"/>
      <c r="AN53" s="91">
        <v>2</v>
      </c>
      <c r="AO53" s="91">
        <v>7</v>
      </c>
      <c r="AP53" s="91"/>
      <c r="AQ53" s="91">
        <v>5</v>
      </c>
      <c r="AR53" s="91"/>
      <c r="AS53" s="91"/>
      <c r="AT53" s="91">
        <v>6</v>
      </c>
      <c r="AU53" s="91"/>
      <c r="AV53" s="91"/>
      <c r="AW53" s="91">
        <v>5</v>
      </c>
      <c r="AX53" s="91">
        <v>3</v>
      </c>
      <c r="AY53" s="91"/>
      <c r="AZ53" s="91">
        <v>1</v>
      </c>
      <c r="BA53" s="91"/>
      <c r="BB53" s="91">
        <v>5</v>
      </c>
      <c r="BC53" s="91"/>
    </row>
    <row r="54" spans="1:55" x14ac:dyDescent="0.25">
      <c r="A54" s="91" t="s">
        <v>166</v>
      </c>
      <c r="B54" s="129">
        <f t="shared" si="2"/>
        <v>508</v>
      </c>
      <c r="C54" s="91">
        <v>20</v>
      </c>
      <c r="D54" s="91"/>
      <c r="E54" s="91">
        <v>17</v>
      </c>
      <c r="F54" s="91">
        <v>12</v>
      </c>
      <c r="G54" s="91">
        <v>19</v>
      </c>
      <c r="H54" s="91"/>
      <c r="I54" s="91">
        <v>16</v>
      </c>
      <c r="J54" s="91">
        <v>16</v>
      </c>
      <c r="K54" s="91">
        <v>10</v>
      </c>
      <c r="L54" s="91">
        <v>15</v>
      </c>
      <c r="M54" s="91">
        <v>11</v>
      </c>
      <c r="N54" s="91">
        <v>14</v>
      </c>
      <c r="O54" s="91">
        <v>19</v>
      </c>
      <c r="P54" s="91"/>
      <c r="Q54" s="91">
        <v>32</v>
      </c>
      <c r="R54" s="91"/>
      <c r="S54" s="91">
        <v>11</v>
      </c>
      <c r="T54" s="91">
        <v>3</v>
      </c>
      <c r="U54" s="91">
        <v>17</v>
      </c>
      <c r="V54" s="91">
        <v>4</v>
      </c>
      <c r="W54" s="91">
        <v>21</v>
      </c>
      <c r="X54" s="91">
        <v>10</v>
      </c>
      <c r="Y54" s="91">
        <v>30</v>
      </c>
      <c r="Z54" s="91">
        <v>4</v>
      </c>
      <c r="AA54" s="91"/>
      <c r="AB54" s="91">
        <v>3</v>
      </c>
      <c r="AC54" s="91">
        <v>6</v>
      </c>
      <c r="AD54" s="91">
        <v>1</v>
      </c>
      <c r="AE54" s="91">
        <v>10</v>
      </c>
      <c r="AF54" s="91"/>
      <c r="AG54" s="91">
        <v>2</v>
      </c>
      <c r="AH54" s="91">
        <v>3</v>
      </c>
      <c r="AI54" s="91">
        <v>9</v>
      </c>
      <c r="AJ54" s="91">
        <v>1</v>
      </c>
      <c r="AK54" s="91"/>
      <c r="AL54" s="91">
        <v>9</v>
      </c>
      <c r="AM54" s="91">
        <v>10</v>
      </c>
      <c r="AN54" s="91">
        <v>5</v>
      </c>
      <c r="AO54" s="91">
        <v>15</v>
      </c>
      <c r="AP54" s="91">
        <v>7</v>
      </c>
      <c r="AQ54" s="91">
        <v>11</v>
      </c>
      <c r="AR54" s="91">
        <v>13</v>
      </c>
      <c r="AS54" s="91"/>
      <c r="AT54" s="91">
        <v>6</v>
      </c>
      <c r="AU54" s="91">
        <v>4</v>
      </c>
      <c r="AV54" s="91">
        <v>2</v>
      </c>
      <c r="AW54" s="91">
        <v>47</v>
      </c>
      <c r="AX54" s="91">
        <v>16</v>
      </c>
      <c r="AY54" s="91">
        <v>4</v>
      </c>
      <c r="AZ54" s="91">
        <v>4</v>
      </c>
      <c r="BA54" s="91">
        <v>18</v>
      </c>
      <c r="BB54" s="91">
        <v>1</v>
      </c>
      <c r="BC54" s="91"/>
    </row>
    <row r="55" spans="1:55" x14ac:dyDescent="0.25">
      <c r="A55" s="91" t="s">
        <v>194</v>
      </c>
      <c r="B55" s="129">
        <f t="shared" si="2"/>
        <v>269</v>
      </c>
      <c r="C55" s="91"/>
      <c r="D55" s="91">
        <v>5</v>
      </c>
      <c r="E55" s="91">
        <v>5</v>
      </c>
      <c r="F55" s="91">
        <v>4</v>
      </c>
      <c r="G55" s="91">
        <v>8</v>
      </c>
      <c r="H55" s="91"/>
      <c r="I55" s="91">
        <v>2</v>
      </c>
      <c r="J55" s="91">
        <v>7</v>
      </c>
      <c r="K55" s="91">
        <v>13</v>
      </c>
      <c r="L55" s="91">
        <v>2</v>
      </c>
      <c r="M55" s="91">
        <v>7</v>
      </c>
      <c r="N55" s="91">
        <v>8</v>
      </c>
      <c r="O55" s="91">
        <v>4</v>
      </c>
      <c r="P55" s="91">
        <v>1</v>
      </c>
      <c r="Q55" s="91"/>
      <c r="R55" s="91">
        <v>3</v>
      </c>
      <c r="S55" s="91"/>
      <c r="T55" s="91">
        <v>5</v>
      </c>
      <c r="U55" s="91">
        <v>6</v>
      </c>
      <c r="V55" s="91">
        <v>9</v>
      </c>
      <c r="W55" s="91">
        <v>3</v>
      </c>
      <c r="X55" s="91">
        <v>13</v>
      </c>
      <c r="Y55" s="91">
        <v>4</v>
      </c>
      <c r="Z55" s="91">
        <v>3</v>
      </c>
      <c r="AA55" s="91">
        <v>11</v>
      </c>
      <c r="AB55" s="91">
        <v>8</v>
      </c>
      <c r="AC55" s="91">
        <v>8</v>
      </c>
      <c r="AD55" s="91">
        <v>2</v>
      </c>
      <c r="AE55" s="91">
        <v>2</v>
      </c>
      <c r="AF55" s="91">
        <v>9</v>
      </c>
      <c r="AG55" s="91">
        <v>3</v>
      </c>
      <c r="AH55" s="91">
        <v>11</v>
      </c>
      <c r="AI55" s="91">
        <v>3</v>
      </c>
      <c r="AJ55" s="91">
        <v>3</v>
      </c>
      <c r="AK55" s="91">
        <v>14</v>
      </c>
      <c r="AL55" s="91">
        <v>9</v>
      </c>
      <c r="AM55" s="91">
        <v>4</v>
      </c>
      <c r="AN55" s="91">
        <v>5</v>
      </c>
      <c r="AO55" s="91">
        <v>6</v>
      </c>
      <c r="AP55" s="91">
        <v>1</v>
      </c>
      <c r="AQ55" s="91">
        <v>1</v>
      </c>
      <c r="AR55" s="91">
        <v>4</v>
      </c>
      <c r="AS55" s="91">
        <v>8</v>
      </c>
      <c r="AT55" s="91"/>
      <c r="AU55" s="91">
        <v>19</v>
      </c>
      <c r="AV55" s="91">
        <v>4</v>
      </c>
      <c r="AW55" s="91"/>
      <c r="AX55" s="91">
        <v>4</v>
      </c>
      <c r="AY55" s="91">
        <v>2</v>
      </c>
      <c r="AZ55" s="91">
        <v>3</v>
      </c>
      <c r="BA55" s="91">
        <v>3</v>
      </c>
      <c r="BB55" s="91">
        <v>10</v>
      </c>
      <c r="BC55" s="91"/>
    </row>
    <row r="56" spans="1:55" x14ac:dyDescent="0.25">
      <c r="A56" s="91" t="s">
        <v>155</v>
      </c>
      <c r="B56" s="129">
        <f t="shared" si="2"/>
        <v>432</v>
      </c>
      <c r="C56" s="91">
        <v>10</v>
      </c>
      <c r="D56" s="91">
        <v>12</v>
      </c>
      <c r="E56" s="91">
        <v>18</v>
      </c>
      <c r="F56" s="91">
        <v>12</v>
      </c>
      <c r="G56" s="91">
        <v>21</v>
      </c>
      <c r="H56" s="91">
        <v>5</v>
      </c>
      <c r="I56" s="91">
        <v>13</v>
      </c>
      <c r="J56" s="91">
        <v>14</v>
      </c>
      <c r="K56" s="91">
        <v>1</v>
      </c>
      <c r="L56" s="91">
        <v>12</v>
      </c>
      <c r="M56" s="91">
        <v>2</v>
      </c>
      <c r="N56" s="91">
        <v>10</v>
      </c>
      <c r="O56" s="91">
        <v>6</v>
      </c>
      <c r="P56" s="91">
        <v>1</v>
      </c>
      <c r="Q56" s="91">
        <v>17</v>
      </c>
      <c r="R56" s="91">
        <v>8</v>
      </c>
      <c r="S56" s="91">
        <v>9</v>
      </c>
      <c r="T56" s="91">
        <v>10</v>
      </c>
      <c r="U56" s="91">
        <v>2</v>
      </c>
      <c r="V56" s="91"/>
      <c r="W56" s="91">
        <v>17</v>
      </c>
      <c r="X56" s="91">
        <v>18</v>
      </c>
      <c r="Y56" s="91">
        <v>10</v>
      </c>
      <c r="Z56" s="91">
        <v>5</v>
      </c>
      <c r="AA56" s="91">
        <v>11</v>
      </c>
      <c r="AB56" s="91">
        <v>8</v>
      </c>
      <c r="AC56" s="91">
        <v>3</v>
      </c>
      <c r="AD56" s="91">
        <v>7</v>
      </c>
      <c r="AE56" s="91">
        <v>10</v>
      </c>
      <c r="AF56" s="91">
        <v>1</v>
      </c>
      <c r="AG56" s="91">
        <v>8</v>
      </c>
      <c r="AH56" s="91">
        <v>6</v>
      </c>
      <c r="AI56" s="91">
        <v>7</v>
      </c>
      <c r="AJ56" s="91">
        <v>18</v>
      </c>
      <c r="AK56" s="91">
        <v>8</v>
      </c>
      <c r="AL56" s="91">
        <v>22</v>
      </c>
      <c r="AM56" s="91">
        <v>2</v>
      </c>
      <c r="AN56" s="91">
        <v>8</v>
      </c>
      <c r="AO56" s="91">
        <v>13</v>
      </c>
      <c r="AP56" s="91">
        <v>2</v>
      </c>
      <c r="AQ56" s="91">
        <v>10</v>
      </c>
      <c r="AR56" s="91">
        <v>12</v>
      </c>
      <c r="AS56" s="91">
        <v>8</v>
      </c>
      <c r="AT56" s="91"/>
      <c r="AU56" s="91">
        <v>2</v>
      </c>
      <c r="AV56" s="91">
        <v>5</v>
      </c>
      <c r="AW56" s="91">
        <v>10</v>
      </c>
      <c r="AX56" s="91">
        <v>2</v>
      </c>
      <c r="AY56" s="91">
        <v>5</v>
      </c>
      <c r="AZ56" s="91">
        <v>2</v>
      </c>
      <c r="BA56" s="91">
        <v>3</v>
      </c>
      <c r="BB56" s="91">
        <v>6</v>
      </c>
      <c r="BC56" s="91"/>
    </row>
    <row r="57" spans="1:55" x14ac:dyDescent="0.25">
      <c r="A57" s="91" t="s">
        <v>596</v>
      </c>
      <c r="B57" s="129">
        <f t="shared" si="2"/>
        <v>270</v>
      </c>
      <c r="C57" s="91">
        <v>6</v>
      </c>
      <c r="D57" s="91">
        <v>6</v>
      </c>
      <c r="E57" s="91">
        <v>9</v>
      </c>
      <c r="F57" s="91">
        <v>4</v>
      </c>
      <c r="G57" s="91">
        <v>6</v>
      </c>
      <c r="H57" s="91">
        <v>1</v>
      </c>
      <c r="I57" s="91">
        <v>3</v>
      </c>
      <c r="J57" s="91">
        <v>2</v>
      </c>
      <c r="K57" s="91">
        <v>9</v>
      </c>
      <c r="L57" s="91">
        <v>9</v>
      </c>
      <c r="M57" s="91"/>
      <c r="N57" s="91">
        <v>11</v>
      </c>
      <c r="O57" s="91"/>
      <c r="P57" s="91">
        <v>17</v>
      </c>
      <c r="Q57" s="91">
        <v>3</v>
      </c>
      <c r="R57" s="91">
        <v>3</v>
      </c>
      <c r="S57" s="91">
        <v>4</v>
      </c>
      <c r="T57" s="91">
        <v>1</v>
      </c>
      <c r="U57" s="91">
        <v>11</v>
      </c>
      <c r="V57" s="91">
        <v>6</v>
      </c>
      <c r="W57" s="91">
        <v>5</v>
      </c>
      <c r="X57" s="91">
        <v>7</v>
      </c>
      <c r="Y57" s="91">
        <v>6</v>
      </c>
      <c r="Z57" s="91">
        <v>3</v>
      </c>
      <c r="AA57" s="91">
        <v>12</v>
      </c>
      <c r="AB57" s="91">
        <v>3</v>
      </c>
      <c r="AC57" s="91">
        <v>3</v>
      </c>
      <c r="AD57" s="91">
        <v>2</v>
      </c>
      <c r="AE57" s="91">
        <v>2</v>
      </c>
      <c r="AF57" s="91">
        <v>2</v>
      </c>
      <c r="AG57" s="91">
        <v>11</v>
      </c>
      <c r="AH57" s="91">
        <v>8</v>
      </c>
      <c r="AI57" s="91">
        <v>6</v>
      </c>
      <c r="AJ57" s="91"/>
      <c r="AK57" s="91">
        <v>5</v>
      </c>
      <c r="AL57" s="91">
        <v>12</v>
      </c>
      <c r="AM57" s="91">
        <v>14</v>
      </c>
      <c r="AN57" s="91">
        <v>5</v>
      </c>
      <c r="AO57" s="91">
        <v>8</v>
      </c>
      <c r="AP57" s="91">
        <v>1</v>
      </c>
      <c r="AQ57" s="91">
        <v>4</v>
      </c>
      <c r="AR57" s="91">
        <v>9</v>
      </c>
      <c r="AS57" s="91">
        <v>1</v>
      </c>
      <c r="AT57" s="91"/>
      <c r="AU57" s="91">
        <v>3</v>
      </c>
      <c r="AV57" s="91">
        <v>5</v>
      </c>
      <c r="AW57" s="91">
        <v>5</v>
      </c>
      <c r="AX57" s="91">
        <v>2</v>
      </c>
      <c r="AY57" s="91">
        <v>9</v>
      </c>
      <c r="AZ57" s="91">
        <v>5</v>
      </c>
      <c r="BA57" s="91"/>
      <c r="BB57" s="91">
        <v>1</v>
      </c>
      <c r="BC57" s="91"/>
    </row>
    <row r="58" spans="1:55" x14ac:dyDescent="0.25">
      <c r="A58" s="91" t="s">
        <v>213</v>
      </c>
      <c r="B58" s="129">
        <f t="shared" si="2"/>
        <v>58</v>
      </c>
      <c r="C58" s="91">
        <v>2</v>
      </c>
      <c r="D58" s="91"/>
      <c r="E58" s="91">
        <v>9</v>
      </c>
      <c r="F58" s="91"/>
      <c r="G58" s="91">
        <v>3</v>
      </c>
      <c r="H58" s="91"/>
      <c r="I58" s="91">
        <v>5</v>
      </c>
      <c r="J58" s="91">
        <v>8</v>
      </c>
      <c r="K58" s="91"/>
      <c r="L58" s="91"/>
      <c r="M58" s="91"/>
      <c r="N58" s="91">
        <v>2</v>
      </c>
      <c r="O58" s="91"/>
      <c r="P58" s="91"/>
      <c r="Q58" s="91"/>
      <c r="R58" s="91">
        <v>1</v>
      </c>
      <c r="S58" s="91">
        <v>1</v>
      </c>
      <c r="T58" s="91"/>
      <c r="U58" s="91">
        <v>2</v>
      </c>
      <c r="V58" s="91"/>
      <c r="W58" s="91">
        <v>1</v>
      </c>
      <c r="X58" s="91">
        <v>2</v>
      </c>
      <c r="Y58" s="91">
        <v>1</v>
      </c>
      <c r="Z58" s="91">
        <v>1</v>
      </c>
      <c r="AA58" s="91">
        <v>1</v>
      </c>
      <c r="AB58" s="91"/>
      <c r="AC58" s="91">
        <v>1</v>
      </c>
      <c r="AD58" s="91">
        <v>2</v>
      </c>
      <c r="AE58" s="91"/>
      <c r="AF58" s="91">
        <v>4</v>
      </c>
      <c r="AG58" s="91"/>
      <c r="AH58" s="91"/>
      <c r="AI58" s="91"/>
      <c r="AJ58" s="91"/>
      <c r="AK58" s="91"/>
      <c r="AL58" s="91"/>
      <c r="AM58" s="91"/>
      <c r="AN58" s="91"/>
      <c r="AO58" s="91"/>
      <c r="AP58" s="91">
        <v>1</v>
      </c>
      <c r="AQ58" s="91">
        <v>2</v>
      </c>
      <c r="AR58" s="91">
        <v>1</v>
      </c>
      <c r="AS58" s="91"/>
      <c r="AT58" s="91"/>
      <c r="AU58" s="91"/>
      <c r="AV58" s="91"/>
      <c r="AW58" s="91">
        <v>1</v>
      </c>
      <c r="AX58" s="91"/>
      <c r="AY58" s="91"/>
      <c r="AZ58" s="91">
        <v>1</v>
      </c>
      <c r="BA58" s="91">
        <v>3</v>
      </c>
      <c r="BB58" s="91">
        <v>3</v>
      </c>
      <c r="BC58" s="91"/>
    </row>
    <row r="59" spans="1:55" x14ac:dyDescent="0.25">
      <c r="A59" s="91" t="s">
        <v>317</v>
      </c>
      <c r="B59" s="129">
        <f t="shared" si="2"/>
        <v>486</v>
      </c>
      <c r="C59" s="91">
        <v>9</v>
      </c>
      <c r="D59" s="91">
        <v>10</v>
      </c>
      <c r="E59" s="91">
        <v>12</v>
      </c>
      <c r="F59" s="91">
        <v>15</v>
      </c>
      <c r="G59" s="91">
        <v>3</v>
      </c>
      <c r="H59" s="91"/>
      <c r="I59" s="91">
        <v>13</v>
      </c>
      <c r="J59" s="91">
        <v>8</v>
      </c>
      <c r="K59" s="91">
        <v>13</v>
      </c>
      <c r="L59" s="91">
        <v>3</v>
      </c>
      <c r="M59" s="91">
        <v>16</v>
      </c>
      <c r="N59" s="91">
        <v>21</v>
      </c>
      <c r="O59" s="91">
        <v>10</v>
      </c>
      <c r="P59" s="91">
        <v>14</v>
      </c>
      <c r="Q59" s="91">
        <v>9</v>
      </c>
      <c r="R59" s="91">
        <v>14</v>
      </c>
      <c r="S59" s="91">
        <v>18</v>
      </c>
      <c r="T59" s="91">
        <v>3</v>
      </c>
      <c r="U59" s="91">
        <v>4</v>
      </c>
      <c r="V59" s="91">
        <v>3</v>
      </c>
      <c r="W59" s="91"/>
      <c r="X59" s="91">
        <v>9</v>
      </c>
      <c r="Y59" s="91">
        <v>8</v>
      </c>
      <c r="Z59" s="91">
        <v>8</v>
      </c>
      <c r="AA59" s="91">
        <v>9</v>
      </c>
      <c r="AB59" s="91">
        <v>11</v>
      </c>
      <c r="AC59" s="91">
        <v>8</v>
      </c>
      <c r="AD59" s="91">
        <v>8</v>
      </c>
      <c r="AE59" s="91">
        <v>9</v>
      </c>
      <c r="AF59" s="91">
        <v>8</v>
      </c>
      <c r="AG59" s="91">
        <v>9</v>
      </c>
      <c r="AH59" s="91">
        <v>11</v>
      </c>
      <c r="AI59" s="91">
        <v>13</v>
      </c>
      <c r="AJ59" s="91">
        <v>8</v>
      </c>
      <c r="AK59" s="91">
        <v>9</v>
      </c>
      <c r="AL59" s="91">
        <v>17</v>
      </c>
      <c r="AM59" s="91">
        <v>10</v>
      </c>
      <c r="AN59" s="91">
        <v>9</v>
      </c>
      <c r="AO59" s="91">
        <v>20</v>
      </c>
      <c r="AP59" s="91">
        <v>8</v>
      </c>
      <c r="AQ59" s="91">
        <v>15</v>
      </c>
      <c r="AR59" s="91">
        <v>11</v>
      </c>
      <c r="AS59" s="91">
        <v>9</v>
      </c>
      <c r="AT59" s="91"/>
      <c r="AU59" s="91">
        <v>8</v>
      </c>
      <c r="AV59" s="91">
        <v>3</v>
      </c>
      <c r="AW59" s="91">
        <v>1</v>
      </c>
      <c r="AX59" s="91">
        <v>21</v>
      </c>
      <c r="AY59" s="91">
        <v>10</v>
      </c>
      <c r="AZ59" s="91">
        <v>9</v>
      </c>
      <c r="BA59" s="91">
        <v>4</v>
      </c>
      <c r="BB59" s="91">
        <v>5</v>
      </c>
      <c r="BC59" s="91"/>
    </row>
    <row r="60" spans="1:55" x14ac:dyDescent="0.25">
      <c r="A60" s="91" t="s">
        <v>359</v>
      </c>
      <c r="B60" s="129">
        <f t="shared" si="2"/>
        <v>698</v>
      </c>
      <c r="C60" s="91">
        <v>5</v>
      </c>
      <c r="D60" s="91">
        <v>32</v>
      </c>
      <c r="E60" s="91">
        <v>20</v>
      </c>
      <c r="F60" s="91">
        <v>22</v>
      </c>
      <c r="G60" s="91">
        <v>6</v>
      </c>
      <c r="H60" s="91">
        <v>11</v>
      </c>
      <c r="I60" s="91">
        <v>13</v>
      </c>
      <c r="J60" s="91">
        <v>29</v>
      </c>
      <c r="K60" s="91">
        <v>20</v>
      </c>
      <c r="L60" s="91">
        <v>4</v>
      </c>
      <c r="M60" s="91">
        <v>24</v>
      </c>
      <c r="N60" s="91">
        <v>21</v>
      </c>
      <c r="O60" s="91">
        <v>10</v>
      </c>
      <c r="P60" s="91">
        <v>16</v>
      </c>
      <c r="Q60" s="91">
        <v>15</v>
      </c>
      <c r="R60" s="91">
        <v>7</v>
      </c>
      <c r="S60" s="91">
        <v>21</v>
      </c>
      <c r="T60" s="91">
        <v>1</v>
      </c>
      <c r="U60" s="91">
        <v>19</v>
      </c>
      <c r="V60" s="91">
        <v>8</v>
      </c>
      <c r="W60" s="91">
        <v>7</v>
      </c>
      <c r="X60" s="91">
        <v>17</v>
      </c>
      <c r="Y60" s="91">
        <v>9</v>
      </c>
      <c r="Z60" s="91">
        <v>21</v>
      </c>
      <c r="AA60" s="91">
        <v>4</v>
      </c>
      <c r="AB60" s="91">
        <v>18</v>
      </c>
      <c r="AC60" s="91">
        <v>22</v>
      </c>
      <c r="AD60" s="91">
        <v>23</v>
      </c>
      <c r="AE60" s="91">
        <v>8</v>
      </c>
      <c r="AF60" s="91">
        <v>17</v>
      </c>
      <c r="AG60" s="91">
        <v>17</v>
      </c>
      <c r="AH60" s="91">
        <v>17</v>
      </c>
      <c r="AI60" s="91">
        <v>19</v>
      </c>
      <c r="AJ60" s="91">
        <v>14</v>
      </c>
      <c r="AK60" s="91">
        <v>22</v>
      </c>
      <c r="AL60" s="91">
        <v>11</v>
      </c>
      <c r="AM60" s="91">
        <v>16</v>
      </c>
      <c r="AN60" s="91">
        <v>1</v>
      </c>
      <c r="AO60" s="91">
        <v>7</v>
      </c>
      <c r="AP60" s="91">
        <v>16</v>
      </c>
      <c r="AQ60" s="91">
        <v>13</v>
      </c>
      <c r="AR60" s="91">
        <v>4</v>
      </c>
      <c r="AS60" s="91">
        <v>19</v>
      </c>
      <c r="AT60" s="91"/>
      <c r="AU60" s="91">
        <v>1</v>
      </c>
      <c r="AV60" s="91"/>
      <c r="AW60" s="91">
        <v>16</v>
      </c>
      <c r="AX60" s="91">
        <v>22</v>
      </c>
      <c r="AY60" s="91">
        <v>5</v>
      </c>
      <c r="AZ60" s="91">
        <v>17</v>
      </c>
      <c r="BA60" s="91">
        <v>5</v>
      </c>
      <c r="BB60" s="91">
        <v>6</v>
      </c>
      <c r="BC60" s="91"/>
    </row>
    <row r="61" spans="1:55" x14ac:dyDescent="0.25">
      <c r="A61" s="91" t="s">
        <v>310</v>
      </c>
      <c r="B61" s="129">
        <f t="shared" si="2"/>
        <v>673</v>
      </c>
      <c r="C61" s="91">
        <v>17</v>
      </c>
      <c r="D61" s="91">
        <v>19</v>
      </c>
      <c r="E61" s="91">
        <v>18</v>
      </c>
      <c r="F61" s="91">
        <v>12</v>
      </c>
      <c r="G61" s="91">
        <v>7</v>
      </c>
      <c r="H61" s="91"/>
      <c r="I61" s="91">
        <v>14</v>
      </c>
      <c r="J61" s="91">
        <v>19</v>
      </c>
      <c r="K61" s="91">
        <v>20</v>
      </c>
      <c r="L61" s="91">
        <v>14</v>
      </c>
      <c r="M61" s="91">
        <v>14</v>
      </c>
      <c r="N61" s="91">
        <v>24</v>
      </c>
      <c r="O61" s="91">
        <v>24</v>
      </c>
      <c r="P61" s="91">
        <v>7</v>
      </c>
      <c r="Q61" s="91">
        <v>9</v>
      </c>
      <c r="R61" s="91">
        <v>16</v>
      </c>
      <c r="S61" s="91">
        <v>21</v>
      </c>
      <c r="T61" s="91">
        <v>4</v>
      </c>
      <c r="U61" s="91">
        <v>13</v>
      </c>
      <c r="V61" s="91">
        <v>9</v>
      </c>
      <c r="W61" s="91">
        <v>8</v>
      </c>
      <c r="X61" s="91">
        <v>13</v>
      </c>
      <c r="Y61" s="91">
        <v>8</v>
      </c>
      <c r="Z61" s="91">
        <v>9</v>
      </c>
      <c r="AA61" s="91">
        <v>11</v>
      </c>
      <c r="AB61" s="91">
        <v>13</v>
      </c>
      <c r="AC61" s="91">
        <v>14</v>
      </c>
      <c r="AD61" s="91">
        <v>16</v>
      </c>
      <c r="AE61" s="91">
        <v>11</v>
      </c>
      <c r="AF61" s="91">
        <v>5</v>
      </c>
      <c r="AG61" s="91">
        <v>17</v>
      </c>
      <c r="AH61" s="91">
        <v>24</v>
      </c>
      <c r="AI61" s="91">
        <v>16</v>
      </c>
      <c r="AJ61" s="91">
        <v>8</v>
      </c>
      <c r="AK61" s="91">
        <v>13</v>
      </c>
      <c r="AL61" s="91">
        <v>17</v>
      </c>
      <c r="AM61" s="91">
        <v>7</v>
      </c>
      <c r="AN61" s="91">
        <v>13</v>
      </c>
      <c r="AO61" s="91">
        <v>22</v>
      </c>
      <c r="AP61" s="91">
        <v>11</v>
      </c>
      <c r="AQ61" s="91">
        <v>22</v>
      </c>
      <c r="AR61" s="91">
        <v>11</v>
      </c>
      <c r="AS61" s="91">
        <v>15</v>
      </c>
      <c r="AT61" s="91"/>
      <c r="AU61" s="91">
        <v>17</v>
      </c>
      <c r="AV61" s="91">
        <v>22</v>
      </c>
      <c r="AW61" s="91">
        <v>3</v>
      </c>
      <c r="AX61" s="91">
        <v>12</v>
      </c>
      <c r="AY61" s="91">
        <v>13</v>
      </c>
      <c r="AZ61" s="91">
        <v>19</v>
      </c>
      <c r="BA61" s="91">
        <v>1</v>
      </c>
      <c r="BB61" s="91">
        <v>1</v>
      </c>
      <c r="BC61" s="91"/>
    </row>
    <row r="62" spans="1:55" x14ac:dyDescent="0.25">
      <c r="A62" s="91" t="s">
        <v>312</v>
      </c>
      <c r="B62" s="129">
        <f t="shared" si="2"/>
        <v>151</v>
      </c>
      <c r="C62" s="91"/>
      <c r="D62" s="91">
        <v>1</v>
      </c>
      <c r="E62" s="91">
        <v>18</v>
      </c>
      <c r="F62" s="91">
        <v>5</v>
      </c>
      <c r="G62" s="91">
        <v>3</v>
      </c>
      <c r="H62" s="91"/>
      <c r="I62" s="91">
        <v>8</v>
      </c>
      <c r="J62" s="91">
        <v>7</v>
      </c>
      <c r="K62" s="91">
        <v>1</v>
      </c>
      <c r="L62" s="91"/>
      <c r="M62" s="91">
        <v>1</v>
      </c>
      <c r="N62" s="91">
        <v>9</v>
      </c>
      <c r="O62" s="91">
        <v>7</v>
      </c>
      <c r="P62" s="91"/>
      <c r="Q62" s="91">
        <v>6</v>
      </c>
      <c r="R62" s="91">
        <v>1</v>
      </c>
      <c r="S62" s="91">
        <v>8</v>
      </c>
      <c r="T62" s="91"/>
      <c r="U62" s="91">
        <v>2</v>
      </c>
      <c r="V62" s="91">
        <v>9</v>
      </c>
      <c r="W62" s="91">
        <v>2</v>
      </c>
      <c r="X62" s="91">
        <v>4</v>
      </c>
      <c r="Y62" s="91">
        <v>4</v>
      </c>
      <c r="Z62" s="91"/>
      <c r="AA62" s="91">
        <v>1</v>
      </c>
      <c r="AB62" s="91">
        <v>3</v>
      </c>
      <c r="AC62" s="91">
        <v>2</v>
      </c>
      <c r="AD62" s="91">
        <v>1</v>
      </c>
      <c r="AE62" s="91">
        <v>6</v>
      </c>
      <c r="AF62" s="91">
        <v>2</v>
      </c>
      <c r="AG62" s="91"/>
      <c r="AH62" s="91">
        <v>2</v>
      </c>
      <c r="AI62" s="91">
        <v>2</v>
      </c>
      <c r="AJ62" s="91">
        <v>3</v>
      </c>
      <c r="AK62" s="91">
        <v>3</v>
      </c>
      <c r="AL62" s="91">
        <v>4</v>
      </c>
      <c r="AM62" s="91">
        <v>2</v>
      </c>
      <c r="AN62" s="91">
        <v>8</v>
      </c>
      <c r="AO62" s="91"/>
      <c r="AP62" s="91"/>
      <c r="AQ62" s="91"/>
      <c r="AR62" s="91">
        <v>4</v>
      </c>
      <c r="AS62" s="91">
        <v>3</v>
      </c>
      <c r="AT62" s="91"/>
      <c r="AU62" s="91">
        <v>2</v>
      </c>
      <c r="AV62" s="91">
        <v>1</v>
      </c>
      <c r="AW62" s="91"/>
      <c r="AX62" s="91"/>
      <c r="AY62" s="91"/>
      <c r="AZ62" s="91">
        <v>1</v>
      </c>
      <c r="BA62" s="91">
        <v>5</v>
      </c>
      <c r="BB62" s="91"/>
      <c r="BC62" s="91"/>
    </row>
    <row r="63" spans="1:55" x14ac:dyDescent="0.25">
      <c r="A63" s="91" t="s">
        <v>129</v>
      </c>
      <c r="B63" s="129">
        <f t="shared" si="2"/>
        <v>451</v>
      </c>
      <c r="C63" s="91">
        <v>14</v>
      </c>
      <c r="D63" s="91">
        <v>8</v>
      </c>
      <c r="E63" s="91">
        <v>7</v>
      </c>
      <c r="F63" s="91">
        <v>10</v>
      </c>
      <c r="G63" s="91">
        <v>6</v>
      </c>
      <c r="H63" s="91"/>
      <c r="I63" s="91">
        <v>7</v>
      </c>
      <c r="J63" s="91">
        <v>11</v>
      </c>
      <c r="K63" s="91"/>
      <c r="L63" s="91">
        <v>4</v>
      </c>
      <c r="M63" s="91">
        <v>12</v>
      </c>
      <c r="N63" s="91">
        <v>19</v>
      </c>
      <c r="O63" s="91">
        <v>5</v>
      </c>
      <c r="P63" s="91">
        <v>8</v>
      </c>
      <c r="Q63" s="91">
        <v>16</v>
      </c>
      <c r="R63" s="91"/>
      <c r="S63" s="91">
        <v>1</v>
      </c>
      <c r="T63" s="91">
        <v>5</v>
      </c>
      <c r="U63" s="91">
        <v>8</v>
      </c>
      <c r="V63" s="91">
        <v>8</v>
      </c>
      <c r="W63" s="91">
        <v>2</v>
      </c>
      <c r="X63" s="91"/>
      <c r="Y63" s="91">
        <v>3</v>
      </c>
      <c r="Z63" s="91">
        <v>2</v>
      </c>
      <c r="AA63" s="91">
        <v>15</v>
      </c>
      <c r="AB63" s="91">
        <v>3</v>
      </c>
      <c r="AC63" s="91">
        <v>9</v>
      </c>
      <c r="AD63" s="91">
        <v>8</v>
      </c>
      <c r="AE63" s="91">
        <v>9</v>
      </c>
      <c r="AF63" s="91">
        <v>3</v>
      </c>
      <c r="AG63" s="91">
        <v>6</v>
      </c>
      <c r="AH63" s="91">
        <v>13</v>
      </c>
      <c r="AI63" s="91">
        <v>11</v>
      </c>
      <c r="AJ63" s="91">
        <v>21</v>
      </c>
      <c r="AK63" s="91">
        <v>26</v>
      </c>
      <c r="AL63" s="91">
        <v>14</v>
      </c>
      <c r="AM63" s="91">
        <v>5</v>
      </c>
      <c r="AN63" s="91">
        <v>15</v>
      </c>
      <c r="AO63" s="91">
        <v>3</v>
      </c>
      <c r="AP63" s="91">
        <v>9</v>
      </c>
      <c r="AQ63" s="91">
        <v>12</v>
      </c>
      <c r="AR63" s="91">
        <v>14</v>
      </c>
      <c r="AS63" s="91">
        <v>5</v>
      </c>
      <c r="AT63" s="91"/>
      <c r="AU63" s="91">
        <v>18</v>
      </c>
      <c r="AV63" s="91">
        <v>3</v>
      </c>
      <c r="AW63" s="91">
        <v>18</v>
      </c>
      <c r="AX63" s="91">
        <v>13</v>
      </c>
      <c r="AY63" s="91">
        <v>3</v>
      </c>
      <c r="AZ63" s="91">
        <v>7</v>
      </c>
      <c r="BA63" s="91">
        <v>17</v>
      </c>
      <c r="BB63" s="91">
        <v>15</v>
      </c>
      <c r="BC63" s="91"/>
    </row>
    <row r="64" spans="1:55" x14ac:dyDescent="0.25">
      <c r="A64" s="91" t="s">
        <v>235</v>
      </c>
      <c r="B64" s="129">
        <f t="shared" si="2"/>
        <v>205</v>
      </c>
      <c r="C64" s="91"/>
      <c r="D64" s="91">
        <v>3</v>
      </c>
      <c r="E64" s="91">
        <v>17</v>
      </c>
      <c r="F64" s="91">
        <v>11</v>
      </c>
      <c r="G64" s="91">
        <v>11</v>
      </c>
      <c r="H64" s="91"/>
      <c r="I64" s="91">
        <v>19</v>
      </c>
      <c r="J64" s="91">
        <v>6</v>
      </c>
      <c r="K64" s="91">
        <v>1</v>
      </c>
      <c r="L64" s="91">
        <v>3</v>
      </c>
      <c r="M64" s="91"/>
      <c r="N64" s="91">
        <v>2</v>
      </c>
      <c r="O64" s="91"/>
      <c r="P64" s="91">
        <v>6</v>
      </c>
      <c r="Q64" s="91">
        <v>18</v>
      </c>
      <c r="R64" s="91">
        <v>6</v>
      </c>
      <c r="S64" s="91">
        <v>24</v>
      </c>
      <c r="T64" s="91"/>
      <c r="U64" s="91">
        <v>5</v>
      </c>
      <c r="V64" s="91">
        <v>2</v>
      </c>
      <c r="W64" s="91">
        <v>7</v>
      </c>
      <c r="X64" s="91">
        <v>10</v>
      </c>
      <c r="Y64" s="91"/>
      <c r="Z64" s="91">
        <v>10</v>
      </c>
      <c r="AA64" s="91"/>
      <c r="AB64" s="91"/>
      <c r="AC64" s="91"/>
      <c r="AD64" s="91">
        <v>4</v>
      </c>
      <c r="AE64" s="91">
        <v>1</v>
      </c>
      <c r="AF64" s="91">
        <v>3</v>
      </c>
      <c r="AG64" s="91"/>
      <c r="AH64" s="91"/>
      <c r="AI64" s="91">
        <v>1</v>
      </c>
      <c r="AJ64" s="91">
        <v>2</v>
      </c>
      <c r="AK64" s="91"/>
      <c r="AL64" s="91">
        <v>2</v>
      </c>
      <c r="AM64" s="91">
        <v>2</v>
      </c>
      <c r="AN64" s="91">
        <v>1</v>
      </c>
      <c r="AO64" s="91">
        <v>1</v>
      </c>
      <c r="AP64" s="91"/>
      <c r="AQ64" s="91"/>
      <c r="AR64" s="91">
        <v>2</v>
      </c>
      <c r="AS64" s="91"/>
      <c r="AT64" s="91"/>
      <c r="AU64" s="91">
        <v>2</v>
      </c>
      <c r="AV64" s="91"/>
      <c r="AW64" s="91"/>
      <c r="AX64" s="91"/>
      <c r="AY64" s="91"/>
      <c r="AZ64" s="91"/>
      <c r="BA64" s="91">
        <v>15</v>
      </c>
      <c r="BB64" s="91">
        <v>8</v>
      </c>
      <c r="BC64" s="91"/>
    </row>
    <row r="65" spans="1:55" x14ac:dyDescent="0.25">
      <c r="A65" s="91" t="s">
        <v>224</v>
      </c>
      <c r="B65" s="129">
        <f t="shared" si="2"/>
        <v>284</v>
      </c>
      <c r="C65" s="91">
        <v>5</v>
      </c>
      <c r="D65" s="91">
        <v>10</v>
      </c>
      <c r="E65" s="91">
        <v>3</v>
      </c>
      <c r="F65" s="91"/>
      <c r="G65" s="91">
        <v>17</v>
      </c>
      <c r="H65" s="91"/>
      <c r="I65" s="91">
        <v>11</v>
      </c>
      <c r="J65" s="91">
        <v>6</v>
      </c>
      <c r="K65" s="91">
        <v>3</v>
      </c>
      <c r="L65" s="91">
        <v>3</v>
      </c>
      <c r="M65" s="91">
        <v>1</v>
      </c>
      <c r="N65" s="91">
        <v>9</v>
      </c>
      <c r="O65" s="91">
        <v>3</v>
      </c>
      <c r="P65" s="91">
        <v>5</v>
      </c>
      <c r="Q65" s="91">
        <v>7</v>
      </c>
      <c r="R65" s="91">
        <v>2</v>
      </c>
      <c r="S65" s="91">
        <v>2</v>
      </c>
      <c r="T65" s="91">
        <v>2</v>
      </c>
      <c r="U65" s="91">
        <v>6</v>
      </c>
      <c r="V65" s="91">
        <v>6</v>
      </c>
      <c r="W65" s="91">
        <v>6</v>
      </c>
      <c r="X65" s="91">
        <v>3</v>
      </c>
      <c r="Y65" s="91">
        <v>15</v>
      </c>
      <c r="Z65" s="91">
        <v>2</v>
      </c>
      <c r="AA65" s="91">
        <v>4</v>
      </c>
      <c r="AB65" s="91">
        <v>2</v>
      </c>
      <c r="AC65" s="91">
        <v>6</v>
      </c>
      <c r="AD65" s="91">
        <v>10</v>
      </c>
      <c r="AE65" s="91">
        <v>2</v>
      </c>
      <c r="AF65" s="91">
        <v>3</v>
      </c>
      <c r="AG65" s="91">
        <v>2</v>
      </c>
      <c r="AH65" s="91">
        <v>2</v>
      </c>
      <c r="AI65" s="91">
        <v>12</v>
      </c>
      <c r="AJ65" s="91">
        <v>6</v>
      </c>
      <c r="AK65" s="91">
        <v>7</v>
      </c>
      <c r="AL65" s="91">
        <v>12</v>
      </c>
      <c r="AM65" s="91">
        <v>6</v>
      </c>
      <c r="AN65" s="91">
        <v>12</v>
      </c>
      <c r="AO65" s="91">
        <v>24</v>
      </c>
      <c r="AP65" s="91"/>
      <c r="AQ65" s="91"/>
      <c r="AR65" s="91">
        <v>5</v>
      </c>
      <c r="AS65" s="91">
        <v>16</v>
      </c>
      <c r="AT65" s="91"/>
      <c r="AU65" s="91">
        <v>3</v>
      </c>
      <c r="AV65" s="91">
        <v>4</v>
      </c>
      <c r="AW65" s="91"/>
      <c r="AX65" s="91"/>
      <c r="AY65" s="91"/>
      <c r="AZ65" s="91">
        <v>13</v>
      </c>
      <c r="BA65" s="91"/>
      <c r="BB65" s="91">
        <v>6</v>
      </c>
      <c r="BC65" s="91"/>
    </row>
    <row r="66" spans="1:55" x14ac:dyDescent="0.25">
      <c r="A66" s="91" t="s">
        <v>299</v>
      </c>
      <c r="B66" s="129">
        <f t="shared" si="2"/>
        <v>120</v>
      </c>
      <c r="C66" s="91"/>
      <c r="D66" s="91">
        <v>1</v>
      </c>
      <c r="E66" s="91">
        <v>1</v>
      </c>
      <c r="F66" s="91">
        <v>1</v>
      </c>
      <c r="G66" s="91">
        <v>2</v>
      </c>
      <c r="H66" s="91"/>
      <c r="I66" s="91">
        <v>7</v>
      </c>
      <c r="J66" s="91">
        <v>6</v>
      </c>
      <c r="K66" s="91"/>
      <c r="L66" s="91"/>
      <c r="M66" s="91">
        <v>3</v>
      </c>
      <c r="N66" s="91">
        <v>12</v>
      </c>
      <c r="O66" s="91">
        <v>3</v>
      </c>
      <c r="P66" s="91"/>
      <c r="Q66" s="91">
        <v>3</v>
      </c>
      <c r="R66" s="91"/>
      <c r="S66" s="91">
        <v>4</v>
      </c>
      <c r="T66" s="91"/>
      <c r="U66" s="91">
        <v>1</v>
      </c>
      <c r="V66" s="91"/>
      <c r="W66" s="91">
        <v>2</v>
      </c>
      <c r="X66" s="91">
        <v>15</v>
      </c>
      <c r="Y66" s="91">
        <v>1</v>
      </c>
      <c r="Z66" s="91"/>
      <c r="AA66" s="91">
        <v>1</v>
      </c>
      <c r="AB66" s="91"/>
      <c r="AC66" s="91">
        <v>13</v>
      </c>
      <c r="AD66" s="91">
        <v>4</v>
      </c>
      <c r="AE66" s="91">
        <v>1</v>
      </c>
      <c r="AF66" s="91">
        <v>4</v>
      </c>
      <c r="AG66" s="91">
        <v>1</v>
      </c>
      <c r="AH66" s="91">
        <v>3</v>
      </c>
      <c r="AI66" s="91">
        <v>8</v>
      </c>
      <c r="AJ66" s="91">
        <v>3</v>
      </c>
      <c r="AK66" s="91"/>
      <c r="AL66" s="91">
        <v>4</v>
      </c>
      <c r="AM66" s="91"/>
      <c r="AN66" s="91">
        <v>1</v>
      </c>
      <c r="AO66" s="91">
        <v>1</v>
      </c>
      <c r="AP66" s="91"/>
      <c r="AQ66" s="91"/>
      <c r="AR66" s="91">
        <v>5</v>
      </c>
      <c r="AS66" s="91"/>
      <c r="AT66" s="91"/>
      <c r="AU66" s="91">
        <v>2</v>
      </c>
      <c r="AV66" s="91">
        <v>1</v>
      </c>
      <c r="AW66" s="91"/>
      <c r="AX66" s="91"/>
      <c r="AY66" s="91"/>
      <c r="AZ66" s="91"/>
      <c r="BA66" s="91">
        <v>6</v>
      </c>
      <c r="BB66" s="91"/>
      <c r="BC66" s="91"/>
    </row>
    <row r="67" spans="1:55" x14ac:dyDescent="0.25">
      <c r="A67" s="91" t="s">
        <v>277</v>
      </c>
      <c r="B67" s="129">
        <f t="shared" si="2"/>
        <v>180</v>
      </c>
      <c r="C67" s="91">
        <v>2</v>
      </c>
      <c r="D67" s="91">
        <v>7</v>
      </c>
      <c r="E67" s="91"/>
      <c r="F67" s="91">
        <v>5</v>
      </c>
      <c r="G67" s="91">
        <v>4</v>
      </c>
      <c r="H67" s="91">
        <v>1</v>
      </c>
      <c r="I67" s="91">
        <v>5</v>
      </c>
      <c r="J67" s="91">
        <v>3</v>
      </c>
      <c r="K67" s="91">
        <v>1</v>
      </c>
      <c r="L67" s="91">
        <v>2</v>
      </c>
      <c r="M67" s="91"/>
      <c r="N67" s="91">
        <v>3</v>
      </c>
      <c r="O67" s="91"/>
      <c r="P67" s="91">
        <v>14</v>
      </c>
      <c r="Q67" s="91">
        <v>5</v>
      </c>
      <c r="R67" s="91">
        <v>4</v>
      </c>
      <c r="S67" s="91"/>
      <c r="T67" s="91">
        <v>3</v>
      </c>
      <c r="U67" s="91">
        <v>5</v>
      </c>
      <c r="V67" s="91">
        <v>7</v>
      </c>
      <c r="W67" s="91">
        <v>2</v>
      </c>
      <c r="X67" s="91"/>
      <c r="Y67" s="91"/>
      <c r="Z67" s="91">
        <v>2</v>
      </c>
      <c r="AA67" s="91">
        <v>5</v>
      </c>
      <c r="AB67" s="91">
        <v>1</v>
      </c>
      <c r="AC67" s="91">
        <v>2</v>
      </c>
      <c r="AD67" s="91">
        <v>1</v>
      </c>
      <c r="AE67" s="91">
        <v>1</v>
      </c>
      <c r="AF67" s="91">
        <v>5</v>
      </c>
      <c r="AG67" s="91"/>
      <c r="AH67" s="91">
        <v>1</v>
      </c>
      <c r="AI67" s="91">
        <v>2</v>
      </c>
      <c r="AJ67" s="91">
        <v>15</v>
      </c>
      <c r="AK67" s="91">
        <v>7</v>
      </c>
      <c r="AL67" s="91">
        <v>7</v>
      </c>
      <c r="AM67" s="91">
        <v>7</v>
      </c>
      <c r="AN67" s="91"/>
      <c r="AO67" s="91">
        <v>17</v>
      </c>
      <c r="AP67" s="91"/>
      <c r="AQ67" s="91">
        <v>2</v>
      </c>
      <c r="AR67" s="91">
        <v>4</v>
      </c>
      <c r="AS67" s="91">
        <v>2</v>
      </c>
      <c r="AT67" s="91"/>
      <c r="AU67" s="91">
        <v>5</v>
      </c>
      <c r="AV67" s="91">
        <v>9</v>
      </c>
      <c r="AW67" s="91"/>
      <c r="AX67" s="91">
        <v>3</v>
      </c>
      <c r="AY67" s="91">
        <v>7</v>
      </c>
      <c r="AZ67" s="91">
        <v>1</v>
      </c>
      <c r="BA67" s="91"/>
      <c r="BB67" s="91">
        <v>1</v>
      </c>
      <c r="BC67" s="91"/>
    </row>
    <row r="68" spans="1:55" x14ac:dyDescent="0.25">
      <c r="A68" s="91" t="s">
        <v>152</v>
      </c>
      <c r="B68" s="129">
        <f t="shared" si="2"/>
        <v>431</v>
      </c>
      <c r="C68" s="91">
        <v>16</v>
      </c>
      <c r="D68" s="91">
        <v>4</v>
      </c>
      <c r="E68" s="91">
        <v>5</v>
      </c>
      <c r="F68" s="91">
        <v>2</v>
      </c>
      <c r="G68" s="91">
        <v>2</v>
      </c>
      <c r="H68" s="91"/>
      <c r="I68" s="91">
        <v>13</v>
      </c>
      <c r="J68" s="91">
        <v>6</v>
      </c>
      <c r="K68" s="91">
        <v>9</v>
      </c>
      <c r="L68" s="91">
        <v>12</v>
      </c>
      <c r="M68" s="91">
        <v>13</v>
      </c>
      <c r="N68" s="91">
        <v>10</v>
      </c>
      <c r="O68" s="91"/>
      <c r="P68" s="91">
        <v>10</v>
      </c>
      <c r="Q68" s="91">
        <v>10</v>
      </c>
      <c r="R68" s="91">
        <v>12</v>
      </c>
      <c r="S68" s="91">
        <v>6</v>
      </c>
      <c r="T68" s="91">
        <v>4</v>
      </c>
      <c r="U68" s="91">
        <v>2</v>
      </c>
      <c r="V68" s="91">
        <v>1</v>
      </c>
      <c r="W68" s="91">
        <v>10</v>
      </c>
      <c r="X68" s="91">
        <v>4</v>
      </c>
      <c r="Y68" s="91">
        <v>14</v>
      </c>
      <c r="Z68" s="91"/>
      <c r="AA68" s="91">
        <v>11</v>
      </c>
      <c r="AB68" s="91">
        <v>10</v>
      </c>
      <c r="AC68" s="91">
        <v>10</v>
      </c>
      <c r="AD68" s="91">
        <v>15</v>
      </c>
      <c r="AE68" s="91">
        <v>13</v>
      </c>
      <c r="AF68" s="91">
        <v>4</v>
      </c>
      <c r="AG68" s="91">
        <v>9</v>
      </c>
      <c r="AH68" s="91">
        <v>13</v>
      </c>
      <c r="AI68" s="91">
        <v>13</v>
      </c>
      <c r="AJ68" s="91">
        <v>7</v>
      </c>
      <c r="AK68" s="91">
        <v>22</v>
      </c>
      <c r="AL68" s="91">
        <v>13</v>
      </c>
      <c r="AM68" s="91">
        <v>1</v>
      </c>
      <c r="AN68" s="91">
        <v>12</v>
      </c>
      <c r="AO68" s="91">
        <v>13</v>
      </c>
      <c r="AP68" s="91">
        <v>12</v>
      </c>
      <c r="AQ68" s="91"/>
      <c r="AR68" s="91">
        <v>9</v>
      </c>
      <c r="AS68" s="91">
        <v>13</v>
      </c>
      <c r="AT68" s="91"/>
      <c r="AU68" s="91">
        <v>7</v>
      </c>
      <c r="AV68" s="91">
        <v>11</v>
      </c>
      <c r="AW68" s="91">
        <v>14</v>
      </c>
      <c r="AX68" s="91">
        <v>9</v>
      </c>
      <c r="AY68" s="91">
        <v>9</v>
      </c>
      <c r="AZ68" s="91">
        <v>12</v>
      </c>
      <c r="BA68" s="91">
        <v>2</v>
      </c>
      <c r="BB68" s="91">
        <v>2</v>
      </c>
      <c r="BC68" s="91"/>
    </row>
    <row r="69" spans="1:55" x14ac:dyDescent="0.25">
      <c r="A69" s="91" t="s">
        <v>238</v>
      </c>
      <c r="B69" s="129">
        <f t="shared" si="2"/>
        <v>2</v>
      </c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>
        <v>1</v>
      </c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>
        <v>1</v>
      </c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</row>
    <row r="70" spans="1:55" x14ac:dyDescent="0.25">
      <c r="A70" s="91" t="s">
        <v>149</v>
      </c>
      <c r="B70" s="129">
        <f t="shared" si="2"/>
        <v>460</v>
      </c>
      <c r="C70" s="91">
        <v>5</v>
      </c>
      <c r="D70" s="91">
        <v>15</v>
      </c>
      <c r="E70" s="91">
        <v>15</v>
      </c>
      <c r="F70" s="91">
        <v>7</v>
      </c>
      <c r="G70" s="91">
        <v>15</v>
      </c>
      <c r="H70" s="91">
        <v>4</v>
      </c>
      <c r="I70" s="91">
        <v>16</v>
      </c>
      <c r="J70" s="91">
        <v>12</v>
      </c>
      <c r="K70" s="91">
        <v>14</v>
      </c>
      <c r="L70" s="91">
        <v>2</v>
      </c>
      <c r="M70" s="91">
        <v>14</v>
      </c>
      <c r="N70" s="91">
        <v>14</v>
      </c>
      <c r="O70" s="91">
        <v>4</v>
      </c>
      <c r="P70" s="91">
        <v>3</v>
      </c>
      <c r="Q70" s="91">
        <v>2</v>
      </c>
      <c r="R70" s="91">
        <v>3</v>
      </c>
      <c r="S70" s="91">
        <v>12</v>
      </c>
      <c r="T70" s="91">
        <v>1</v>
      </c>
      <c r="U70" s="91">
        <v>5</v>
      </c>
      <c r="V70" s="91">
        <v>7</v>
      </c>
      <c r="W70" s="91">
        <v>8</v>
      </c>
      <c r="X70" s="91">
        <v>11</v>
      </c>
      <c r="Y70" s="91">
        <v>18</v>
      </c>
      <c r="Z70" s="91">
        <v>7</v>
      </c>
      <c r="AA70" s="91">
        <v>5</v>
      </c>
      <c r="AB70" s="91">
        <v>1</v>
      </c>
      <c r="AC70" s="91">
        <v>9</v>
      </c>
      <c r="AD70" s="91">
        <v>19</v>
      </c>
      <c r="AE70" s="91">
        <v>6</v>
      </c>
      <c r="AF70" s="91">
        <v>3</v>
      </c>
      <c r="AG70" s="91">
        <v>6</v>
      </c>
      <c r="AH70" s="91">
        <v>11</v>
      </c>
      <c r="AI70" s="91">
        <v>1</v>
      </c>
      <c r="AJ70" s="91">
        <v>16</v>
      </c>
      <c r="AK70" s="91">
        <v>14</v>
      </c>
      <c r="AL70" s="91">
        <v>18</v>
      </c>
      <c r="AM70" s="91">
        <v>6</v>
      </c>
      <c r="AN70" s="91">
        <v>21</v>
      </c>
      <c r="AO70" s="91">
        <v>14</v>
      </c>
      <c r="AP70" s="91">
        <v>5</v>
      </c>
      <c r="AQ70" s="91">
        <v>11</v>
      </c>
      <c r="AR70" s="91">
        <v>4</v>
      </c>
      <c r="AS70" s="91">
        <v>15</v>
      </c>
      <c r="AT70" s="91"/>
      <c r="AU70" s="91">
        <v>6</v>
      </c>
      <c r="AV70" s="91">
        <v>13</v>
      </c>
      <c r="AW70" s="91">
        <v>17</v>
      </c>
      <c r="AX70" s="91">
        <v>3</v>
      </c>
      <c r="AY70" s="91">
        <v>3</v>
      </c>
      <c r="AZ70" s="91">
        <v>5</v>
      </c>
      <c r="BA70" s="91">
        <v>14</v>
      </c>
      <c r="BB70" s="91"/>
      <c r="BC70" s="91"/>
    </row>
    <row r="71" spans="1:55" x14ac:dyDescent="0.25">
      <c r="A71" s="91" t="s">
        <v>95</v>
      </c>
      <c r="B71" s="129">
        <f t="shared" si="2"/>
        <v>1208</v>
      </c>
      <c r="C71" s="91">
        <v>23</v>
      </c>
      <c r="D71" s="91">
        <v>37</v>
      </c>
      <c r="E71" s="91">
        <v>49</v>
      </c>
      <c r="F71" s="91">
        <v>27</v>
      </c>
      <c r="G71" s="91">
        <v>30</v>
      </c>
      <c r="H71" s="91">
        <v>13</v>
      </c>
      <c r="I71" s="91">
        <v>37</v>
      </c>
      <c r="J71" s="91">
        <v>11</v>
      </c>
      <c r="K71" s="91">
        <v>14</v>
      </c>
      <c r="L71" s="91">
        <v>12</v>
      </c>
      <c r="M71" s="91">
        <v>11</v>
      </c>
      <c r="N71" s="91">
        <v>57</v>
      </c>
      <c r="O71" s="91">
        <v>17</v>
      </c>
      <c r="P71" s="91">
        <v>23</v>
      </c>
      <c r="Q71" s="91">
        <v>23</v>
      </c>
      <c r="R71" s="91">
        <v>26</v>
      </c>
      <c r="S71" s="91">
        <v>61</v>
      </c>
      <c r="T71" s="91">
        <v>17</v>
      </c>
      <c r="U71" s="91">
        <v>17</v>
      </c>
      <c r="V71" s="91">
        <v>20</v>
      </c>
      <c r="W71" s="91">
        <v>26</v>
      </c>
      <c r="X71" s="91">
        <v>41</v>
      </c>
      <c r="Y71" s="91">
        <v>18</v>
      </c>
      <c r="Z71" s="91">
        <v>28</v>
      </c>
      <c r="AA71" s="91">
        <v>19</v>
      </c>
      <c r="AB71" s="91">
        <v>8</v>
      </c>
      <c r="AC71" s="91">
        <v>25</v>
      </c>
      <c r="AD71" s="91">
        <v>24</v>
      </c>
      <c r="AE71" s="91">
        <v>25</v>
      </c>
      <c r="AF71" s="91">
        <v>25</v>
      </c>
      <c r="AG71" s="91">
        <v>12</v>
      </c>
      <c r="AH71" s="91">
        <v>35</v>
      </c>
      <c r="AI71" s="91">
        <v>23</v>
      </c>
      <c r="AJ71" s="91">
        <v>38</v>
      </c>
      <c r="AK71" s="91">
        <v>26</v>
      </c>
      <c r="AL71" s="91">
        <v>8</v>
      </c>
      <c r="AM71" s="91">
        <v>14</v>
      </c>
      <c r="AN71" s="91">
        <v>22</v>
      </c>
      <c r="AO71" s="91">
        <v>22</v>
      </c>
      <c r="AP71" s="91">
        <v>13</v>
      </c>
      <c r="AQ71" s="91">
        <v>32</v>
      </c>
      <c r="AR71" s="91">
        <v>36</v>
      </c>
      <c r="AS71" s="91">
        <v>16</v>
      </c>
      <c r="AT71" s="91"/>
      <c r="AU71" s="91">
        <v>33</v>
      </c>
      <c r="AV71" s="91">
        <v>9</v>
      </c>
      <c r="AW71" s="91">
        <v>35</v>
      </c>
      <c r="AX71" s="91">
        <v>13</v>
      </c>
      <c r="AY71" s="91">
        <v>9</v>
      </c>
      <c r="AZ71" s="91">
        <v>17</v>
      </c>
      <c r="BA71" s="91">
        <v>17</v>
      </c>
      <c r="BB71" s="91">
        <v>14</v>
      </c>
      <c r="BC71" s="91"/>
    </row>
    <row r="72" spans="1:55" x14ac:dyDescent="0.25">
      <c r="A72" s="91" t="s">
        <v>144</v>
      </c>
      <c r="B72" s="129">
        <f t="shared" ref="B72:B135" si="3">SUM(C72:BC72)</f>
        <v>391</v>
      </c>
      <c r="C72" s="91">
        <v>12</v>
      </c>
      <c r="D72" s="91">
        <v>11</v>
      </c>
      <c r="E72" s="91">
        <v>7</v>
      </c>
      <c r="F72" s="91">
        <v>8</v>
      </c>
      <c r="G72" s="91">
        <v>10</v>
      </c>
      <c r="H72" s="91">
        <v>25</v>
      </c>
      <c r="I72" s="91">
        <v>3</v>
      </c>
      <c r="J72" s="91">
        <v>8</v>
      </c>
      <c r="K72" s="91">
        <v>1</v>
      </c>
      <c r="L72" s="91">
        <v>10</v>
      </c>
      <c r="M72" s="91">
        <v>17</v>
      </c>
      <c r="N72" s="91">
        <v>16</v>
      </c>
      <c r="O72" s="91">
        <v>3</v>
      </c>
      <c r="P72" s="91">
        <v>14</v>
      </c>
      <c r="Q72" s="91">
        <v>9</v>
      </c>
      <c r="R72" s="91"/>
      <c r="S72" s="91">
        <v>10</v>
      </c>
      <c r="T72" s="91">
        <v>6</v>
      </c>
      <c r="U72" s="91">
        <v>2</v>
      </c>
      <c r="V72" s="91">
        <v>4</v>
      </c>
      <c r="W72" s="91">
        <v>8</v>
      </c>
      <c r="X72" s="91">
        <v>5</v>
      </c>
      <c r="Y72" s="91">
        <v>4</v>
      </c>
      <c r="Z72" s="91"/>
      <c r="AA72" s="91">
        <v>4</v>
      </c>
      <c r="AB72" s="91">
        <v>1</v>
      </c>
      <c r="AC72" s="91">
        <v>3</v>
      </c>
      <c r="AD72" s="91">
        <v>8</v>
      </c>
      <c r="AE72" s="91">
        <v>7</v>
      </c>
      <c r="AF72" s="91">
        <v>2</v>
      </c>
      <c r="AG72" s="91">
        <v>3</v>
      </c>
      <c r="AH72" s="91">
        <v>12</v>
      </c>
      <c r="AI72" s="91">
        <v>7</v>
      </c>
      <c r="AJ72" s="91">
        <v>17</v>
      </c>
      <c r="AK72" s="91">
        <v>17</v>
      </c>
      <c r="AL72" s="91">
        <v>11</v>
      </c>
      <c r="AM72" s="91">
        <v>6</v>
      </c>
      <c r="AN72" s="91">
        <v>6</v>
      </c>
      <c r="AO72" s="91">
        <v>10</v>
      </c>
      <c r="AP72" s="91">
        <v>3</v>
      </c>
      <c r="AQ72" s="91">
        <v>5</v>
      </c>
      <c r="AR72" s="91">
        <v>2</v>
      </c>
      <c r="AS72" s="91">
        <v>4</v>
      </c>
      <c r="AT72" s="91"/>
      <c r="AU72" s="91">
        <v>20</v>
      </c>
      <c r="AV72" s="91">
        <v>21</v>
      </c>
      <c r="AW72" s="91"/>
      <c r="AX72" s="91">
        <v>5</v>
      </c>
      <c r="AY72" s="91">
        <v>2</v>
      </c>
      <c r="AZ72" s="91">
        <v>10</v>
      </c>
      <c r="BA72" s="91">
        <v>6</v>
      </c>
      <c r="BB72" s="91">
        <v>6</v>
      </c>
      <c r="BC72" s="91"/>
    </row>
    <row r="73" spans="1:55" x14ac:dyDescent="0.25">
      <c r="A73" s="91" t="s">
        <v>86</v>
      </c>
      <c r="B73" s="129">
        <f t="shared" si="3"/>
        <v>823</v>
      </c>
      <c r="C73" s="91">
        <v>12</v>
      </c>
      <c r="D73" s="91">
        <v>11</v>
      </c>
      <c r="E73" s="91">
        <v>27</v>
      </c>
      <c r="F73" s="91">
        <v>26</v>
      </c>
      <c r="G73" s="91">
        <v>25</v>
      </c>
      <c r="H73" s="91">
        <v>8</v>
      </c>
      <c r="I73" s="91">
        <v>38</v>
      </c>
      <c r="J73" s="91">
        <v>44</v>
      </c>
      <c r="K73" s="91">
        <v>11</v>
      </c>
      <c r="L73" s="91">
        <v>19</v>
      </c>
      <c r="M73" s="91">
        <v>20</v>
      </c>
      <c r="N73" s="91">
        <v>43</v>
      </c>
      <c r="O73" s="91">
        <v>10</v>
      </c>
      <c r="P73" s="91">
        <v>20</v>
      </c>
      <c r="Q73" s="91">
        <v>20</v>
      </c>
      <c r="R73" s="91">
        <v>7</v>
      </c>
      <c r="S73" s="91">
        <v>15</v>
      </c>
      <c r="T73" s="91">
        <v>8</v>
      </c>
      <c r="U73" s="91">
        <v>41</v>
      </c>
      <c r="V73" s="91">
        <v>11</v>
      </c>
      <c r="W73" s="91">
        <v>34</v>
      </c>
      <c r="X73" s="91">
        <v>16</v>
      </c>
      <c r="Y73" s="91">
        <v>17</v>
      </c>
      <c r="Z73" s="91">
        <v>13</v>
      </c>
      <c r="AA73" s="91">
        <v>17</v>
      </c>
      <c r="AB73" s="91">
        <v>6</v>
      </c>
      <c r="AC73" s="91"/>
      <c r="AD73" s="91">
        <v>21</v>
      </c>
      <c r="AE73" s="91">
        <v>17</v>
      </c>
      <c r="AF73" s="91">
        <v>12</v>
      </c>
      <c r="AG73" s="91">
        <v>9</v>
      </c>
      <c r="AH73" s="91">
        <v>28</v>
      </c>
      <c r="AI73" s="91">
        <v>9</v>
      </c>
      <c r="AJ73" s="91">
        <v>30</v>
      </c>
      <c r="AK73" s="91">
        <v>10</v>
      </c>
      <c r="AL73" s="91">
        <v>4</v>
      </c>
      <c r="AM73" s="91"/>
      <c r="AN73" s="91">
        <v>15</v>
      </c>
      <c r="AO73" s="91">
        <v>17</v>
      </c>
      <c r="AP73" s="91">
        <v>13</v>
      </c>
      <c r="AQ73" s="91"/>
      <c r="AR73" s="91">
        <v>32</v>
      </c>
      <c r="AS73" s="91">
        <v>20</v>
      </c>
      <c r="AT73" s="91"/>
      <c r="AU73" s="91">
        <v>17</v>
      </c>
      <c r="AV73" s="91">
        <v>13</v>
      </c>
      <c r="AW73" s="91">
        <v>12</v>
      </c>
      <c r="AX73" s="91"/>
      <c r="AY73" s="91"/>
      <c r="AZ73" s="91">
        <v>10</v>
      </c>
      <c r="BA73" s="91">
        <v>4</v>
      </c>
      <c r="BB73" s="91">
        <v>11</v>
      </c>
      <c r="BC73" s="91"/>
    </row>
    <row r="74" spans="1:55" x14ac:dyDescent="0.25">
      <c r="A74" s="91" t="s">
        <v>591</v>
      </c>
      <c r="B74" s="129">
        <f t="shared" si="3"/>
        <v>227</v>
      </c>
      <c r="C74" s="91">
        <v>15</v>
      </c>
      <c r="D74" s="91">
        <v>4</v>
      </c>
      <c r="E74" s="91">
        <v>3</v>
      </c>
      <c r="F74" s="91">
        <v>7</v>
      </c>
      <c r="G74" s="91"/>
      <c r="H74" s="91"/>
      <c r="I74" s="91">
        <v>2</v>
      </c>
      <c r="J74" s="91">
        <v>7</v>
      </c>
      <c r="K74" s="91">
        <v>1</v>
      </c>
      <c r="L74" s="91">
        <v>3</v>
      </c>
      <c r="M74" s="91"/>
      <c r="N74" s="91">
        <v>14</v>
      </c>
      <c r="O74" s="91"/>
      <c r="P74" s="91">
        <v>5</v>
      </c>
      <c r="Q74" s="91">
        <v>1</v>
      </c>
      <c r="R74" s="91">
        <v>3</v>
      </c>
      <c r="S74" s="91">
        <v>1</v>
      </c>
      <c r="T74" s="91">
        <v>2</v>
      </c>
      <c r="U74" s="91">
        <v>10</v>
      </c>
      <c r="V74" s="91">
        <v>1</v>
      </c>
      <c r="W74" s="91">
        <v>9</v>
      </c>
      <c r="X74" s="91">
        <v>2</v>
      </c>
      <c r="Y74" s="91">
        <v>6</v>
      </c>
      <c r="Z74" s="91">
        <v>1</v>
      </c>
      <c r="AA74" s="91">
        <v>3</v>
      </c>
      <c r="AB74" s="91">
        <v>2</v>
      </c>
      <c r="AC74" s="91">
        <v>2</v>
      </c>
      <c r="AD74" s="91">
        <v>2</v>
      </c>
      <c r="AE74" s="91">
        <v>4</v>
      </c>
      <c r="AF74" s="91">
        <v>5</v>
      </c>
      <c r="AG74" s="91">
        <v>5</v>
      </c>
      <c r="AH74" s="91">
        <v>11</v>
      </c>
      <c r="AI74" s="91">
        <v>6</v>
      </c>
      <c r="AJ74" s="91"/>
      <c r="AK74" s="91">
        <v>7</v>
      </c>
      <c r="AL74" s="91">
        <v>3</v>
      </c>
      <c r="AM74" s="91">
        <v>1</v>
      </c>
      <c r="AN74" s="91">
        <v>6</v>
      </c>
      <c r="AO74" s="91">
        <v>26</v>
      </c>
      <c r="AP74" s="91">
        <v>7</v>
      </c>
      <c r="AQ74" s="91">
        <v>9</v>
      </c>
      <c r="AR74" s="91">
        <v>3</v>
      </c>
      <c r="AS74" s="91"/>
      <c r="AT74" s="91"/>
      <c r="AU74" s="91">
        <v>7</v>
      </c>
      <c r="AV74" s="91"/>
      <c r="AW74" s="91">
        <v>3</v>
      </c>
      <c r="AX74" s="91">
        <v>1</v>
      </c>
      <c r="AY74" s="91">
        <v>3</v>
      </c>
      <c r="AZ74" s="91">
        <v>3</v>
      </c>
      <c r="BA74" s="91"/>
      <c r="BB74" s="91">
        <v>11</v>
      </c>
      <c r="BC74" s="91"/>
    </row>
    <row r="75" spans="1:55" x14ac:dyDescent="0.25">
      <c r="A75" s="91" t="s">
        <v>361</v>
      </c>
      <c r="B75" s="129">
        <f t="shared" si="3"/>
        <v>684</v>
      </c>
      <c r="C75" s="91">
        <v>11</v>
      </c>
      <c r="D75" s="91">
        <v>21</v>
      </c>
      <c r="E75" s="91">
        <v>10</v>
      </c>
      <c r="F75" s="91">
        <v>16</v>
      </c>
      <c r="G75" s="91">
        <v>13</v>
      </c>
      <c r="H75" s="91"/>
      <c r="I75" s="91">
        <v>11</v>
      </c>
      <c r="J75" s="91">
        <v>15</v>
      </c>
      <c r="K75" s="91">
        <v>16</v>
      </c>
      <c r="L75" s="91">
        <v>14</v>
      </c>
      <c r="M75" s="91">
        <v>11</v>
      </c>
      <c r="N75" s="91">
        <v>23</v>
      </c>
      <c r="O75" s="91">
        <v>11</v>
      </c>
      <c r="P75" s="91">
        <v>14</v>
      </c>
      <c r="Q75" s="91">
        <v>10</v>
      </c>
      <c r="R75" s="91">
        <v>10</v>
      </c>
      <c r="S75" s="91">
        <v>10</v>
      </c>
      <c r="T75" s="91">
        <v>11</v>
      </c>
      <c r="U75" s="91">
        <v>10</v>
      </c>
      <c r="V75" s="91">
        <v>14</v>
      </c>
      <c r="W75" s="91">
        <v>18</v>
      </c>
      <c r="X75" s="91">
        <v>15</v>
      </c>
      <c r="Y75" s="91">
        <v>24</v>
      </c>
      <c r="Z75" s="91">
        <v>12</v>
      </c>
      <c r="AA75" s="91">
        <v>17</v>
      </c>
      <c r="AB75" s="91">
        <v>9</v>
      </c>
      <c r="AC75" s="91">
        <v>12</v>
      </c>
      <c r="AD75" s="91">
        <v>11</v>
      </c>
      <c r="AE75" s="91">
        <v>11</v>
      </c>
      <c r="AF75" s="91">
        <v>20</v>
      </c>
      <c r="AG75" s="91">
        <v>12</v>
      </c>
      <c r="AH75" s="91">
        <v>19</v>
      </c>
      <c r="AI75" s="91">
        <v>9</v>
      </c>
      <c r="AJ75" s="91">
        <v>14</v>
      </c>
      <c r="AK75" s="91">
        <v>12</v>
      </c>
      <c r="AL75" s="91">
        <v>14</v>
      </c>
      <c r="AM75" s="91">
        <v>16</v>
      </c>
      <c r="AN75" s="91">
        <v>13</v>
      </c>
      <c r="AO75" s="91">
        <v>14</v>
      </c>
      <c r="AP75" s="91">
        <v>15</v>
      </c>
      <c r="AQ75" s="91">
        <v>13</v>
      </c>
      <c r="AR75" s="91">
        <v>23</v>
      </c>
      <c r="AS75" s="91">
        <v>13</v>
      </c>
      <c r="AT75" s="91"/>
      <c r="AU75" s="91">
        <v>13</v>
      </c>
      <c r="AV75" s="91">
        <v>15</v>
      </c>
      <c r="AW75" s="91">
        <v>13</v>
      </c>
      <c r="AX75" s="91">
        <v>18</v>
      </c>
      <c r="AY75" s="91">
        <v>19</v>
      </c>
      <c r="AZ75" s="91">
        <v>15</v>
      </c>
      <c r="BA75" s="91">
        <v>4</v>
      </c>
      <c r="BB75" s="91"/>
      <c r="BC75" s="91"/>
    </row>
    <row r="76" spans="1:55" x14ac:dyDescent="0.25">
      <c r="A76" s="91" t="s">
        <v>467</v>
      </c>
      <c r="B76" s="129">
        <f t="shared" si="3"/>
        <v>202</v>
      </c>
      <c r="C76" s="91">
        <v>8</v>
      </c>
      <c r="D76" s="91">
        <v>2</v>
      </c>
      <c r="E76" s="91">
        <v>1</v>
      </c>
      <c r="F76" s="91">
        <v>2</v>
      </c>
      <c r="G76" s="91">
        <v>9</v>
      </c>
      <c r="H76" s="91">
        <v>28</v>
      </c>
      <c r="I76" s="91"/>
      <c r="J76" s="91">
        <v>5</v>
      </c>
      <c r="K76" s="91"/>
      <c r="L76" s="91">
        <v>1</v>
      </c>
      <c r="M76" s="91">
        <v>6</v>
      </c>
      <c r="N76" s="91">
        <v>10</v>
      </c>
      <c r="O76" s="91"/>
      <c r="P76" s="91"/>
      <c r="Q76" s="91"/>
      <c r="R76" s="91"/>
      <c r="S76" s="91">
        <v>4</v>
      </c>
      <c r="T76" s="91">
        <v>1</v>
      </c>
      <c r="U76" s="91">
        <v>1</v>
      </c>
      <c r="V76" s="91">
        <v>2</v>
      </c>
      <c r="W76" s="91"/>
      <c r="X76" s="91">
        <v>4</v>
      </c>
      <c r="Y76" s="91">
        <v>2</v>
      </c>
      <c r="Z76" s="91"/>
      <c r="AA76" s="91">
        <v>5</v>
      </c>
      <c r="AB76" s="91">
        <v>1</v>
      </c>
      <c r="AC76" s="91">
        <v>3</v>
      </c>
      <c r="AD76" s="91">
        <v>7</v>
      </c>
      <c r="AE76" s="91"/>
      <c r="AF76" s="91">
        <v>6</v>
      </c>
      <c r="AG76" s="91">
        <v>2</v>
      </c>
      <c r="AH76" s="91">
        <v>7</v>
      </c>
      <c r="AI76" s="91">
        <v>1</v>
      </c>
      <c r="AJ76" s="91"/>
      <c r="AK76" s="91">
        <v>3</v>
      </c>
      <c r="AL76" s="91">
        <v>7</v>
      </c>
      <c r="AM76" s="91">
        <v>5</v>
      </c>
      <c r="AN76" s="91">
        <v>2</v>
      </c>
      <c r="AO76" s="91">
        <v>3</v>
      </c>
      <c r="AP76" s="91">
        <v>9</v>
      </c>
      <c r="AQ76" s="91">
        <v>7</v>
      </c>
      <c r="AR76" s="91">
        <v>10</v>
      </c>
      <c r="AS76" s="91">
        <v>2</v>
      </c>
      <c r="AT76" s="91"/>
      <c r="AU76" s="91">
        <v>4</v>
      </c>
      <c r="AV76" s="91">
        <v>3</v>
      </c>
      <c r="AW76" s="91">
        <v>2</v>
      </c>
      <c r="AX76" s="91">
        <v>11</v>
      </c>
      <c r="AY76" s="91">
        <v>3</v>
      </c>
      <c r="AZ76" s="91">
        <v>2</v>
      </c>
      <c r="BA76" s="91">
        <v>5</v>
      </c>
      <c r="BB76" s="91">
        <v>6</v>
      </c>
      <c r="BC76" s="91"/>
    </row>
    <row r="77" spans="1:55" x14ac:dyDescent="0.25">
      <c r="A77" s="91" t="s">
        <v>385</v>
      </c>
      <c r="B77" s="129">
        <f t="shared" si="3"/>
        <v>731</v>
      </c>
      <c r="C77" s="91">
        <v>13</v>
      </c>
      <c r="D77" s="91">
        <v>20</v>
      </c>
      <c r="E77" s="91">
        <v>25</v>
      </c>
      <c r="F77" s="91">
        <v>13</v>
      </c>
      <c r="G77" s="91">
        <v>15</v>
      </c>
      <c r="H77" s="91"/>
      <c r="I77" s="91">
        <v>16</v>
      </c>
      <c r="J77" s="91">
        <v>18</v>
      </c>
      <c r="K77" s="91">
        <v>11</v>
      </c>
      <c r="L77" s="91">
        <v>9</v>
      </c>
      <c r="M77" s="91">
        <v>15</v>
      </c>
      <c r="N77" s="91">
        <v>30</v>
      </c>
      <c r="O77" s="91">
        <v>10</v>
      </c>
      <c r="P77" s="91">
        <v>14</v>
      </c>
      <c r="Q77" s="91">
        <v>19</v>
      </c>
      <c r="R77" s="91">
        <v>10</v>
      </c>
      <c r="S77" s="91">
        <v>13</v>
      </c>
      <c r="T77" s="91">
        <v>13</v>
      </c>
      <c r="U77" s="91">
        <v>13</v>
      </c>
      <c r="V77" s="91">
        <v>9</v>
      </c>
      <c r="W77" s="91">
        <v>19</v>
      </c>
      <c r="X77" s="91">
        <v>11</v>
      </c>
      <c r="Y77" s="91">
        <v>15</v>
      </c>
      <c r="Z77" s="91">
        <v>11</v>
      </c>
      <c r="AA77" s="91">
        <v>16</v>
      </c>
      <c r="AB77" s="91">
        <v>21</v>
      </c>
      <c r="AC77" s="91">
        <v>11</v>
      </c>
      <c r="AD77" s="91">
        <v>11</v>
      </c>
      <c r="AE77" s="91">
        <v>14</v>
      </c>
      <c r="AF77" s="91">
        <v>13</v>
      </c>
      <c r="AG77" s="91">
        <v>12</v>
      </c>
      <c r="AH77" s="91">
        <v>18</v>
      </c>
      <c r="AI77" s="91">
        <v>14</v>
      </c>
      <c r="AJ77" s="91">
        <v>13</v>
      </c>
      <c r="AK77" s="91">
        <v>16</v>
      </c>
      <c r="AL77" s="91">
        <v>13</v>
      </c>
      <c r="AM77" s="91">
        <v>22</v>
      </c>
      <c r="AN77" s="91">
        <v>10</v>
      </c>
      <c r="AO77" s="91">
        <v>17</v>
      </c>
      <c r="AP77" s="91">
        <v>20</v>
      </c>
      <c r="AQ77" s="91">
        <v>15</v>
      </c>
      <c r="AR77" s="91">
        <v>22</v>
      </c>
      <c r="AS77" s="91">
        <v>11</v>
      </c>
      <c r="AT77" s="91"/>
      <c r="AU77" s="91">
        <v>12</v>
      </c>
      <c r="AV77" s="91">
        <v>12</v>
      </c>
      <c r="AW77" s="91">
        <v>11</v>
      </c>
      <c r="AX77" s="91">
        <v>18</v>
      </c>
      <c r="AY77" s="91">
        <v>18</v>
      </c>
      <c r="AZ77" s="91">
        <v>23</v>
      </c>
      <c r="BA77" s="91">
        <v>3</v>
      </c>
      <c r="BB77" s="91">
        <v>3</v>
      </c>
      <c r="BC77" s="91"/>
    </row>
    <row r="78" spans="1:55" x14ac:dyDescent="0.25">
      <c r="A78" s="91" t="s">
        <v>495</v>
      </c>
      <c r="B78" s="129">
        <f t="shared" si="3"/>
        <v>33</v>
      </c>
      <c r="C78" s="91">
        <v>1</v>
      </c>
      <c r="D78" s="91">
        <v>1</v>
      </c>
      <c r="E78" s="91"/>
      <c r="F78" s="91">
        <v>1</v>
      </c>
      <c r="G78" s="91"/>
      <c r="H78" s="91"/>
      <c r="I78" s="91"/>
      <c r="J78" s="91">
        <v>1</v>
      </c>
      <c r="K78" s="91"/>
      <c r="L78" s="91"/>
      <c r="M78" s="91"/>
      <c r="N78" s="91"/>
      <c r="O78" s="91">
        <v>3</v>
      </c>
      <c r="P78" s="91"/>
      <c r="Q78" s="91"/>
      <c r="R78" s="91">
        <v>1</v>
      </c>
      <c r="S78" s="91"/>
      <c r="T78" s="91"/>
      <c r="U78" s="91">
        <v>1</v>
      </c>
      <c r="V78" s="91"/>
      <c r="W78" s="91">
        <v>5</v>
      </c>
      <c r="X78" s="91"/>
      <c r="Y78" s="91"/>
      <c r="Z78" s="91"/>
      <c r="AA78" s="91"/>
      <c r="AB78" s="91"/>
      <c r="AC78" s="91">
        <v>2</v>
      </c>
      <c r="AD78" s="91"/>
      <c r="AE78" s="91"/>
      <c r="AF78" s="91"/>
      <c r="AG78" s="91"/>
      <c r="AH78" s="91">
        <v>1</v>
      </c>
      <c r="AI78" s="91"/>
      <c r="AJ78" s="91"/>
      <c r="AK78" s="91"/>
      <c r="AL78" s="91">
        <v>2</v>
      </c>
      <c r="AM78" s="91"/>
      <c r="AN78" s="91">
        <v>1</v>
      </c>
      <c r="AO78" s="91"/>
      <c r="AP78" s="91"/>
      <c r="AQ78" s="91">
        <v>1</v>
      </c>
      <c r="AR78" s="91">
        <v>5</v>
      </c>
      <c r="AS78" s="91"/>
      <c r="AT78" s="91"/>
      <c r="AU78" s="91"/>
      <c r="AV78" s="91">
        <v>2</v>
      </c>
      <c r="AW78" s="91">
        <v>2</v>
      </c>
      <c r="AX78" s="91">
        <v>1</v>
      </c>
      <c r="AY78" s="91"/>
      <c r="AZ78" s="91"/>
      <c r="BA78" s="91">
        <v>2</v>
      </c>
      <c r="BB78" s="91"/>
      <c r="BC78" s="91"/>
    </row>
    <row r="79" spans="1:55" x14ac:dyDescent="0.25">
      <c r="A79" s="91" t="s">
        <v>466</v>
      </c>
      <c r="B79" s="129">
        <f t="shared" si="3"/>
        <v>177</v>
      </c>
      <c r="C79" s="91">
        <v>8</v>
      </c>
      <c r="D79" s="91">
        <v>2</v>
      </c>
      <c r="E79" s="91">
        <v>1</v>
      </c>
      <c r="F79" s="91"/>
      <c r="G79" s="91">
        <v>3</v>
      </c>
      <c r="H79" s="91"/>
      <c r="I79" s="91">
        <v>2</v>
      </c>
      <c r="J79" s="91">
        <v>2</v>
      </c>
      <c r="K79" s="91">
        <v>4</v>
      </c>
      <c r="L79" s="91">
        <v>8</v>
      </c>
      <c r="M79" s="91">
        <v>4</v>
      </c>
      <c r="N79" s="91">
        <v>7</v>
      </c>
      <c r="O79" s="91">
        <v>1</v>
      </c>
      <c r="P79" s="91">
        <v>2</v>
      </c>
      <c r="Q79" s="91">
        <v>6</v>
      </c>
      <c r="R79" s="91">
        <v>1</v>
      </c>
      <c r="S79" s="91">
        <v>9</v>
      </c>
      <c r="T79" s="91">
        <v>1</v>
      </c>
      <c r="U79" s="91">
        <v>5</v>
      </c>
      <c r="V79" s="91">
        <v>6</v>
      </c>
      <c r="W79" s="91">
        <v>1</v>
      </c>
      <c r="X79" s="91">
        <v>2</v>
      </c>
      <c r="Y79" s="91">
        <v>7</v>
      </c>
      <c r="Z79" s="91">
        <v>2</v>
      </c>
      <c r="AA79" s="91">
        <v>1</v>
      </c>
      <c r="AB79" s="91">
        <v>3</v>
      </c>
      <c r="AC79" s="91"/>
      <c r="AD79" s="91">
        <v>2</v>
      </c>
      <c r="AE79" s="91">
        <v>2</v>
      </c>
      <c r="AF79" s="91">
        <v>2</v>
      </c>
      <c r="AG79" s="91">
        <v>1</v>
      </c>
      <c r="AH79" s="91">
        <v>8</v>
      </c>
      <c r="AI79" s="91"/>
      <c r="AJ79" s="91">
        <v>1</v>
      </c>
      <c r="AK79" s="91">
        <v>9</v>
      </c>
      <c r="AL79" s="91"/>
      <c r="AM79" s="91">
        <v>7</v>
      </c>
      <c r="AN79" s="91">
        <v>3</v>
      </c>
      <c r="AO79" s="91">
        <v>2</v>
      </c>
      <c r="AP79" s="91">
        <v>4</v>
      </c>
      <c r="AQ79" s="91">
        <v>5</v>
      </c>
      <c r="AR79" s="91">
        <v>8</v>
      </c>
      <c r="AS79" s="91">
        <v>3</v>
      </c>
      <c r="AT79" s="91"/>
      <c r="AU79" s="91"/>
      <c r="AV79" s="91">
        <v>4</v>
      </c>
      <c r="AW79" s="91">
        <v>4</v>
      </c>
      <c r="AX79" s="91">
        <v>10</v>
      </c>
      <c r="AY79" s="91">
        <v>2</v>
      </c>
      <c r="AZ79" s="91">
        <v>6</v>
      </c>
      <c r="BA79" s="91">
        <v>3</v>
      </c>
      <c r="BB79" s="91">
        <v>3</v>
      </c>
      <c r="BC79" s="91"/>
    </row>
    <row r="80" spans="1:55" x14ac:dyDescent="0.25">
      <c r="A80" s="91" t="s">
        <v>496</v>
      </c>
      <c r="B80" s="129">
        <f t="shared" si="3"/>
        <v>58</v>
      </c>
      <c r="C80" s="91">
        <v>2</v>
      </c>
      <c r="D80" s="91">
        <v>1</v>
      </c>
      <c r="E80" s="91"/>
      <c r="F80" s="91">
        <v>2</v>
      </c>
      <c r="G80" s="91"/>
      <c r="H80" s="91"/>
      <c r="I80" s="91"/>
      <c r="J80" s="91"/>
      <c r="K80" s="91"/>
      <c r="L80" s="91"/>
      <c r="M80" s="91">
        <v>1</v>
      </c>
      <c r="N80" s="91">
        <v>2</v>
      </c>
      <c r="O80" s="91"/>
      <c r="P80" s="91"/>
      <c r="Q80" s="91">
        <v>1</v>
      </c>
      <c r="R80" s="91"/>
      <c r="S80" s="91">
        <v>2</v>
      </c>
      <c r="T80" s="91">
        <v>3</v>
      </c>
      <c r="U80" s="91"/>
      <c r="V80" s="91">
        <v>3</v>
      </c>
      <c r="W80" s="91"/>
      <c r="X80" s="91"/>
      <c r="Y80" s="91"/>
      <c r="Z80" s="91"/>
      <c r="AA80" s="91">
        <v>2</v>
      </c>
      <c r="AB80" s="91"/>
      <c r="AC80" s="91"/>
      <c r="AD80" s="91"/>
      <c r="AE80" s="91">
        <v>1</v>
      </c>
      <c r="AF80" s="91">
        <v>1</v>
      </c>
      <c r="AG80" s="91">
        <v>1</v>
      </c>
      <c r="AH80" s="91">
        <v>8</v>
      </c>
      <c r="AI80" s="91"/>
      <c r="AJ80" s="91"/>
      <c r="AK80" s="91">
        <v>2</v>
      </c>
      <c r="AL80" s="91"/>
      <c r="AM80" s="91">
        <v>2</v>
      </c>
      <c r="AN80" s="91"/>
      <c r="AO80" s="91"/>
      <c r="AP80" s="91"/>
      <c r="AQ80" s="91">
        <v>4</v>
      </c>
      <c r="AR80" s="91">
        <v>1</v>
      </c>
      <c r="AS80" s="91"/>
      <c r="AT80" s="91"/>
      <c r="AU80" s="91"/>
      <c r="AV80" s="91"/>
      <c r="AW80" s="91">
        <v>2</v>
      </c>
      <c r="AX80" s="91"/>
      <c r="AY80" s="91"/>
      <c r="AZ80" s="91">
        <v>4</v>
      </c>
      <c r="BA80" s="91">
        <v>5</v>
      </c>
      <c r="BB80" s="91">
        <v>8</v>
      </c>
      <c r="BC80" s="91"/>
    </row>
    <row r="81" spans="1:55" x14ac:dyDescent="0.25">
      <c r="A81" s="91" t="s">
        <v>488</v>
      </c>
      <c r="B81" s="129">
        <f t="shared" si="3"/>
        <v>118</v>
      </c>
      <c r="C81" s="91">
        <v>3</v>
      </c>
      <c r="D81" s="91">
        <v>1</v>
      </c>
      <c r="E81" s="91">
        <v>1</v>
      </c>
      <c r="F81" s="91">
        <v>1</v>
      </c>
      <c r="G81" s="91">
        <v>8</v>
      </c>
      <c r="H81" s="91"/>
      <c r="I81" s="91">
        <v>1</v>
      </c>
      <c r="J81" s="91">
        <v>2</v>
      </c>
      <c r="K81" s="91">
        <v>4</v>
      </c>
      <c r="L81" s="91">
        <v>3</v>
      </c>
      <c r="M81" s="91">
        <v>3</v>
      </c>
      <c r="N81" s="91">
        <v>6</v>
      </c>
      <c r="O81" s="91">
        <v>1</v>
      </c>
      <c r="P81" s="91">
        <v>2</v>
      </c>
      <c r="Q81" s="91"/>
      <c r="R81" s="91">
        <v>1</v>
      </c>
      <c r="S81" s="91">
        <v>4</v>
      </c>
      <c r="T81" s="91">
        <v>2</v>
      </c>
      <c r="U81" s="91"/>
      <c r="V81" s="91">
        <v>1</v>
      </c>
      <c r="W81" s="91">
        <v>2</v>
      </c>
      <c r="X81" s="91">
        <v>1</v>
      </c>
      <c r="Y81" s="91">
        <v>6</v>
      </c>
      <c r="Z81" s="91">
        <v>1</v>
      </c>
      <c r="AA81" s="91"/>
      <c r="AB81" s="91">
        <v>2</v>
      </c>
      <c r="AC81" s="91"/>
      <c r="AD81" s="91">
        <v>1</v>
      </c>
      <c r="AE81" s="91">
        <v>1</v>
      </c>
      <c r="AF81" s="91"/>
      <c r="AG81" s="91">
        <v>2</v>
      </c>
      <c r="AH81" s="91">
        <v>1</v>
      </c>
      <c r="AI81" s="91">
        <v>1</v>
      </c>
      <c r="AJ81" s="91">
        <v>9</v>
      </c>
      <c r="AK81" s="91">
        <v>2</v>
      </c>
      <c r="AL81" s="91">
        <v>5</v>
      </c>
      <c r="AM81" s="91">
        <v>2</v>
      </c>
      <c r="AN81" s="91">
        <v>4</v>
      </c>
      <c r="AO81" s="91">
        <v>3</v>
      </c>
      <c r="AP81" s="91"/>
      <c r="AQ81" s="91">
        <v>7</v>
      </c>
      <c r="AR81" s="91">
        <v>7</v>
      </c>
      <c r="AS81" s="91">
        <v>2</v>
      </c>
      <c r="AT81" s="91"/>
      <c r="AU81" s="91">
        <v>1</v>
      </c>
      <c r="AV81" s="91"/>
      <c r="AW81" s="91">
        <v>2</v>
      </c>
      <c r="AX81" s="91">
        <v>6</v>
      </c>
      <c r="AY81" s="91"/>
      <c r="AZ81" s="91">
        <v>2</v>
      </c>
      <c r="BA81" s="91">
        <v>1</v>
      </c>
      <c r="BB81" s="91">
        <v>3</v>
      </c>
      <c r="BC81" s="91"/>
    </row>
    <row r="82" spans="1:55" x14ac:dyDescent="0.25">
      <c r="A82" s="91" t="s">
        <v>501</v>
      </c>
      <c r="B82" s="129">
        <f t="shared" si="3"/>
        <v>66</v>
      </c>
      <c r="C82" s="91">
        <v>1</v>
      </c>
      <c r="D82" s="91">
        <v>6</v>
      </c>
      <c r="E82" s="91"/>
      <c r="F82" s="91"/>
      <c r="G82" s="91">
        <v>5</v>
      </c>
      <c r="H82" s="91"/>
      <c r="I82" s="91"/>
      <c r="J82" s="91"/>
      <c r="K82" s="91"/>
      <c r="L82" s="91">
        <v>1</v>
      </c>
      <c r="M82" s="91"/>
      <c r="N82" s="91">
        <v>2</v>
      </c>
      <c r="O82" s="91"/>
      <c r="P82" s="91"/>
      <c r="Q82" s="91">
        <v>12</v>
      </c>
      <c r="R82" s="91">
        <v>1</v>
      </c>
      <c r="S82" s="91"/>
      <c r="T82" s="91"/>
      <c r="U82" s="91"/>
      <c r="V82" s="91"/>
      <c r="W82" s="91"/>
      <c r="X82" s="91">
        <v>11</v>
      </c>
      <c r="Y82" s="91"/>
      <c r="Z82" s="91"/>
      <c r="AA82" s="91"/>
      <c r="AB82" s="91"/>
      <c r="AC82" s="91">
        <v>1</v>
      </c>
      <c r="AD82" s="91"/>
      <c r="AE82" s="91">
        <v>4</v>
      </c>
      <c r="AF82" s="91"/>
      <c r="AG82" s="91">
        <v>4</v>
      </c>
      <c r="AH82" s="91"/>
      <c r="AI82" s="91"/>
      <c r="AJ82" s="91">
        <v>2</v>
      </c>
      <c r="AK82" s="91">
        <v>1</v>
      </c>
      <c r="AL82" s="91">
        <v>3</v>
      </c>
      <c r="AM82" s="91"/>
      <c r="AN82" s="91"/>
      <c r="AO82" s="91">
        <v>1</v>
      </c>
      <c r="AP82" s="91"/>
      <c r="AQ82" s="91">
        <v>1</v>
      </c>
      <c r="AR82" s="91">
        <v>5</v>
      </c>
      <c r="AS82" s="91">
        <v>2</v>
      </c>
      <c r="AT82" s="91"/>
      <c r="AU82" s="91"/>
      <c r="AV82" s="91"/>
      <c r="AW82" s="91"/>
      <c r="AX82" s="91"/>
      <c r="AY82" s="91"/>
      <c r="AZ82" s="91"/>
      <c r="BA82" s="91">
        <v>2</v>
      </c>
      <c r="BB82" s="91">
        <v>1</v>
      </c>
      <c r="BC82" s="91"/>
    </row>
    <row r="83" spans="1:55" x14ac:dyDescent="0.25">
      <c r="A83" s="91" t="s">
        <v>77</v>
      </c>
      <c r="B83" s="129">
        <f t="shared" si="3"/>
        <v>0</v>
      </c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</row>
    <row r="84" spans="1:55" x14ac:dyDescent="0.25">
      <c r="A84" s="91" t="s">
        <v>215</v>
      </c>
      <c r="B84" s="129">
        <f t="shared" si="3"/>
        <v>10</v>
      </c>
      <c r="C84" s="91"/>
      <c r="D84" s="91"/>
      <c r="E84" s="91"/>
      <c r="F84" s="91"/>
      <c r="G84" s="91">
        <v>1</v>
      </c>
      <c r="H84" s="91"/>
      <c r="I84" s="91"/>
      <c r="J84" s="91">
        <v>3</v>
      </c>
      <c r="K84" s="91"/>
      <c r="L84" s="91"/>
      <c r="M84" s="91"/>
      <c r="N84" s="91">
        <v>3</v>
      </c>
      <c r="O84" s="91"/>
      <c r="P84" s="91"/>
      <c r="Q84" s="91"/>
      <c r="R84" s="91"/>
      <c r="S84" s="91">
        <v>1</v>
      </c>
      <c r="T84" s="91"/>
      <c r="U84" s="91"/>
      <c r="V84" s="91"/>
      <c r="W84" s="91">
        <v>1</v>
      </c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>
        <v>1</v>
      </c>
      <c r="AX84" s="91"/>
      <c r="AY84" s="91"/>
      <c r="AZ84" s="91"/>
      <c r="BA84" s="91"/>
      <c r="BB84" s="91"/>
      <c r="BC84" s="91"/>
    </row>
    <row r="85" spans="1:55" x14ac:dyDescent="0.25">
      <c r="A85" s="91" t="s">
        <v>313</v>
      </c>
      <c r="B85" s="129">
        <f t="shared" si="3"/>
        <v>40</v>
      </c>
      <c r="C85" s="91"/>
      <c r="D85" s="91">
        <v>1</v>
      </c>
      <c r="E85" s="91"/>
      <c r="F85" s="91">
        <v>1</v>
      </c>
      <c r="G85" s="91">
        <v>1</v>
      </c>
      <c r="H85" s="91"/>
      <c r="I85" s="91"/>
      <c r="J85" s="91"/>
      <c r="K85" s="91"/>
      <c r="L85" s="91">
        <v>1</v>
      </c>
      <c r="M85" s="91">
        <v>1</v>
      </c>
      <c r="N85" s="91">
        <v>7</v>
      </c>
      <c r="O85" s="91">
        <v>1</v>
      </c>
      <c r="P85" s="91"/>
      <c r="Q85" s="91"/>
      <c r="R85" s="91"/>
      <c r="S85" s="91">
        <v>3</v>
      </c>
      <c r="T85" s="91"/>
      <c r="U85" s="91"/>
      <c r="V85" s="91">
        <v>1</v>
      </c>
      <c r="W85" s="91"/>
      <c r="X85" s="91">
        <v>1</v>
      </c>
      <c r="Y85" s="91"/>
      <c r="Z85" s="91"/>
      <c r="AA85" s="91"/>
      <c r="AB85" s="91"/>
      <c r="AC85" s="91"/>
      <c r="AD85" s="91"/>
      <c r="AE85" s="91"/>
      <c r="AF85" s="91"/>
      <c r="AG85" s="91">
        <v>1</v>
      </c>
      <c r="AH85" s="91">
        <v>3</v>
      </c>
      <c r="AI85" s="91"/>
      <c r="AJ85" s="91">
        <v>8</v>
      </c>
      <c r="AK85" s="91">
        <v>2</v>
      </c>
      <c r="AL85" s="91"/>
      <c r="AM85" s="91">
        <v>2</v>
      </c>
      <c r="AN85" s="91"/>
      <c r="AO85" s="91"/>
      <c r="AP85" s="91"/>
      <c r="AQ85" s="91">
        <v>1</v>
      </c>
      <c r="AR85" s="91"/>
      <c r="AS85" s="91"/>
      <c r="AT85" s="91"/>
      <c r="AU85" s="91">
        <v>2</v>
      </c>
      <c r="AV85" s="91">
        <v>1</v>
      </c>
      <c r="AW85" s="91"/>
      <c r="AX85" s="91">
        <v>2</v>
      </c>
      <c r="AY85" s="91"/>
      <c r="AZ85" s="91"/>
      <c r="BA85" s="91"/>
      <c r="BB85" s="91"/>
      <c r="BC85" s="91"/>
    </row>
    <row r="86" spans="1:55" x14ac:dyDescent="0.25">
      <c r="A86" s="91" t="s">
        <v>90</v>
      </c>
      <c r="B86" s="129">
        <f t="shared" si="3"/>
        <v>251</v>
      </c>
      <c r="C86" s="91">
        <v>13</v>
      </c>
      <c r="D86" s="91">
        <v>4</v>
      </c>
      <c r="E86" s="91"/>
      <c r="F86" s="91">
        <v>1</v>
      </c>
      <c r="G86" s="91">
        <v>9</v>
      </c>
      <c r="H86" s="91"/>
      <c r="I86" s="91">
        <v>24</v>
      </c>
      <c r="J86" s="91">
        <v>7</v>
      </c>
      <c r="K86" s="91">
        <v>4</v>
      </c>
      <c r="L86" s="91">
        <v>8</v>
      </c>
      <c r="M86" s="91">
        <v>9</v>
      </c>
      <c r="N86" s="91">
        <v>8</v>
      </c>
      <c r="O86" s="91">
        <v>5</v>
      </c>
      <c r="P86" s="91">
        <v>3</v>
      </c>
      <c r="Q86" s="91"/>
      <c r="R86" s="91"/>
      <c r="S86" s="91">
        <v>12</v>
      </c>
      <c r="T86" s="91">
        <v>9</v>
      </c>
      <c r="U86" s="91">
        <v>5</v>
      </c>
      <c r="V86" s="91"/>
      <c r="W86" s="91">
        <v>4</v>
      </c>
      <c r="X86" s="91">
        <v>6</v>
      </c>
      <c r="Y86" s="91">
        <v>1</v>
      </c>
      <c r="Z86" s="91">
        <v>1</v>
      </c>
      <c r="AA86" s="91">
        <v>2</v>
      </c>
      <c r="AB86" s="91">
        <v>5</v>
      </c>
      <c r="AC86" s="91">
        <v>1</v>
      </c>
      <c r="AD86" s="91">
        <v>5</v>
      </c>
      <c r="AE86" s="91"/>
      <c r="AF86" s="91">
        <v>2</v>
      </c>
      <c r="AG86" s="91"/>
      <c r="AH86" s="91">
        <v>7</v>
      </c>
      <c r="AI86" s="91">
        <v>6</v>
      </c>
      <c r="AJ86" s="91"/>
      <c r="AK86" s="91">
        <v>3</v>
      </c>
      <c r="AL86" s="91">
        <v>13</v>
      </c>
      <c r="AM86" s="91">
        <v>5</v>
      </c>
      <c r="AN86" s="91">
        <v>2</v>
      </c>
      <c r="AO86" s="91">
        <v>2</v>
      </c>
      <c r="AP86" s="91">
        <v>8</v>
      </c>
      <c r="AQ86" s="91">
        <v>8</v>
      </c>
      <c r="AR86" s="91">
        <v>8</v>
      </c>
      <c r="AS86" s="91">
        <v>14</v>
      </c>
      <c r="AT86" s="91"/>
      <c r="AU86" s="91">
        <v>6</v>
      </c>
      <c r="AV86" s="91">
        <v>11</v>
      </c>
      <c r="AW86" s="91">
        <v>3</v>
      </c>
      <c r="AX86" s="91">
        <v>6</v>
      </c>
      <c r="AY86" s="91"/>
      <c r="AZ86" s="91">
        <v>1</v>
      </c>
      <c r="BA86" s="91"/>
      <c r="BB86" s="91"/>
      <c r="BC86" s="91"/>
    </row>
    <row r="87" spans="1:55" x14ac:dyDescent="0.25">
      <c r="A87" s="91" t="s">
        <v>588</v>
      </c>
      <c r="B87" s="129">
        <f t="shared" si="3"/>
        <v>343</v>
      </c>
      <c r="C87" s="91">
        <v>13</v>
      </c>
      <c r="D87" s="91">
        <v>8</v>
      </c>
      <c r="E87" s="91">
        <v>14</v>
      </c>
      <c r="F87" s="91">
        <v>5</v>
      </c>
      <c r="G87" s="91">
        <v>12</v>
      </c>
      <c r="H87" s="91">
        <v>16</v>
      </c>
      <c r="I87" s="91">
        <v>2</v>
      </c>
      <c r="J87" s="91">
        <v>3</v>
      </c>
      <c r="K87" s="91"/>
      <c r="L87" s="91">
        <v>2</v>
      </c>
      <c r="M87" s="91">
        <v>7</v>
      </c>
      <c r="N87" s="91">
        <v>9</v>
      </c>
      <c r="O87" s="91">
        <v>1</v>
      </c>
      <c r="P87" s="91">
        <v>10</v>
      </c>
      <c r="Q87" s="91">
        <v>14</v>
      </c>
      <c r="R87" s="91">
        <v>6</v>
      </c>
      <c r="S87" s="91">
        <v>11</v>
      </c>
      <c r="T87" s="91">
        <v>7</v>
      </c>
      <c r="U87" s="91">
        <v>1</v>
      </c>
      <c r="V87" s="91">
        <v>11</v>
      </c>
      <c r="W87" s="91">
        <v>7</v>
      </c>
      <c r="X87" s="91">
        <v>7</v>
      </c>
      <c r="Y87" s="91">
        <v>5</v>
      </c>
      <c r="Z87" s="91">
        <v>4</v>
      </c>
      <c r="AA87" s="91">
        <v>9</v>
      </c>
      <c r="AB87" s="91">
        <v>2</v>
      </c>
      <c r="AC87" s="91">
        <v>7</v>
      </c>
      <c r="AD87" s="91">
        <v>7</v>
      </c>
      <c r="AE87" s="91">
        <v>4</v>
      </c>
      <c r="AF87" s="91">
        <v>4</v>
      </c>
      <c r="AG87" s="91">
        <v>4</v>
      </c>
      <c r="AH87" s="91">
        <v>10</v>
      </c>
      <c r="AI87" s="91">
        <v>4</v>
      </c>
      <c r="AJ87" s="91">
        <v>6</v>
      </c>
      <c r="AK87" s="91">
        <v>13</v>
      </c>
      <c r="AL87" s="91">
        <v>7</v>
      </c>
      <c r="AM87" s="91">
        <v>4</v>
      </c>
      <c r="AN87" s="91"/>
      <c r="AO87" s="91">
        <v>12</v>
      </c>
      <c r="AP87" s="91">
        <v>3</v>
      </c>
      <c r="AQ87" s="91">
        <v>8</v>
      </c>
      <c r="AR87" s="91">
        <v>9</v>
      </c>
      <c r="AS87" s="91">
        <v>4</v>
      </c>
      <c r="AT87" s="91"/>
      <c r="AU87" s="91">
        <v>9</v>
      </c>
      <c r="AV87" s="91">
        <v>6</v>
      </c>
      <c r="AW87" s="91">
        <v>22</v>
      </c>
      <c r="AX87" s="91">
        <v>7</v>
      </c>
      <c r="AY87" s="91">
        <v>4</v>
      </c>
      <c r="AZ87" s="91"/>
      <c r="BA87" s="91"/>
      <c r="BB87" s="91">
        <v>3</v>
      </c>
      <c r="BC87" s="91"/>
    </row>
    <row r="88" spans="1:55" x14ac:dyDescent="0.25">
      <c r="A88" s="91" t="s">
        <v>126</v>
      </c>
      <c r="B88" s="129">
        <f t="shared" si="3"/>
        <v>1171</v>
      </c>
      <c r="C88" s="91">
        <v>28</v>
      </c>
      <c r="D88" s="91">
        <v>34</v>
      </c>
      <c r="E88" s="91">
        <v>28</v>
      </c>
      <c r="F88" s="91">
        <v>31</v>
      </c>
      <c r="G88" s="91">
        <v>61</v>
      </c>
      <c r="H88" s="91">
        <v>8</v>
      </c>
      <c r="I88" s="91">
        <v>24</v>
      </c>
      <c r="J88" s="91">
        <v>42</v>
      </c>
      <c r="K88" s="91">
        <v>15</v>
      </c>
      <c r="L88" s="91">
        <v>28</v>
      </c>
      <c r="M88" s="91">
        <v>9</v>
      </c>
      <c r="N88" s="91">
        <v>36</v>
      </c>
      <c r="O88" s="91">
        <v>32</v>
      </c>
      <c r="P88" s="91">
        <v>2</v>
      </c>
      <c r="Q88" s="91">
        <v>22</v>
      </c>
      <c r="R88" s="91">
        <v>21</v>
      </c>
      <c r="S88" s="91">
        <v>17</v>
      </c>
      <c r="T88" s="91">
        <v>9</v>
      </c>
      <c r="U88" s="91">
        <v>30</v>
      </c>
      <c r="V88" s="91">
        <v>11</v>
      </c>
      <c r="W88" s="91">
        <v>34</v>
      </c>
      <c r="X88" s="91">
        <v>23</v>
      </c>
      <c r="Y88" s="91">
        <v>24</v>
      </c>
      <c r="Z88" s="91">
        <v>10</v>
      </c>
      <c r="AA88" s="91">
        <v>24</v>
      </c>
      <c r="AB88" s="91">
        <v>32</v>
      </c>
      <c r="AC88" s="91">
        <v>20</v>
      </c>
      <c r="AD88" s="91">
        <v>29</v>
      </c>
      <c r="AE88" s="91">
        <v>16</v>
      </c>
      <c r="AF88" s="91">
        <v>10</v>
      </c>
      <c r="AG88" s="91">
        <v>13</v>
      </c>
      <c r="AH88" s="91">
        <v>36</v>
      </c>
      <c r="AI88" s="91">
        <v>24</v>
      </c>
      <c r="AJ88" s="91">
        <v>37</v>
      </c>
      <c r="AK88" s="91">
        <v>14</v>
      </c>
      <c r="AL88" s="91">
        <v>17</v>
      </c>
      <c r="AM88" s="91">
        <v>10</v>
      </c>
      <c r="AN88" s="91">
        <v>30</v>
      </c>
      <c r="AO88" s="91">
        <v>22</v>
      </c>
      <c r="AP88" s="91">
        <v>16</v>
      </c>
      <c r="AQ88" s="91">
        <v>28</v>
      </c>
      <c r="AR88" s="91">
        <v>12</v>
      </c>
      <c r="AS88" s="91">
        <v>11</v>
      </c>
      <c r="AT88" s="91"/>
      <c r="AU88" s="91">
        <v>12</v>
      </c>
      <c r="AV88" s="91">
        <v>23</v>
      </c>
      <c r="AW88" s="91">
        <v>45</v>
      </c>
      <c r="AX88" s="91">
        <v>29</v>
      </c>
      <c r="AY88" s="91">
        <v>12</v>
      </c>
      <c r="AZ88" s="91">
        <v>31</v>
      </c>
      <c r="BA88" s="91">
        <v>18</v>
      </c>
      <c r="BB88" s="91">
        <v>21</v>
      </c>
      <c r="BC88" s="91"/>
    </row>
    <row r="89" spans="1:55" x14ac:dyDescent="0.25">
      <c r="A89" s="91" t="s">
        <v>79</v>
      </c>
      <c r="B89" s="129">
        <f t="shared" si="3"/>
        <v>18</v>
      </c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>
        <v>18</v>
      </c>
      <c r="BB89" s="91"/>
      <c r="BC89" s="91"/>
    </row>
    <row r="90" spans="1:55" x14ac:dyDescent="0.25">
      <c r="A90" s="91" t="s">
        <v>209</v>
      </c>
      <c r="B90" s="129">
        <f t="shared" si="3"/>
        <v>218</v>
      </c>
      <c r="C90" s="91">
        <v>16</v>
      </c>
      <c r="D90" s="91">
        <v>1</v>
      </c>
      <c r="E90" s="91">
        <v>4</v>
      </c>
      <c r="F90" s="91">
        <v>2</v>
      </c>
      <c r="G90" s="91">
        <v>3</v>
      </c>
      <c r="H90" s="91"/>
      <c r="I90" s="91">
        <v>3</v>
      </c>
      <c r="J90" s="91">
        <v>2</v>
      </c>
      <c r="K90" s="91">
        <v>4</v>
      </c>
      <c r="L90" s="91">
        <v>7</v>
      </c>
      <c r="M90" s="91">
        <v>7</v>
      </c>
      <c r="N90" s="91">
        <v>5</v>
      </c>
      <c r="O90" s="91">
        <v>1</v>
      </c>
      <c r="P90" s="91">
        <v>2</v>
      </c>
      <c r="Q90" s="91"/>
      <c r="R90" s="91"/>
      <c r="S90" s="91">
        <v>12</v>
      </c>
      <c r="T90" s="91">
        <v>2</v>
      </c>
      <c r="U90" s="91">
        <v>1</v>
      </c>
      <c r="V90" s="91"/>
      <c r="W90" s="91"/>
      <c r="X90" s="91">
        <v>5</v>
      </c>
      <c r="Y90" s="91">
        <v>12</v>
      </c>
      <c r="Z90" s="91">
        <v>2</v>
      </c>
      <c r="AA90" s="91">
        <v>2</v>
      </c>
      <c r="AB90" s="91">
        <v>7</v>
      </c>
      <c r="AC90" s="91"/>
      <c r="AD90" s="91">
        <v>5</v>
      </c>
      <c r="AE90" s="91">
        <v>6</v>
      </c>
      <c r="AF90" s="91">
        <v>2</v>
      </c>
      <c r="AG90" s="91"/>
      <c r="AH90" s="91">
        <v>2</v>
      </c>
      <c r="AI90" s="91">
        <v>1</v>
      </c>
      <c r="AJ90" s="91">
        <v>2</v>
      </c>
      <c r="AK90" s="91">
        <v>6</v>
      </c>
      <c r="AL90" s="91">
        <v>9</v>
      </c>
      <c r="AM90" s="91">
        <v>2</v>
      </c>
      <c r="AN90" s="91">
        <v>3</v>
      </c>
      <c r="AO90" s="91">
        <v>1</v>
      </c>
      <c r="AP90" s="91">
        <v>17</v>
      </c>
      <c r="AQ90" s="91">
        <v>7</v>
      </c>
      <c r="AR90" s="91">
        <v>11</v>
      </c>
      <c r="AS90" s="91">
        <v>15</v>
      </c>
      <c r="AT90" s="91"/>
      <c r="AU90" s="91">
        <v>10</v>
      </c>
      <c r="AV90" s="91">
        <v>1</v>
      </c>
      <c r="AW90" s="91">
        <v>5</v>
      </c>
      <c r="AX90" s="91">
        <v>2</v>
      </c>
      <c r="AY90" s="91">
        <v>6</v>
      </c>
      <c r="AZ90" s="91"/>
      <c r="BA90" s="91">
        <v>5</v>
      </c>
      <c r="BB90" s="91"/>
      <c r="BC90" s="91"/>
    </row>
    <row r="91" spans="1:55" x14ac:dyDescent="0.25">
      <c r="A91" s="91" t="s">
        <v>170</v>
      </c>
      <c r="B91" s="129">
        <f t="shared" si="3"/>
        <v>107</v>
      </c>
      <c r="C91" s="91">
        <v>2</v>
      </c>
      <c r="D91" s="91">
        <v>2</v>
      </c>
      <c r="E91" s="91"/>
      <c r="F91" s="91">
        <v>2</v>
      </c>
      <c r="G91" s="91">
        <v>1</v>
      </c>
      <c r="H91" s="91"/>
      <c r="I91" s="91">
        <v>3</v>
      </c>
      <c r="J91" s="91">
        <v>7</v>
      </c>
      <c r="K91" s="91">
        <v>1</v>
      </c>
      <c r="L91" s="91">
        <v>1</v>
      </c>
      <c r="M91" s="91">
        <v>4</v>
      </c>
      <c r="N91" s="91">
        <v>7</v>
      </c>
      <c r="O91" s="91"/>
      <c r="P91" s="91">
        <v>2</v>
      </c>
      <c r="Q91" s="91"/>
      <c r="R91" s="91"/>
      <c r="S91" s="91">
        <v>7</v>
      </c>
      <c r="T91" s="91">
        <v>2</v>
      </c>
      <c r="U91" s="91">
        <v>1</v>
      </c>
      <c r="V91" s="91"/>
      <c r="W91" s="91">
        <v>5</v>
      </c>
      <c r="X91" s="91">
        <v>1</v>
      </c>
      <c r="Y91" s="91">
        <v>2</v>
      </c>
      <c r="Z91" s="91"/>
      <c r="AA91" s="91">
        <v>6</v>
      </c>
      <c r="AB91" s="91">
        <v>3</v>
      </c>
      <c r="AC91" s="91"/>
      <c r="AD91" s="91">
        <v>7</v>
      </c>
      <c r="AE91" s="91"/>
      <c r="AF91" s="91"/>
      <c r="AG91" s="91"/>
      <c r="AH91" s="91">
        <v>1</v>
      </c>
      <c r="AI91" s="91">
        <v>2</v>
      </c>
      <c r="AJ91" s="91">
        <v>1</v>
      </c>
      <c r="AK91" s="91">
        <v>5</v>
      </c>
      <c r="AL91" s="91">
        <v>5</v>
      </c>
      <c r="AM91" s="91">
        <v>1</v>
      </c>
      <c r="AN91" s="91">
        <v>2</v>
      </c>
      <c r="AO91" s="91">
        <v>2</v>
      </c>
      <c r="AP91" s="91"/>
      <c r="AQ91" s="91">
        <v>4</v>
      </c>
      <c r="AR91" s="91">
        <v>4</v>
      </c>
      <c r="AS91" s="91">
        <v>1</v>
      </c>
      <c r="AT91" s="91"/>
      <c r="AU91" s="91"/>
      <c r="AV91" s="91">
        <v>2</v>
      </c>
      <c r="AW91" s="91">
        <v>4</v>
      </c>
      <c r="AX91" s="91">
        <v>1</v>
      </c>
      <c r="AY91" s="91"/>
      <c r="AZ91" s="91"/>
      <c r="BA91" s="91">
        <v>6</v>
      </c>
      <c r="BB91" s="91"/>
      <c r="BC91" s="91"/>
    </row>
    <row r="92" spans="1:55" x14ac:dyDescent="0.25">
      <c r="A92" s="91" t="s">
        <v>189</v>
      </c>
      <c r="B92" s="129">
        <f t="shared" si="3"/>
        <v>498</v>
      </c>
      <c r="C92" s="91">
        <v>6</v>
      </c>
      <c r="D92" s="91">
        <v>8</v>
      </c>
      <c r="E92" s="91">
        <v>13</v>
      </c>
      <c r="F92" s="91">
        <v>8</v>
      </c>
      <c r="G92" s="91">
        <v>12</v>
      </c>
      <c r="H92" s="91"/>
      <c r="I92" s="91">
        <v>19</v>
      </c>
      <c r="J92" s="91">
        <v>18</v>
      </c>
      <c r="K92" s="91">
        <v>4</v>
      </c>
      <c r="L92" s="91">
        <v>4</v>
      </c>
      <c r="M92" s="91">
        <v>11</v>
      </c>
      <c r="N92" s="91">
        <v>27</v>
      </c>
      <c r="O92" s="91">
        <v>3</v>
      </c>
      <c r="P92" s="91">
        <v>25</v>
      </c>
      <c r="Q92" s="91">
        <v>17</v>
      </c>
      <c r="R92" s="91">
        <v>7</v>
      </c>
      <c r="S92" s="91">
        <v>38</v>
      </c>
      <c r="T92" s="91">
        <v>2</v>
      </c>
      <c r="U92" s="91">
        <v>9</v>
      </c>
      <c r="V92" s="91">
        <v>4</v>
      </c>
      <c r="W92" s="91">
        <v>13</v>
      </c>
      <c r="X92" s="91">
        <v>22</v>
      </c>
      <c r="Y92" s="91">
        <v>1</v>
      </c>
      <c r="Z92" s="91">
        <v>4</v>
      </c>
      <c r="AA92" s="91">
        <v>6</v>
      </c>
      <c r="AB92" s="91"/>
      <c r="AC92" s="91">
        <v>5</v>
      </c>
      <c r="AD92" s="91">
        <v>25</v>
      </c>
      <c r="AE92" s="91">
        <v>4</v>
      </c>
      <c r="AF92" s="91">
        <v>2</v>
      </c>
      <c r="AG92" s="91">
        <v>3</v>
      </c>
      <c r="AH92" s="91">
        <v>18</v>
      </c>
      <c r="AI92" s="91">
        <v>4</v>
      </c>
      <c r="AJ92" s="91">
        <v>6</v>
      </c>
      <c r="AK92" s="91">
        <v>13</v>
      </c>
      <c r="AL92" s="91">
        <v>4</v>
      </c>
      <c r="AM92" s="91">
        <v>3</v>
      </c>
      <c r="AN92" s="91"/>
      <c r="AO92" s="91">
        <v>2</v>
      </c>
      <c r="AP92" s="91">
        <v>10</v>
      </c>
      <c r="AQ92" s="91">
        <v>10</v>
      </c>
      <c r="AR92" s="91">
        <v>11</v>
      </c>
      <c r="AS92" s="91">
        <v>7</v>
      </c>
      <c r="AT92" s="91"/>
      <c r="AU92" s="91">
        <v>17</v>
      </c>
      <c r="AV92" s="91">
        <v>13</v>
      </c>
      <c r="AW92" s="91">
        <v>29</v>
      </c>
      <c r="AX92" s="91">
        <v>7</v>
      </c>
      <c r="AY92" s="91">
        <v>3</v>
      </c>
      <c r="AZ92" s="91">
        <v>12</v>
      </c>
      <c r="BA92" s="91"/>
      <c r="BB92" s="91">
        <v>9</v>
      </c>
      <c r="BC92" s="91"/>
    </row>
    <row r="93" spans="1:55" x14ac:dyDescent="0.25">
      <c r="A93" s="91" t="s">
        <v>276</v>
      </c>
      <c r="B93" s="129">
        <f t="shared" si="3"/>
        <v>2866</v>
      </c>
      <c r="C93" s="91">
        <v>55</v>
      </c>
      <c r="D93" s="91">
        <v>48</v>
      </c>
      <c r="E93" s="91">
        <v>73</v>
      </c>
      <c r="F93" s="91">
        <v>59</v>
      </c>
      <c r="G93" s="91">
        <v>75</v>
      </c>
      <c r="H93" s="91"/>
      <c r="I93" s="91">
        <v>106</v>
      </c>
      <c r="J93" s="91">
        <v>67</v>
      </c>
      <c r="K93" s="91">
        <v>64</v>
      </c>
      <c r="L93" s="91">
        <v>67</v>
      </c>
      <c r="M93" s="91">
        <v>38</v>
      </c>
      <c r="N93" s="91">
        <v>72</v>
      </c>
      <c r="O93" s="91">
        <v>60</v>
      </c>
      <c r="P93" s="91">
        <v>63</v>
      </c>
      <c r="Q93" s="91">
        <v>55</v>
      </c>
      <c r="R93" s="91">
        <v>55</v>
      </c>
      <c r="S93" s="91">
        <v>109</v>
      </c>
      <c r="T93" s="91">
        <v>17</v>
      </c>
      <c r="U93" s="91">
        <v>62</v>
      </c>
      <c r="V93" s="91">
        <v>42</v>
      </c>
      <c r="W93" s="91">
        <v>93</v>
      </c>
      <c r="X93" s="91">
        <v>59</v>
      </c>
      <c r="Y93" s="91">
        <v>53</v>
      </c>
      <c r="Z93" s="91">
        <v>56</v>
      </c>
      <c r="AA93" s="91">
        <v>55</v>
      </c>
      <c r="AB93" s="91">
        <v>3</v>
      </c>
      <c r="AC93" s="91">
        <v>51</v>
      </c>
      <c r="AD93" s="91">
        <v>72</v>
      </c>
      <c r="AE93" s="91">
        <v>32</v>
      </c>
      <c r="AF93" s="91">
        <v>17</v>
      </c>
      <c r="AG93" s="91">
        <v>52</v>
      </c>
      <c r="AH93" s="91">
        <v>55</v>
      </c>
      <c r="AI93" s="91">
        <v>67</v>
      </c>
      <c r="AJ93" s="91">
        <v>64</v>
      </c>
      <c r="AK93" s="91">
        <v>36</v>
      </c>
      <c r="AL93" s="91">
        <v>58</v>
      </c>
      <c r="AM93" s="91">
        <v>62</v>
      </c>
      <c r="AN93" s="91">
        <v>50</v>
      </c>
      <c r="AO93" s="91">
        <v>73</v>
      </c>
      <c r="AP93" s="91">
        <v>39</v>
      </c>
      <c r="AQ93" s="91">
        <v>59</v>
      </c>
      <c r="AR93" s="91">
        <v>57</v>
      </c>
      <c r="AS93" s="91">
        <v>64</v>
      </c>
      <c r="AT93" s="91"/>
      <c r="AU93" s="91">
        <v>47</v>
      </c>
      <c r="AV93" s="91">
        <v>59</v>
      </c>
      <c r="AW93" s="91">
        <v>59</v>
      </c>
      <c r="AX93" s="91">
        <v>82</v>
      </c>
      <c r="AY93" s="91">
        <v>42</v>
      </c>
      <c r="AZ93" s="91">
        <v>83</v>
      </c>
      <c r="BA93" s="91">
        <v>52</v>
      </c>
      <c r="BB93" s="91">
        <v>28</v>
      </c>
      <c r="BC93" s="91"/>
    </row>
    <row r="94" spans="1:55" x14ac:dyDescent="0.25">
      <c r="A94" s="91" t="s">
        <v>214</v>
      </c>
      <c r="B94" s="129">
        <f t="shared" si="3"/>
        <v>0</v>
      </c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</row>
    <row r="95" spans="1:55" x14ac:dyDescent="0.25">
      <c r="A95" s="91" t="s">
        <v>595</v>
      </c>
      <c r="B95" s="129">
        <f t="shared" si="3"/>
        <v>424</v>
      </c>
      <c r="C95" s="91">
        <v>4</v>
      </c>
      <c r="D95" s="91">
        <v>6</v>
      </c>
      <c r="E95" s="91">
        <v>10</v>
      </c>
      <c r="F95" s="91">
        <v>11</v>
      </c>
      <c r="G95" s="91">
        <v>9</v>
      </c>
      <c r="H95" s="91">
        <v>35</v>
      </c>
      <c r="I95" s="91">
        <v>7</v>
      </c>
      <c r="J95" s="91">
        <v>12</v>
      </c>
      <c r="K95" s="91">
        <v>7</v>
      </c>
      <c r="L95" s="91">
        <v>7</v>
      </c>
      <c r="M95" s="91"/>
      <c r="N95" s="91">
        <v>20</v>
      </c>
      <c r="O95" s="91">
        <v>5</v>
      </c>
      <c r="P95" s="91">
        <v>15</v>
      </c>
      <c r="Q95" s="91">
        <v>2</v>
      </c>
      <c r="R95" s="91">
        <v>4</v>
      </c>
      <c r="S95" s="91">
        <v>7</v>
      </c>
      <c r="T95" s="91">
        <v>6</v>
      </c>
      <c r="U95" s="91">
        <v>19</v>
      </c>
      <c r="V95" s="91">
        <v>4</v>
      </c>
      <c r="W95" s="91">
        <v>22</v>
      </c>
      <c r="X95" s="91">
        <v>1</v>
      </c>
      <c r="Y95" s="91">
        <v>14</v>
      </c>
      <c r="Z95" s="91">
        <v>7</v>
      </c>
      <c r="AA95" s="91">
        <v>10</v>
      </c>
      <c r="AB95" s="91"/>
      <c r="AC95" s="91">
        <v>4</v>
      </c>
      <c r="AD95" s="91">
        <v>9</v>
      </c>
      <c r="AE95" s="91">
        <v>9</v>
      </c>
      <c r="AF95" s="91">
        <v>5</v>
      </c>
      <c r="AG95" s="91">
        <v>6</v>
      </c>
      <c r="AH95" s="91">
        <v>9</v>
      </c>
      <c r="AI95" s="91">
        <v>1</v>
      </c>
      <c r="AJ95" s="91">
        <v>9</v>
      </c>
      <c r="AK95" s="91">
        <v>9</v>
      </c>
      <c r="AL95" s="91">
        <v>15</v>
      </c>
      <c r="AM95" s="91">
        <v>9</v>
      </c>
      <c r="AN95" s="91">
        <v>6</v>
      </c>
      <c r="AO95" s="91">
        <v>15</v>
      </c>
      <c r="AP95" s="91">
        <v>8</v>
      </c>
      <c r="AQ95" s="91">
        <v>8</v>
      </c>
      <c r="AR95" s="91">
        <v>7</v>
      </c>
      <c r="AS95" s="91">
        <v>2</v>
      </c>
      <c r="AT95" s="91"/>
      <c r="AU95" s="91">
        <v>2</v>
      </c>
      <c r="AV95" s="91">
        <v>15</v>
      </c>
      <c r="AW95" s="91">
        <v>6</v>
      </c>
      <c r="AX95" s="91">
        <v>9</v>
      </c>
      <c r="AY95" s="91">
        <v>5</v>
      </c>
      <c r="AZ95" s="91">
        <v>5</v>
      </c>
      <c r="BA95" s="91"/>
      <c r="BB95" s="91">
        <v>6</v>
      </c>
      <c r="BC95" s="91">
        <v>1</v>
      </c>
    </row>
    <row r="96" spans="1:55" x14ac:dyDescent="0.25">
      <c r="A96" s="91" t="s">
        <v>499</v>
      </c>
      <c r="B96" s="129">
        <f t="shared" si="3"/>
        <v>58</v>
      </c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>
        <v>2</v>
      </c>
      <c r="O96" s="91"/>
      <c r="P96" s="91">
        <v>1</v>
      </c>
      <c r="Q96" s="91"/>
      <c r="R96" s="91"/>
      <c r="S96" s="91"/>
      <c r="T96" s="91">
        <v>1</v>
      </c>
      <c r="U96" s="91"/>
      <c r="V96" s="91"/>
      <c r="W96" s="91">
        <v>3</v>
      </c>
      <c r="X96" s="91"/>
      <c r="Y96" s="91"/>
      <c r="Z96" s="91"/>
      <c r="AA96" s="91"/>
      <c r="AB96" s="91">
        <v>2</v>
      </c>
      <c r="AC96" s="91">
        <v>1</v>
      </c>
      <c r="AD96" s="91">
        <v>1</v>
      </c>
      <c r="AE96" s="91"/>
      <c r="AF96" s="91">
        <v>2</v>
      </c>
      <c r="AG96" s="91">
        <v>1</v>
      </c>
      <c r="AH96" s="91">
        <v>1</v>
      </c>
      <c r="AI96" s="91"/>
      <c r="AJ96" s="91">
        <v>1</v>
      </c>
      <c r="AK96" s="91"/>
      <c r="AL96" s="91">
        <v>2</v>
      </c>
      <c r="AM96" s="91">
        <v>1</v>
      </c>
      <c r="AN96" s="91"/>
      <c r="AO96" s="91">
        <v>1</v>
      </c>
      <c r="AP96" s="91">
        <v>3</v>
      </c>
      <c r="AQ96" s="91">
        <v>3</v>
      </c>
      <c r="AR96" s="91">
        <v>6</v>
      </c>
      <c r="AS96" s="91"/>
      <c r="AT96" s="91"/>
      <c r="AU96" s="91"/>
      <c r="AV96" s="91"/>
      <c r="AW96" s="91">
        <v>2</v>
      </c>
      <c r="AX96" s="91">
        <v>3</v>
      </c>
      <c r="AY96" s="91">
        <v>1</v>
      </c>
      <c r="AZ96" s="91">
        <v>6</v>
      </c>
      <c r="BA96" s="91">
        <v>2</v>
      </c>
      <c r="BB96" s="91">
        <v>12</v>
      </c>
      <c r="BC96" s="91"/>
    </row>
    <row r="97" spans="1:55" x14ac:dyDescent="0.25">
      <c r="A97" s="91" t="s">
        <v>586</v>
      </c>
      <c r="B97" s="129">
        <f t="shared" si="3"/>
        <v>122</v>
      </c>
      <c r="C97" s="91">
        <v>5</v>
      </c>
      <c r="D97" s="91"/>
      <c r="E97" s="91"/>
      <c r="F97" s="91">
        <v>9</v>
      </c>
      <c r="G97" s="91"/>
      <c r="H97" s="91"/>
      <c r="I97" s="91">
        <v>5</v>
      </c>
      <c r="J97" s="91">
        <v>5</v>
      </c>
      <c r="K97" s="91"/>
      <c r="L97" s="91"/>
      <c r="M97" s="91"/>
      <c r="N97" s="91">
        <v>4</v>
      </c>
      <c r="O97" s="91">
        <v>1</v>
      </c>
      <c r="P97" s="91">
        <v>17</v>
      </c>
      <c r="Q97" s="91">
        <v>1</v>
      </c>
      <c r="R97" s="91">
        <v>1</v>
      </c>
      <c r="S97" s="91">
        <v>2</v>
      </c>
      <c r="T97" s="91"/>
      <c r="U97" s="91"/>
      <c r="V97" s="91">
        <v>2</v>
      </c>
      <c r="W97" s="91">
        <v>4</v>
      </c>
      <c r="X97" s="91">
        <v>9</v>
      </c>
      <c r="Y97" s="91"/>
      <c r="Z97" s="91">
        <v>3</v>
      </c>
      <c r="AA97" s="91">
        <v>1</v>
      </c>
      <c r="AB97" s="91">
        <v>1</v>
      </c>
      <c r="AC97" s="91"/>
      <c r="AD97" s="91"/>
      <c r="AE97" s="91">
        <v>3</v>
      </c>
      <c r="AF97" s="91"/>
      <c r="AG97" s="91">
        <v>2</v>
      </c>
      <c r="AH97" s="91">
        <v>4</v>
      </c>
      <c r="AI97" s="91">
        <v>2</v>
      </c>
      <c r="AJ97" s="91">
        <v>3</v>
      </c>
      <c r="AK97" s="91">
        <v>4</v>
      </c>
      <c r="AL97" s="91">
        <v>1</v>
      </c>
      <c r="AM97" s="91">
        <v>1</v>
      </c>
      <c r="AN97" s="91"/>
      <c r="AO97" s="91"/>
      <c r="AP97" s="91">
        <v>4</v>
      </c>
      <c r="AQ97" s="91">
        <v>5</v>
      </c>
      <c r="AR97" s="91"/>
      <c r="AS97" s="91">
        <v>16</v>
      </c>
      <c r="AT97" s="91"/>
      <c r="AU97" s="91">
        <v>2</v>
      </c>
      <c r="AV97" s="91">
        <v>1</v>
      </c>
      <c r="AW97" s="91">
        <v>2</v>
      </c>
      <c r="AX97" s="91">
        <v>1</v>
      </c>
      <c r="AY97" s="91">
        <v>1</v>
      </c>
      <c r="AZ97" s="91"/>
      <c r="BA97" s="91"/>
      <c r="BB97" s="91"/>
      <c r="BC97" s="91"/>
    </row>
    <row r="98" spans="1:55" x14ac:dyDescent="0.25">
      <c r="A98" s="91" t="s">
        <v>401</v>
      </c>
      <c r="B98" s="129">
        <f t="shared" si="3"/>
        <v>166</v>
      </c>
      <c r="C98" s="91"/>
      <c r="D98" s="91">
        <v>2</v>
      </c>
      <c r="E98" s="91">
        <v>3</v>
      </c>
      <c r="F98" s="91">
        <v>1</v>
      </c>
      <c r="G98" s="91"/>
      <c r="H98" s="91"/>
      <c r="I98" s="91">
        <v>4</v>
      </c>
      <c r="J98" s="91">
        <v>4</v>
      </c>
      <c r="K98" s="91">
        <v>3</v>
      </c>
      <c r="L98" s="91">
        <v>1</v>
      </c>
      <c r="M98" s="91">
        <v>1</v>
      </c>
      <c r="N98" s="91">
        <v>17</v>
      </c>
      <c r="O98" s="91"/>
      <c r="P98" s="91">
        <v>6</v>
      </c>
      <c r="Q98" s="91">
        <v>1</v>
      </c>
      <c r="R98" s="91"/>
      <c r="S98" s="91">
        <v>2</v>
      </c>
      <c r="T98" s="91"/>
      <c r="U98" s="91">
        <v>1</v>
      </c>
      <c r="V98" s="91"/>
      <c r="W98" s="91">
        <v>1</v>
      </c>
      <c r="X98" s="91">
        <v>4</v>
      </c>
      <c r="Y98" s="91">
        <v>4</v>
      </c>
      <c r="Z98" s="91"/>
      <c r="AA98" s="91">
        <v>1</v>
      </c>
      <c r="AB98" s="91">
        <v>7</v>
      </c>
      <c r="AC98" s="91">
        <v>1</v>
      </c>
      <c r="AD98" s="91">
        <v>7</v>
      </c>
      <c r="AE98" s="91">
        <v>1</v>
      </c>
      <c r="AF98" s="91">
        <v>4</v>
      </c>
      <c r="AG98" s="91">
        <v>2</v>
      </c>
      <c r="AH98" s="91">
        <v>1</v>
      </c>
      <c r="AI98" s="91">
        <v>1</v>
      </c>
      <c r="AJ98" s="91">
        <v>2</v>
      </c>
      <c r="AK98" s="91">
        <v>3</v>
      </c>
      <c r="AL98" s="91">
        <v>5</v>
      </c>
      <c r="AM98" s="91">
        <v>7</v>
      </c>
      <c r="AN98" s="91">
        <v>4</v>
      </c>
      <c r="AO98" s="91">
        <v>7</v>
      </c>
      <c r="AP98" s="91">
        <v>2</v>
      </c>
      <c r="AQ98" s="91">
        <v>11</v>
      </c>
      <c r="AR98" s="91">
        <v>17</v>
      </c>
      <c r="AS98" s="91"/>
      <c r="AT98" s="91"/>
      <c r="AU98" s="91">
        <v>6</v>
      </c>
      <c r="AV98" s="91">
        <v>4</v>
      </c>
      <c r="AW98" s="91">
        <v>2</v>
      </c>
      <c r="AX98" s="91">
        <v>4</v>
      </c>
      <c r="AY98" s="91">
        <v>4</v>
      </c>
      <c r="AZ98" s="91">
        <v>5</v>
      </c>
      <c r="BA98" s="91">
        <v>1</v>
      </c>
      <c r="BB98" s="91">
        <v>2</v>
      </c>
      <c r="BC98" s="91"/>
    </row>
    <row r="99" spans="1:55" x14ac:dyDescent="0.25">
      <c r="A99" s="91" t="s">
        <v>237</v>
      </c>
      <c r="B99" s="129">
        <f t="shared" si="3"/>
        <v>375</v>
      </c>
      <c r="C99" s="91">
        <v>4</v>
      </c>
      <c r="D99" s="91">
        <v>12</v>
      </c>
      <c r="E99" s="91">
        <v>17</v>
      </c>
      <c r="F99" s="91">
        <v>3</v>
      </c>
      <c r="G99" s="91">
        <v>6</v>
      </c>
      <c r="H99" s="91"/>
      <c r="I99" s="91">
        <v>13</v>
      </c>
      <c r="J99" s="91">
        <v>1</v>
      </c>
      <c r="K99" s="91"/>
      <c r="L99" s="91">
        <v>2</v>
      </c>
      <c r="M99" s="91">
        <v>6</v>
      </c>
      <c r="N99" s="91">
        <v>30</v>
      </c>
      <c r="O99" s="91">
        <v>1</v>
      </c>
      <c r="P99" s="91">
        <v>18</v>
      </c>
      <c r="Q99" s="91">
        <v>3</v>
      </c>
      <c r="R99" s="91">
        <v>14</v>
      </c>
      <c r="S99" s="91">
        <v>55</v>
      </c>
      <c r="T99" s="91"/>
      <c r="U99" s="91">
        <v>15</v>
      </c>
      <c r="V99" s="91">
        <v>5</v>
      </c>
      <c r="W99" s="91">
        <v>4</v>
      </c>
      <c r="X99" s="91">
        <v>15</v>
      </c>
      <c r="Y99" s="91">
        <v>2</v>
      </c>
      <c r="Z99" s="91"/>
      <c r="AA99" s="91">
        <v>2</v>
      </c>
      <c r="AB99" s="91">
        <v>1</v>
      </c>
      <c r="AC99" s="91">
        <v>2</v>
      </c>
      <c r="AD99" s="91">
        <v>7</v>
      </c>
      <c r="AE99" s="91">
        <v>1</v>
      </c>
      <c r="AF99" s="91">
        <v>5</v>
      </c>
      <c r="AG99" s="91">
        <v>3</v>
      </c>
      <c r="AH99" s="91">
        <v>12</v>
      </c>
      <c r="AI99" s="91">
        <v>8</v>
      </c>
      <c r="AJ99" s="91">
        <v>10</v>
      </c>
      <c r="AK99" s="91">
        <v>17</v>
      </c>
      <c r="AL99" s="91">
        <v>1</v>
      </c>
      <c r="AM99" s="91">
        <v>3</v>
      </c>
      <c r="AN99" s="91"/>
      <c r="AO99" s="91">
        <v>3</v>
      </c>
      <c r="AP99" s="91">
        <v>1</v>
      </c>
      <c r="AQ99" s="91">
        <v>4</v>
      </c>
      <c r="AR99" s="91">
        <v>3</v>
      </c>
      <c r="AS99" s="91">
        <v>8</v>
      </c>
      <c r="AT99" s="91"/>
      <c r="AU99" s="91">
        <v>25</v>
      </c>
      <c r="AV99" s="91"/>
      <c r="AW99" s="91">
        <v>13</v>
      </c>
      <c r="AX99" s="91">
        <v>4</v>
      </c>
      <c r="AY99" s="91">
        <v>5</v>
      </c>
      <c r="AZ99" s="91">
        <v>11</v>
      </c>
      <c r="BA99" s="91"/>
      <c r="BB99" s="91"/>
      <c r="BC99" s="91"/>
    </row>
    <row r="100" spans="1:55" x14ac:dyDescent="0.25">
      <c r="A100" s="91" t="s">
        <v>400</v>
      </c>
      <c r="B100" s="129">
        <f t="shared" si="3"/>
        <v>71</v>
      </c>
      <c r="C100" s="91">
        <v>2</v>
      </c>
      <c r="D100" s="91"/>
      <c r="E100" s="91">
        <v>2</v>
      </c>
      <c r="F100" s="91"/>
      <c r="G100" s="91">
        <v>1</v>
      </c>
      <c r="H100" s="91"/>
      <c r="I100" s="91"/>
      <c r="J100" s="91">
        <v>1</v>
      </c>
      <c r="K100" s="91">
        <v>2</v>
      </c>
      <c r="L100" s="91">
        <v>1</v>
      </c>
      <c r="M100" s="91">
        <v>1</v>
      </c>
      <c r="N100" s="91">
        <v>3</v>
      </c>
      <c r="O100" s="91">
        <v>1</v>
      </c>
      <c r="P100" s="91"/>
      <c r="Q100" s="91"/>
      <c r="R100" s="91"/>
      <c r="S100" s="91">
        <v>1</v>
      </c>
      <c r="T100" s="91">
        <v>1</v>
      </c>
      <c r="U100" s="91"/>
      <c r="V100" s="91"/>
      <c r="W100" s="91">
        <v>4</v>
      </c>
      <c r="X100" s="91"/>
      <c r="Y100" s="91"/>
      <c r="Z100" s="91">
        <v>1</v>
      </c>
      <c r="AA100" s="91">
        <v>5</v>
      </c>
      <c r="AB100" s="91">
        <v>1</v>
      </c>
      <c r="AC100" s="91"/>
      <c r="AD100" s="91"/>
      <c r="AE100" s="91">
        <v>3</v>
      </c>
      <c r="AF100" s="91">
        <v>3</v>
      </c>
      <c r="AG100" s="91"/>
      <c r="AH100" s="91">
        <v>2</v>
      </c>
      <c r="AI100" s="91">
        <v>1</v>
      </c>
      <c r="AJ100" s="91">
        <v>2</v>
      </c>
      <c r="AK100" s="91"/>
      <c r="AL100" s="91"/>
      <c r="AM100" s="91">
        <v>4</v>
      </c>
      <c r="AN100" s="91">
        <v>2</v>
      </c>
      <c r="AO100" s="91">
        <v>4</v>
      </c>
      <c r="AP100" s="91"/>
      <c r="AQ100" s="91">
        <v>1</v>
      </c>
      <c r="AR100" s="91">
        <v>5</v>
      </c>
      <c r="AS100" s="91"/>
      <c r="AT100" s="91"/>
      <c r="AU100" s="91">
        <v>2</v>
      </c>
      <c r="AV100" s="91">
        <v>5</v>
      </c>
      <c r="AW100" s="91"/>
      <c r="AX100" s="91">
        <v>1</v>
      </c>
      <c r="AY100" s="91"/>
      <c r="AZ100" s="91"/>
      <c r="BA100" s="91">
        <v>7</v>
      </c>
      <c r="BB100" s="91">
        <v>2</v>
      </c>
      <c r="BC100" s="91"/>
    </row>
    <row r="101" spans="1:55" x14ac:dyDescent="0.25">
      <c r="A101" s="91" t="s">
        <v>97</v>
      </c>
      <c r="B101" s="129">
        <f t="shared" si="3"/>
        <v>0</v>
      </c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</row>
    <row r="102" spans="1:55" x14ac:dyDescent="0.25">
      <c r="A102" s="91" t="s">
        <v>518</v>
      </c>
      <c r="B102" s="129">
        <f t="shared" si="3"/>
        <v>124</v>
      </c>
      <c r="C102" s="91">
        <v>1</v>
      </c>
      <c r="D102" s="91">
        <v>2</v>
      </c>
      <c r="E102" s="91">
        <v>3</v>
      </c>
      <c r="F102" s="91">
        <v>6</v>
      </c>
      <c r="G102" s="91">
        <v>7</v>
      </c>
      <c r="H102" s="91">
        <v>18</v>
      </c>
      <c r="I102" s="91">
        <v>4</v>
      </c>
      <c r="J102" s="91">
        <v>1</v>
      </c>
      <c r="K102" s="91">
        <v>7</v>
      </c>
      <c r="L102" s="91">
        <v>1</v>
      </c>
      <c r="M102" s="91"/>
      <c r="N102" s="91">
        <v>1</v>
      </c>
      <c r="O102" s="91">
        <v>2</v>
      </c>
      <c r="P102" s="91">
        <v>2</v>
      </c>
      <c r="Q102" s="91">
        <v>5</v>
      </c>
      <c r="R102" s="91">
        <v>1</v>
      </c>
      <c r="S102" s="91">
        <v>2</v>
      </c>
      <c r="T102" s="91"/>
      <c r="U102" s="91">
        <v>1</v>
      </c>
      <c r="V102" s="91">
        <v>2</v>
      </c>
      <c r="W102" s="91">
        <v>2</v>
      </c>
      <c r="X102" s="91">
        <v>9</v>
      </c>
      <c r="Y102" s="91"/>
      <c r="Z102" s="91">
        <v>2</v>
      </c>
      <c r="AA102" s="91">
        <v>1</v>
      </c>
      <c r="AB102" s="91"/>
      <c r="AC102" s="91">
        <v>9</v>
      </c>
      <c r="AD102" s="91"/>
      <c r="AE102" s="91"/>
      <c r="AF102" s="91">
        <v>1</v>
      </c>
      <c r="AG102" s="91"/>
      <c r="AH102" s="91">
        <v>4</v>
      </c>
      <c r="AI102" s="91">
        <v>1</v>
      </c>
      <c r="AJ102" s="91"/>
      <c r="AK102" s="91"/>
      <c r="AL102" s="91">
        <v>2</v>
      </c>
      <c r="AM102" s="91"/>
      <c r="AN102" s="91">
        <v>1</v>
      </c>
      <c r="AO102" s="91"/>
      <c r="AP102" s="91">
        <v>2</v>
      </c>
      <c r="AQ102" s="91">
        <v>3</v>
      </c>
      <c r="AR102" s="91"/>
      <c r="AS102" s="91"/>
      <c r="AT102" s="91"/>
      <c r="AU102" s="91"/>
      <c r="AV102" s="91">
        <v>1</v>
      </c>
      <c r="AW102" s="91">
        <v>10</v>
      </c>
      <c r="AX102" s="91">
        <v>1</v>
      </c>
      <c r="AY102" s="91"/>
      <c r="AZ102" s="91"/>
      <c r="BA102" s="91">
        <v>3</v>
      </c>
      <c r="BB102" s="91">
        <v>6</v>
      </c>
      <c r="BC102" s="91"/>
    </row>
    <row r="103" spans="1:55" x14ac:dyDescent="0.25">
      <c r="A103" s="91" t="s">
        <v>458</v>
      </c>
      <c r="B103" s="129">
        <f t="shared" si="3"/>
        <v>149</v>
      </c>
      <c r="C103" s="91">
        <v>1</v>
      </c>
      <c r="D103" s="91">
        <v>5</v>
      </c>
      <c r="E103" s="91">
        <v>3</v>
      </c>
      <c r="F103" s="91"/>
      <c r="G103" s="91">
        <v>2</v>
      </c>
      <c r="H103" s="91">
        <v>14</v>
      </c>
      <c r="I103" s="91">
        <v>7</v>
      </c>
      <c r="J103" s="91">
        <v>1</v>
      </c>
      <c r="K103" s="91"/>
      <c r="L103" s="91"/>
      <c r="M103" s="91">
        <v>5</v>
      </c>
      <c r="N103" s="91">
        <v>18</v>
      </c>
      <c r="O103" s="91"/>
      <c r="P103" s="91">
        <v>4</v>
      </c>
      <c r="Q103" s="91">
        <v>1</v>
      </c>
      <c r="R103" s="91"/>
      <c r="S103" s="91">
        <v>8</v>
      </c>
      <c r="T103" s="91"/>
      <c r="U103" s="91">
        <v>1</v>
      </c>
      <c r="V103" s="91">
        <v>3</v>
      </c>
      <c r="W103" s="91"/>
      <c r="X103" s="91">
        <v>6</v>
      </c>
      <c r="Y103" s="91">
        <v>3</v>
      </c>
      <c r="Z103" s="91"/>
      <c r="AA103" s="91">
        <v>5</v>
      </c>
      <c r="AB103" s="91">
        <v>6</v>
      </c>
      <c r="AC103" s="91">
        <v>2</v>
      </c>
      <c r="AD103" s="91"/>
      <c r="AE103" s="91"/>
      <c r="AF103" s="91"/>
      <c r="AG103" s="91">
        <v>4</v>
      </c>
      <c r="AH103" s="91">
        <v>2</v>
      </c>
      <c r="AI103" s="91">
        <v>1</v>
      </c>
      <c r="AJ103" s="91">
        <v>5</v>
      </c>
      <c r="AK103" s="91">
        <v>1</v>
      </c>
      <c r="AL103" s="91">
        <v>8</v>
      </c>
      <c r="AM103" s="91"/>
      <c r="AN103" s="91">
        <v>1</v>
      </c>
      <c r="AO103" s="91">
        <v>6</v>
      </c>
      <c r="AP103" s="91">
        <v>1</v>
      </c>
      <c r="AQ103" s="91">
        <v>5</v>
      </c>
      <c r="AR103" s="91">
        <v>4</v>
      </c>
      <c r="AS103" s="91">
        <v>2</v>
      </c>
      <c r="AT103" s="91"/>
      <c r="AU103" s="91"/>
      <c r="AV103" s="91">
        <v>1</v>
      </c>
      <c r="AW103" s="91">
        <v>4</v>
      </c>
      <c r="AX103" s="91">
        <v>3</v>
      </c>
      <c r="AY103" s="91">
        <v>2</v>
      </c>
      <c r="AZ103" s="91">
        <v>2</v>
      </c>
      <c r="BA103" s="91"/>
      <c r="BB103" s="91">
        <v>2</v>
      </c>
      <c r="BC103" s="91"/>
    </row>
    <row r="104" spans="1:55" x14ac:dyDescent="0.25">
      <c r="A104" s="91" t="s">
        <v>536</v>
      </c>
      <c r="B104" s="129">
        <f t="shared" si="3"/>
        <v>43</v>
      </c>
      <c r="C104" s="91"/>
      <c r="D104" s="91">
        <v>1</v>
      </c>
      <c r="E104" s="91"/>
      <c r="F104" s="91"/>
      <c r="G104" s="91">
        <v>1</v>
      </c>
      <c r="H104" s="91"/>
      <c r="I104" s="91"/>
      <c r="J104" s="91">
        <v>1</v>
      </c>
      <c r="K104" s="91"/>
      <c r="L104" s="91">
        <v>1</v>
      </c>
      <c r="M104" s="91"/>
      <c r="N104" s="91">
        <v>1</v>
      </c>
      <c r="O104" s="91">
        <v>1</v>
      </c>
      <c r="P104" s="91">
        <v>1</v>
      </c>
      <c r="Q104" s="91"/>
      <c r="R104" s="91">
        <v>2</v>
      </c>
      <c r="S104" s="91"/>
      <c r="T104" s="91"/>
      <c r="U104" s="91"/>
      <c r="V104" s="91">
        <v>3</v>
      </c>
      <c r="W104" s="91">
        <v>1</v>
      </c>
      <c r="X104" s="91"/>
      <c r="Y104" s="91"/>
      <c r="Z104" s="91">
        <v>1</v>
      </c>
      <c r="AA104" s="91">
        <v>1</v>
      </c>
      <c r="AB104" s="91">
        <v>1</v>
      </c>
      <c r="AC104" s="91">
        <v>5</v>
      </c>
      <c r="AD104" s="91"/>
      <c r="AE104" s="91"/>
      <c r="AF104" s="91"/>
      <c r="AG104" s="91">
        <v>2</v>
      </c>
      <c r="AH104" s="91">
        <v>3</v>
      </c>
      <c r="AI104" s="91">
        <v>1</v>
      </c>
      <c r="AJ104" s="91"/>
      <c r="AK104" s="91">
        <v>2</v>
      </c>
      <c r="AL104" s="91"/>
      <c r="AM104" s="91">
        <v>2</v>
      </c>
      <c r="AN104" s="91"/>
      <c r="AO104" s="91"/>
      <c r="AP104" s="91"/>
      <c r="AQ104" s="91">
        <v>2</v>
      </c>
      <c r="AR104" s="91">
        <v>1</v>
      </c>
      <c r="AS104" s="91"/>
      <c r="AT104" s="91"/>
      <c r="AU104" s="91">
        <v>2</v>
      </c>
      <c r="AV104" s="91">
        <v>1</v>
      </c>
      <c r="AW104" s="91">
        <v>2</v>
      </c>
      <c r="AX104" s="91"/>
      <c r="AY104" s="91"/>
      <c r="AZ104" s="91"/>
      <c r="BA104" s="91">
        <v>2</v>
      </c>
      <c r="BB104" s="91">
        <v>2</v>
      </c>
      <c r="BC104" s="91"/>
    </row>
    <row r="105" spans="1:55" x14ac:dyDescent="0.25">
      <c r="A105" s="91" t="s">
        <v>98</v>
      </c>
      <c r="B105" s="129">
        <f t="shared" si="3"/>
        <v>1068</v>
      </c>
      <c r="C105" s="91">
        <v>23</v>
      </c>
      <c r="D105" s="91">
        <v>23</v>
      </c>
      <c r="E105" s="91">
        <v>42</v>
      </c>
      <c r="F105" s="91">
        <v>36</v>
      </c>
      <c r="G105" s="91">
        <v>25</v>
      </c>
      <c r="H105" s="91">
        <v>11</v>
      </c>
      <c r="I105" s="91">
        <v>41</v>
      </c>
      <c r="J105" s="91">
        <v>39</v>
      </c>
      <c r="K105" s="91">
        <v>20</v>
      </c>
      <c r="L105" s="91">
        <v>15</v>
      </c>
      <c r="M105" s="91">
        <v>10</v>
      </c>
      <c r="N105" s="91">
        <v>23</v>
      </c>
      <c r="O105" s="91">
        <v>22</v>
      </c>
      <c r="P105" s="91">
        <v>28</v>
      </c>
      <c r="Q105" s="91">
        <v>16</v>
      </c>
      <c r="R105" s="91">
        <v>19</v>
      </c>
      <c r="S105" s="91">
        <v>32</v>
      </c>
      <c r="T105" s="91">
        <v>3</v>
      </c>
      <c r="U105" s="91">
        <v>11</v>
      </c>
      <c r="V105" s="91">
        <v>15</v>
      </c>
      <c r="W105" s="91">
        <v>23</v>
      </c>
      <c r="X105" s="91">
        <v>22</v>
      </c>
      <c r="Y105" s="91">
        <v>29</v>
      </c>
      <c r="Z105" s="91">
        <v>10</v>
      </c>
      <c r="AA105" s="91">
        <v>24</v>
      </c>
      <c r="AB105" s="91">
        <v>10</v>
      </c>
      <c r="AC105" s="91">
        <v>12</v>
      </c>
      <c r="AD105" s="91">
        <v>25</v>
      </c>
      <c r="AE105" s="91">
        <v>16</v>
      </c>
      <c r="AF105" s="91">
        <v>13</v>
      </c>
      <c r="AG105" s="91">
        <v>15</v>
      </c>
      <c r="AH105" s="91">
        <v>29</v>
      </c>
      <c r="AI105" s="91">
        <v>15</v>
      </c>
      <c r="AJ105" s="91">
        <v>12</v>
      </c>
      <c r="AK105" s="91">
        <v>17</v>
      </c>
      <c r="AL105" s="91">
        <v>33</v>
      </c>
      <c r="AM105" s="91">
        <v>17</v>
      </c>
      <c r="AN105" s="91">
        <v>5</v>
      </c>
      <c r="AO105" s="91">
        <v>28</v>
      </c>
      <c r="AP105" s="91">
        <v>6</v>
      </c>
      <c r="AQ105" s="91">
        <v>17</v>
      </c>
      <c r="AR105" s="91">
        <v>29</v>
      </c>
      <c r="AS105" s="91">
        <v>22</v>
      </c>
      <c r="AT105" s="91"/>
      <c r="AU105" s="91">
        <v>20</v>
      </c>
      <c r="AV105" s="91">
        <v>29</v>
      </c>
      <c r="AW105" s="91">
        <v>44</v>
      </c>
      <c r="AX105" s="91">
        <v>18</v>
      </c>
      <c r="AY105" s="91">
        <v>27</v>
      </c>
      <c r="AZ105" s="91">
        <v>14</v>
      </c>
      <c r="BA105" s="91">
        <v>17</v>
      </c>
      <c r="BB105" s="91">
        <v>16</v>
      </c>
      <c r="BC105" s="91"/>
    </row>
    <row r="106" spans="1:55" x14ac:dyDescent="0.25">
      <c r="A106" s="91" t="s">
        <v>475</v>
      </c>
      <c r="B106" s="129">
        <f t="shared" si="3"/>
        <v>40</v>
      </c>
      <c r="C106" s="91"/>
      <c r="D106" s="91"/>
      <c r="E106" s="91">
        <v>5</v>
      </c>
      <c r="F106" s="91"/>
      <c r="G106" s="91"/>
      <c r="H106" s="91"/>
      <c r="I106" s="91"/>
      <c r="J106" s="91"/>
      <c r="K106" s="91"/>
      <c r="L106" s="91"/>
      <c r="M106" s="91">
        <v>5</v>
      </c>
      <c r="N106" s="91"/>
      <c r="O106" s="91">
        <v>1</v>
      </c>
      <c r="P106" s="91"/>
      <c r="Q106" s="91">
        <v>1</v>
      </c>
      <c r="R106" s="91"/>
      <c r="S106" s="91"/>
      <c r="T106" s="91"/>
      <c r="U106" s="91"/>
      <c r="V106" s="91"/>
      <c r="W106" s="91"/>
      <c r="X106" s="91">
        <v>2</v>
      </c>
      <c r="Y106" s="91"/>
      <c r="Z106" s="91">
        <v>2</v>
      </c>
      <c r="AA106" s="91">
        <v>4</v>
      </c>
      <c r="AB106" s="91"/>
      <c r="AC106" s="91">
        <v>1</v>
      </c>
      <c r="AD106" s="91"/>
      <c r="AE106" s="91"/>
      <c r="AF106" s="91"/>
      <c r="AG106" s="91"/>
      <c r="AH106" s="91"/>
      <c r="AI106" s="91"/>
      <c r="AJ106" s="91"/>
      <c r="AK106" s="91"/>
      <c r="AL106" s="91"/>
      <c r="AM106" s="91">
        <v>2</v>
      </c>
      <c r="AN106" s="91"/>
      <c r="AO106" s="91"/>
      <c r="AP106" s="91"/>
      <c r="AQ106" s="91">
        <v>2</v>
      </c>
      <c r="AR106" s="91"/>
      <c r="AS106" s="91"/>
      <c r="AT106" s="91"/>
      <c r="AU106" s="91"/>
      <c r="AV106" s="91">
        <v>2</v>
      </c>
      <c r="AW106" s="91"/>
      <c r="AX106" s="91">
        <v>3</v>
      </c>
      <c r="AY106" s="91"/>
      <c r="AZ106" s="91">
        <v>1</v>
      </c>
      <c r="BA106" s="91">
        <v>6</v>
      </c>
      <c r="BB106" s="91">
        <v>3</v>
      </c>
      <c r="BC106" s="91"/>
    </row>
    <row r="107" spans="1:55" x14ac:dyDescent="0.25">
      <c r="A107" s="91" t="s">
        <v>516</v>
      </c>
      <c r="B107" s="129">
        <f t="shared" si="3"/>
        <v>50</v>
      </c>
      <c r="C107" s="91">
        <v>2</v>
      </c>
      <c r="D107" s="91"/>
      <c r="E107" s="91"/>
      <c r="F107" s="91">
        <v>2</v>
      </c>
      <c r="G107" s="91">
        <v>3</v>
      </c>
      <c r="H107" s="91"/>
      <c r="I107" s="91">
        <v>1</v>
      </c>
      <c r="J107" s="91">
        <v>1</v>
      </c>
      <c r="K107" s="91"/>
      <c r="L107" s="91"/>
      <c r="M107" s="91">
        <v>1</v>
      </c>
      <c r="N107" s="91"/>
      <c r="O107" s="91">
        <v>1</v>
      </c>
      <c r="P107" s="91">
        <v>1</v>
      </c>
      <c r="Q107" s="91"/>
      <c r="R107" s="91">
        <v>2</v>
      </c>
      <c r="S107" s="91">
        <v>2</v>
      </c>
      <c r="T107" s="91"/>
      <c r="U107" s="91"/>
      <c r="V107" s="91">
        <v>1</v>
      </c>
      <c r="W107" s="91">
        <v>2</v>
      </c>
      <c r="X107" s="91"/>
      <c r="Y107" s="91"/>
      <c r="Z107" s="91"/>
      <c r="AA107" s="91">
        <v>1</v>
      </c>
      <c r="AB107" s="91"/>
      <c r="AC107" s="91">
        <v>1</v>
      </c>
      <c r="AD107" s="91">
        <v>1</v>
      </c>
      <c r="AE107" s="91">
        <v>1</v>
      </c>
      <c r="AF107" s="91"/>
      <c r="AG107" s="91"/>
      <c r="AH107" s="91">
        <v>1</v>
      </c>
      <c r="AI107" s="91">
        <v>2</v>
      </c>
      <c r="AJ107" s="91"/>
      <c r="AK107" s="91">
        <v>1</v>
      </c>
      <c r="AL107" s="91"/>
      <c r="AM107" s="91"/>
      <c r="AN107" s="91"/>
      <c r="AO107" s="91">
        <v>2</v>
      </c>
      <c r="AP107" s="91"/>
      <c r="AQ107" s="91">
        <v>4</v>
      </c>
      <c r="AR107" s="91">
        <v>1</v>
      </c>
      <c r="AS107" s="91"/>
      <c r="AT107" s="91"/>
      <c r="AU107" s="91">
        <v>3</v>
      </c>
      <c r="AV107" s="91">
        <v>2</v>
      </c>
      <c r="AW107" s="91">
        <v>1</v>
      </c>
      <c r="AX107" s="91"/>
      <c r="AY107" s="91"/>
      <c r="AZ107" s="91"/>
      <c r="BA107" s="91">
        <v>2</v>
      </c>
      <c r="BB107" s="91">
        <v>8</v>
      </c>
      <c r="BC107" s="91"/>
    </row>
    <row r="108" spans="1:55" x14ac:dyDescent="0.25">
      <c r="A108" s="91" t="s">
        <v>168</v>
      </c>
      <c r="B108" s="129">
        <f t="shared" si="3"/>
        <v>405</v>
      </c>
      <c r="C108" s="91">
        <v>26</v>
      </c>
      <c r="D108" s="91">
        <v>16</v>
      </c>
      <c r="E108" s="91">
        <v>5</v>
      </c>
      <c r="F108" s="91">
        <v>18</v>
      </c>
      <c r="G108" s="91">
        <v>3</v>
      </c>
      <c r="H108" s="91"/>
      <c r="I108" s="91">
        <v>19</v>
      </c>
      <c r="J108" s="91">
        <v>9</v>
      </c>
      <c r="K108" s="91">
        <v>10</v>
      </c>
      <c r="L108" s="91">
        <v>6</v>
      </c>
      <c r="M108" s="91">
        <v>11</v>
      </c>
      <c r="N108" s="91">
        <v>7</v>
      </c>
      <c r="O108" s="91">
        <v>7</v>
      </c>
      <c r="P108" s="91">
        <v>5</v>
      </c>
      <c r="Q108" s="91">
        <v>10</v>
      </c>
      <c r="R108" s="91">
        <v>9</v>
      </c>
      <c r="S108" s="91">
        <v>9</v>
      </c>
      <c r="T108" s="91">
        <v>1</v>
      </c>
      <c r="U108" s="91">
        <v>5</v>
      </c>
      <c r="V108" s="91">
        <v>17</v>
      </c>
      <c r="W108" s="91">
        <v>6</v>
      </c>
      <c r="X108" s="91">
        <v>8</v>
      </c>
      <c r="Y108" s="91">
        <v>9</v>
      </c>
      <c r="Z108" s="91">
        <v>7</v>
      </c>
      <c r="AA108" s="91">
        <v>7</v>
      </c>
      <c r="AB108" s="91">
        <v>2</v>
      </c>
      <c r="AC108" s="91">
        <v>11</v>
      </c>
      <c r="AD108" s="91">
        <v>9</v>
      </c>
      <c r="AE108" s="91">
        <v>9</v>
      </c>
      <c r="AF108" s="91">
        <v>5</v>
      </c>
      <c r="AG108" s="91">
        <v>10</v>
      </c>
      <c r="AH108" s="91">
        <v>7</v>
      </c>
      <c r="AI108" s="91">
        <v>7</v>
      </c>
      <c r="AJ108" s="91">
        <v>6</v>
      </c>
      <c r="AK108" s="91"/>
      <c r="AL108" s="91">
        <v>9</v>
      </c>
      <c r="AM108" s="91">
        <v>6</v>
      </c>
      <c r="AN108" s="91">
        <v>16</v>
      </c>
      <c r="AO108" s="91">
        <v>9</v>
      </c>
      <c r="AP108" s="91">
        <v>1</v>
      </c>
      <c r="AQ108" s="91">
        <v>17</v>
      </c>
      <c r="AR108" s="91">
        <v>17</v>
      </c>
      <c r="AS108" s="91">
        <v>5</v>
      </c>
      <c r="AT108" s="91"/>
      <c r="AU108" s="91">
        <v>5</v>
      </c>
      <c r="AV108" s="91">
        <v>7</v>
      </c>
      <c r="AW108" s="91">
        <v>3</v>
      </c>
      <c r="AX108" s="91">
        <v>1</v>
      </c>
      <c r="AY108" s="91">
        <v>2</v>
      </c>
      <c r="AZ108" s="91">
        <v>9</v>
      </c>
      <c r="BA108" s="91"/>
      <c r="BB108" s="91">
        <v>2</v>
      </c>
      <c r="BC108" s="91"/>
    </row>
    <row r="109" spans="1:55" x14ac:dyDescent="0.25">
      <c r="A109" s="91" t="s">
        <v>112</v>
      </c>
      <c r="B109" s="129">
        <f t="shared" si="3"/>
        <v>20</v>
      </c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>
        <v>14</v>
      </c>
      <c r="P109" s="91"/>
      <c r="Q109" s="91"/>
      <c r="R109" s="91"/>
      <c r="S109" s="91"/>
      <c r="T109" s="91">
        <v>2</v>
      </c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>
        <v>1</v>
      </c>
      <c r="BB109" s="91">
        <v>3</v>
      </c>
      <c r="BC109" s="91"/>
    </row>
    <row r="110" spans="1:55" x14ac:dyDescent="0.25">
      <c r="A110" s="91" t="s">
        <v>278</v>
      </c>
      <c r="B110" s="129">
        <f t="shared" si="3"/>
        <v>407</v>
      </c>
      <c r="C110" s="91">
        <v>11</v>
      </c>
      <c r="D110" s="91">
        <v>5</v>
      </c>
      <c r="E110" s="91">
        <v>3</v>
      </c>
      <c r="F110" s="91">
        <v>5</v>
      </c>
      <c r="G110" s="91">
        <v>25</v>
      </c>
      <c r="H110" s="91">
        <v>18</v>
      </c>
      <c r="I110" s="91">
        <v>13</v>
      </c>
      <c r="J110" s="91">
        <v>13</v>
      </c>
      <c r="K110" s="91">
        <v>1</v>
      </c>
      <c r="L110" s="91">
        <v>3</v>
      </c>
      <c r="M110" s="91">
        <v>1</v>
      </c>
      <c r="N110" s="91">
        <v>13</v>
      </c>
      <c r="O110" s="91">
        <v>2</v>
      </c>
      <c r="P110" s="91">
        <v>15</v>
      </c>
      <c r="Q110" s="91">
        <v>7</v>
      </c>
      <c r="R110" s="91">
        <v>9</v>
      </c>
      <c r="S110" s="91">
        <v>5</v>
      </c>
      <c r="T110" s="91">
        <v>5</v>
      </c>
      <c r="U110" s="91">
        <v>12</v>
      </c>
      <c r="V110" s="91">
        <v>11</v>
      </c>
      <c r="W110" s="91">
        <v>14</v>
      </c>
      <c r="X110" s="91">
        <v>22</v>
      </c>
      <c r="Y110" s="91">
        <v>9</v>
      </c>
      <c r="Z110" s="91">
        <v>6</v>
      </c>
      <c r="AA110" s="91">
        <v>11</v>
      </c>
      <c r="AB110" s="91"/>
      <c r="AC110" s="91">
        <v>2</v>
      </c>
      <c r="AD110" s="91">
        <v>4</v>
      </c>
      <c r="AE110" s="91">
        <v>15</v>
      </c>
      <c r="AF110" s="91">
        <v>2</v>
      </c>
      <c r="AG110" s="91">
        <v>7</v>
      </c>
      <c r="AH110" s="91">
        <v>1</v>
      </c>
      <c r="AI110" s="91">
        <v>8</v>
      </c>
      <c r="AJ110" s="91">
        <v>17</v>
      </c>
      <c r="AK110" s="91">
        <v>3</v>
      </c>
      <c r="AL110" s="91">
        <v>12</v>
      </c>
      <c r="AM110" s="91">
        <v>14</v>
      </c>
      <c r="AN110" s="91">
        <v>9</v>
      </c>
      <c r="AO110" s="91">
        <v>6</v>
      </c>
      <c r="AP110" s="91">
        <v>2</v>
      </c>
      <c r="AQ110" s="91">
        <v>15</v>
      </c>
      <c r="AR110" s="91">
        <v>10</v>
      </c>
      <c r="AS110" s="91">
        <v>1</v>
      </c>
      <c r="AT110" s="91"/>
      <c r="AU110" s="91">
        <v>3</v>
      </c>
      <c r="AV110" s="91">
        <v>2</v>
      </c>
      <c r="AW110" s="91">
        <v>14</v>
      </c>
      <c r="AX110" s="91">
        <v>15</v>
      </c>
      <c r="AY110" s="91">
        <v>6</v>
      </c>
      <c r="AZ110" s="91"/>
      <c r="BA110" s="91"/>
      <c r="BB110" s="91"/>
      <c r="BC110" s="91"/>
    </row>
    <row r="111" spans="1:55" x14ac:dyDescent="0.25">
      <c r="A111" s="91" t="s">
        <v>331</v>
      </c>
      <c r="B111" s="129">
        <f t="shared" si="3"/>
        <v>710</v>
      </c>
      <c r="C111" s="91">
        <v>11</v>
      </c>
      <c r="D111" s="91">
        <v>18</v>
      </c>
      <c r="E111" s="91">
        <v>12</v>
      </c>
      <c r="F111" s="91">
        <v>22</v>
      </c>
      <c r="G111" s="91">
        <v>11</v>
      </c>
      <c r="H111" s="91">
        <v>9</v>
      </c>
      <c r="I111" s="91">
        <v>43</v>
      </c>
      <c r="J111" s="91">
        <v>18</v>
      </c>
      <c r="K111" s="91">
        <v>6</v>
      </c>
      <c r="L111" s="91">
        <v>8</v>
      </c>
      <c r="M111" s="91">
        <v>19</v>
      </c>
      <c r="N111" s="91">
        <v>13</v>
      </c>
      <c r="O111" s="91">
        <v>13</v>
      </c>
      <c r="P111" s="91">
        <v>15</v>
      </c>
      <c r="Q111" s="91">
        <v>25</v>
      </c>
      <c r="R111" s="91">
        <v>21</v>
      </c>
      <c r="S111" s="91">
        <v>26</v>
      </c>
      <c r="T111" s="91">
        <v>2</v>
      </c>
      <c r="U111" s="91">
        <v>18</v>
      </c>
      <c r="V111" s="91">
        <v>10</v>
      </c>
      <c r="W111" s="91">
        <v>16</v>
      </c>
      <c r="X111" s="91">
        <v>15</v>
      </c>
      <c r="Y111" s="91">
        <v>15</v>
      </c>
      <c r="Z111" s="91">
        <v>14</v>
      </c>
      <c r="AA111" s="91">
        <v>7</v>
      </c>
      <c r="AB111" s="91">
        <v>19</v>
      </c>
      <c r="AC111" s="91">
        <v>6</v>
      </c>
      <c r="AD111" s="91">
        <v>12</v>
      </c>
      <c r="AE111" s="91">
        <v>4</v>
      </c>
      <c r="AF111" s="91">
        <v>12</v>
      </c>
      <c r="AG111" s="91">
        <v>12</v>
      </c>
      <c r="AH111" s="91">
        <v>9</v>
      </c>
      <c r="AI111" s="91">
        <v>13</v>
      </c>
      <c r="AJ111" s="91">
        <v>7</v>
      </c>
      <c r="AK111" s="91">
        <v>17</v>
      </c>
      <c r="AL111" s="91">
        <v>19</v>
      </c>
      <c r="AM111" s="91">
        <v>15</v>
      </c>
      <c r="AN111" s="91">
        <v>9</v>
      </c>
      <c r="AO111" s="91">
        <v>15</v>
      </c>
      <c r="AP111" s="91">
        <v>16</v>
      </c>
      <c r="AQ111" s="91">
        <v>15</v>
      </c>
      <c r="AR111" s="91">
        <v>16</v>
      </c>
      <c r="AS111" s="91">
        <v>15</v>
      </c>
      <c r="AT111" s="91"/>
      <c r="AU111" s="91">
        <v>11</v>
      </c>
      <c r="AV111" s="91">
        <v>9</v>
      </c>
      <c r="AW111" s="91">
        <v>15</v>
      </c>
      <c r="AX111" s="91">
        <v>13</v>
      </c>
      <c r="AY111" s="91">
        <v>5</v>
      </c>
      <c r="AZ111" s="91">
        <v>16</v>
      </c>
      <c r="BA111" s="91"/>
      <c r="BB111" s="91">
        <v>23</v>
      </c>
      <c r="BC111" s="91"/>
    </row>
    <row r="112" spans="1:55" x14ac:dyDescent="0.25">
      <c r="A112" s="91" t="s">
        <v>281</v>
      </c>
      <c r="B112" s="129">
        <f t="shared" si="3"/>
        <v>253</v>
      </c>
      <c r="C112" s="91">
        <v>10</v>
      </c>
      <c r="D112" s="91">
        <v>5</v>
      </c>
      <c r="E112" s="91">
        <v>3</v>
      </c>
      <c r="F112" s="91">
        <v>10</v>
      </c>
      <c r="G112" s="91">
        <v>10</v>
      </c>
      <c r="H112" s="91"/>
      <c r="I112" s="91">
        <v>7</v>
      </c>
      <c r="J112" s="91">
        <v>9</v>
      </c>
      <c r="K112" s="91"/>
      <c r="L112" s="91">
        <v>3</v>
      </c>
      <c r="M112" s="91"/>
      <c r="N112" s="91">
        <v>8</v>
      </c>
      <c r="O112" s="91">
        <v>2</v>
      </c>
      <c r="P112" s="91">
        <v>7</v>
      </c>
      <c r="Q112" s="91">
        <v>7</v>
      </c>
      <c r="R112" s="91">
        <v>4</v>
      </c>
      <c r="S112" s="91">
        <v>1</v>
      </c>
      <c r="T112" s="91">
        <v>8</v>
      </c>
      <c r="U112" s="91">
        <v>4</v>
      </c>
      <c r="V112" s="91">
        <v>1</v>
      </c>
      <c r="W112" s="91">
        <v>9</v>
      </c>
      <c r="X112" s="91">
        <v>11</v>
      </c>
      <c r="Y112" s="91">
        <v>7</v>
      </c>
      <c r="Z112" s="91">
        <v>5</v>
      </c>
      <c r="AA112" s="91">
        <v>4</v>
      </c>
      <c r="AB112" s="91">
        <v>5</v>
      </c>
      <c r="AC112" s="91">
        <v>6</v>
      </c>
      <c r="AD112" s="91">
        <v>2</v>
      </c>
      <c r="AE112" s="91"/>
      <c r="AF112" s="91">
        <v>6</v>
      </c>
      <c r="AG112" s="91"/>
      <c r="AH112" s="91">
        <v>3</v>
      </c>
      <c r="AI112" s="91">
        <v>4</v>
      </c>
      <c r="AJ112" s="91">
        <v>6</v>
      </c>
      <c r="AK112" s="91">
        <v>1</v>
      </c>
      <c r="AL112" s="91">
        <v>10</v>
      </c>
      <c r="AM112" s="91">
        <v>1</v>
      </c>
      <c r="AN112" s="91"/>
      <c r="AO112" s="91">
        <v>13</v>
      </c>
      <c r="AP112" s="91">
        <v>3</v>
      </c>
      <c r="AQ112" s="91">
        <v>8</v>
      </c>
      <c r="AR112" s="91">
        <v>3</v>
      </c>
      <c r="AS112" s="91">
        <v>4</v>
      </c>
      <c r="AT112" s="91"/>
      <c r="AU112" s="91">
        <v>8</v>
      </c>
      <c r="AV112" s="91">
        <v>7</v>
      </c>
      <c r="AW112" s="91">
        <v>12</v>
      </c>
      <c r="AX112" s="91">
        <v>3</v>
      </c>
      <c r="AY112" s="91">
        <v>1</v>
      </c>
      <c r="AZ112" s="91">
        <v>9</v>
      </c>
      <c r="BA112" s="91">
        <v>1</v>
      </c>
      <c r="BB112" s="91">
        <v>2</v>
      </c>
      <c r="BC112" s="91"/>
    </row>
    <row r="113" spans="1:55" x14ac:dyDescent="0.25">
      <c r="A113" s="91" t="s">
        <v>251</v>
      </c>
      <c r="B113" s="129">
        <f t="shared" si="3"/>
        <v>532</v>
      </c>
      <c r="C113" s="91">
        <v>10</v>
      </c>
      <c r="D113" s="91">
        <v>15</v>
      </c>
      <c r="E113" s="91">
        <v>10</v>
      </c>
      <c r="F113" s="91">
        <v>7</v>
      </c>
      <c r="G113" s="91">
        <v>3</v>
      </c>
      <c r="H113" s="91"/>
      <c r="I113" s="91">
        <v>24</v>
      </c>
      <c r="J113" s="91">
        <v>23</v>
      </c>
      <c r="K113" s="91">
        <v>7</v>
      </c>
      <c r="L113" s="91">
        <v>12</v>
      </c>
      <c r="M113" s="91"/>
      <c r="N113" s="91">
        <v>21</v>
      </c>
      <c r="O113" s="91">
        <v>8</v>
      </c>
      <c r="P113" s="91">
        <v>21</v>
      </c>
      <c r="Q113" s="91">
        <v>5</v>
      </c>
      <c r="R113" s="91">
        <v>5</v>
      </c>
      <c r="S113" s="91">
        <v>15</v>
      </c>
      <c r="T113" s="91">
        <v>1</v>
      </c>
      <c r="U113" s="91">
        <v>29</v>
      </c>
      <c r="V113" s="91">
        <v>16</v>
      </c>
      <c r="W113" s="91">
        <v>30</v>
      </c>
      <c r="X113" s="91">
        <v>8</v>
      </c>
      <c r="Y113" s="91">
        <v>5</v>
      </c>
      <c r="Z113" s="91">
        <v>2</v>
      </c>
      <c r="AA113" s="91">
        <v>20</v>
      </c>
      <c r="AB113" s="91">
        <v>5</v>
      </c>
      <c r="AC113" s="91">
        <v>3</v>
      </c>
      <c r="AD113" s="91">
        <v>8</v>
      </c>
      <c r="AE113" s="91">
        <v>25</v>
      </c>
      <c r="AF113" s="91">
        <v>9</v>
      </c>
      <c r="AG113" s="91">
        <v>2</v>
      </c>
      <c r="AH113" s="91">
        <v>5</v>
      </c>
      <c r="AI113" s="91">
        <v>9</v>
      </c>
      <c r="AJ113" s="91">
        <v>15</v>
      </c>
      <c r="AK113" s="91">
        <v>9</v>
      </c>
      <c r="AL113" s="91">
        <v>5</v>
      </c>
      <c r="AM113" s="91">
        <v>16</v>
      </c>
      <c r="AN113" s="91">
        <v>3</v>
      </c>
      <c r="AO113" s="91">
        <v>8</v>
      </c>
      <c r="AP113" s="91">
        <v>18</v>
      </c>
      <c r="AQ113" s="91">
        <v>4</v>
      </c>
      <c r="AR113" s="91">
        <v>16</v>
      </c>
      <c r="AS113" s="91">
        <v>5</v>
      </c>
      <c r="AT113" s="91"/>
      <c r="AU113" s="91">
        <v>2</v>
      </c>
      <c r="AV113" s="91">
        <v>11</v>
      </c>
      <c r="AW113" s="91">
        <v>11</v>
      </c>
      <c r="AX113" s="91">
        <v>12</v>
      </c>
      <c r="AY113" s="91">
        <v>18</v>
      </c>
      <c r="AZ113" s="91">
        <v>13</v>
      </c>
      <c r="BA113" s="91">
        <v>1</v>
      </c>
      <c r="BB113" s="91">
        <v>2</v>
      </c>
      <c r="BC113" s="91"/>
    </row>
    <row r="114" spans="1:55" x14ac:dyDescent="0.25">
      <c r="A114" s="91" t="s">
        <v>565</v>
      </c>
      <c r="B114" s="129">
        <f t="shared" si="3"/>
        <v>118</v>
      </c>
      <c r="C114" s="91">
        <v>4</v>
      </c>
      <c r="D114" s="91">
        <v>3</v>
      </c>
      <c r="E114" s="91">
        <v>4</v>
      </c>
      <c r="F114" s="91">
        <v>3</v>
      </c>
      <c r="G114" s="91">
        <v>6</v>
      </c>
      <c r="H114" s="91"/>
      <c r="I114" s="91">
        <v>5</v>
      </c>
      <c r="J114" s="91"/>
      <c r="K114" s="91">
        <v>3</v>
      </c>
      <c r="L114" s="91"/>
      <c r="M114" s="91">
        <v>4</v>
      </c>
      <c r="N114" s="91">
        <v>4</v>
      </c>
      <c r="O114" s="91">
        <v>1</v>
      </c>
      <c r="P114" s="91">
        <v>1</v>
      </c>
      <c r="Q114" s="91"/>
      <c r="R114" s="91">
        <v>1</v>
      </c>
      <c r="S114" s="91">
        <v>3</v>
      </c>
      <c r="T114" s="91"/>
      <c r="U114" s="91"/>
      <c r="V114" s="91"/>
      <c r="W114" s="91">
        <v>5</v>
      </c>
      <c r="X114" s="91">
        <v>3</v>
      </c>
      <c r="Y114" s="91">
        <v>2</v>
      </c>
      <c r="Z114" s="91">
        <v>1</v>
      </c>
      <c r="AA114" s="91">
        <v>5</v>
      </c>
      <c r="AB114" s="91"/>
      <c r="AC114" s="91">
        <v>4</v>
      </c>
      <c r="AD114" s="91">
        <v>2</v>
      </c>
      <c r="AE114" s="91">
        <v>1</v>
      </c>
      <c r="AF114" s="91">
        <v>1</v>
      </c>
      <c r="AG114" s="91">
        <v>1</v>
      </c>
      <c r="AH114" s="91">
        <v>1</v>
      </c>
      <c r="AI114" s="91">
        <v>7</v>
      </c>
      <c r="AJ114" s="91">
        <v>3</v>
      </c>
      <c r="AK114" s="91">
        <v>6</v>
      </c>
      <c r="AL114" s="91">
        <v>1</v>
      </c>
      <c r="AM114" s="91">
        <v>1</v>
      </c>
      <c r="AN114" s="91"/>
      <c r="AO114" s="91">
        <v>2</v>
      </c>
      <c r="AP114" s="91"/>
      <c r="AQ114" s="91">
        <v>3</v>
      </c>
      <c r="AR114" s="91"/>
      <c r="AS114" s="91">
        <v>1</v>
      </c>
      <c r="AT114" s="91"/>
      <c r="AU114" s="91"/>
      <c r="AV114" s="91">
        <v>4</v>
      </c>
      <c r="AW114" s="91">
        <v>4</v>
      </c>
      <c r="AX114" s="91">
        <v>1</v>
      </c>
      <c r="AY114" s="91">
        <v>1</v>
      </c>
      <c r="AZ114" s="91">
        <v>8</v>
      </c>
      <c r="BA114" s="91">
        <v>7</v>
      </c>
      <c r="BB114" s="91">
        <v>1</v>
      </c>
      <c r="BC114" s="91"/>
    </row>
    <row r="115" spans="1:55" x14ac:dyDescent="0.25">
      <c r="A115" s="91" t="s">
        <v>206</v>
      </c>
      <c r="B115" s="129">
        <f t="shared" si="3"/>
        <v>435</v>
      </c>
      <c r="C115" s="91">
        <v>7</v>
      </c>
      <c r="D115" s="91">
        <v>11</v>
      </c>
      <c r="E115" s="91">
        <v>25</v>
      </c>
      <c r="F115" s="91"/>
      <c r="G115" s="91">
        <v>17</v>
      </c>
      <c r="H115" s="91">
        <v>7</v>
      </c>
      <c r="I115" s="91">
        <v>16</v>
      </c>
      <c r="J115" s="91">
        <v>18</v>
      </c>
      <c r="K115" s="91">
        <v>10</v>
      </c>
      <c r="L115" s="91">
        <v>7</v>
      </c>
      <c r="M115" s="91"/>
      <c r="N115" s="91">
        <v>27</v>
      </c>
      <c r="O115" s="91">
        <v>5</v>
      </c>
      <c r="P115" s="91">
        <v>13</v>
      </c>
      <c r="Q115" s="91">
        <v>11</v>
      </c>
      <c r="R115" s="91"/>
      <c r="S115" s="91">
        <v>28</v>
      </c>
      <c r="T115" s="91">
        <v>15</v>
      </c>
      <c r="U115" s="91">
        <v>9</v>
      </c>
      <c r="V115" s="91">
        <v>6</v>
      </c>
      <c r="W115" s="91">
        <v>31</v>
      </c>
      <c r="X115" s="91">
        <v>15</v>
      </c>
      <c r="Y115" s="91">
        <v>6</v>
      </c>
      <c r="Z115" s="91">
        <v>11</v>
      </c>
      <c r="AA115" s="91">
        <v>19</v>
      </c>
      <c r="AB115" s="91">
        <v>6</v>
      </c>
      <c r="AC115" s="91"/>
      <c r="AD115" s="91">
        <v>18</v>
      </c>
      <c r="AE115" s="91"/>
      <c r="AF115" s="91"/>
      <c r="AG115" s="91"/>
      <c r="AH115" s="91"/>
      <c r="AI115" s="91">
        <v>2</v>
      </c>
      <c r="AJ115" s="91">
        <v>27</v>
      </c>
      <c r="AK115" s="91">
        <v>2</v>
      </c>
      <c r="AL115" s="91">
        <v>23</v>
      </c>
      <c r="AM115" s="91">
        <v>11</v>
      </c>
      <c r="AN115" s="91"/>
      <c r="AO115" s="91">
        <v>17</v>
      </c>
      <c r="AP115" s="91">
        <v>9</v>
      </c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>
        <v>3</v>
      </c>
      <c r="BB115" s="91">
        <v>3</v>
      </c>
      <c r="BC115" s="91"/>
    </row>
    <row r="116" spans="1:55" x14ac:dyDescent="0.25">
      <c r="A116" s="91" t="s">
        <v>583</v>
      </c>
      <c r="B116" s="129">
        <f t="shared" si="3"/>
        <v>360</v>
      </c>
      <c r="C116" s="91">
        <v>13</v>
      </c>
      <c r="D116" s="91">
        <v>6</v>
      </c>
      <c r="E116" s="91">
        <v>11</v>
      </c>
      <c r="F116" s="91">
        <v>8</v>
      </c>
      <c r="G116" s="91">
        <v>11</v>
      </c>
      <c r="H116" s="91"/>
      <c r="I116" s="91">
        <v>5</v>
      </c>
      <c r="J116" s="91">
        <v>17</v>
      </c>
      <c r="K116" s="91">
        <v>1</v>
      </c>
      <c r="L116" s="91">
        <v>17</v>
      </c>
      <c r="M116" s="91">
        <v>8</v>
      </c>
      <c r="N116" s="91">
        <v>13</v>
      </c>
      <c r="O116" s="91">
        <v>9</v>
      </c>
      <c r="P116" s="91">
        <v>10</v>
      </c>
      <c r="Q116" s="91">
        <v>4</v>
      </c>
      <c r="R116" s="91">
        <v>6</v>
      </c>
      <c r="S116" s="91">
        <v>16</v>
      </c>
      <c r="T116" s="91">
        <v>1</v>
      </c>
      <c r="U116" s="91">
        <v>15</v>
      </c>
      <c r="V116" s="91">
        <v>8</v>
      </c>
      <c r="W116" s="91">
        <v>14</v>
      </c>
      <c r="X116" s="91">
        <v>18</v>
      </c>
      <c r="Y116" s="91">
        <v>13</v>
      </c>
      <c r="Z116" s="91">
        <v>12</v>
      </c>
      <c r="AA116" s="91">
        <v>14</v>
      </c>
      <c r="AB116" s="91">
        <v>8</v>
      </c>
      <c r="AC116" s="91">
        <v>1</v>
      </c>
      <c r="AD116" s="91">
        <v>4</v>
      </c>
      <c r="AE116" s="91">
        <v>3</v>
      </c>
      <c r="AF116" s="91">
        <v>1</v>
      </c>
      <c r="AG116" s="91">
        <v>2</v>
      </c>
      <c r="AH116" s="91">
        <v>1</v>
      </c>
      <c r="AI116" s="91">
        <v>4</v>
      </c>
      <c r="AJ116" s="91">
        <v>13</v>
      </c>
      <c r="AK116" s="91">
        <v>5</v>
      </c>
      <c r="AL116" s="91">
        <v>12</v>
      </c>
      <c r="AM116" s="91">
        <v>3</v>
      </c>
      <c r="AN116" s="91">
        <v>2</v>
      </c>
      <c r="AO116" s="91">
        <v>4</v>
      </c>
      <c r="AP116" s="91">
        <v>2</v>
      </c>
      <c r="AQ116" s="91">
        <v>7</v>
      </c>
      <c r="AR116" s="91">
        <v>7</v>
      </c>
      <c r="AS116" s="91">
        <v>1</v>
      </c>
      <c r="AT116" s="91"/>
      <c r="AU116" s="91">
        <v>7</v>
      </c>
      <c r="AV116" s="91">
        <v>6</v>
      </c>
      <c r="AW116" s="91">
        <v>10</v>
      </c>
      <c r="AX116" s="91">
        <v>3</v>
      </c>
      <c r="AY116" s="91">
        <v>1</v>
      </c>
      <c r="AZ116" s="91">
        <v>3</v>
      </c>
      <c r="BA116" s="91"/>
      <c r="BB116" s="91"/>
      <c r="BC116" s="91"/>
    </row>
    <row r="117" spans="1:55" x14ac:dyDescent="0.25">
      <c r="A117" s="91" t="s">
        <v>574</v>
      </c>
      <c r="B117" s="129">
        <f t="shared" si="3"/>
        <v>81</v>
      </c>
      <c r="C117" s="91">
        <v>1</v>
      </c>
      <c r="D117" s="91">
        <v>1</v>
      </c>
      <c r="E117" s="91">
        <v>3</v>
      </c>
      <c r="F117" s="91"/>
      <c r="G117" s="91">
        <v>1</v>
      </c>
      <c r="H117" s="91"/>
      <c r="I117" s="91"/>
      <c r="J117" s="91">
        <v>1</v>
      </c>
      <c r="K117" s="91">
        <v>1</v>
      </c>
      <c r="L117" s="91"/>
      <c r="M117" s="91"/>
      <c r="N117" s="91"/>
      <c r="O117" s="91">
        <v>2</v>
      </c>
      <c r="P117" s="91">
        <v>2</v>
      </c>
      <c r="Q117" s="91"/>
      <c r="R117" s="91"/>
      <c r="S117" s="91">
        <v>4</v>
      </c>
      <c r="T117" s="91"/>
      <c r="U117" s="91"/>
      <c r="V117" s="91"/>
      <c r="W117" s="91">
        <v>1</v>
      </c>
      <c r="X117" s="91">
        <v>6</v>
      </c>
      <c r="Y117" s="91">
        <v>1</v>
      </c>
      <c r="Z117" s="91">
        <v>8</v>
      </c>
      <c r="AA117" s="91">
        <v>1</v>
      </c>
      <c r="AB117" s="91"/>
      <c r="AC117" s="91"/>
      <c r="AD117" s="91">
        <v>3</v>
      </c>
      <c r="AE117" s="91">
        <v>2</v>
      </c>
      <c r="AF117" s="91"/>
      <c r="AG117" s="91"/>
      <c r="AH117" s="91">
        <v>2</v>
      </c>
      <c r="AI117" s="91">
        <v>1</v>
      </c>
      <c r="AJ117" s="91">
        <v>15</v>
      </c>
      <c r="AK117" s="91">
        <v>1</v>
      </c>
      <c r="AL117" s="91">
        <v>3</v>
      </c>
      <c r="AM117" s="91">
        <v>1</v>
      </c>
      <c r="AN117" s="91">
        <v>1</v>
      </c>
      <c r="AO117" s="91">
        <v>1</v>
      </c>
      <c r="AP117" s="91"/>
      <c r="AQ117" s="91">
        <v>1</v>
      </c>
      <c r="AR117" s="91">
        <v>4</v>
      </c>
      <c r="AS117" s="91"/>
      <c r="AT117" s="91"/>
      <c r="AU117" s="91">
        <v>1</v>
      </c>
      <c r="AV117" s="91">
        <v>3</v>
      </c>
      <c r="AW117" s="91">
        <v>3</v>
      </c>
      <c r="AX117" s="91"/>
      <c r="AY117" s="91"/>
      <c r="AZ117" s="91">
        <v>4</v>
      </c>
      <c r="BA117" s="91">
        <v>1</v>
      </c>
      <c r="BB117" s="91">
        <v>1</v>
      </c>
      <c r="BC117" s="91"/>
    </row>
    <row r="118" spans="1:55" x14ac:dyDescent="0.25">
      <c r="A118" s="91" t="s">
        <v>239</v>
      </c>
      <c r="B118" s="129">
        <f t="shared" si="3"/>
        <v>317</v>
      </c>
      <c r="C118" s="91">
        <v>6</v>
      </c>
      <c r="D118" s="91">
        <v>12</v>
      </c>
      <c r="E118" s="91">
        <v>5</v>
      </c>
      <c r="F118" s="91">
        <v>7</v>
      </c>
      <c r="G118" s="91">
        <v>7</v>
      </c>
      <c r="H118" s="91">
        <v>4</v>
      </c>
      <c r="I118" s="91">
        <v>16</v>
      </c>
      <c r="J118" s="91">
        <v>6</v>
      </c>
      <c r="K118" s="91"/>
      <c r="L118" s="91">
        <v>2</v>
      </c>
      <c r="M118" s="91"/>
      <c r="N118" s="91">
        <v>6</v>
      </c>
      <c r="O118" s="91">
        <v>7</v>
      </c>
      <c r="P118" s="91">
        <v>4</v>
      </c>
      <c r="Q118" s="91">
        <v>1</v>
      </c>
      <c r="R118" s="91">
        <v>7</v>
      </c>
      <c r="S118" s="91">
        <v>16</v>
      </c>
      <c r="T118" s="91">
        <v>11</v>
      </c>
      <c r="U118" s="91">
        <v>1</v>
      </c>
      <c r="V118" s="91">
        <v>5</v>
      </c>
      <c r="W118" s="91">
        <v>13</v>
      </c>
      <c r="X118" s="91">
        <v>7</v>
      </c>
      <c r="Y118" s="91">
        <v>2</v>
      </c>
      <c r="Z118" s="91">
        <v>1</v>
      </c>
      <c r="AA118" s="91">
        <v>9</v>
      </c>
      <c r="AB118" s="91">
        <v>5</v>
      </c>
      <c r="AC118" s="91">
        <v>4</v>
      </c>
      <c r="AD118" s="91">
        <v>6</v>
      </c>
      <c r="AE118" s="91">
        <v>6</v>
      </c>
      <c r="AF118" s="91">
        <v>4</v>
      </c>
      <c r="AG118" s="91">
        <v>2</v>
      </c>
      <c r="AH118" s="91">
        <v>5</v>
      </c>
      <c r="AI118" s="91">
        <v>13</v>
      </c>
      <c r="AJ118" s="91">
        <v>22</v>
      </c>
      <c r="AK118" s="91">
        <v>5</v>
      </c>
      <c r="AL118" s="91"/>
      <c r="AM118" s="91">
        <v>3</v>
      </c>
      <c r="AN118" s="91">
        <v>1</v>
      </c>
      <c r="AO118" s="91">
        <v>5</v>
      </c>
      <c r="AP118" s="91">
        <v>6</v>
      </c>
      <c r="AQ118" s="91">
        <v>11</v>
      </c>
      <c r="AR118" s="91">
        <v>9</v>
      </c>
      <c r="AS118" s="91">
        <v>3</v>
      </c>
      <c r="AT118" s="91"/>
      <c r="AU118" s="91">
        <v>6</v>
      </c>
      <c r="AV118" s="91">
        <v>1</v>
      </c>
      <c r="AW118" s="91">
        <v>25</v>
      </c>
      <c r="AX118" s="91">
        <v>3</v>
      </c>
      <c r="AY118" s="91">
        <v>4</v>
      </c>
      <c r="AZ118" s="91">
        <v>8</v>
      </c>
      <c r="BA118" s="91"/>
      <c r="BB118" s="91">
        <v>5</v>
      </c>
      <c r="BC118" s="91"/>
    </row>
    <row r="119" spans="1:55" x14ac:dyDescent="0.25">
      <c r="A119" s="91" t="s">
        <v>453</v>
      </c>
      <c r="B119" s="129">
        <f t="shared" si="3"/>
        <v>185</v>
      </c>
      <c r="C119" s="91">
        <v>3</v>
      </c>
      <c r="D119" s="91">
        <v>4</v>
      </c>
      <c r="E119" s="91">
        <v>5</v>
      </c>
      <c r="F119" s="91">
        <v>2</v>
      </c>
      <c r="G119" s="91">
        <v>7</v>
      </c>
      <c r="H119" s="91">
        <v>15</v>
      </c>
      <c r="I119" s="91">
        <v>7</v>
      </c>
      <c r="J119" s="91">
        <v>5</v>
      </c>
      <c r="K119" s="91"/>
      <c r="L119" s="91">
        <v>3</v>
      </c>
      <c r="M119" s="91">
        <v>6</v>
      </c>
      <c r="N119" s="91">
        <v>9</v>
      </c>
      <c r="O119" s="91">
        <v>5</v>
      </c>
      <c r="P119" s="91">
        <v>6</v>
      </c>
      <c r="Q119" s="91"/>
      <c r="R119" s="91">
        <v>10</v>
      </c>
      <c r="S119" s="91">
        <v>9</v>
      </c>
      <c r="T119" s="91"/>
      <c r="U119" s="91">
        <v>5</v>
      </c>
      <c r="V119" s="91">
        <v>3</v>
      </c>
      <c r="W119" s="91">
        <v>3</v>
      </c>
      <c r="X119" s="91">
        <v>13</v>
      </c>
      <c r="Y119" s="91">
        <v>1</v>
      </c>
      <c r="Z119" s="91">
        <v>4</v>
      </c>
      <c r="AA119" s="91">
        <v>2</v>
      </c>
      <c r="AB119" s="91"/>
      <c r="AC119" s="91">
        <v>1</v>
      </c>
      <c r="AD119" s="91">
        <v>1</v>
      </c>
      <c r="AE119" s="91">
        <v>5</v>
      </c>
      <c r="AF119" s="91"/>
      <c r="AG119" s="91">
        <v>7</v>
      </c>
      <c r="AH119" s="91">
        <v>1</v>
      </c>
      <c r="AI119" s="91"/>
      <c r="AJ119" s="91"/>
      <c r="AK119" s="91">
        <v>3</v>
      </c>
      <c r="AL119" s="91">
        <v>1</v>
      </c>
      <c r="AM119" s="91"/>
      <c r="AN119" s="91"/>
      <c r="AO119" s="91"/>
      <c r="AP119" s="91">
        <v>12</v>
      </c>
      <c r="AQ119" s="91">
        <v>5</v>
      </c>
      <c r="AR119" s="91">
        <v>1</v>
      </c>
      <c r="AS119" s="91">
        <v>4</v>
      </c>
      <c r="AT119" s="91"/>
      <c r="AU119" s="91">
        <v>6</v>
      </c>
      <c r="AV119" s="91"/>
      <c r="AW119" s="91"/>
      <c r="AX119" s="91"/>
      <c r="AY119" s="91"/>
      <c r="AZ119" s="91">
        <v>3</v>
      </c>
      <c r="BA119" s="91"/>
      <c r="BB119" s="91">
        <v>8</v>
      </c>
      <c r="BC119" s="91"/>
    </row>
    <row r="120" spans="1:55" x14ac:dyDescent="0.25">
      <c r="A120" s="91" t="s">
        <v>432</v>
      </c>
      <c r="B120" s="129">
        <f t="shared" si="3"/>
        <v>124</v>
      </c>
      <c r="C120" s="91"/>
      <c r="D120" s="91">
        <v>2</v>
      </c>
      <c r="E120" s="91"/>
      <c r="F120" s="91"/>
      <c r="G120" s="91">
        <v>5</v>
      </c>
      <c r="H120" s="91"/>
      <c r="I120" s="91">
        <v>4</v>
      </c>
      <c r="J120" s="91">
        <v>1</v>
      </c>
      <c r="K120" s="91"/>
      <c r="L120" s="91">
        <v>1</v>
      </c>
      <c r="M120" s="91">
        <v>1</v>
      </c>
      <c r="N120" s="91"/>
      <c r="O120" s="91">
        <v>2</v>
      </c>
      <c r="P120" s="91">
        <v>1</v>
      </c>
      <c r="Q120" s="91"/>
      <c r="R120" s="91">
        <v>1</v>
      </c>
      <c r="S120" s="91">
        <v>7</v>
      </c>
      <c r="T120" s="91"/>
      <c r="U120" s="91">
        <v>3</v>
      </c>
      <c r="V120" s="91">
        <v>3</v>
      </c>
      <c r="W120" s="91">
        <v>5</v>
      </c>
      <c r="X120" s="91">
        <v>9</v>
      </c>
      <c r="Y120" s="91">
        <v>4</v>
      </c>
      <c r="Z120" s="91"/>
      <c r="AA120" s="91"/>
      <c r="AB120" s="91">
        <v>3</v>
      </c>
      <c r="AC120" s="91"/>
      <c r="AD120" s="91">
        <v>1</v>
      </c>
      <c r="AE120" s="91">
        <v>1</v>
      </c>
      <c r="AF120" s="91">
        <v>5</v>
      </c>
      <c r="AG120" s="91">
        <v>3</v>
      </c>
      <c r="AH120" s="91">
        <v>2</v>
      </c>
      <c r="AI120" s="91"/>
      <c r="AJ120" s="91">
        <v>3</v>
      </c>
      <c r="AK120" s="91">
        <v>2</v>
      </c>
      <c r="AL120" s="91">
        <v>6</v>
      </c>
      <c r="AM120" s="91">
        <v>5</v>
      </c>
      <c r="AN120" s="91"/>
      <c r="AO120" s="91">
        <v>6</v>
      </c>
      <c r="AP120" s="91">
        <v>1</v>
      </c>
      <c r="AQ120" s="91">
        <v>3</v>
      </c>
      <c r="AR120" s="91">
        <v>1</v>
      </c>
      <c r="AS120" s="91">
        <v>1</v>
      </c>
      <c r="AT120" s="91"/>
      <c r="AU120" s="91">
        <v>10</v>
      </c>
      <c r="AV120" s="91"/>
      <c r="AW120" s="91">
        <v>3</v>
      </c>
      <c r="AX120" s="91"/>
      <c r="AY120" s="91">
        <v>4</v>
      </c>
      <c r="AZ120" s="91">
        <v>2</v>
      </c>
      <c r="BA120" s="91"/>
      <c r="BB120" s="91">
        <v>13</v>
      </c>
      <c r="BC120" s="91"/>
    </row>
    <row r="121" spans="1:55" x14ac:dyDescent="0.25">
      <c r="A121" s="91" t="s">
        <v>455</v>
      </c>
      <c r="B121" s="129">
        <f t="shared" si="3"/>
        <v>88</v>
      </c>
      <c r="C121" s="91"/>
      <c r="D121" s="91"/>
      <c r="E121" s="91">
        <v>3</v>
      </c>
      <c r="F121" s="91">
        <v>2</v>
      </c>
      <c r="G121" s="91">
        <v>9</v>
      </c>
      <c r="H121" s="91"/>
      <c r="I121" s="91"/>
      <c r="J121" s="91">
        <v>5</v>
      </c>
      <c r="K121" s="91">
        <v>2</v>
      </c>
      <c r="L121" s="91">
        <v>1</v>
      </c>
      <c r="M121" s="91">
        <v>1</v>
      </c>
      <c r="N121" s="91">
        <v>4</v>
      </c>
      <c r="O121" s="91"/>
      <c r="P121" s="91"/>
      <c r="Q121" s="91">
        <v>8</v>
      </c>
      <c r="R121" s="91">
        <v>1</v>
      </c>
      <c r="S121" s="91"/>
      <c r="T121" s="91">
        <v>1</v>
      </c>
      <c r="U121" s="91"/>
      <c r="V121" s="91"/>
      <c r="W121" s="91">
        <v>4</v>
      </c>
      <c r="X121" s="91">
        <v>4</v>
      </c>
      <c r="Y121" s="91"/>
      <c r="Z121" s="91">
        <v>2</v>
      </c>
      <c r="AA121" s="91">
        <v>3</v>
      </c>
      <c r="AB121" s="91">
        <v>1</v>
      </c>
      <c r="AC121" s="91"/>
      <c r="AD121" s="91"/>
      <c r="AE121" s="91">
        <v>4</v>
      </c>
      <c r="AF121" s="91">
        <v>2</v>
      </c>
      <c r="AG121" s="91"/>
      <c r="AH121" s="91">
        <v>2</v>
      </c>
      <c r="AI121" s="91">
        <v>3</v>
      </c>
      <c r="AJ121" s="91">
        <v>2</v>
      </c>
      <c r="AK121" s="91">
        <v>1</v>
      </c>
      <c r="AL121" s="91">
        <v>2</v>
      </c>
      <c r="AM121" s="91">
        <v>4</v>
      </c>
      <c r="AN121" s="91">
        <v>2</v>
      </c>
      <c r="AO121" s="91">
        <v>4</v>
      </c>
      <c r="AP121" s="91"/>
      <c r="AQ121" s="91">
        <v>2</v>
      </c>
      <c r="AR121" s="91"/>
      <c r="AS121" s="91"/>
      <c r="AT121" s="91"/>
      <c r="AU121" s="91"/>
      <c r="AV121" s="91">
        <v>1</v>
      </c>
      <c r="AW121" s="91"/>
      <c r="AX121" s="91">
        <v>1</v>
      </c>
      <c r="AY121" s="91"/>
      <c r="AZ121" s="91">
        <v>1</v>
      </c>
      <c r="BA121" s="91">
        <v>3</v>
      </c>
      <c r="BB121" s="91">
        <v>3</v>
      </c>
      <c r="BC121" s="91"/>
    </row>
    <row r="122" spans="1:55" x14ac:dyDescent="0.25">
      <c r="A122" s="91" t="s">
        <v>441</v>
      </c>
      <c r="B122" s="129">
        <f t="shared" si="3"/>
        <v>153</v>
      </c>
      <c r="C122" s="91">
        <v>1</v>
      </c>
      <c r="D122" s="91">
        <v>1</v>
      </c>
      <c r="E122" s="91">
        <v>2</v>
      </c>
      <c r="F122" s="91">
        <v>3</v>
      </c>
      <c r="G122" s="91">
        <v>2</v>
      </c>
      <c r="H122" s="91"/>
      <c r="I122" s="91">
        <v>5</v>
      </c>
      <c r="J122" s="91">
        <v>3</v>
      </c>
      <c r="K122" s="91">
        <v>1</v>
      </c>
      <c r="L122" s="91">
        <v>2</v>
      </c>
      <c r="M122" s="91">
        <v>5</v>
      </c>
      <c r="N122" s="91">
        <v>4</v>
      </c>
      <c r="O122" s="91"/>
      <c r="P122" s="91">
        <v>1</v>
      </c>
      <c r="Q122" s="91">
        <v>9</v>
      </c>
      <c r="R122" s="91"/>
      <c r="S122" s="91">
        <v>8</v>
      </c>
      <c r="T122" s="91"/>
      <c r="U122" s="91"/>
      <c r="V122" s="91"/>
      <c r="W122" s="91">
        <v>10</v>
      </c>
      <c r="X122" s="91">
        <v>9</v>
      </c>
      <c r="Y122" s="91">
        <v>10</v>
      </c>
      <c r="Z122" s="91">
        <v>2</v>
      </c>
      <c r="AA122" s="91">
        <v>2</v>
      </c>
      <c r="AB122" s="91">
        <v>5</v>
      </c>
      <c r="AC122" s="91"/>
      <c r="AD122" s="91">
        <v>2</v>
      </c>
      <c r="AE122" s="91">
        <v>7</v>
      </c>
      <c r="AF122" s="91">
        <v>2</v>
      </c>
      <c r="AG122" s="91">
        <v>2</v>
      </c>
      <c r="AH122" s="91">
        <v>3</v>
      </c>
      <c r="AI122" s="91">
        <v>1</v>
      </c>
      <c r="AJ122" s="91">
        <v>1</v>
      </c>
      <c r="AK122" s="91"/>
      <c r="AL122" s="91"/>
      <c r="AM122" s="91">
        <v>1</v>
      </c>
      <c r="AN122" s="91">
        <v>11</v>
      </c>
      <c r="AO122" s="91">
        <v>3</v>
      </c>
      <c r="AP122" s="91">
        <v>1</v>
      </c>
      <c r="AQ122" s="91">
        <v>3</v>
      </c>
      <c r="AR122" s="91">
        <v>8</v>
      </c>
      <c r="AS122" s="91">
        <v>1</v>
      </c>
      <c r="AT122" s="91"/>
      <c r="AU122" s="91">
        <v>1</v>
      </c>
      <c r="AV122" s="91">
        <v>5</v>
      </c>
      <c r="AW122" s="91">
        <v>4</v>
      </c>
      <c r="AX122" s="91">
        <v>2</v>
      </c>
      <c r="AY122" s="91">
        <v>1</v>
      </c>
      <c r="AZ122" s="91">
        <v>9</v>
      </c>
      <c r="BA122" s="91"/>
      <c r="BB122" s="91"/>
      <c r="BC122" s="91"/>
    </row>
    <row r="123" spans="1:55" x14ac:dyDescent="0.25">
      <c r="A123" s="91" t="s">
        <v>433</v>
      </c>
      <c r="B123" s="129">
        <f t="shared" si="3"/>
        <v>154</v>
      </c>
      <c r="C123" s="91">
        <v>1</v>
      </c>
      <c r="D123" s="91">
        <v>4</v>
      </c>
      <c r="E123" s="91">
        <v>3</v>
      </c>
      <c r="F123" s="91">
        <v>2</v>
      </c>
      <c r="G123" s="91"/>
      <c r="H123" s="91"/>
      <c r="I123" s="91">
        <v>6</v>
      </c>
      <c r="J123" s="91">
        <v>5</v>
      </c>
      <c r="K123" s="91"/>
      <c r="L123" s="91"/>
      <c r="M123" s="91"/>
      <c r="N123" s="91">
        <v>13</v>
      </c>
      <c r="O123" s="91">
        <v>1</v>
      </c>
      <c r="P123" s="91">
        <v>3</v>
      </c>
      <c r="Q123" s="91">
        <v>3</v>
      </c>
      <c r="R123" s="91">
        <v>5</v>
      </c>
      <c r="S123" s="91">
        <v>4</v>
      </c>
      <c r="T123" s="91">
        <v>2</v>
      </c>
      <c r="U123" s="91">
        <v>1</v>
      </c>
      <c r="V123" s="91">
        <v>2</v>
      </c>
      <c r="W123" s="91">
        <v>2</v>
      </c>
      <c r="X123" s="91">
        <v>8</v>
      </c>
      <c r="Y123" s="91"/>
      <c r="Z123" s="91">
        <v>2</v>
      </c>
      <c r="AA123" s="91">
        <v>3</v>
      </c>
      <c r="AB123" s="91">
        <v>1</v>
      </c>
      <c r="AC123" s="91">
        <v>3</v>
      </c>
      <c r="AD123" s="91">
        <v>7</v>
      </c>
      <c r="AE123" s="91">
        <v>5</v>
      </c>
      <c r="AF123" s="91">
        <v>3</v>
      </c>
      <c r="AG123" s="91">
        <v>3</v>
      </c>
      <c r="AH123" s="91">
        <v>5</v>
      </c>
      <c r="AI123" s="91"/>
      <c r="AJ123" s="91">
        <v>4</v>
      </c>
      <c r="AK123" s="91">
        <v>1</v>
      </c>
      <c r="AL123" s="91">
        <v>5</v>
      </c>
      <c r="AM123" s="91"/>
      <c r="AN123" s="91"/>
      <c r="AO123" s="91">
        <v>5</v>
      </c>
      <c r="AP123" s="91">
        <v>4</v>
      </c>
      <c r="AQ123" s="91">
        <v>6</v>
      </c>
      <c r="AR123" s="91">
        <v>3</v>
      </c>
      <c r="AS123" s="91">
        <v>2</v>
      </c>
      <c r="AT123" s="91"/>
      <c r="AU123" s="91">
        <v>2</v>
      </c>
      <c r="AV123" s="91">
        <v>1</v>
      </c>
      <c r="AW123" s="91">
        <v>17</v>
      </c>
      <c r="AX123" s="91">
        <v>1</v>
      </c>
      <c r="AY123" s="91">
        <v>1</v>
      </c>
      <c r="AZ123" s="91"/>
      <c r="BA123" s="91"/>
      <c r="BB123" s="91">
        <v>5</v>
      </c>
      <c r="BC123" s="91"/>
    </row>
    <row r="124" spans="1:55" x14ac:dyDescent="0.25">
      <c r="A124" s="91" t="s">
        <v>462</v>
      </c>
      <c r="B124" s="129">
        <f t="shared" si="3"/>
        <v>180</v>
      </c>
      <c r="C124" s="91">
        <v>6</v>
      </c>
      <c r="D124" s="91"/>
      <c r="E124" s="91">
        <v>4</v>
      </c>
      <c r="F124" s="91">
        <v>4</v>
      </c>
      <c r="G124" s="91">
        <v>12</v>
      </c>
      <c r="H124" s="91">
        <v>1</v>
      </c>
      <c r="I124" s="91">
        <v>5</v>
      </c>
      <c r="J124" s="91">
        <v>10</v>
      </c>
      <c r="K124" s="91">
        <v>3</v>
      </c>
      <c r="L124" s="91">
        <v>4</v>
      </c>
      <c r="M124" s="91">
        <v>3</v>
      </c>
      <c r="N124" s="91">
        <v>2</v>
      </c>
      <c r="O124" s="91">
        <v>1</v>
      </c>
      <c r="P124" s="91">
        <v>5</v>
      </c>
      <c r="Q124" s="91">
        <v>2</v>
      </c>
      <c r="R124" s="91"/>
      <c r="S124" s="91">
        <v>1</v>
      </c>
      <c r="T124" s="91"/>
      <c r="U124" s="91">
        <v>2</v>
      </c>
      <c r="V124" s="91">
        <v>2</v>
      </c>
      <c r="W124" s="91">
        <v>1</v>
      </c>
      <c r="X124" s="91">
        <v>4</v>
      </c>
      <c r="Y124" s="91">
        <v>10</v>
      </c>
      <c r="Z124" s="91">
        <v>1</v>
      </c>
      <c r="AA124" s="91">
        <v>2</v>
      </c>
      <c r="AB124" s="91">
        <v>3</v>
      </c>
      <c r="AC124" s="91">
        <v>11</v>
      </c>
      <c r="AD124" s="91">
        <v>4</v>
      </c>
      <c r="AE124" s="91">
        <v>1</v>
      </c>
      <c r="AF124" s="91">
        <v>2</v>
      </c>
      <c r="AG124" s="91"/>
      <c r="AH124" s="91">
        <v>6</v>
      </c>
      <c r="AI124" s="91">
        <v>1</v>
      </c>
      <c r="AJ124" s="91">
        <v>9</v>
      </c>
      <c r="AK124" s="91">
        <v>1</v>
      </c>
      <c r="AL124" s="91">
        <v>8</v>
      </c>
      <c r="AM124" s="91">
        <v>2</v>
      </c>
      <c r="AN124" s="91">
        <v>1</v>
      </c>
      <c r="AO124" s="91">
        <v>2</v>
      </c>
      <c r="AP124" s="91">
        <v>3</v>
      </c>
      <c r="AQ124" s="91">
        <v>2</v>
      </c>
      <c r="AR124" s="91">
        <v>1</v>
      </c>
      <c r="AS124" s="91">
        <v>10</v>
      </c>
      <c r="AT124" s="91"/>
      <c r="AU124" s="91">
        <v>11</v>
      </c>
      <c r="AV124" s="91"/>
      <c r="AW124" s="91"/>
      <c r="AX124" s="91">
        <v>1</v>
      </c>
      <c r="AY124" s="91"/>
      <c r="AZ124" s="91">
        <v>2</v>
      </c>
      <c r="BA124" s="91">
        <v>2</v>
      </c>
      <c r="BB124" s="91">
        <v>12</v>
      </c>
      <c r="BC124" s="91"/>
    </row>
    <row r="125" spans="1:55" x14ac:dyDescent="0.25">
      <c r="A125" s="91" t="s">
        <v>203</v>
      </c>
      <c r="B125" s="129">
        <f t="shared" si="3"/>
        <v>126</v>
      </c>
      <c r="C125" s="91"/>
      <c r="D125" s="91"/>
      <c r="E125" s="91">
        <v>6</v>
      </c>
      <c r="F125" s="91"/>
      <c r="G125" s="91">
        <v>5</v>
      </c>
      <c r="H125" s="91"/>
      <c r="I125" s="91">
        <v>11</v>
      </c>
      <c r="J125" s="91">
        <v>10</v>
      </c>
      <c r="K125" s="91">
        <v>2</v>
      </c>
      <c r="L125" s="91">
        <v>1</v>
      </c>
      <c r="M125" s="91"/>
      <c r="N125" s="91">
        <v>7</v>
      </c>
      <c r="O125" s="91">
        <v>4</v>
      </c>
      <c r="P125" s="91"/>
      <c r="Q125" s="91"/>
      <c r="R125" s="91"/>
      <c r="S125" s="91">
        <v>14</v>
      </c>
      <c r="T125" s="91"/>
      <c r="U125" s="91">
        <v>2</v>
      </c>
      <c r="V125" s="91"/>
      <c r="W125" s="91">
        <v>14</v>
      </c>
      <c r="X125" s="91">
        <v>5</v>
      </c>
      <c r="Y125" s="91">
        <v>4</v>
      </c>
      <c r="Z125" s="91"/>
      <c r="AA125" s="91"/>
      <c r="AB125" s="91"/>
      <c r="AC125" s="91">
        <v>1</v>
      </c>
      <c r="AD125" s="91"/>
      <c r="AE125" s="91">
        <v>6</v>
      </c>
      <c r="AF125" s="91"/>
      <c r="AG125" s="91">
        <v>1</v>
      </c>
      <c r="AH125" s="91"/>
      <c r="AI125" s="91"/>
      <c r="AJ125" s="91">
        <v>3</v>
      </c>
      <c r="AK125" s="91"/>
      <c r="AL125" s="91"/>
      <c r="AM125" s="91"/>
      <c r="AN125" s="91">
        <v>5</v>
      </c>
      <c r="AO125" s="91">
        <v>8</v>
      </c>
      <c r="AP125" s="91"/>
      <c r="AQ125" s="91"/>
      <c r="AR125" s="91">
        <v>5</v>
      </c>
      <c r="AS125" s="91"/>
      <c r="AT125" s="91"/>
      <c r="AU125" s="91"/>
      <c r="AV125" s="91"/>
      <c r="AW125" s="91">
        <v>12</v>
      </c>
      <c r="AX125" s="91"/>
      <c r="AY125" s="91"/>
      <c r="AZ125" s="91"/>
      <c r="BA125" s="91"/>
      <c r="BB125" s="91"/>
      <c r="BC125" s="91"/>
    </row>
    <row r="126" spans="1:55" x14ac:dyDescent="0.25">
      <c r="A126" s="91" t="s">
        <v>62</v>
      </c>
      <c r="B126" s="129">
        <f t="shared" si="3"/>
        <v>158</v>
      </c>
      <c r="C126" s="91"/>
      <c r="D126" s="91">
        <v>1</v>
      </c>
      <c r="E126" s="91"/>
      <c r="F126" s="91">
        <v>8</v>
      </c>
      <c r="G126" s="91">
        <v>17</v>
      </c>
      <c r="H126" s="91"/>
      <c r="I126" s="91">
        <v>9</v>
      </c>
      <c r="J126" s="91">
        <v>10</v>
      </c>
      <c r="K126" s="91"/>
      <c r="L126" s="91"/>
      <c r="M126" s="91"/>
      <c r="N126" s="91">
        <v>10</v>
      </c>
      <c r="O126" s="91"/>
      <c r="P126" s="91"/>
      <c r="Q126" s="91"/>
      <c r="R126" s="91">
        <v>1</v>
      </c>
      <c r="S126" s="91"/>
      <c r="T126" s="91">
        <v>1</v>
      </c>
      <c r="U126" s="91"/>
      <c r="V126" s="91"/>
      <c r="W126" s="91"/>
      <c r="X126" s="91">
        <v>18</v>
      </c>
      <c r="Y126" s="91"/>
      <c r="Z126" s="91"/>
      <c r="AA126" s="91">
        <v>8</v>
      </c>
      <c r="AB126" s="91"/>
      <c r="AC126" s="91"/>
      <c r="AD126" s="91">
        <v>6</v>
      </c>
      <c r="AE126" s="91">
        <v>6</v>
      </c>
      <c r="AF126" s="91"/>
      <c r="AG126" s="91"/>
      <c r="AH126" s="91"/>
      <c r="AI126" s="91"/>
      <c r="AJ126" s="91"/>
      <c r="AK126" s="91"/>
      <c r="AL126" s="91"/>
      <c r="AM126" s="91"/>
      <c r="AN126" s="91"/>
      <c r="AO126" s="91">
        <v>1</v>
      </c>
      <c r="AP126" s="91"/>
      <c r="AQ126" s="91"/>
      <c r="AR126" s="91">
        <v>1</v>
      </c>
      <c r="AS126" s="91">
        <v>6</v>
      </c>
      <c r="AT126" s="91"/>
      <c r="AU126" s="91">
        <v>1</v>
      </c>
      <c r="AV126" s="91"/>
      <c r="AW126" s="91"/>
      <c r="AX126" s="91"/>
      <c r="AY126" s="91"/>
      <c r="AZ126" s="91"/>
      <c r="BA126" s="91">
        <v>18</v>
      </c>
      <c r="BB126" s="91">
        <v>36</v>
      </c>
      <c r="BC126" s="91"/>
    </row>
    <row r="127" spans="1:55" x14ac:dyDescent="0.25">
      <c r="A127" s="91" t="s">
        <v>402</v>
      </c>
      <c r="B127" s="129">
        <f t="shared" si="3"/>
        <v>94</v>
      </c>
      <c r="C127" s="91">
        <v>3</v>
      </c>
      <c r="D127" s="91">
        <v>1</v>
      </c>
      <c r="E127" s="91">
        <v>2</v>
      </c>
      <c r="F127" s="91"/>
      <c r="G127" s="91">
        <v>3</v>
      </c>
      <c r="H127" s="91"/>
      <c r="I127" s="91">
        <v>6</v>
      </c>
      <c r="J127" s="91">
        <v>1</v>
      </c>
      <c r="K127" s="91"/>
      <c r="L127" s="91"/>
      <c r="M127" s="91">
        <v>1</v>
      </c>
      <c r="N127" s="91"/>
      <c r="O127" s="91"/>
      <c r="P127" s="91"/>
      <c r="Q127" s="91">
        <v>5</v>
      </c>
      <c r="R127" s="91">
        <v>4</v>
      </c>
      <c r="S127" s="91">
        <v>3</v>
      </c>
      <c r="T127" s="91"/>
      <c r="U127" s="91">
        <v>2</v>
      </c>
      <c r="V127" s="91">
        <v>1</v>
      </c>
      <c r="W127" s="91">
        <v>5</v>
      </c>
      <c r="X127" s="91">
        <v>9</v>
      </c>
      <c r="Y127" s="91">
        <v>4</v>
      </c>
      <c r="Z127" s="91"/>
      <c r="AA127" s="91">
        <v>3</v>
      </c>
      <c r="AB127" s="91">
        <v>1</v>
      </c>
      <c r="AC127" s="91"/>
      <c r="AD127" s="91"/>
      <c r="AE127" s="91">
        <v>1</v>
      </c>
      <c r="AF127" s="91">
        <v>1</v>
      </c>
      <c r="AG127" s="91">
        <v>1</v>
      </c>
      <c r="AH127" s="91"/>
      <c r="AI127" s="91"/>
      <c r="AJ127" s="91">
        <v>4</v>
      </c>
      <c r="AK127" s="91"/>
      <c r="AL127" s="91">
        <v>9</v>
      </c>
      <c r="AM127" s="91"/>
      <c r="AN127" s="91">
        <v>1</v>
      </c>
      <c r="AO127" s="91">
        <v>1</v>
      </c>
      <c r="AP127" s="91">
        <v>3</v>
      </c>
      <c r="AQ127" s="91"/>
      <c r="AR127" s="91">
        <v>1</v>
      </c>
      <c r="AS127" s="91">
        <v>1</v>
      </c>
      <c r="AT127" s="91"/>
      <c r="AU127" s="91">
        <v>1</v>
      </c>
      <c r="AV127" s="91"/>
      <c r="AW127" s="91">
        <v>1</v>
      </c>
      <c r="AX127" s="91"/>
      <c r="AY127" s="91"/>
      <c r="AZ127" s="91">
        <v>5</v>
      </c>
      <c r="BA127" s="91"/>
      <c r="BB127" s="91">
        <v>10</v>
      </c>
      <c r="BC127" s="91"/>
    </row>
    <row r="128" spans="1:55" x14ac:dyDescent="0.25">
      <c r="A128" s="91" t="s">
        <v>234</v>
      </c>
      <c r="B128" s="129">
        <f t="shared" si="3"/>
        <v>871</v>
      </c>
      <c r="C128" s="91">
        <v>10</v>
      </c>
      <c r="D128" s="91">
        <v>17</v>
      </c>
      <c r="E128" s="91">
        <v>29</v>
      </c>
      <c r="F128" s="91">
        <v>20</v>
      </c>
      <c r="G128" s="91">
        <v>11</v>
      </c>
      <c r="H128" s="91"/>
      <c r="I128" s="91">
        <v>20</v>
      </c>
      <c r="J128" s="91">
        <v>33</v>
      </c>
      <c r="K128" s="91">
        <v>16</v>
      </c>
      <c r="L128" s="91">
        <v>9</v>
      </c>
      <c r="M128" s="91">
        <v>27</v>
      </c>
      <c r="N128" s="91">
        <v>32</v>
      </c>
      <c r="O128" s="91">
        <v>15</v>
      </c>
      <c r="P128" s="91">
        <v>14</v>
      </c>
      <c r="Q128" s="91">
        <v>13</v>
      </c>
      <c r="R128" s="91">
        <v>21</v>
      </c>
      <c r="S128" s="91">
        <v>32</v>
      </c>
      <c r="T128" s="91"/>
      <c r="U128" s="91">
        <v>16</v>
      </c>
      <c r="V128" s="91">
        <v>19</v>
      </c>
      <c r="W128" s="91">
        <v>14</v>
      </c>
      <c r="X128" s="91">
        <v>13</v>
      </c>
      <c r="Y128" s="91">
        <v>18</v>
      </c>
      <c r="Z128" s="91">
        <v>16</v>
      </c>
      <c r="AA128" s="91">
        <v>17</v>
      </c>
      <c r="AB128" s="91">
        <v>16</v>
      </c>
      <c r="AC128" s="91">
        <v>18</v>
      </c>
      <c r="AD128" s="91">
        <v>36</v>
      </c>
      <c r="AE128" s="91">
        <v>16</v>
      </c>
      <c r="AF128" s="91">
        <v>23</v>
      </c>
      <c r="AG128" s="91">
        <v>29</v>
      </c>
      <c r="AH128" s="91">
        <v>22</v>
      </c>
      <c r="AI128" s="91">
        <v>23</v>
      </c>
      <c r="AJ128" s="91">
        <v>17</v>
      </c>
      <c r="AK128" s="91">
        <v>20</v>
      </c>
      <c r="AL128" s="91">
        <v>17</v>
      </c>
      <c r="AM128" s="91">
        <v>17</v>
      </c>
      <c r="AN128" s="91">
        <v>6</v>
      </c>
      <c r="AO128" s="91">
        <v>23</v>
      </c>
      <c r="AP128" s="91">
        <v>14</v>
      </c>
      <c r="AQ128" s="91">
        <v>23</v>
      </c>
      <c r="AR128" s="91">
        <v>18</v>
      </c>
      <c r="AS128" s="91">
        <v>13</v>
      </c>
      <c r="AT128" s="91"/>
      <c r="AU128" s="91">
        <v>14</v>
      </c>
      <c r="AV128" s="91">
        <v>10</v>
      </c>
      <c r="AW128" s="91">
        <v>24</v>
      </c>
      <c r="AX128" s="91">
        <v>14</v>
      </c>
      <c r="AY128" s="91">
        <v>9</v>
      </c>
      <c r="AZ128" s="91">
        <v>10</v>
      </c>
      <c r="BA128" s="91"/>
      <c r="BB128" s="91">
        <v>7</v>
      </c>
      <c r="BC128" s="91"/>
    </row>
    <row r="129" spans="1:55" x14ac:dyDescent="0.25">
      <c r="A129" s="91" t="s">
        <v>135</v>
      </c>
      <c r="B129" s="129">
        <f t="shared" si="3"/>
        <v>139</v>
      </c>
      <c r="C129" s="91">
        <v>5</v>
      </c>
      <c r="D129" s="91">
        <v>2</v>
      </c>
      <c r="E129" s="91">
        <v>8</v>
      </c>
      <c r="F129" s="91"/>
      <c r="G129" s="91">
        <v>15</v>
      </c>
      <c r="H129" s="91"/>
      <c r="I129" s="91">
        <v>2</v>
      </c>
      <c r="J129" s="91">
        <v>13</v>
      </c>
      <c r="K129" s="91">
        <v>1</v>
      </c>
      <c r="L129" s="91">
        <v>3</v>
      </c>
      <c r="M129" s="91"/>
      <c r="N129" s="91">
        <v>22</v>
      </c>
      <c r="O129" s="91"/>
      <c r="P129" s="91"/>
      <c r="Q129" s="91"/>
      <c r="R129" s="91">
        <v>3</v>
      </c>
      <c r="S129" s="91"/>
      <c r="T129" s="91"/>
      <c r="U129" s="91">
        <v>20</v>
      </c>
      <c r="V129" s="91"/>
      <c r="W129" s="91">
        <v>21</v>
      </c>
      <c r="X129" s="91">
        <v>3</v>
      </c>
      <c r="Y129" s="91">
        <v>1</v>
      </c>
      <c r="Z129" s="91"/>
      <c r="AA129" s="91"/>
      <c r="AB129" s="91"/>
      <c r="AC129" s="91"/>
      <c r="AD129" s="91"/>
      <c r="AE129" s="91">
        <v>2</v>
      </c>
      <c r="AF129" s="91"/>
      <c r="AG129" s="91"/>
      <c r="AH129" s="91"/>
      <c r="AI129" s="91"/>
      <c r="AJ129" s="91">
        <v>1</v>
      </c>
      <c r="AK129" s="91">
        <v>1</v>
      </c>
      <c r="AL129" s="91"/>
      <c r="AM129" s="91"/>
      <c r="AN129" s="91">
        <v>5</v>
      </c>
      <c r="AO129" s="91"/>
      <c r="AP129" s="91"/>
      <c r="AQ129" s="91"/>
      <c r="AR129" s="91">
        <v>3</v>
      </c>
      <c r="AS129" s="91">
        <v>3</v>
      </c>
      <c r="AT129" s="91"/>
      <c r="AU129" s="91"/>
      <c r="AV129" s="91"/>
      <c r="AW129" s="91">
        <v>4</v>
      </c>
      <c r="AX129" s="91"/>
      <c r="AY129" s="91">
        <v>1</v>
      </c>
      <c r="AZ129" s="91"/>
      <c r="BA129" s="91"/>
      <c r="BB129" s="91"/>
      <c r="BC129" s="91"/>
    </row>
    <row r="130" spans="1:55" x14ac:dyDescent="0.25">
      <c r="A130" s="91" t="s">
        <v>198</v>
      </c>
      <c r="B130" s="129">
        <f t="shared" si="3"/>
        <v>103</v>
      </c>
      <c r="C130" s="91"/>
      <c r="D130" s="91"/>
      <c r="E130" s="91">
        <v>5</v>
      </c>
      <c r="F130" s="91"/>
      <c r="G130" s="91">
        <v>3</v>
      </c>
      <c r="H130" s="91"/>
      <c r="I130" s="91">
        <v>6</v>
      </c>
      <c r="J130" s="91">
        <v>2</v>
      </c>
      <c r="K130" s="91">
        <v>1</v>
      </c>
      <c r="L130" s="91"/>
      <c r="M130" s="91"/>
      <c r="N130" s="91">
        <v>22</v>
      </c>
      <c r="O130" s="91">
        <v>1</v>
      </c>
      <c r="P130" s="91"/>
      <c r="Q130" s="91"/>
      <c r="R130" s="91">
        <v>1</v>
      </c>
      <c r="S130" s="91"/>
      <c r="T130" s="91"/>
      <c r="U130" s="91">
        <v>4</v>
      </c>
      <c r="V130" s="91"/>
      <c r="W130" s="91">
        <v>4</v>
      </c>
      <c r="X130" s="91">
        <v>3</v>
      </c>
      <c r="Y130" s="91">
        <v>4</v>
      </c>
      <c r="Z130" s="91"/>
      <c r="AA130" s="91"/>
      <c r="AB130" s="91"/>
      <c r="AC130" s="91"/>
      <c r="AD130" s="91">
        <v>1</v>
      </c>
      <c r="AE130" s="91">
        <v>5</v>
      </c>
      <c r="AF130" s="91"/>
      <c r="AG130" s="91"/>
      <c r="AH130" s="91"/>
      <c r="AI130" s="91">
        <v>3</v>
      </c>
      <c r="AJ130" s="91">
        <v>3</v>
      </c>
      <c r="AK130" s="91"/>
      <c r="AL130" s="91"/>
      <c r="AM130" s="91"/>
      <c r="AN130" s="91">
        <v>3</v>
      </c>
      <c r="AO130" s="91">
        <v>7</v>
      </c>
      <c r="AP130" s="91"/>
      <c r="AQ130" s="91"/>
      <c r="AR130" s="91">
        <v>3</v>
      </c>
      <c r="AS130" s="91">
        <v>1</v>
      </c>
      <c r="AT130" s="91"/>
      <c r="AU130" s="91"/>
      <c r="AV130" s="91"/>
      <c r="AW130" s="91">
        <v>15</v>
      </c>
      <c r="AX130" s="91"/>
      <c r="AY130" s="91"/>
      <c r="AZ130" s="91">
        <v>6</v>
      </c>
      <c r="BA130" s="91"/>
      <c r="BB130" s="91"/>
      <c r="BC130" s="91"/>
    </row>
    <row r="131" spans="1:55" x14ac:dyDescent="0.25">
      <c r="A131" s="91" t="s">
        <v>405</v>
      </c>
      <c r="B131" s="129">
        <f t="shared" si="3"/>
        <v>39</v>
      </c>
      <c r="C131" s="91"/>
      <c r="D131" s="91"/>
      <c r="E131" s="91">
        <v>1</v>
      </c>
      <c r="F131" s="91">
        <v>4</v>
      </c>
      <c r="G131" s="91">
        <v>11</v>
      </c>
      <c r="H131" s="91"/>
      <c r="I131" s="91">
        <v>2</v>
      </c>
      <c r="J131" s="91">
        <v>1</v>
      </c>
      <c r="K131" s="91">
        <v>1</v>
      </c>
      <c r="L131" s="91"/>
      <c r="M131" s="91"/>
      <c r="N131" s="91">
        <v>2</v>
      </c>
      <c r="O131" s="91">
        <v>2</v>
      </c>
      <c r="P131" s="91"/>
      <c r="Q131" s="91"/>
      <c r="R131" s="91"/>
      <c r="S131" s="91"/>
      <c r="T131" s="91"/>
      <c r="U131" s="91"/>
      <c r="V131" s="91"/>
      <c r="W131" s="91">
        <v>1</v>
      </c>
      <c r="X131" s="91">
        <v>1</v>
      </c>
      <c r="Y131" s="91">
        <v>1</v>
      </c>
      <c r="Z131" s="91"/>
      <c r="AA131" s="91"/>
      <c r="AB131" s="91">
        <v>1</v>
      </c>
      <c r="AC131" s="91">
        <v>1</v>
      </c>
      <c r="AD131" s="91">
        <v>1</v>
      </c>
      <c r="AE131" s="91"/>
      <c r="AF131" s="91"/>
      <c r="AG131" s="91"/>
      <c r="AH131" s="91"/>
      <c r="AI131" s="91"/>
      <c r="AJ131" s="91">
        <v>1</v>
      </c>
      <c r="AK131" s="91"/>
      <c r="AL131" s="91"/>
      <c r="AM131" s="91"/>
      <c r="AN131" s="91">
        <v>3</v>
      </c>
      <c r="AO131" s="91">
        <v>1</v>
      </c>
      <c r="AP131" s="91"/>
      <c r="AQ131" s="91"/>
      <c r="AR131" s="91">
        <v>3</v>
      </c>
      <c r="AS131" s="91"/>
      <c r="AT131" s="91"/>
      <c r="AU131" s="91"/>
      <c r="AV131" s="91"/>
      <c r="AW131" s="91"/>
      <c r="AX131" s="91"/>
      <c r="AY131" s="91">
        <v>1</v>
      </c>
      <c r="AZ131" s="91"/>
      <c r="BA131" s="91"/>
      <c r="BB131" s="91"/>
      <c r="BC131" s="91"/>
    </row>
    <row r="132" spans="1:55" x14ac:dyDescent="0.25">
      <c r="A132" s="91" t="s">
        <v>231</v>
      </c>
      <c r="B132" s="129">
        <f t="shared" si="3"/>
        <v>201</v>
      </c>
      <c r="C132" s="91">
        <v>6</v>
      </c>
      <c r="D132" s="91"/>
      <c r="E132" s="91">
        <v>10</v>
      </c>
      <c r="F132" s="91">
        <v>3</v>
      </c>
      <c r="G132" s="91">
        <v>7</v>
      </c>
      <c r="H132" s="91"/>
      <c r="I132" s="91">
        <v>10</v>
      </c>
      <c r="J132" s="91">
        <v>3</v>
      </c>
      <c r="K132" s="91">
        <v>4</v>
      </c>
      <c r="L132" s="91">
        <v>2</v>
      </c>
      <c r="M132" s="91">
        <v>6</v>
      </c>
      <c r="N132" s="91">
        <v>11</v>
      </c>
      <c r="O132" s="91">
        <v>8</v>
      </c>
      <c r="P132" s="91">
        <v>4</v>
      </c>
      <c r="Q132" s="91">
        <v>3</v>
      </c>
      <c r="R132" s="91">
        <v>3</v>
      </c>
      <c r="S132" s="91">
        <v>9</v>
      </c>
      <c r="T132" s="91"/>
      <c r="U132" s="91">
        <v>2</v>
      </c>
      <c r="V132" s="91">
        <v>4</v>
      </c>
      <c r="W132" s="91">
        <v>2</v>
      </c>
      <c r="X132" s="91">
        <v>3</v>
      </c>
      <c r="Y132" s="91"/>
      <c r="Z132" s="91">
        <v>5</v>
      </c>
      <c r="AA132" s="91">
        <v>1</v>
      </c>
      <c r="AB132" s="91">
        <v>3</v>
      </c>
      <c r="AC132" s="91">
        <v>6</v>
      </c>
      <c r="AD132" s="91">
        <v>3</v>
      </c>
      <c r="AE132" s="91">
        <v>5</v>
      </c>
      <c r="AF132" s="91"/>
      <c r="AG132" s="91">
        <v>1</v>
      </c>
      <c r="AH132" s="91">
        <v>3</v>
      </c>
      <c r="AI132" s="91">
        <v>2</v>
      </c>
      <c r="AJ132" s="91">
        <v>8</v>
      </c>
      <c r="AK132" s="91">
        <v>2</v>
      </c>
      <c r="AL132" s="91">
        <v>11</v>
      </c>
      <c r="AM132" s="91">
        <v>3</v>
      </c>
      <c r="AN132" s="91">
        <v>6</v>
      </c>
      <c r="AO132" s="91">
        <v>1</v>
      </c>
      <c r="AP132" s="91">
        <v>1</v>
      </c>
      <c r="AQ132" s="91">
        <v>4</v>
      </c>
      <c r="AR132" s="91">
        <v>3</v>
      </c>
      <c r="AS132" s="91">
        <v>6</v>
      </c>
      <c r="AT132" s="91"/>
      <c r="AU132" s="91"/>
      <c r="AV132" s="91">
        <v>1</v>
      </c>
      <c r="AW132" s="91">
        <v>10</v>
      </c>
      <c r="AX132" s="91"/>
      <c r="AY132" s="91">
        <v>1</v>
      </c>
      <c r="AZ132" s="91">
        <v>1</v>
      </c>
      <c r="BA132" s="91"/>
      <c r="BB132" s="91">
        <v>14</v>
      </c>
      <c r="BC132" s="91"/>
    </row>
    <row r="133" spans="1:55" x14ac:dyDescent="0.25">
      <c r="A133" s="91" t="s">
        <v>128</v>
      </c>
      <c r="B133" s="129">
        <f t="shared" si="3"/>
        <v>247</v>
      </c>
      <c r="C133" s="91">
        <v>1</v>
      </c>
      <c r="D133" s="91"/>
      <c r="E133" s="91">
        <v>17</v>
      </c>
      <c r="F133" s="91">
        <v>3</v>
      </c>
      <c r="G133" s="91">
        <v>15</v>
      </c>
      <c r="H133" s="91"/>
      <c r="I133" s="91">
        <v>18</v>
      </c>
      <c r="J133" s="91">
        <v>25</v>
      </c>
      <c r="K133" s="91">
        <v>3</v>
      </c>
      <c r="L133" s="91"/>
      <c r="M133" s="91"/>
      <c r="N133" s="91">
        <v>29</v>
      </c>
      <c r="O133" s="91"/>
      <c r="P133" s="91"/>
      <c r="Q133" s="91">
        <v>2</v>
      </c>
      <c r="R133" s="91"/>
      <c r="S133" s="91">
        <v>22</v>
      </c>
      <c r="T133" s="91"/>
      <c r="U133" s="91">
        <v>2</v>
      </c>
      <c r="V133" s="91"/>
      <c r="W133" s="91">
        <v>3</v>
      </c>
      <c r="X133" s="91">
        <v>19</v>
      </c>
      <c r="Y133" s="91">
        <v>11</v>
      </c>
      <c r="Z133" s="91"/>
      <c r="AA133" s="91"/>
      <c r="AB133" s="91"/>
      <c r="AC133" s="91">
        <v>1</v>
      </c>
      <c r="AD133" s="91">
        <v>16</v>
      </c>
      <c r="AE133" s="91">
        <v>1</v>
      </c>
      <c r="AF133" s="91"/>
      <c r="AG133" s="91"/>
      <c r="AH133" s="91"/>
      <c r="AI133" s="91">
        <v>15</v>
      </c>
      <c r="AJ133" s="91">
        <v>2</v>
      </c>
      <c r="AK133" s="91"/>
      <c r="AL133" s="91">
        <v>4</v>
      </c>
      <c r="AM133" s="91"/>
      <c r="AN133" s="91">
        <v>4</v>
      </c>
      <c r="AO133" s="91">
        <v>1</v>
      </c>
      <c r="AP133" s="91"/>
      <c r="AQ133" s="91"/>
      <c r="AR133" s="91">
        <v>1</v>
      </c>
      <c r="AS133" s="91"/>
      <c r="AT133" s="91"/>
      <c r="AU133" s="91">
        <v>1</v>
      </c>
      <c r="AV133" s="91">
        <v>1</v>
      </c>
      <c r="AW133" s="91">
        <v>1</v>
      </c>
      <c r="AX133" s="91"/>
      <c r="AY133" s="91"/>
      <c r="AZ133" s="91"/>
      <c r="BA133" s="91">
        <v>29</v>
      </c>
      <c r="BB133" s="91"/>
      <c r="BC133" s="91"/>
    </row>
    <row r="134" spans="1:55" x14ac:dyDescent="0.25">
      <c r="A134" s="91" t="s">
        <v>485</v>
      </c>
      <c r="B134" s="129">
        <f t="shared" si="3"/>
        <v>31</v>
      </c>
      <c r="C134" s="91"/>
      <c r="D134" s="91"/>
      <c r="E134" s="91">
        <v>3</v>
      </c>
      <c r="F134" s="91"/>
      <c r="G134" s="91"/>
      <c r="H134" s="91"/>
      <c r="I134" s="91"/>
      <c r="J134" s="91">
        <v>1</v>
      </c>
      <c r="K134" s="91">
        <v>1</v>
      </c>
      <c r="L134" s="91">
        <v>1</v>
      </c>
      <c r="M134" s="91"/>
      <c r="N134" s="91"/>
      <c r="O134" s="91">
        <v>1</v>
      </c>
      <c r="P134" s="91"/>
      <c r="Q134" s="91"/>
      <c r="R134" s="91">
        <v>3</v>
      </c>
      <c r="S134" s="91">
        <v>1</v>
      </c>
      <c r="T134" s="91"/>
      <c r="U134" s="91">
        <v>5</v>
      </c>
      <c r="V134" s="91"/>
      <c r="W134" s="91"/>
      <c r="X134" s="91"/>
      <c r="Y134" s="91">
        <v>1</v>
      </c>
      <c r="Z134" s="91"/>
      <c r="AA134" s="91"/>
      <c r="AB134" s="91"/>
      <c r="AC134" s="91">
        <v>2</v>
      </c>
      <c r="AD134" s="91"/>
      <c r="AE134" s="91"/>
      <c r="AF134" s="91">
        <v>1</v>
      </c>
      <c r="AG134" s="91"/>
      <c r="AH134" s="91"/>
      <c r="AI134" s="91">
        <v>2</v>
      </c>
      <c r="AJ134" s="91"/>
      <c r="AK134" s="91"/>
      <c r="AL134" s="91">
        <v>2</v>
      </c>
      <c r="AM134" s="91">
        <v>1</v>
      </c>
      <c r="AN134" s="91"/>
      <c r="AO134" s="91"/>
      <c r="AP134" s="91"/>
      <c r="AQ134" s="91">
        <v>1</v>
      </c>
      <c r="AR134" s="91"/>
      <c r="AS134" s="91"/>
      <c r="AT134" s="91"/>
      <c r="AU134" s="91"/>
      <c r="AV134" s="91">
        <v>2</v>
      </c>
      <c r="AW134" s="91"/>
      <c r="AX134" s="91">
        <v>2</v>
      </c>
      <c r="AY134" s="91"/>
      <c r="AZ134" s="91">
        <v>1</v>
      </c>
      <c r="BA134" s="91"/>
      <c r="BB134" s="91"/>
      <c r="BC134" s="91"/>
    </row>
    <row r="135" spans="1:55" x14ac:dyDescent="0.25">
      <c r="A135" s="91" t="s">
        <v>319</v>
      </c>
      <c r="B135" s="129">
        <f t="shared" si="3"/>
        <v>117</v>
      </c>
      <c r="C135" s="91">
        <v>5</v>
      </c>
      <c r="D135" s="91">
        <v>1</v>
      </c>
      <c r="E135" s="91">
        <v>4</v>
      </c>
      <c r="F135" s="91">
        <v>1</v>
      </c>
      <c r="G135" s="91">
        <v>5</v>
      </c>
      <c r="H135" s="91">
        <v>1</v>
      </c>
      <c r="I135" s="91">
        <v>2</v>
      </c>
      <c r="J135" s="91">
        <v>4</v>
      </c>
      <c r="K135" s="91">
        <v>3</v>
      </c>
      <c r="L135" s="91">
        <v>2</v>
      </c>
      <c r="M135" s="91">
        <v>2</v>
      </c>
      <c r="N135" s="91">
        <v>6</v>
      </c>
      <c r="O135" s="91"/>
      <c r="P135" s="91">
        <v>1</v>
      </c>
      <c r="Q135" s="91">
        <v>4</v>
      </c>
      <c r="R135" s="91">
        <v>2</v>
      </c>
      <c r="S135" s="91">
        <v>8</v>
      </c>
      <c r="T135" s="91"/>
      <c r="U135" s="91"/>
      <c r="V135" s="91"/>
      <c r="W135" s="91">
        <v>7</v>
      </c>
      <c r="X135" s="91">
        <v>2</v>
      </c>
      <c r="Y135" s="91">
        <v>3</v>
      </c>
      <c r="Z135" s="91">
        <v>1</v>
      </c>
      <c r="AA135" s="91">
        <v>2</v>
      </c>
      <c r="AB135" s="91">
        <v>2</v>
      </c>
      <c r="AC135" s="91">
        <v>3</v>
      </c>
      <c r="AD135" s="91">
        <v>8</v>
      </c>
      <c r="AE135" s="91">
        <v>1</v>
      </c>
      <c r="AF135" s="91">
        <v>2</v>
      </c>
      <c r="AG135" s="91"/>
      <c r="AH135" s="91">
        <v>5</v>
      </c>
      <c r="AI135" s="91">
        <v>1</v>
      </c>
      <c r="AJ135" s="91">
        <v>3</v>
      </c>
      <c r="AK135" s="91"/>
      <c r="AL135" s="91">
        <v>3</v>
      </c>
      <c r="AM135" s="91">
        <v>5</v>
      </c>
      <c r="AN135" s="91">
        <v>2</v>
      </c>
      <c r="AO135" s="91"/>
      <c r="AP135" s="91">
        <v>1</v>
      </c>
      <c r="AQ135" s="91"/>
      <c r="AR135" s="91">
        <v>2</v>
      </c>
      <c r="AS135" s="91">
        <v>1</v>
      </c>
      <c r="AT135" s="91"/>
      <c r="AU135" s="91">
        <v>5</v>
      </c>
      <c r="AV135" s="91"/>
      <c r="AW135" s="91">
        <v>2</v>
      </c>
      <c r="AX135" s="91"/>
      <c r="AY135" s="91"/>
      <c r="AZ135" s="91">
        <v>2</v>
      </c>
      <c r="BA135" s="91">
        <v>1</v>
      </c>
      <c r="BB135" s="91">
        <v>2</v>
      </c>
      <c r="BC135" s="91"/>
    </row>
    <row r="136" spans="1:55" x14ac:dyDescent="0.25">
      <c r="A136" s="91" t="s">
        <v>201</v>
      </c>
      <c r="B136" s="129">
        <f t="shared" ref="B136:B199" si="4">SUM(C136:BC136)</f>
        <v>239</v>
      </c>
      <c r="C136" s="91">
        <v>6</v>
      </c>
      <c r="D136" s="91">
        <v>12</v>
      </c>
      <c r="E136" s="91">
        <v>9</v>
      </c>
      <c r="F136" s="91">
        <v>7</v>
      </c>
      <c r="G136" s="91">
        <v>4</v>
      </c>
      <c r="H136" s="91"/>
      <c r="I136" s="91">
        <v>5</v>
      </c>
      <c r="J136" s="91">
        <v>29</v>
      </c>
      <c r="K136" s="91">
        <v>1</v>
      </c>
      <c r="L136" s="91">
        <v>2</v>
      </c>
      <c r="M136" s="91">
        <v>4</v>
      </c>
      <c r="N136" s="91">
        <v>14</v>
      </c>
      <c r="O136" s="91">
        <v>1</v>
      </c>
      <c r="P136" s="91">
        <v>3</v>
      </c>
      <c r="Q136" s="91"/>
      <c r="R136" s="91">
        <v>4</v>
      </c>
      <c r="S136" s="91">
        <v>5</v>
      </c>
      <c r="T136" s="91">
        <v>3</v>
      </c>
      <c r="U136" s="91">
        <v>9</v>
      </c>
      <c r="V136" s="91"/>
      <c r="W136" s="91">
        <v>10</v>
      </c>
      <c r="X136" s="91">
        <v>7</v>
      </c>
      <c r="Y136" s="91"/>
      <c r="Z136" s="91">
        <v>1</v>
      </c>
      <c r="AA136" s="91">
        <v>3</v>
      </c>
      <c r="AB136" s="91">
        <v>7</v>
      </c>
      <c r="AC136" s="91">
        <v>3</v>
      </c>
      <c r="AD136" s="91"/>
      <c r="AE136" s="91">
        <v>2</v>
      </c>
      <c r="AF136" s="91">
        <v>1</v>
      </c>
      <c r="AG136" s="91">
        <v>1</v>
      </c>
      <c r="AH136" s="91">
        <v>4</v>
      </c>
      <c r="AI136" s="91">
        <v>1</v>
      </c>
      <c r="AJ136" s="91">
        <v>3</v>
      </c>
      <c r="AK136" s="91">
        <v>1</v>
      </c>
      <c r="AL136" s="91"/>
      <c r="AM136" s="91">
        <v>2</v>
      </c>
      <c r="AN136" s="91">
        <v>10</v>
      </c>
      <c r="AO136" s="91">
        <v>7</v>
      </c>
      <c r="AP136" s="91">
        <v>2</v>
      </c>
      <c r="AQ136" s="91">
        <v>5</v>
      </c>
      <c r="AR136" s="91">
        <v>4</v>
      </c>
      <c r="AS136" s="91">
        <v>12</v>
      </c>
      <c r="AT136" s="91"/>
      <c r="AU136" s="91">
        <v>2</v>
      </c>
      <c r="AV136" s="91">
        <v>2</v>
      </c>
      <c r="AW136" s="91">
        <v>3</v>
      </c>
      <c r="AX136" s="91">
        <v>2</v>
      </c>
      <c r="AY136" s="91">
        <v>2</v>
      </c>
      <c r="AZ136" s="91">
        <v>4</v>
      </c>
      <c r="BA136" s="91">
        <v>8</v>
      </c>
      <c r="BB136" s="91">
        <v>12</v>
      </c>
      <c r="BC136" s="91"/>
    </row>
    <row r="137" spans="1:55" x14ac:dyDescent="0.25">
      <c r="A137" s="91" t="s">
        <v>160</v>
      </c>
      <c r="B137" s="129">
        <f t="shared" si="4"/>
        <v>32</v>
      </c>
      <c r="C137" s="91"/>
      <c r="D137" s="91">
        <v>2</v>
      </c>
      <c r="E137" s="91">
        <v>3</v>
      </c>
      <c r="F137" s="91">
        <v>1</v>
      </c>
      <c r="G137" s="91">
        <v>1</v>
      </c>
      <c r="H137" s="91"/>
      <c r="I137" s="91">
        <v>1</v>
      </c>
      <c r="J137" s="91">
        <v>1</v>
      </c>
      <c r="K137" s="91"/>
      <c r="L137" s="91"/>
      <c r="M137" s="91"/>
      <c r="N137" s="91">
        <v>1</v>
      </c>
      <c r="O137" s="91"/>
      <c r="P137" s="91"/>
      <c r="Q137" s="91">
        <v>2</v>
      </c>
      <c r="R137" s="91"/>
      <c r="S137" s="91">
        <v>1</v>
      </c>
      <c r="T137" s="91"/>
      <c r="U137" s="91">
        <v>1</v>
      </c>
      <c r="V137" s="91"/>
      <c r="W137" s="91">
        <v>2</v>
      </c>
      <c r="X137" s="91">
        <v>2</v>
      </c>
      <c r="Y137" s="91"/>
      <c r="Z137" s="91">
        <v>1</v>
      </c>
      <c r="AA137" s="91">
        <v>1</v>
      </c>
      <c r="AB137" s="91"/>
      <c r="AC137" s="91">
        <v>1</v>
      </c>
      <c r="AD137" s="91">
        <v>2</v>
      </c>
      <c r="AE137" s="91"/>
      <c r="AF137" s="91"/>
      <c r="AG137" s="91"/>
      <c r="AH137" s="91"/>
      <c r="AI137" s="91">
        <v>1</v>
      </c>
      <c r="AJ137" s="91">
        <v>3</v>
      </c>
      <c r="AK137" s="91"/>
      <c r="AL137" s="91">
        <v>1</v>
      </c>
      <c r="AM137" s="91"/>
      <c r="AN137" s="91"/>
      <c r="AO137" s="91"/>
      <c r="AP137" s="91"/>
      <c r="AQ137" s="91">
        <v>2</v>
      </c>
      <c r="AR137" s="91"/>
      <c r="AS137" s="91"/>
      <c r="AT137" s="91"/>
      <c r="AU137" s="91">
        <v>1</v>
      </c>
      <c r="AV137" s="91"/>
      <c r="AW137" s="91">
        <v>1</v>
      </c>
      <c r="AX137" s="91"/>
      <c r="AY137" s="91"/>
      <c r="AZ137" s="91"/>
      <c r="BA137" s="91"/>
      <c r="BB137" s="91"/>
      <c r="BC137" s="91"/>
    </row>
    <row r="138" spans="1:55" x14ac:dyDescent="0.25">
      <c r="A138" s="91" t="s">
        <v>589</v>
      </c>
      <c r="B138" s="129">
        <f t="shared" si="4"/>
        <v>409</v>
      </c>
      <c r="C138" s="91">
        <v>11</v>
      </c>
      <c r="D138" s="91">
        <v>10</v>
      </c>
      <c r="E138" s="91">
        <v>14</v>
      </c>
      <c r="F138" s="91">
        <v>1</v>
      </c>
      <c r="G138" s="91">
        <v>19</v>
      </c>
      <c r="H138" s="91">
        <v>14</v>
      </c>
      <c r="I138" s="91">
        <v>4</v>
      </c>
      <c r="J138" s="91">
        <v>12</v>
      </c>
      <c r="K138" s="91">
        <v>2</v>
      </c>
      <c r="L138" s="91">
        <v>11</v>
      </c>
      <c r="M138" s="91">
        <v>14</v>
      </c>
      <c r="N138" s="91">
        <v>8</v>
      </c>
      <c r="O138" s="91">
        <v>2</v>
      </c>
      <c r="P138" s="91">
        <v>3</v>
      </c>
      <c r="Q138" s="91">
        <v>13</v>
      </c>
      <c r="R138" s="91">
        <v>17</v>
      </c>
      <c r="S138" s="91">
        <v>17</v>
      </c>
      <c r="T138" s="91">
        <v>1</v>
      </c>
      <c r="U138" s="91">
        <v>7</v>
      </c>
      <c r="V138" s="91">
        <v>12</v>
      </c>
      <c r="W138" s="91">
        <v>15</v>
      </c>
      <c r="X138" s="91">
        <v>11</v>
      </c>
      <c r="Y138" s="91">
        <v>12</v>
      </c>
      <c r="Z138" s="91">
        <v>4</v>
      </c>
      <c r="AA138" s="91">
        <v>11</v>
      </c>
      <c r="AB138" s="91">
        <v>1</v>
      </c>
      <c r="AC138" s="91">
        <v>3</v>
      </c>
      <c r="AD138" s="91">
        <v>8</v>
      </c>
      <c r="AE138" s="91">
        <v>7</v>
      </c>
      <c r="AF138" s="91">
        <v>12</v>
      </c>
      <c r="AG138" s="91">
        <v>5</v>
      </c>
      <c r="AH138" s="91"/>
      <c r="AI138" s="91">
        <v>6</v>
      </c>
      <c r="AJ138" s="91">
        <v>4</v>
      </c>
      <c r="AK138" s="91">
        <v>6</v>
      </c>
      <c r="AL138" s="91">
        <v>15</v>
      </c>
      <c r="AM138" s="91">
        <v>8</v>
      </c>
      <c r="AN138" s="91">
        <v>9</v>
      </c>
      <c r="AO138" s="91">
        <v>4</v>
      </c>
      <c r="AP138" s="91">
        <v>5</v>
      </c>
      <c r="AQ138" s="91">
        <v>10</v>
      </c>
      <c r="AR138" s="91">
        <v>13</v>
      </c>
      <c r="AS138" s="91">
        <v>4</v>
      </c>
      <c r="AT138" s="91"/>
      <c r="AU138" s="91">
        <v>2</v>
      </c>
      <c r="AV138" s="91">
        <v>5</v>
      </c>
      <c r="AW138" s="91">
        <v>22</v>
      </c>
      <c r="AX138" s="91">
        <v>9</v>
      </c>
      <c r="AY138" s="91">
        <v>5</v>
      </c>
      <c r="AZ138" s="91"/>
      <c r="BA138" s="91"/>
      <c r="BB138" s="91"/>
      <c r="BC138" s="91">
        <v>1</v>
      </c>
    </row>
    <row r="139" spans="1:55" x14ac:dyDescent="0.25">
      <c r="A139" s="91" t="s">
        <v>223</v>
      </c>
      <c r="B139" s="129">
        <f t="shared" si="4"/>
        <v>238</v>
      </c>
      <c r="C139" s="91">
        <v>4</v>
      </c>
      <c r="D139" s="91">
        <v>8</v>
      </c>
      <c r="E139" s="91">
        <v>3</v>
      </c>
      <c r="F139" s="91">
        <v>15</v>
      </c>
      <c r="G139" s="91">
        <v>12</v>
      </c>
      <c r="H139" s="91">
        <v>2</v>
      </c>
      <c r="I139" s="91">
        <v>6</v>
      </c>
      <c r="J139" s="91">
        <v>9</v>
      </c>
      <c r="K139" s="91">
        <v>2</v>
      </c>
      <c r="L139" s="91">
        <v>7</v>
      </c>
      <c r="M139" s="91">
        <v>7</v>
      </c>
      <c r="N139" s="91">
        <v>24</v>
      </c>
      <c r="O139" s="91">
        <v>4</v>
      </c>
      <c r="P139" s="91">
        <v>6</v>
      </c>
      <c r="Q139" s="91">
        <v>4</v>
      </c>
      <c r="R139" s="91">
        <v>5</v>
      </c>
      <c r="S139" s="91">
        <v>2</v>
      </c>
      <c r="T139" s="91">
        <v>2</v>
      </c>
      <c r="U139" s="91">
        <v>12</v>
      </c>
      <c r="V139" s="91">
        <v>1</v>
      </c>
      <c r="W139" s="91">
        <v>10</v>
      </c>
      <c r="X139" s="91"/>
      <c r="Y139" s="91">
        <v>4</v>
      </c>
      <c r="Z139" s="91"/>
      <c r="AA139" s="91">
        <v>5</v>
      </c>
      <c r="AB139" s="91">
        <v>1</v>
      </c>
      <c r="AC139" s="91">
        <v>4</v>
      </c>
      <c r="AD139" s="91"/>
      <c r="AE139" s="91">
        <v>3</v>
      </c>
      <c r="AF139" s="91"/>
      <c r="AG139" s="91">
        <v>2</v>
      </c>
      <c r="AH139" s="91">
        <v>1</v>
      </c>
      <c r="AI139" s="91">
        <v>3</v>
      </c>
      <c r="AJ139" s="91">
        <v>1</v>
      </c>
      <c r="AK139" s="91">
        <v>4</v>
      </c>
      <c r="AL139" s="91">
        <v>10</v>
      </c>
      <c r="AM139" s="91">
        <v>4</v>
      </c>
      <c r="AN139" s="91">
        <v>11</v>
      </c>
      <c r="AO139" s="91">
        <v>6</v>
      </c>
      <c r="AP139" s="91">
        <v>1</v>
      </c>
      <c r="AQ139" s="91">
        <v>4</v>
      </c>
      <c r="AR139" s="91"/>
      <c r="AS139" s="91">
        <v>5</v>
      </c>
      <c r="AT139" s="91"/>
      <c r="AU139" s="91">
        <v>8</v>
      </c>
      <c r="AV139" s="91"/>
      <c r="AW139" s="91">
        <v>12</v>
      </c>
      <c r="AX139" s="91"/>
      <c r="AY139" s="91"/>
      <c r="AZ139" s="91">
        <v>3</v>
      </c>
      <c r="BA139" s="91">
        <v>1</v>
      </c>
      <c r="BB139" s="91"/>
      <c r="BC139" s="91"/>
    </row>
    <row r="140" spans="1:55" x14ac:dyDescent="0.25">
      <c r="A140" s="91" t="s">
        <v>230</v>
      </c>
      <c r="B140" s="129">
        <f t="shared" si="4"/>
        <v>196</v>
      </c>
      <c r="C140" s="91">
        <v>3</v>
      </c>
      <c r="D140" s="91"/>
      <c r="E140" s="91">
        <v>6</v>
      </c>
      <c r="F140" s="91">
        <v>16</v>
      </c>
      <c r="G140" s="91">
        <v>15</v>
      </c>
      <c r="H140" s="91">
        <v>1</v>
      </c>
      <c r="I140" s="91">
        <v>7</v>
      </c>
      <c r="J140" s="91">
        <v>10</v>
      </c>
      <c r="K140" s="91"/>
      <c r="L140" s="91">
        <v>3</v>
      </c>
      <c r="M140" s="91">
        <v>8</v>
      </c>
      <c r="N140" s="91">
        <v>11</v>
      </c>
      <c r="O140" s="91">
        <v>4</v>
      </c>
      <c r="P140" s="91">
        <v>4</v>
      </c>
      <c r="Q140" s="91">
        <v>6</v>
      </c>
      <c r="R140" s="91">
        <v>2</v>
      </c>
      <c r="S140" s="91"/>
      <c r="T140" s="91"/>
      <c r="U140" s="91"/>
      <c r="V140" s="91"/>
      <c r="W140" s="91">
        <v>11</v>
      </c>
      <c r="X140" s="91">
        <v>3</v>
      </c>
      <c r="Y140" s="91">
        <v>5</v>
      </c>
      <c r="Z140" s="91">
        <v>2</v>
      </c>
      <c r="AA140" s="91">
        <v>3</v>
      </c>
      <c r="AB140" s="91">
        <v>1</v>
      </c>
      <c r="AC140" s="91"/>
      <c r="AD140" s="91">
        <v>2</v>
      </c>
      <c r="AE140" s="91"/>
      <c r="AF140" s="91">
        <v>2</v>
      </c>
      <c r="AG140" s="91">
        <v>5</v>
      </c>
      <c r="AH140" s="91">
        <v>6</v>
      </c>
      <c r="AI140" s="91">
        <v>1</v>
      </c>
      <c r="AJ140" s="91">
        <v>1</v>
      </c>
      <c r="AK140" s="91">
        <v>2</v>
      </c>
      <c r="AL140" s="91">
        <v>4</v>
      </c>
      <c r="AM140" s="91"/>
      <c r="AN140" s="91">
        <v>7</v>
      </c>
      <c r="AO140" s="91">
        <v>1</v>
      </c>
      <c r="AP140" s="91">
        <v>6</v>
      </c>
      <c r="AQ140" s="91">
        <v>9</v>
      </c>
      <c r="AR140" s="91"/>
      <c r="AS140" s="91">
        <v>9</v>
      </c>
      <c r="AT140" s="91"/>
      <c r="AU140" s="91">
        <v>1</v>
      </c>
      <c r="AV140" s="91">
        <v>5</v>
      </c>
      <c r="AW140" s="91"/>
      <c r="AX140" s="91">
        <v>3</v>
      </c>
      <c r="AY140" s="91">
        <v>5</v>
      </c>
      <c r="AZ140" s="91">
        <v>2</v>
      </c>
      <c r="BA140" s="91">
        <v>2</v>
      </c>
      <c r="BB140" s="91">
        <v>2</v>
      </c>
      <c r="BC140" s="91"/>
    </row>
    <row r="141" spans="1:55" x14ac:dyDescent="0.25">
      <c r="A141" s="91" t="s">
        <v>336</v>
      </c>
      <c r="B141" s="129">
        <f t="shared" si="4"/>
        <v>127</v>
      </c>
      <c r="C141" s="91"/>
      <c r="D141" s="91">
        <v>7</v>
      </c>
      <c r="E141" s="91">
        <v>6</v>
      </c>
      <c r="F141" s="91">
        <v>1</v>
      </c>
      <c r="G141" s="91">
        <v>8</v>
      </c>
      <c r="H141" s="91"/>
      <c r="I141" s="91">
        <v>6</v>
      </c>
      <c r="J141" s="91">
        <v>3</v>
      </c>
      <c r="K141" s="91">
        <v>2</v>
      </c>
      <c r="L141" s="91"/>
      <c r="M141" s="91">
        <v>4</v>
      </c>
      <c r="N141" s="91">
        <v>15</v>
      </c>
      <c r="O141" s="91">
        <v>2</v>
      </c>
      <c r="P141" s="91"/>
      <c r="Q141" s="91">
        <v>6</v>
      </c>
      <c r="R141" s="91">
        <v>2</v>
      </c>
      <c r="S141" s="91">
        <v>7</v>
      </c>
      <c r="T141" s="91"/>
      <c r="U141" s="91"/>
      <c r="V141" s="91">
        <v>7</v>
      </c>
      <c r="W141" s="91"/>
      <c r="X141" s="91">
        <v>1</v>
      </c>
      <c r="Y141" s="91">
        <v>3</v>
      </c>
      <c r="Z141" s="91"/>
      <c r="AA141" s="91">
        <v>6</v>
      </c>
      <c r="AB141" s="91"/>
      <c r="AC141" s="91">
        <v>3</v>
      </c>
      <c r="AD141" s="91">
        <v>1</v>
      </c>
      <c r="AE141" s="91">
        <v>6</v>
      </c>
      <c r="AF141" s="91">
        <v>6</v>
      </c>
      <c r="AG141" s="91">
        <v>2</v>
      </c>
      <c r="AH141" s="91"/>
      <c r="AI141" s="91">
        <v>2</v>
      </c>
      <c r="AJ141" s="91">
        <v>2</v>
      </c>
      <c r="AK141" s="91"/>
      <c r="AL141" s="91">
        <v>1</v>
      </c>
      <c r="AM141" s="91"/>
      <c r="AN141" s="91">
        <v>4</v>
      </c>
      <c r="AO141" s="91"/>
      <c r="AP141" s="91">
        <v>2</v>
      </c>
      <c r="AQ141" s="91">
        <v>2</v>
      </c>
      <c r="AR141" s="91">
        <v>1</v>
      </c>
      <c r="AS141" s="91"/>
      <c r="AT141" s="91"/>
      <c r="AU141" s="91">
        <v>1</v>
      </c>
      <c r="AV141" s="91"/>
      <c r="AW141" s="91">
        <v>7</v>
      </c>
      <c r="AX141" s="91"/>
      <c r="AY141" s="91">
        <v>1</v>
      </c>
      <c r="AZ141" s="91"/>
      <c r="BA141" s="91"/>
      <c r="BB141" s="91"/>
      <c r="BC141" s="91"/>
    </row>
    <row r="142" spans="1:55" x14ac:dyDescent="0.25">
      <c r="A142" s="91" t="s">
        <v>421</v>
      </c>
      <c r="B142" s="129">
        <f t="shared" si="4"/>
        <v>212</v>
      </c>
      <c r="C142" s="91">
        <v>1</v>
      </c>
      <c r="D142" s="91">
        <v>6</v>
      </c>
      <c r="E142" s="91">
        <v>1</v>
      </c>
      <c r="F142" s="91">
        <v>5</v>
      </c>
      <c r="G142" s="91">
        <v>9</v>
      </c>
      <c r="H142" s="91">
        <v>12</v>
      </c>
      <c r="I142" s="91">
        <v>2</v>
      </c>
      <c r="J142" s="91"/>
      <c r="K142" s="91">
        <v>3</v>
      </c>
      <c r="L142" s="91">
        <v>3</v>
      </c>
      <c r="M142" s="91">
        <v>10</v>
      </c>
      <c r="N142" s="91"/>
      <c r="O142" s="91">
        <v>1</v>
      </c>
      <c r="P142" s="91">
        <v>14</v>
      </c>
      <c r="Q142" s="91">
        <v>1</v>
      </c>
      <c r="R142" s="91">
        <v>1</v>
      </c>
      <c r="S142" s="91">
        <v>3</v>
      </c>
      <c r="T142" s="91">
        <v>1</v>
      </c>
      <c r="U142" s="91">
        <v>2</v>
      </c>
      <c r="V142" s="91">
        <v>1</v>
      </c>
      <c r="W142" s="91">
        <v>10</v>
      </c>
      <c r="X142" s="91">
        <v>11</v>
      </c>
      <c r="Y142" s="91">
        <v>10</v>
      </c>
      <c r="Z142" s="91">
        <v>1</v>
      </c>
      <c r="AA142" s="91">
        <v>1</v>
      </c>
      <c r="AB142" s="91">
        <v>5</v>
      </c>
      <c r="AC142" s="91">
        <v>1</v>
      </c>
      <c r="AD142" s="91">
        <v>1</v>
      </c>
      <c r="AE142" s="91">
        <v>1</v>
      </c>
      <c r="AF142" s="91">
        <v>5</v>
      </c>
      <c r="AG142" s="91">
        <v>1</v>
      </c>
      <c r="AH142" s="91">
        <v>2</v>
      </c>
      <c r="AI142" s="91">
        <v>1</v>
      </c>
      <c r="AJ142" s="91">
        <v>6</v>
      </c>
      <c r="AK142" s="91">
        <v>7</v>
      </c>
      <c r="AL142" s="91">
        <v>18</v>
      </c>
      <c r="AM142" s="91"/>
      <c r="AN142" s="91">
        <v>1</v>
      </c>
      <c r="AO142" s="91">
        <v>8</v>
      </c>
      <c r="AP142" s="91">
        <v>1</v>
      </c>
      <c r="AQ142" s="91">
        <v>3</v>
      </c>
      <c r="AR142" s="91">
        <v>4</v>
      </c>
      <c r="AS142" s="91"/>
      <c r="AT142" s="91"/>
      <c r="AU142" s="91">
        <v>3</v>
      </c>
      <c r="AV142" s="91">
        <v>10</v>
      </c>
      <c r="AW142" s="91">
        <v>1</v>
      </c>
      <c r="AX142" s="91">
        <v>10</v>
      </c>
      <c r="AY142" s="91">
        <v>8</v>
      </c>
      <c r="AZ142" s="91">
        <v>5</v>
      </c>
      <c r="BA142" s="91"/>
      <c r="BB142" s="91">
        <v>1</v>
      </c>
      <c r="BC142" s="91"/>
    </row>
    <row r="143" spans="1:55" x14ac:dyDescent="0.25">
      <c r="A143" s="91" t="s">
        <v>412</v>
      </c>
      <c r="B143" s="129">
        <f t="shared" si="4"/>
        <v>99</v>
      </c>
      <c r="C143" s="91">
        <v>1</v>
      </c>
      <c r="D143" s="91">
        <v>3</v>
      </c>
      <c r="E143" s="91">
        <v>1</v>
      </c>
      <c r="F143" s="91">
        <v>3</v>
      </c>
      <c r="G143" s="91">
        <v>2</v>
      </c>
      <c r="H143" s="91">
        <v>7</v>
      </c>
      <c r="I143" s="91"/>
      <c r="J143" s="91">
        <v>3</v>
      </c>
      <c r="K143" s="91"/>
      <c r="L143" s="91"/>
      <c r="M143" s="91">
        <v>2</v>
      </c>
      <c r="N143" s="91">
        <v>5</v>
      </c>
      <c r="O143" s="91"/>
      <c r="P143" s="91"/>
      <c r="Q143" s="91"/>
      <c r="R143" s="91"/>
      <c r="S143" s="91">
        <v>5</v>
      </c>
      <c r="T143" s="91"/>
      <c r="U143" s="91">
        <v>1</v>
      </c>
      <c r="V143" s="91"/>
      <c r="W143" s="91">
        <v>2</v>
      </c>
      <c r="X143" s="91">
        <v>3</v>
      </c>
      <c r="Y143" s="91">
        <v>4</v>
      </c>
      <c r="Z143" s="91"/>
      <c r="AA143" s="91"/>
      <c r="AB143" s="91">
        <v>1</v>
      </c>
      <c r="AC143" s="91">
        <v>1</v>
      </c>
      <c r="AD143" s="91">
        <v>1</v>
      </c>
      <c r="AE143" s="91">
        <v>2</v>
      </c>
      <c r="AF143" s="91">
        <v>1</v>
      </c>
      <c r="AG143" s="91"/>
      <c r="AH143" s="91">
        <v>1</v>
      </c>
      <c r="AI143" s="91">
        <v>1</v>
      </c>
      <c r="AJ143" s="91">
        <v>4</v>
      </c>
      <c r="AK143" s="91">
        <v>1</v>
      </c>
      <c r="AL143" s="91">
        <v>3</v>
      </c>
      <c r="AM143" s="91">
        <v>2</v>
      </c>
      <c r="AN143" s="91">
        <v>2</v>
      </c>
      <c r="AO143" s="91">
        <v>3</v>
      </c>
      <c r="AP143" s="91">
        <v>4</v>
      </c>
      <c r="AQ143" s="91">
        <v>5</v>
      </c>
      <c r="AR143" s="91">
        <v>5</v>
      </c>
      <c r="AS143" s="91"/>
      <c r="AT143" s="91"/>
      <c r="AU143" s="91"/>
      <c r="AV143" s="91">
        <v>1</v>
      </c>
      <c r="AW143" s="91">
        <v>7</v>
      </c>
      <c r="AX143" s="91">
        <v>5</v>
      </c>
      <c r="AY143" s="91">
        <v>6</v>
      </c>
      <c r="AZ143" s="91">
        <v>1</v>
      </c>
      <c r="BA143" s="91"/>
      <c r="BB143" s="91"/>
      <c r="BC143" s="91"/>
    </row>
    <row r="144" spans="1:55" x14ac:dyDescent="0.25">
      <c r="A144" s="91" t="s">
        <v>522</v>
      </c>
      <c r="B144" s="129">
        <f t="shared" si="4"/>
        <v>111</v>
      </c>
      <c r="C144" s="91">
        <v>2</v>
      </c>
      <c r="D144" s="91">
        <v>6</v>
      </c>
      <c r="E144" s="91">
        <v>1</v>
      </c>
      <c r="F144" s="91"/>
      <c r="G144" s="91">
        <v>1</v>
      </c>
      <c r="H144" s="91">
        <v>10</v>
      </c>
      <c r="I144" s="91"/>
      <c r="J144" s="91">
        <v>3</v>
      </c>
      <c r="K144" s="91">
        <v>1</v>
      </c>
      <c r="L144" s="91">
        <v>1</v>
      </c>
      <c r="M144" s="91">
        <v>5</v>
      </c>
      <c r="N144" s="91">
        <v>6</v>
      </c>
      <c r="O144" s="91"/>
      <c r="P144" s="91"/>
      <c r="Q144" s="91">
        <v>3</v>
      </c>
      <c r="R144" s="91"/>
      <c r="S144" s="91">
        <v>5</v>
      </c>
      <c r="T144" s="91"/>
      <c r="U144" s="91">
        <v>4</v>
      </c>
      <c r="V144" s="91"/>
      <c r="W144" s="91"/>
      <c r="X144" s="91">
        <v>3</v>
      </c>
      <c r="Y144" s="91"/>
      <c r="Z144" s="91">
        <v>1</v>
      </c>
      <c r="AA144" s="91">
        <v>3</v>
      </c>
      <c r="AB144" s="91"/>
      <c r="AC144" s="91">
        <v>5</v>
      </c>
      <c r="AD144" s="91">
        <v>3</v>
      </c>
      <c r="AE144" s="91">
        <v>2</v>
      </c>
      <c r="AF144" s="91"/>
      <c r="AG144" s="91"/>
      <c r="AH144" s="91"/>
      <c r="AI144" s="91"/>
      <c r="AJ144" s="91"/>
      <c r="AK144" s="91"/>
      <c r="AL144" s="91">
        <v>5</v>
      </c>
      <c r="AM144" s="91">
        <v>7</v>
      </c>
      <c r="AN144" s="91">
        <v>10</v>
      </c>
      <c r="AO144" s="91"/>
      <c r="AP144" s="91"/>
      <c r="AQ144" s="91">
        <v>2</v>
      </c>
      <c r="AR144" s="91">
        <v>5</v>
      </c>
      <c r="AS144" s="91"/>
      <c r="AT144" s="91"/>
      <c r="AU144" s="91">
        <v>3</v>
      </c>
      <c r="AV144" s="91"/>
      <c r="AW144" s="91">
        <v>5</v>
      </c>
      <c r="AX144" s="91">
        <v>1</v>
      </c>
      <c r="AY144" s="91">
        <v>2</v>
      </c>
      <c r="AZ144" s="91">
        <v>6</v>
      </c>
      <c r="BA144" s="91"/>
      <c r="BB144" s="91"/>
      <c r="BC144" s="91"/>
    </row>
    <row r="145" spans="1:55" x14ac:dyDescent="0.25">
      <c r="A145" s="91" t="s">
        <v>523</v>
      </c>
      <c r="B145" s="129">
        <f t="shared" si="4"/>
        <v>114</v>
      </c>
      <c r="C145" s="91">
        <v>1</v>
      </c>
      <c r="D145" s="91">
        <v>2</v>
      </c>
      <c r="E145" s="91">
        <v>1</v>
      </c>
      <c r="F145" s="91">
        <v>2</v>
      </c>
      <c r="G145" s="91">
        <v>2</v>
      </c>
      <c r="H145" s="91">
        <v>8</v>
      </c>
      <c r="I145" s="91">
        <v>1</v>
      </c>
      <c r="J145" s="91">
        <v>9</v>
      </c>
      <c r="K145" s="91">
        <v>4</v>
      </c>
      <c r="L145" s="91">
        <v>1</v>
      </c>
      <c r="M145" s="91">
        <v>2</v>
      </c>
      <c r="N145" s="91">
        <v>4</v>
      </c>
      <c r="O145" s="91"/>
      <c r="P145" s="91"/>
      <c r="Q145" s="91">
        <v>1</v>
      </c>
      <c r="R145" s="91">
        <v>1</v>
      </c>
      <c r="S145" s="91">
        <v>4</v>
      </c>
      <c r="T145" s="91"/>
      <c r="U145" s="91">
        <v>2</v>
      </c>
      <c r="V145" s="91"/>
      <c r="W145" s="91">
        <v>6</v>
      </c>
      <c r="X145" s="91">
        <v>2</v>
      </c>
      <c r="Y145" s="91">
        <v>2</v>
      </c>
      <c r="Z145" s="91">
        <v>1</v>
      </c>
      <c r="AA145" s="91">
        <v>1</v>
      </c>
      <c r="AB145" s="91">
        <v>1</v>
      </c>
      <c r="AC145" s="91">
        <v>4</v>
      </c>
      <c r="AD145" s="91"/>
      <c r="AE145" s="91">
        <v>1</v>
      </c>
      <c r="AF145" s="91">
        <v>2</v>
      </c>
      <c r="AG145" s="91">
        <v>1</v>
      </c>
      <c r="AH145" s="91">
        <v>1</v>
      </c>
      <c r="AI145" s="91">
        <v>2</v>
      </c>
      <c r="AJ145" s="91"/>
      <c r="AK145" s="91">
        <v>1</v>
      </c>
      <c r="AL145" s="91">
        <v>6</v>
      </c>
      <c r="AM145" s="91">
        <v>2</v>
      </c>
      <c r="AN145" s="91">
        <v>8</v>
      </c>
      <c r="AO145" s="91">
        <v>3</v>
      </c>
      <c r="AP145" s="91">
        <v>1</v>
      </c>
      <c r="AQ145" s="91">
        <v>6</v>
      </c>
      <c r="AR145" s="91">
        <v>3</v>
      </c>
      <c r="AS145" s="91">
        <v>1</v>
      </c>
      <c r="AT145" s="91"/>
      <c r="AU145" s="91"/>
      <c r="AV145" s="91">
        <v>2</v>
      </c>
      <c r="AW145" s="91"/>
      <c r="AX145" s="91"/>
      <c r="AY145" s="91">
        <v>1</v>
      </c>
      <c r="AZ145" s="91">
        <v>1</v>
      </c>
      <c r="BA145" s="91">
        <v>1</v>
      </c>
      <c r="BB145" s="91">
        <v>9</v>
      </c>
      <c r="BC145" s="91"/>
    </row>
    <row r="146" spans="1:55" x14ac:dyDescent="0.25">
      <c r="A146" s="91" t="s">
        <v>478</v>
      </c>
      <c r="B146" s="129">
        <f t="shared" si="4"/>
        <v>190</v>
      </c>
      <c r="C146" s="91">
        <v>5</v>
      </c>
      <c r="D146" s="91">
        <v>3</v>
      </c>
      <c r="E146" s="91">
        <v>3</v>
      </c>
      <c r="F146" s="91">
        <v>6</v>
      </c>
      <c r="G146" s="91">
        <v>6</v>
      </c>
      <c r="H146" s="91">
        <v>10</v>
      </c>
      <c r="I146" s="91"/>
      <c r="J146" s="91">
        <v>4</v>
      </c>
      <c r="K146" s="91">
        <v>2</v>
      </c>
      <c r="L146" s="91">
        <v>1</v>
      </c>
      <c r="M146" s="91">
        <v>4</v>
      </c>
      <c r="N146" s="91">
        <v>13</v>
      </c>
      <c r="O146" s="91">
        <v>2</v>
      </c>
      <c r="P146" s="91">
        <v>2</v>
      </c>
      <c r="Q146" s="91">
        <v>2</v>
      </c>
      <c r="R146" s="91">
        <v>1</v>
      </c>
      <c r="S146" s="91">
        <v>5</v>
      </c>
      <c r="T146" s="91"/>
      <c r="U146" s="91">
        <v>1</v>
      </c>
      <c r="V146" s="91">
        <v>4</v>
      </c>
      <c r="W146" s="91">
        <v>3</v>
      </c>
      <c r="X146" s="91">
        <v>14</v>
      </c>
      <c r="Y146" s="91">
        <v>11</v>
      </c>
      <c r="Z146" s="91"/>
      <c r="AA146" s="91">
        <v>5</v>
      </c>
      <c r="AB146" s="91">
        <v>3</v>
      </c>
      <c r="AC146" s="91"/>
      <c r="AD146" s="91">
        <v>1</v>
      </c>
      <c r="AE146" s="91">
        <v>10</v>
      </c>
      <c r="AF146" s="91">
        <v>7</v>
      </c>
      <c r="AG146" s="91">
        <v>1</v>
      </c>
      <c r="AH146" s="91">
        <v>7</v>
      </c>
      <c r="AI146" s="91"/>
      <c r="AJ146" s="91">
        <v>5</v>
      </c>
      <c r="AK146" s="91">
        <v>1</v>
      </c>
      <c r="AL146" s="91"/>
      <c r="AM146" s="91">
        <v>4</v>
      </c>
      <c r="AN146" s="91">
        <v>4</v>
      </c>
      <c r="AO146" s="91">
        <v>8</v>
      </c>
      <c r="AP146" s="91"/>
      <c r="AQ146" s="91">
        <v>5</v>
      </c>
      <c r="AR146" s="91">
        <v>6</v>
      </c>
      <c r="AS146" s="91">
        <v>2</v>
      </c>
      <c r="AT146" s="91"/>
      <c r="AU146" s="91">
        <v>2</v>
      </c>
      <c r="AV146" s="91">
        <v>10</v>
      </c>
      <c r="AW146" s="91"/>
      <c r="AX146" s="91">
        <v>2</v>
      </c>
      <c r="AY146" s="91"/>
      <c r="AZ146" s="91">
        <v>3</v>
      </c>
      <c r="BA146" s="91">
        <v>2</v>
      </c>
      <c r="BB146" s="91"/>
      <c r="BC146" s="91"/>
    </row>
    <row r="147" spans="1:55" x14ac:dyDescent="0.25">
      <c r="A147" s="91" t="s">
        <v>403</v>
      </c>
      <c r="B147" s="129">
        <f t="shared" si="4"/>
        <v>188</v>
      </c>
      <c r="C147" s="91">
        <v>2</v>
      </c>
      <c r="D147" s="91">
        <v>8</v>
      </c>
      <c r="E147" s="91">
        <v>6</v>
      </c>
      <c r="F147" s="91">
        <v>5</v>
      </c>
      <c r="G147" s="91">
        <v>10</v>
      </c>
      <c r="H147" s="91">
        <v>1</v>
      </c>
      <c r="I147" s="91">
        <v>8</v>
      </c>
      <c r="J147" s="91">
        <v>12</v>
      </c>
      <c r="K147" s="91">
        <v>1</v>
      </c>
      <c r="L147" s="91">
        <v>2</v>
      </c>
      <c r="M147" s="91">
        <v>9</v>
      </c>
      <c r="N147" s="91">
        <v>1</v>
      </c>
      <c r="O147" s="91">
        <v>1</v>
      </c>
      <c r="P147" s="91">
        <v>3</v>
      </c>
      <c r="Q147" s="91">
        <v>7</v>
      </c>
      <c r="R147" s="91">
        <v>5</v>
      </c>
      <c r="S147" s="91">
        <v>5</v>
      </c>
      <c r="T147" s="91">
        <v>5</v>
      </c>
      <c r="U147" s="91">
        <v>3</v>
      </c>
      <c r="V147" s="91">
        <v>1</v>
      </c>
      <c r="W147" s="91">
        <v>8</v>
      </c>
      <c r="X147" s="91">
        <v>5</v>
      </c>
      <c r="Y147" s="91">
        <v>2</v>
      </c>
      <c r="Z147" s="91">
        <v>7</v>
      </c>
      <c r="AA147" s="91">
        <v>5</v>
      </c>
      <c r="AB147" s="91">
        <v>1</v>
      </c>
      <c r="AC147" s="91">
        <v>2</v>
      </c>
      <c r="AD147" s="91">
        <v>2</v>
      </c>
      <c r="AE147" s="91">
        <v>1</v>
      </c>
      <c r="AF147" s="91">
        <v>7</v>
      </c>
      <c r="AG147" s="91"/>
      <c r="AH147" s="91">
        <v>3</v>
      </c>
      <c r="AI147" s="91">
        <v>6</v>
      </c>
      <c r="AJ147" s="91">
        <v>1</v>
      </c>
      <c r="AK147" s="91"/>
      <c r="AL147" s="91">
        <v>11</v>
      </c>
      <c r="AM147" s="91"/>
      <c r="AN147" s="91">
        <v>2</v>
      </c>
      <c r="AO147" s="91">
        <v>6</v>
      </c>
      <c r="AP147" s="91">
        <v>3</v>
      </c>
      <c r="AQ147" s="91">
        <v>5</v>
      </c>
      <c r="AR147" s="91">
        <v>2</v>
      </c>
      <c r="AS147" s="91"/>
      <c r="AT147" s="91"/>
      <c r="AU147" s="91">
        <v>3</v>
      </c>
      <c r="AV147" s="91"/>
      <c r="AW147" s="91">
        <v>1</v>
      </c>
      <c r="AX147" s="91">
        <v>6</v>
      </c>
      <c r="AY147" s="91"/>
      <c r="AZ147" s="91"/>
      <c r="BA147" s="91"/>
      <c r="BB147" s="91">
        <v>4</v>
      </c>
      <c r="BC147" s="91"/>
    </row>
    <row r="148" spans="1:55" x14ac:dyDescent="0.25">
      <c r="A148" s="91" t="s">
        <v>922</v>
      </c>
      <c r="B148" s="129">
        <f t="shared" si="4"/>
        <v>304</v>
      </c>
      <c r="C148" s="91">
        <v>9</v>
      </c>
      <c r="D148" s="91">
        <v>11</v>
      </c>
      <c r="E148" s="91">
        <v>9</v>
      </c>
      <c r="F148" s="91">
        <v>8</v>
      </c>
      <c r="G148" s="91">
        <v>2</v>
      </c>
      <c r="H148" s="91"/>
      <c r="I148" s="91"/>
      <c r="J148" s="91">
        <v>16</v>
      </c>
      <c r="K148" s="91">
        <v>8</v>
      </c>
      <c r="L148" s="91">
        <v>3</v>
      </c>
      <c r="M148" s="91">
        <v>12</v>
      </c>
      <c r="N148" s="91">
        <v>9</v>
      </c>
      <c r="O148" s="91"/>
      <c r="P148" s="91">
        <v>11</v>
      </c>
      <c r="Q148" s="91"/>
      <c r="R148" s="91">
        <v>4</v>
      </c>
      <c r="S148" s="91">
        <v>3</v>
      </c>
      <c r="T148" s="91"/>
      <c r="U148" s="91">
        <v>3</v>
      </c>
      <c r="V148" s="91">
        <v>5</v>
      </c>
      <c r="W148" s="91">
        <v>6</v>
      </c>
      <c r="X148" s="91">
        <v>5</v>
      </c>
      <c r="Y148" s="91">
        <v>5</v>
      </c>
      <c r="Z148" s="91">
        <v>1</v>
      </c>
      <c r="AA148" s="91">
        <v>5</v>
      </c>
      <c r="AB148" s="91">
        <v>4</v>
      </c>
      <c r="AC148" s="91">
        <v>11</v>
      </c>
      <c r="AD148" s="91">
        <v>7</v>
      </c>
      <c r="AE148" s="91">
        <v>8</v>
      </c>
      <c r="AF148" s="91">
        <v>2</v>
      </c>
      <c r="AG148" s="91">
        <v>3</v>
      </c>
      <c r="AH148" s="91">
        <v>11</v>
      </c>
      <c r="AI148" s="91">
        <v>4</v>
      </c>
      <c r="AJ148" s="91">
        <v>9</v>
      </c>
      <c r="AK148" s="91">
        <v>12</v>
      </c>
      <c r="AL148" s="91">
        <v>11</v>
      </c>
      <c r="AM148" s="91">
        <v>5</v>
      </c>
      <c r="AN148" s="91">
        <v>2</v>
      </c>
      <c r="AO148" s="91">
        <v>7</v>
      </c>
      <c r="AP148" s="91">
        <v>5</v>
      </c>
      <c r="AQ148" s="91">
        <v>3</v>
      </c>
      <c r="AR148" s="91">
        <v>7</v>
      </c>
      <c r="AS148" s="91">
        <v>7</v>
      </c>
      <c r="AT148" s="91"/>
      <c r="AU148" s="91">
        <v>8</v>
      </c>
      <c r="AV148" s="91">
        <v>1</v>
      </c>
      <c r="AW148" s="91">
        <v>4</v>
      </c>
      <c r="AX148" s="91">
        <v>2</v>
      </c>
      <c r="AY148" s="91">
        <v>1</v>
      </c>
      <c r="AZ148" s="91">
        <v>1</v>
      </c>
      <c r="BA148" s="91">
        <v>8</v>
      </c>
      <c r="BB148" s="91">
        <v>26</v>
      </c>
      <c r="BC148" s="91"/>
    </row>
    <row r="149" spans="1:55" x14ac:dyDescent="0.25">
      <c r="A149" s="91" t="s">
        <v>489</v>
      </c>
      <c r="B149" s="129">
        <f t="shared" si="4"/>
        <v>29</v>
      </c>
      <c r="C149" s="91"/>
      <c r="D149" s="91"/>
      <c r="E149" s="91"/>
      <c r="F149" s="91"/>
      <c r="G149" s="91">
        <v>2</v>
      </c>
      <c r="H149" s="91"/>
      <c r="I149" s="91">
        <v>2</v>
      </c>
      <c r="J149" s="91"/>
      <c r="K149" s="91"/>
      <c r="L149" s="91"/>
      <c r="M149" s="91"/>
      <c r="N149" s="91">
        <v>5</v>
      </c>
      <c r="O149" s="91"/>
      <c r="P149" s="91"/>
      <c r="Q149" s="91"/>
      <c r="R149" s="91">
        <v>2</v>
      </c>
      <c r="S149" s="91"/>
      <c r="T149" s="91"/>
      <c r="U149" s="91"/>
      <c r="V149" s="91"/>
      <c r="W149" s="91">
        <v>1</v>
      </c>
      <c r="X149" s="91"/>
      <c r="Y149" s="91">
        <v>1</v>
      </c>
      <c r="Z149" s="91">
        <v>1</v>
      </c>
      <c r="AA149" s="91"/>
      <c r="AB149" s="91"/>
      <c r="AC149" s="91"/>
      <c r="AD149" s="91">
        <v>3</v>
      </c>
      <c r="AE149" s="91">
        <v>2</v>
      </c>
      <c r="AF149" s="91"/>
      <c r="AG149" s="91"/>
      <c r="AH149" s="91"/>
      <c r="AI149" s="91"/>
      <c r="AJ149" s="91"/>
      <c r="AK149" s="91"/>
      <c r="AL149" s="91">
        <v>1</v>
      </c>
      <c r="AM149" s="91"/>
      <c r="AN149" s="91"/>
      <c r="AO149" s="91">
        <v>1</v>
      </c>
      <c r="AP149" s="91">
        <v>1</v>
      </c>
      <c r="AQ149" s="91"/>
      <c r="AR149" s="91">
        <v>1</v>
      </c>
      <c r="AS149" s="91"/>
      <c r="AT149" s="91"/>
      <c r="AU149" s="91">
        <v>2</v>
      </c>
      <c r="AV149" s="91">
        <v>2</v>
      </c>
      <c r="AW149" s="91"/>
      <c r="AX149" s="91"/>
      <c r="AY149" s="91"/>
      <c r="AZ149" s="91">
        <v>2</v>
      </c>
      <c r="BA149" s="91"/>
      <c r="BB149" s="91"/>
      <c r="BC149" s="91"/>
    </row>
    <row r="150" spans="1:55" x14ac:dyDescent="0.25">
      <c r="A150" s="91" t="s">
        <v>197</v>
      </c>
      <c r="B150" s="129">
        <f t="shared" si="4"/>
        <v>114</v>
      </c>
      <c r="C150" s="91">
        <v>1</v>
      </c>
      <c r="D150" s="91"/>
      <c r="E150" s="91">
        <v>3</v>
      </c>
      <c r="F150" s="91">
        <v>2</v>
      </c>
      <c r="G150" s="91"/>
      <c r="H150" s="91"/>
      <c r="I150" s="91">
        <v>4</v>
      </c>
      <c r="J150" s="91">
        <v>8</v>
      </c>
      <c r="K150" s="91"/>
      <c r="L150" s="91"/>
      <c r="M150" s="91"/>
      <c r="N150" s="91">
        <v>9</v>
      </c>
      <c r="O150" s="91">
        <v>1</v>
      </c>
      <c r="P150" s="91"/>
      <c r="Q150" s="91">
        <v>11</v>
      </c>
      <c r="R150" s="91">
        <v>7</v>
      </c>
      <c r="S150" s="91">
        <v>6</v>
      </c>
      <c r="T150" s="91"/>
      <c r="U150" s="91">
        <v>2</v>
      </c>
      <c r="V150" s="91"/>
      <c r="W150" s="91">
        <v>6</v>
      </c>
      <c r="X150" s="91">
        <v>2</v>
      </c>
      <c r="Y150" s="91">
        <v>6</v>
      </c>
      <c r="Z150" s="91">
        <v>2</v>
      </c>
      <c r="AA150" s="91">
        <v>6</v>
      </c>
      <c r="AB150" s="91"/>
      <c r="AC150" s="91">
        <v>3</v>
      </c>
      <c r="AD150" s="91">
        <v>1</v>
      </c>
      <c r="AE150" s="91"/>
      <c r="AF150" s="91"/>
      <c r="AG150" s="91"/>
      <c r="AH150" s="91">
        <v>2</v>
      </c>
      <c r="AI150" s="91"/>
      <c r="AJ150" s="91"/>
      <c r="AK150" s="91">
        <v>1</v>
      </c>
      <c r="AL150" s="91">
        <v>3</v>
      </c>
      <c r="AM150" s="91"/>
      <c r="AN150" s="91">
        <v>4</v>
      </c>
      <c r="AO150" s="91"/>
      <c r="AP150" s="91"/>
      <c r="AQ150" s="91">
        <v>9</v>
      </c>
      <c r="AR150" s="91">
        <v>4</v>
      </c>
      <c r="AS150" s="91">
        <v>2</v>
      </c>
      <c r="AT150" s="91"/>
      <c r="AU150" s="91">
        <v>6</v>
      </c>
      <c r="AV150" s="91">
        <v>2</v>
      </c>
      <c r="AW150" s="91">
        <v>1</v>
      </c>
      <c r="AX150" s="91"/>
      <c r="AY150" s="91"/>
      <c r="AZ150" s="91"/>
      <c r="BA150" s="91"/>
      <c r="BB150" s="91"/>
      <c r="BC150" s="91"/>
    </row>
    <row r="151" spans="1:55" x14ac:dyDescent="0.25">
      <c r="A151" s="91" t="s">
        <v>241</v>
      </c>
      <c r="B151" s="129">
        <f t="shared" si="4"/>
        <v>147</v>
      </c>
      <c r="C151" s="91">
        <v>2</v>
      </c>
      <c r="D151" s="91">
        <v>10</v>
      </c>
      <c r="E151" s="91">
        <v>6</v>
      </c>
      <c r="F151" s="91">
        <v>2</v>
      </c>
      <c r="G151" s="91"/>
      <c r="H151" s="91"/>
      <c r="I151" s="91">
        <v>1</v>
      </c>
      <c r="J151" s="91">
        <v>6</v>
      </c>
      <c r="K151" s="91"/>
      <c r="L151" s="91">
        <v>5</v>
      </c>
      <c r="M151" s="91">
        <v>1</v>
      </c>
      <c r="N151" s="91">
        <v>4</v>
      </c>
      <c r="O151" s="91">
        <v>3</v>
      </c>
      <c r="P151" s="91">
        <v>2</v>
      </c>
      <c r="Q151" s="91">
        <v>9</v>
      </c>
      <c r="R151" s="91">
        <v>2</v>
      </c>
      <c r="S151" s="91">
        <v>10</v>
      </c>
      <c r="T151" s="91"/>
      <c r="U151" s="91">
        <v>1</v>
      </c>
      <c r="V151" s="91"/>
      <c r="W151" s="91"/>
      <c r="X151" s="91">
        <v>3</v>
      </c>
      <c r="Y151" s="91">
        <v>3</v>
      </c>
      <c r="Z151" s="91">
        <v>1</v>
      </c>
      <c r="AA151" s="91">
        <v>2</v>
      </c>
      <c r="AB151" s="91">
        <v>1</v>
      </c>
      <c r="AC151" s="91">
        <v>5</v>
      </c>
      <c r="AD151" s="91">
        <v>6</v>
      </c>
      <c r="AE151" s="91"/>
      <c r="AF151" s="91"/>
      <c r="AG151" s="91"/>
      <c r="AH151" s="91">
        <v>4</v>
      </c>
      <c r="AI151" s="91"/>
      <c r="AJ151" s="91">
        <v>11</v>
      </c>
      <c r="AK151" s="91">
        <v>8</v>
      </c>
      <c r="AL151" s="91">
        <v>8</v>
      </c>
      <c r="AM151" s="91">
        <v>2</v>
      </c>
      <c r="AN151" s="91">
        <v>2</v>
      </c>
      <c r="AO151" s="91"/>
      <c r="AP151" s="91">
        <v>3</v>
      </c>
      <c r="AQ151" s="91"/>
      <c r="AR151" s="91">
        <v>3</v>
      </c>
      <c r="AS151" s="91">
        <v>9</v>
      </c>
      <c r="AT151" s="91"/>
      <c r="AU151" s="91">
        <v>5</v>
      </c>
      <c r="AV151" s="91">
        <v>4</v>
      </c>
      <c r="AW151" s="91">
        <v>2</v>
      </c>
      <c r="AX151" s="91"/>
      <c r="AY151" s="91"/>
      <c r="AZ151" s="91"/>
      <c r="BA151" s="91"/>
      <c r="BB151" s="91">
        <v>1</v>
      </c>
      <c r="BC151" s="91"/>
    </row>
    <row r="152" spans="1:55" x14ac:dyDescent="0.25">
      <c r="A152" s="91" t="s">
        <v>582</v>
      </c>
      <c r="B152" s="129">
        <f t="shared" si="4"/>
        <v>402</v>
      </c>
      <c r="C152" s="91">
        <v>18</v>
      </c>
      <c r="D152" s="91">
        <v>4</v>
      </c>
      <c r="E152" s="91">
        <v>15</v>
      </c>
      <c r="F152" s="91">
        <v>10</v>
      </c>
      <c r="G152" s="91">
        <v>18</v>
      </c>
      <c r="H152" s="91"/>
      <c r="I152" s="91">
        <v>2</v>
      </c>
      <c r="J152" s="91">
        <v>12</v>
      </c>
      <c r="K152" s="91">
        <v>5</v>
      </c>
      <c r="L152" s="91">
        <v>14</v>
      </c>
      <c r="M152" s="91">
        <v>14</v>
      </c>
      <c r="N152" s="91">
        <v>13</v>
      </c>
      <c r="O152" s="91">
        <v>7</v>
      </c>
      <c r="P152" s="91">
        <v>6</v>
      </c>
      <c r="Q152" s="91">
        <v>9</v>
      </c>
      <c r="R152" s="91">
        <v>10</v>
      </c>
      <c r="S152" s="91">
        <v>4</v>
      </c>
      <c r="T152" s="91">
        <v>8</v>
      </c>
      <c r="U152" s="91">
        <v>12</v>
      </c>
      <c r="V152" s="91">
        <v>2</v>
      </c>
      <c r="W152" s="91">
        <v>20</v>
      </c>
      <c r="X152" s="91">
        <v>18</v>
      </c>
      <c r="Y152" s="91">
        <v>20</v>
      </c>
      <c r="Z152" s="91">
        <v>3</v>
      </c>
      <c r="AA152" s="91">
        <v>14</v>
      </c>
      <c r="AB152" s="91">
        <v>5</v>
      </c>
      <c r="AC152" s="91">
        <v>5</v>
      </c>
      <c r="AD152" s="91">
        <v>5</v>
      </c>
      <c r="AE152" s="91">
        <v>6</v>
      </c>
      <c r="AF152" s="91"/>
      <c r="AG152" s="91">
        <v>1</v>
      </c>
      <c r="AH152" s="91">
        <v>4</v>
      </c>
      <c r="AI152" s="91"/>
      <c r="AJ152" s="91">
        <v>18</v>
      </c>
      <c r="AK152" s="91">
        <v>6</v>
      </c>
      <c r="AL152" s="91">
        <v>15</v>
      </c>
      <c r="AM152" s="91">
        <v>3</v>
      </c>
      <c r="AN152" s="91">
        <v>3</v>
      </c>
      <c r="AO152" s="91">
        <v>15</v>
      </c>
      <c r="AP152" s="91"/>
      <c r="AQ152" s="91">
        <v>11</v>
      </c>
      <c r="AR152" s="91">
        <v>3</v>
      </c>
      <c r="AS152" s="91"/>
      <c r="AT152" s="91"/>
      <c r="AU152" s="91">
        <v>1</v>
      </c>
      <c r="AV152" s="91">
        <v>9</v>
      </c>
      <c r="AW152" s="91">
        <v>12</v>
      </c>
      <c r="AX152" s="91">
        <v>8</v>
      </c>
      <c r="AY152" s="91">
        <v>8</v>
      </c>
      <c r="AZ152" s="91">
        <v>4</v>
      </c>
      <c r="BA152" s="91"/>
      <c r="BB152" s="91">
        <v>1</v>
      </c>
      <c r="BC152" s="91">
        <v>1</v>
      </c>
    </row>
    <row r="153" spans="1:55" x14ac:dyDescent="0.25">
      <c r="A153" s="91" t="s">
        <v>512</v>
      </c>
      <c r="B153" s="129">
        <f t="shared" si="4"/>
        <v>193</v>
      </c>
      <c r="C153" s="91">
        <v>1</v>
      </c>
      <c r="D153" s="91">
        <v>12</v>
      </c>
      <c r="E153" s="91">
        <v>9</v>
      </c>
      <c r="F153" s="91">
        <v>2</v>
      </c>
      <c r="G153" s="91">
        <v>3</v>
      </c>
      <c r="H153" s="91"/>
      <c r="I153" s="91">
        <v>11</v>
      </c>
      <c r="J153" s="91">
        <v>6</v>
      </c>
      <c r="K153" s="91">
        <v>1</v>
      </c>
      <c r="L153" s="91">
        <v>10</v>
      </c>
      <c r="M153" s="91">
        <v>3</v>
      </c>
      <c r="N153" s="91">
        <v>6</v>
      </c>
      <c r="O153" s="91">
        <v>9</v>
      </c>
      <c r="P153" s="91">
        <v>2</v>
      </c>
      <c r="Q153" s="91">
        <v>9</v>
      </c>
      <c r="R153" s="91">
        <v>9</v>
      </c>
      <c r="S153" s="91"/>
      <c r="T153" s="91">
        <v>4</v>
      </c>
      <c r="U153" s="91">
        <v>14</v>
      </c>
      <c r="V153" s="91"/>
      <c r="W153" s="91">
        <v>1</v>
      </c>
      <c r="X153" s="91">
        <v>3</v>
      </c>
      <c r="Y153" s="91"/>
      <c r="Z153" s="91"/>
      <c r="AA153" s="91">
        <v>4</v>
      </c>
      <c r="AB153" s="91"/>
      <c r="AC153" s="91">
        <v>9</v>
      </c>
      <c r="AD153" s="91">
        <v>1</v>
      </c>
      <c r="AE153" s="91">
        <v>1</v>
      </c>
      <c r="AF153" s="91">
        <v>1</v>
      </c>
      <c r="AG153" s="91">
        <v>4</v>
      </c>
      <c r="AH153" s="91">
        <v>1</v>
      </c>
      <c r="AI153" s="91">
        <v>3</v>
      </c>
      <c r="AJ153" s="91">
        <v>1</v>
      </c>
      <c r="AK153" s="91"/>
      <c r="AL153" s="91">
        <v>4</v>
      </c>
      <c r="AM153" s="91">
        <v>4</v>
      </c>
      <c r="AN153" s="91">
        <v>3</v>
      </c>
      <c r="AO153" s="91">
        <v>1</v>
      </c>
      <c r="AP153" s="91">
        <v>6</v>
      </c>
      <c r="AQ153" s="91">
        <v>1</v>
      </c>
      <c r="AR153" s="91">
        <v>9</v>
      </c>
      <c r="AS153" s="91">
        <v>10</v>
      </c>
      <c r="AT153" s="91"/>
      <c r="AU153" s="91">
        <v>3</v>
      </c>
      <c r="AV153" s="91"/>
      <c r="AW153" s="91">
        <v>9</v>
      </c>
      <c r="AX153" s="91">
        <v>2</v>
      </c>
      <c r="AY153" s="91"/>
      <c r="AZ153" s="91">
        <v>1</v>
      </c>
      <c r="BA153" s="91"/>
      <c r="BB153" s="91"/>
      <c r="BC153" s="91"/>
    </row>
    <row r="154" spans="1:55" x14ac:dyDescent="0.25">
      <c r="A154" s="91" t="s">
        <v>411</v>
      </c>
      <c r="B154" s="129">
        <f t="shared" si="4"/>
        <v>221</v>
      </c>
      <c r="C154" s="91">
        <v>4</v>
      </c>
      <c r="D154" s="91">
        <v>5</v>
      </c>
      <c r="E154" s="91">
        <v>20</v>
      </c>
      <c r="F154" s="91"/>
      <c r="G154" s="91">
        <v>3</v>
      </c>
      <c r="H154" s="91">
        <v>5</v>
      </c>
      <c r="I154" s="91">
        <v>2</v>
      </c>
      <c r="J154" s="91">
        <v>6</v>
      </c>
      <c r="K154" s="91">
        <v>3</v>
      </c>
      <c r="L154" s="91">
        <v>2</v>
      </c>
      <c r="M154" s="91">
        <v>1</v>
      </c>
      <c r="N154" s="91">
        <v>16</v>
      </c>
      <c r="O154" s="91"/>
      <c r="P154" s="91">
        <v>2</v>
      </c>
      <c r="Q154" s="91"/>
      <c r="R154" s="91">
        <v>3</v>
      </c>
      <c r="S154" s="91">
        <v>2</v>
      </c>
      <c r="T154" s="91"/>
      <c r="U154" s="91">
        <v>2</v>
      </c>
      <c r="V154" s="91">
        <v>8</v>
      </c>
      <c r="W154" s="91">
        <v>10</v>
      </c>
      <c r="X154" s="91">
        <v>4</v>
      </c>
      <c r="Y154" s="91">
        <v>4</v>
      </c>
      <c r="Z154" s="91">
        <v>6</v>
      </c>
      <c r="AA154" s="91">
        <v>5</v>
      </c>
      <c r="AB154" s="91">
        <v>4</v>
      </c>
      <c r="AC154" s="91">
        <v>5</v>
      </c>
      <c r="AD154" s="91">
        <v>4</v>
      </c>
      <c r="AE154" s="91">
        <v>1</v>
      </c>
      <c r="AF154" s="91">
        <v>3</v>
      </c>
      <c r="AG154" s="91">
        <v>11</v>
      </c>
      <c r="AH154" s="91">
        <v>1</v>
      </c>
      <c r="AI154" s="91">
        <v>2</v>
      </c>
      <c r="AJ154" s="91">
        <v>1</v>
      </c>
      <c r="AK154" s="91">
        <v>3</v>
      </c>
      <c r="AL154" s="91">
        <v>17</v>
      </c>
      <c r="AM154" s="91">
        <v>5</v>
      </c>
      <c r="AN154" s="91">
        <v>2</v>
      </c>
      <c r="AO154" s="91">
        <v>2</v>
      </c>
      <c r="AP154" s="91">
        <v>1</v>
      </c>
      <c r="AQ154" s="91">
        <v>9</v>
      </c>
      <c r="AR154" s="91">
        <v>5</v>
      </c>
      <c r="AS154" s="91">
        <v>4</v>
      </c>
      <c r="AT154" s="91"/>
      <c r="AU154" s="91"/>
      <c r="AV154" s="91">
        <v>2</v>
      </c>
      <c r="AW154" s="91">
        <v>6</v>
      </c>
      <c r="AX154" s="91">
        <v>10</v>
      </c>
      <c r="AY154" s="91">
        <v>4</v>
      </c>
      <c r="AZ154" s="91">
        <v>1</v>
      </c>
      <c r="BA154" s="91">
        <v>2</v>
      </c>
      <c r="BB154" s="91">
        <v>3</v>
      </c>
      <c r="BC154" s="91"/>
    </row>
    <row r="155" spans="1:55" x14ac:dyDescent="0.25">
      <c r="A155" s="91" t="s">
        <v>497</v>
      </c>
      <c r="B155" s="129">
        <f t="shared" si="4"/>
        <v>187</v>
      </c>
      <c r="C155" s="91">
        <v>3</v>
      </c>
      <c r="D155" s="91">
        <v>15</v>
      </c>
      <c r="E155" s="91">
        <v>7</v>
      </c>
      <c r="F155" s="91">
        <v>2</v>
      </c>
      <c r="G155" s="91">
        <v>9</v>
      </c>
      <c r="H155" s="91"/>
      <c r="I155" s="91">
        <v>3</v>
      </c>
      <c r="J155" s="91">
        <v>12</v>
      </c>
      <c r="K155" s="91">
        <v>15</v>
      </c>
      <c r="L155" s="91">
        <v>1</v>
      </c>
      <c r="M155" s="91">
        <v>3</v>
      </c>
      <c r="N155" s="91">
        <v>4</v>
      </c>
      <c r="O155" s="91">
        <v>7</v>
      </c>
      <c r="P155" s="91">
        <v>1</v>
      </c>
      <c r="Q155" s="91"/>
      <c r="R155" s="91">
        <v>2</v>
      </c>
      <c r="S155" s="91">
        <v>2</v>
      </c>
      <c r="T155" s="91">
        <v>4</v>
      </c>
      <c r="U155" s="91">
        <v>1</v>
      </c>
      <c r="V155" s="91">
        <v>1</v>
      </c>
      <c r="W155" s="91">
        <v>4</v>
      </c>
      <c r="X155" s="91"/>
      <c r="Y155" s="91"/>
      <c r="Z155" s="91"/>
      <c r="AA155" s="91">
        <v>1</v>
      </c>
      <c r="AB155" s="91">
        <v>2</v>
      </c>
      <c r="AC155" s="91">
        <v>3</v>
      </c>
      <c r="AD155" s="91">
        <v>2</v>
      </c>
      <c r="AE155" s="91">
        <v>4</v>
      </c>
      <c r="AF155" s="91"/>
      <c r="AG155" s="91"/>
      <c r="AH155" s="91">
        <v>6</v>
      </c>
      <c r="AI155" s="91">
        <v>2</v>
      </c>
      <c r="AJ155" s="91">
        <v>6</v>
      </c>
      <c r="AK155" s="91">
        <v>3</v>
      </c>
      <c r="AL155" s="91"/>
      <c r="AM155" s="91">
        <v>3</v>
      </c>
      <c r="AN155" s="91">
        <v>2</v>
      </c>
      <c r="AO155" s="91"/>
      <c r="AP155" s="91">
        <v>5</v>
      </c>
      <c r="AQ155" s="91">
        <v>4</v>
      </c>
      <c r="AR155" s="91">
        <v>9</v>
      </c>
      <c r="AS155" s="91">
        <v>11</v>
      </c>
      <c r="AT155" s="91"/>
      <c r="AU155" s="91">
        <v>4</v>
      </c>
      <c r="AV155" s="91"/>
      <c r="AW155" s="91">
        <v>2</v>
      </c>
      <c r="AX155" s="91">
        <v>1</v>
      </c>
      <c r="AY155" s="91"/>
      <c r="AZ155" s="91">
        <v>3</v>
      </c>
      <c r="BA155" s="91">
        <v>4</v>
      </c>
      <c r="BB155" s="91">
        <v>14</v>
      </c>
      <c r="BC155" s="91"/>
    </row>
    <row r="156" spans="1:55" x14ac:dyDescent="0.25">
      <c r="A156" s="91" t="s">
        <v>143</v>
      </c>
      <c r="B156" s="129">
        <f t="shared" si="4"/>
        <v>348</v>
      </c>
      <c r="C156" s="91">
        <v>4</v>
      </c>
      <c r="D156" s="91">
        <v>1</v>
      </c>
      <c r="E156" s="91">
        <v>28</v>
      </c>
      <c r="F156" s="91">
        <v>12</v>
      </c>
      <c r="G156" s="91">
        <v>16</v>
      </c>
      <c r="H156" s="91">
        <v>8</v>
      </c>
      <c r="I156" s="91">
        <v>21</v>
      </c>
      <c r="J156" s="91">
        <v>15</v>
      </c>
      <c r="K156" s="91">
        <v>5</v>
      </c>
      <c r="L156" s="91">
        <v>4</v>
      </c>
      <c r="M156" s="91"/>
      <c r="N156" s="91">
        <v>19</v>
      </c>
      <c r="O156" s="91">
        <v>6</v>
      </c>
      <c r="P156" s="91">
        <v>5</v>
      </c>
      <c r="Q156" s="91">
        <v>3</v>
      </c>
      <c r="R156" s="91">
        <v>4</v>
      </c>
      <c r="S156" s="91">
        <v>9</v>
      </c>
      <c r="T156" s="91">
        <v>1</v>
      </c>
      <c r="U156" s="91">
        <v>20</v>
      </c>
      <c r="V156" s="91"/>
      <c r="W156" s="91">
        <v>18</v>
      </c>
      <c r="X156" s="91">
        <v>14</v>
      </c>
      <c r="Y156" s="91">
        <v>18</v>
      </c>
      <c r="Z156" s="91">
        <v>3</v>
      </c>
      <c r="AA156" s="91">
        <v>2</v>
      </c>
      <c r="AB156" s="91">
        <v>2</v>
      </c>
      <c r="AC156" s="91"/>
      <c r="AD156" s="91"/>
      <c r="AE156" s="91">
        <v>4</v>
      </c>
      <c r="AF156" s="91"/>
      <c r="AG156" s="91"/>
      <c r="AH156" s="91">
        <v>8</v>
      </c>
      <c r="AI156" s="91">
        <v>10</v>
      </c>
      <c r="AJ156" s="91">
        <v>8</v>
      </c>
      <c r="AK156" s="91"/>
      <c r="AL156" s="91"/>
      <c r="AM156" s="91">
        <v>1</v>
      </c>
      <c r="AN156" s="91">
        <v>3</v>
      </c>
      <c r="AO156" s="91">
        <v>16</v>
      </c>
      <c r="AP156" s="91"/>
      <c r="AQ156" s="91"/>
      <c r="AR156" s="91">
        <v>6</v>
      </c>
      <c r="AS156" s="91"/>
      <c r="AT156" s="91"/>
      <c r="AU156" s="91"/>
      <c r="AV156" s="91"/>
      <c r="AW156" s="91">
        <v>13</v>
      </c>
      <c r="AX156" s="91"/>
      <c r="AY156" s="91"/>
      <c r="AZ156" s="91"/>
      <c r="BA156" s="91">
        <v>17</v>
      </c>
      <c r="BB156" s="91">
        <v>24</v>
      </c>
      <c r="BC156" s="91"/>
    </row>
    <row r="157" spans="1:55" x14ac:dyDescent="0.25">
      <c r="A157" s="91" t="s">
        <v>108</v>
      </c>
      <c r="B157" s="129">
        <f t="shared" si="4"/>
        <v>496</v>
      </c>
      <c r="C157" s="91">
        <v>2</v>
      </c>
      <c r="D157" s="91">
        <v>27</v>
      </c>
      <c r="E157" s="91">
        <v>16</v>
      </c>
      <c r="F157" s="91">
        <v>14</v>
      </c>
      <c r="G157" s="91">
        <v>17</v>
      </c>
      <c r="H157" s="91"/>
      <c r="I157" s="91">
        <v>22</v>
      </c>
      <c r="J157" s="91">
        <v>9</v>
      </c>
      <c r="K157" s="91">
        <v>2</v>
      </c>
      <c r="L157" s="91">
        <v>4</v>
      </c>
      <c r="M157" s="91">
        <v>25</v>
      </c>
      <c r="N157" s="91">
        <v>5</v>
      </c>
      <c r="O157" s="91">
        <v>5</v>
      </c>
      <c r="P157" s="91">
        <v>4</v>
      </c>
      <c r="Q157" s="91">
        <v>3</v>
      </c>
      <c r="R157" s="91">
        <v>7</v>
      </c>
      <c r="S157" s="91"/>
      <c r="T157" s="91"/>
      <c r="U157" s="91">
        <v>17</v>
      </c>
      <c r="V157" s="91">
        <v>11</v>
      </c>
      <c r="W157" s="91">
        <v>30</v>
      </c>
      <c r="X157" s="91">
        <v>23</v>
      </c>
      <c r="Y157" s="91">
        <v>28</v>
      </c>
      <c r="Z157" s="91">
        <v>13</v>
      </c>
      <c r="AA157" s="91">
        <v>4</v>
      </c>
      <c r="AB157" s="91">
        <v>1</v>
      </c>
      <c r="AC157" s="91">
        <v>11</v>
      </c>
      <c r="AD157" s="91">
        <v>3</v>
      </c>
      <c r="AE157" s="91">
        <v>4</v>
      </c>
      <c r="AF157" s="91">
        <v>4</v>
      </c>
      <c r="AG157" s="91">
        <v>6</v>
      </c>
      <c r="AH157" s="91">
        <v>13</v>
      </c>
      <c r="AI157" s="91">
        <v>13</v>
      </c>
      <c r="AJ157" s="91">
        <v>3</v>
      </c>
      <c r="AK157" s="91">
        <v>6</v>
      </c>
      <c r="AL157" s="91"/>
      <c r="AM157" s="91">
        <v>11</v>
      </c>
      <c r="AN157" s="91">
        <v>5</v>
      </c>
      <c r="AO157" s="91">
        <v>6</v>
      </c>
      <c r="AP157" s="91">
        <v>10</v>
      </c>
      <c r="AQ157" s="91">
        <v>10</v>
      </c>
      <c r="AR157" s="91">
        <v>8</v>
      </c>
      <c r="AS157" s="91">
        <v>13</v>
      </c>
      <c r="AT157" s="91"/>
      <c r="AU157" s="91">
        <v>24</v>
      </c>
      <c r="AV157" s="91">
        <v>12</v>
      </c>
      <c r="AW157" s="91">
        <v>30</v>
      </c>
      <c r="AX157" s="91">
        <v>1</v>
      </c>
      <c r="AY157" s="91">
        <v>5</v>
      </c>
      <c r="AZ157" s="91">
        <v>5</v>
      </c>
      <c r="BA157" s="91">
        <v>3</v>
      </c>
      <c r="BB157" s="91">
        <v>1</v>
      </c>
      <c r="BC157" s="91"/>
    </row>
    <row r="158" spans="1:55" x14ac:dyDescent="0.25">
      <c r="A158" s="91" t="s">
        <v>585</v>
      </c>
      <c r="B158" s="129">
        <f t="shared" si="4"/>
        <v>353</v>
      </c>
      <c r="C158" s="91">
        <v>4</v>
      </c>
      <c r="D158" s="91">
        <v>8</v>
      </c>
      <c r="E158" s="91">
        <v>6</v>
      </c>
      <c r="F158" s="91">
        <v>18</v>
      </c>
      <c r="G158" s="91">
        <v>23</v>
      </c>
      <c r="H158" s="91"/>
      <c r="I158" s="91">
        <v>5</v>
      </c>
      <c r="J158" s="91">
        <v>14</v>
      </c>
      <c r="K158" s="91">
        <v>4</v>
      </c>
      <c r="L158" s="91">
        <v>4</v>
      </c>
      <c r="M158" s="91">
        <v>1</v>
      </c>
      <c r="N158" s="91">
        <v>14</v>
      </c>
      <c r="O158" s="91">
        <v>3</v>
      </c>
      <c r="P158" s="91">
        <v>7</v>
      </c>
      <c r="Q158" s="91">
        <v>1</v>
      </c>
      <c r="R158" s="91">
        <v>5</v>
      </c>
      <c r="S158" s="91">
        <v>3</v>
      </c>
      <c r="T158" s="91">
        <v>3</v>
      </c>
      <c r="U158" s="91">
        <v>7</v>
      </c>
      <c r="V158" s="91">
        <v>23</v>
      </c>
      <c r="W158" s="91">
        <v>15</v>
      </c>
      <c r="X158" s="91">
        <v>12</v>
      </c>
      <c r="Y158" s="91">
        <v>4</v>
      </c>
      <c r="Z158" s="91">
        <v>5</v>
      </c>
      <c r="AA158" s="91">
        <v>8</v>
      </c>
      <c r="AB158" s="91">
        <v>5</v>
      </c>
      <c r="AC158" s="91">
        <v>2</v>
      </c>
      <c r="AD158" s="91">
        <v>3</v>
      </c>
      <c r="AE158" s="91">
        <v>14</v>
      </c>
      <c r="AF158" s="91">
        <v>3</v>
      </c>
      <c r="AG158" s="91">
        <v>2</v>
      </c>
      <c r="AH158" s="91">
        <v>1</v>
      </c>
      <c r="AI158" s="91">
        <v>3</v>
      </c>
      <c r="AJ158" s="91">
        <v>13</v>
      </c>
      <c r="AK158" s="91">
        <v>3</v>
      </c>
      <c r="AL158" s="91">
        <v>4</v>
      </c>
      <c r="AM158" s="91">
        <v>2</v>
      </c>
      <c r="AN158" s="91">
        <v>6</v>
      </c>
      <c r="AO158" s="91">
        <v>18</v>
      </c>
      <c r="AP158" s="91">
        <v>4</v>
      </c>
      <c r="AQ158" s="91">
        <v>17</v>
      </c>
      <c r="AR158" s="91">
        <v>7</v>
      </c>
      <c r="AS158" s="91">
        <v>4</v>
      </c>
      <c r="AT158" s="91"/>
      <c r="AU158" s="91">
        <v>12</v>
      </c>
      <c r="AV158" s="91">
        <v>5</v>
      </c>
      <c r="AW158" s="91">
        <v>16</v>
      </c>
      <c r="AX158" s="91">
        <v>4</v>
      </c>
      <c r="AY158" s="91">
        <v>3</v>
      </c>
      <c r="AZ158" s="91">
        <v>2</v>
      </c>
      <c r="BA158" s="91"/>
      <c r="BB158" s="91">
        <v>2</v>
      </c>
      <c r="BC158" s="91">
        <v>1</v>
      </c>
    </row>
    <row r="159" spans="1:55" x14ac:dyDescent="0.25">
      <c r="A159" s="91" t="s">
        <v>468</v>
      </c>
      <c r="B159" s="129">
        <f t="shared" si="4"/>
        <v>113</v>
      </c>
      <c r="C159" s="91">
        <v>2</v>
      </c>
      <c r="D159" s="91">
        <v>8</v>
      </c>
      <c r="E159" s="91">
        <v>3</v>
      </c>
      <c r="F159" s="91">
        <v>1</v>
      </c>
      <c r="G159" s="91">
        <v>4</v>
      </c>
      <c r="H159" s="91">
        <v>3</v>
      </c>
      <c r="I159" s="91">
        <v>2</v>
      </c>
      <c r="J159" s="91">
        <v>3</v>
      </c>
      <c r="K159" s="91">
        <v>2</v>
      </c>
      <c r="L159" s="91"/>
      <c r="M159" s="91">
        <v>1</v>
      </c>
      <c r="N159" s="91">
        <v>8</v>
      </c>
      <c r="O159" s="91"/>
      <c r="P159" s="91"/>
      <c r="Q159" s="91">
        <v>1</v>
      </c>
      <c r="R159" s="91">
        <v>1</v>
      </c>
      <c r="S159" s="91">
        <v>8</v>
      </c>
      <c r="T159" s="91">
        <v>5</v>
      </c>
      <c r="U159" s="91">
        <v>1</v>
      </c>
      <c r="V159" s="91">
        <v>1</v>
      </c>
      <c r="W159" s="91">
        <v>10</v>
      </c>
      <c r="X159" s="91">
        <v>1</v>
      </c>
      <c r="Y159" s="91"/>
      <c r="Z159" s="91"/>
      <c r="AA159" s="91">
        <v>4</v>
      </c>
      <c r="AB159" s="91">
        <v>3</v>
      </c>
      <c r="AC159" s="91">
        <v>1</v>
      </c>
      <c r="AD159" s="91">
        <v>1</v>
      </c>
      <c r="AE159" s="91">
        <v>3</v>
      </c>
      <c r="AF159" s="91">
        <v>1</v>
      </c>
      <c r="AG159" s="91"/>
      <c r="AH159" s="91">
        <v>1</v>
      </c>
      <c r="AI159" s="91">
        <v>2</v>
      </c>
      <c r="AJ159" s="91">
        <v>1</v>
      </c>
      <c r="AK159" s="91">
        <v>1</v>
      </c>
      <c r="AL159" s="91"/>
      <c r="AM159" s="91"/>
      <c r="AN159" s="91">
        <v>1</v>
      </c>
      <c r="AO159" s="91">
        <v>2</v>
      </c>
      <c r="AP159" s="91">
        <v>1</v>
      </c>
      <c r="AQ159" s="91">
        <v>8</v>
      </c>
      <c r="AR159" s="91">
        <v>3</v>
      </c>
      <c r="AS159" s="91">
        <v>4</v>
      </c>
      <c r="AT159" s="91"/>
      <c r="AU159" s="91">
        <v>1</v>
      </c>
      <c r="AV159" s="91"/>
      <c r="AW159" s="91">
        <v>2</v>
      </c>
      <c r="AX159" s="91"/>
      <c r="AY159" s="91"/>
      <c r="AZ159" s="91">
        <v>2</v>
      </c>
      <c r="BA159" s="91"/>
      <c r="BB159" s="91">
        <v>6</v>
      </c>
      <c r="BC159" s="91"/>
    </row>
    <row r="160" spans="1:55" x14ac:dyDescent="0.25">
      <c r="A160" s="91" t="s">
        <v>271</v>
      </c>
      <c r="B160" s="129">
        <f t="shared" si="4"/>
        <v>295</v>
      </c>
      <c r="C160" s="91">
        <v>2</v>
      </c>
      <c r="D160" s="91">
        <v>10</v>
      </c>
      <c r="E160" s="91">
        <v>6</v>
      </c>
      <c r="F160" s="91">
        <v>4</v>
      </c>
      <c r="G160" s="91">
        <v>12</v>
      </c>
      <c r="H160" s="91"/>
      <c r="I160" s="91">
        <v>15</v>
      </c>
      <c r="J160" s="91">
        <v>15</v>
      </c>
      <c r="K160" s="91">
        <v>4</v>
      </c>
      <c r="L160" s="91">
        <v>3</v>
      </c>
      <c r="M160" s="91">
        <v>17</v>
      </c>
      <c r="N160" s="91">
        <v>8</v>
      </c>
      <c r="O160" s="91">
        <v>7</v>
      </c>
      <c r="P160" s="91">
        <v>11</v>
      </c>
      <c r="Q160" s="91">
        <v>4</v>
      </c>
      <c r="R160" s="91">
        <v>5</v>
      </c>
      <c r="S160" s="91">
        <v>6</v>
      </c>
      <c r="T160" s="91"/>
      <c r="U160" s="91">
        <v>9</v>
      </c>
      <c r="V160" s="91">
        <v>3</v>
      </c>
      <c r="W160" s="91">
        <v>14</v>
      </c>
      <c r="X160" s="91">
        <v>2</v>
      </c>
      <c r="Y160" s="91">
        <v>15</v>
      </c>
      <c r="Z160" s="91">
        <v>1</v>
      </c>
      <c r="AA160" s="91">
        <v>20</v>
      </c>
      <c r="AB160" s="91">
        <v>1</v>
      </c>
      <c r="AC160" s="91"/>
      <c r="AD160" s="91">
        <v>2</v>
      </c>
      <c r="AE160" s="91">
        <v>6</v>
      </c>
      <c r="AF160" s="91">
        <v>6</v>
      </c>
      <c r="AG160" s="91">
        <v>3</v>
      </c>
      <c r="AH160" s="91">
        <v>1</v>
      </c>
      <c r="AI160" s="91">
        <v>6</v>
      </c>
      <c r="AJ160" s="91">
        <v>4</v>
      </c>
      <c r="AK160" s="91"/>
      <c r="AL160" s="91"/>
      <c r="AM160" s="91">
        <v>13</v>
      </c>
      <c r="AN160" s="91"/>
      <c r="AO160" s="91">
        <v>13</v>
      </c>
      <c r="AP160" s="91">
        <v>1</v>
      </c>
      <c r="AQ160" s="91">
        <v>11</v>
      </c>
      <c r="AR160" s="91">
        <v>8</v>
      </c>
      <c r="AS160" s="91">
        <v>1</v>
      </c>
      <c r="AT160" s="91"/>
      <c r="AU160" s="91"/>
      <c r="AV160" s="91">
        <v>6</v>
      </c>
      <c r="AW160" s="91">
        <v>8</v>
      </c>
      <c r="AX160" s="91">
        <v>5</v>
      </c>
      <c r="AY160" s="91">
        <v>3</v>
      </c>
      <c r="AZ160" s="91">
        <v>2</v>
      </c>
      <c r="BA160" s="91"/>
      <c r="BB160" s="91">
        <v>2</v>
      </c>
      <c r="BC160" s="91"/>
    </row>
    <row r="161" spans="1:55" x14ac:dyDescent="0.25">
      <c r="A161" s="91" t="s">
        <v>258</v>
      </c>
      <c r="B161" s="129">
        <f t="shared" si="4"/>
        <v>52</v>
      </c>
      <c r="C161" s="91">
        <v>1</v>
      </c>
      <c r="D161" s="91">
        <v>2</v>
      </c>
      <c r="E161" s="91">
        <v>2</v>
      </c>
      <c r="F161" s="91"/>
      <c r="G161" s="91"/>
      <c r="H161" s="91"/>
      <c r="I161" s="91"/>
      <c r="J161" s="91"/>
      <c r="K161" s="91">
        <v>1</v>
      </c>
      <c r="L161" s="91"/>
      <c r="M161" s="91"/>
      <c r="N161" s="91">
        <v>7</v>
      </c>
      <c r="O161" s="91">
        <v>1</v>
      </c>
      <c r="P161" s="91">
        <v>2</v>
      </c>
      <c r="Q161" s="91">
        <v>3</v>
      </c>
      <c r="R161" s="91">
        <v>2</v>
      </c>
      <c r="S161" s="91">
        <v>2</v>
      </c>
      <c r="T161" s="91"/>
      <c r="U161" s="91"/>
      <c r="V161" s="91"/>
      <c r="W161" s="91">
        <v>3</v>
      </c>
      <c r="X161" s="91">
        <v>1</v>
      </c>
      <c r="Y161" s="91"/>
      <c r="Z161" s="91"/>
      <c r="AA161" s="91"/>
      <c r="AB161" s="91">
        <v>1</v>
      </c>
      <c r="AC161" s="91"/>
      <c r="AD161" s="91"/>
      <c r="AE161" s="91">
        <v>1</v>
      </c>
      <c r="AF161" s="91">
        <v>1</v>
      </c>
      <c r="AG161" s="91"/>
      <c r="AH161" s="91">
        <v>1</v>
      </c>
      <c r="AI161" s="91"/>
      <c r="AJ161" s="91">
        <v>6</v>
      </c>
      <c r="AK161" s="91"/>
      <c r="AL161" s="91"/>
      <c r="AM161" s="91">
        <v>2</v>
      </c>
      <c r="AN161" s="91">
        <v>1</v>
      </c>
      <c r="AO161" s="91">
        <v>3</v>
      </c>
      <c r="AP161" s="91"/>
      <c r="AQ161" s="91">
        <v>1</v>
      </c>
      <c r="AR161" s="91">
        <v>2</v>
      </c>
      <c r="AS161" s="91">
        <v>2</v>
      </c>
      <c r="AT161" s="91"/>
      <c r="AU161" s="91">
        <v>3</v>
      </c>
      <c r="AV161" s="91"/>
      <c r="AW161" s="91"/>
      <c r="AX161" s="91">
        <v>1</v>
      </c>
      <c r="AY161" s="91"/>
      <c r="AZ161" s="91"/>
      <c r="BA161" s="91"/>
      <c r="BB161" s="91"/>
      <c r="BC161" s="91"/>
    </row>
    <row r="162" spans="1:55" x14ac:dyDescent="0.25">
      <c r="A162" s="91" t="s">
        <v>543</v>
      </c>
      <c r="B162" s="129">
        <f t="shared" si="4"/>
        <v>64</v>
      </c>
      <c r="C162" s="91">
        <v>2</v>
      </c>
      <c r="D162" s="91"/>
      <c r="E162" s="91">
        <v>2</v>
      </c>
      <c r="F162" s="91"/>
      <c r="G162" s="91">
        <v>1</v>
      </c>
      <c r="H162" s="91"/>
      <c r="I162" s="91">
        <v>2</v>
      </c>
      <c r="J162" s="91">
        <v>1</v>
      </c>
      <c r="K162" s="91">
        <v>2</v>
      </c>
      <c r="L162" s="91"/>
      <c r="M162" s="91"/>
      <c r="N162" s="91">
        <v>3</v>
      </c>
      <c r="O162" s="91"/>
      <c r="P162" s="91">
        <v>2</v>
      </c>
      <c r="Q162" s="91">
        <v>1</v>
      </c>
      <c r="R162" s="91"/>
      <c r="S162" s="91">
        <v>1</v>
      </c>
      <c r="T162" s="91"/>
      <c r="U162" s="91">
        <v>1</v>
      </c>
      <c r="V162" s="91"/>
      <c r="W162" s="91"/>
      <c r="X162" s="91">
        <v>1</v>
      </c>
      <c r="Y162" s="91">
        <v>1</v>
      </c>
      <c r="Z162" s="91"/>
      <c r="AA162" s="91">
        <v>2</v>
      </c>
      <c r="AB162" s="91"/>
      <c r="AC162" s="91">
        <v>2</v>
      </c>
      <c r="AD162" s="91">
        <v>2</v>
      </c>
      <c r="AE162" s="91">
        <v>6</v>
      </c>
      <c r="AF162" s="91"/>
      <c r="AG162" s="91">
        <v>2</v>
      </c>
      <c r="AH162" s="91"/>
      <c r="AI162" s="91"/>
      <c r="AJ162" s="91">
        <v>2</v>
      </c>
      <c r="AK162" s="91">
        <v>1</v>
      </c>
      <c r="AL162" s="91">
        <v>2</v>
      </c>
      <c r="AM162" s="91"/>
      <c r="AN162" s="91"/>
      <c r="AO162" s="91"/>
      <c r="AP162" s="91">
        <v>1</v>
      </c>
      <c r="AQ162" s="91">
        <v>2</v>
      </c>
      <c r="AR162" s="91"/>
      <c r="AS162" s="91"/>
      <c r="AT162" s="91"/>
      <c r="AU162" s="91"/>
      <c r="AV162" s="91"/>
      <c r="AW162" s="91">
        <v>8</v>
      </c>
      <c r="AX162" s="91"/>
      <c r="AY162" s="91">
        <v>1</v>
      </c>
      <c r="AZ162" s="91"/>
      <c r="BA162" s="91"/>
      <c r="BB162" s="91">
        <v>13</v>
      </c>
      <c r="BC162" s="91"/>
    </row>
    <row r="163" spans="1:55" x14ac:dyDescent="0.25">
      <c r="A163" s="91" t="s">
        <v>272</v>
      </c>
      <c r="B163" s="129">
        <f t="shared" si="4"/>
        <v>292</v>
      </c>
      <c r="C163" s="91">
        <v>3</v>
      </c>
      <c r="D163" s="91">
        <v>14</v>
      </c>
      <c r="E163" s="91">
        <v>2</v>
      </c>
      <c r="F163" s="91">
        <v>7</v>
      </c>
      <c r="G163" s="91">
        <v>8</v>
      </c>
      <c r="H163" s="91"/>
      <c r="I163" s="91">
        <v>6</v>
      </c>
      <c r="J163" s="91">
        <v>15</v>
      </c>
      <c r="K163" s="91">
        <v>1</v>
      </c>
      <c r="L163" s="91">
        <v>14</v>
      </c>
      <c r="M163" s="91"/>
      <c r="N163" s="91">
        <v>2</v>
      </c>
      <c r="O163" s="91">
        <v>4</v>
      </c>
      <c r="P163" s="91">
        <v>4</v>
      </c>
      <c r="Q163" s="91">
        <v>5</v>
      </c>
      <c r="R163" s="91">
        <v>3</v>
      </c>
      <c r="S163" s="91">
        <v>14</v>
      </c>
      <c r="T163" s="91"/>
      <c r="U163" s="91">
        <v>2</v>
      </c>
      <c r="V163" s="91">
        <v>4</v>
      </c>
      <c r="W163" s="91">
        <v>5</v>
      </c>
      <c r="X163" s="91"/>
      <c r="Y163" s="91">
        <v>11</v>
      </c>
      <c r="Z163" s="91">
        <v>7</v>
      </c>
      <c r="AA163" s="91">
        <v>7</v>
      </c>
      <c r="AB163" s="91"/>
      <c r="AC163" s="91">
        <v>7</v>
      </c>
      <c r="AD163" s="91">
        <v>4</v>
      </c>
      <c r="AE163" s="91">
        <v>11</v>
      </c>
      <c r="AF163" s="91">
        <v>3</v>
      </c>
      <c r="AG163" s="91"/>
      <c r="AH163" s="91">
        <v>2</v>
      </c>
      <c r="AI163" s="91">
        <v>11</v>
      </c>
      <c r="AJ163" s="91">
        <v>10</v>
      </c>
      <c r="AK163" s="91">
        <v>5</v>
      </c>
      <c r="AL163" s="91">
        <v>1</v>
      </c>
      <c r="AM163" s="91">
        <v>4</v>
      </c>
      <c r="AN163" s="91"/>
      <c r="AO163" s="91">
        <v>8</v>
      </c>
      <c r="AP163" s="91">
        <v>7</v>
      </c>
      <c r="AQ163" s="91">
        <v>16</v>
      </c>
      <c r="AR163" s="91">
        <v>3</v>
      </c>
      <c r="AS163" s="91">
        <v>11</v>
      </c>
      <c r="AT163" s="91"/>
      <c r="AU163" s="91">
        <v>13</v>
      </c>
      <c r="AV163" s="91">
        <v>8</v>
      </c>
      <c r="AW163" s="91">
        <v>2</v>
      </c>
      <c r="AX163" s="91">
        <v>1</v>
      </c>
      <c r="AY163" s="91"/>
      <c r="AZ163" s="91">
        <v>7</v>
      </c>
      <c r="BA163" s="91"/>
      <c r="BB163" s="91">
        <v>20</v>
      </c>
      <c r="BC163" s="91"/>
    </row>
    <row r="164" spans="1:55" x14ac:dyDescent="0.25">
      <c r="A164" s="91" t="s">
        <v>219</v>
      </c>
      <c r="B164" s="129">
        <f t="shared" si="4"/>
        <v>192</v>
      </c>
      <c r="C164" s="91">
        <v>6</v>
      </c>
      <c r="D164" s="91">
        <v>15</v>
      </c>
      <c r="E164" s="91">
        <v>2</v>
      </c>
      <c r="F164" s="91">
        <v>10</v>
      </c>
      <c r="G164" s="91">
        <v>8</v>
      </c>
      <c r="H164" s="91"/>
      <c r="I164" s="91">
        <v>8</v>
      </c>
      <c r="J164" s="91">
        <v>4</v>
      </c>
      <c r="K164" s="91">
        <v>1</v>
      </c>
      <c r="L164" s="91">
        <v>5</v>
      </c>
      <c r="M164" s="91"/>
      <c r="N164" s="91">
        <v>2</v>
      </c>
      <c r="O164" s="91">
        <v>5</v>
      </c>
      <c r="P164" s="91">
        <v>3</v>
      </c>
      <c r="Q164" s="91">
        <v>4</v>
      </c>
      <c r="R164" s="91">
        <v>1</v>
      </c>
      <c r="S164" s="91">
        <v>1</v>
      </c>
      <c r="T164" s="91"/>
      <c r="U164" s="91">
        <v>2</v>
      </c>
      <c r="V164" s="91">
        <v>2</v>
      </c>
      <c r="W164" s="91">
        <v>4</v>
      </c>
      <c r="X164" s="91">
        <v>12</v>
      </c>
      <c r="Y164" s="91">
        <v>1</v>
      </c>
      <c r="Z164" s="91">
        <v>1</v>
      </c>
      <c r="AA164" s="91">
        <v>9</v>
      </c>
      <c r="AB164" s="91">
        <v>1</v>
      </c>
      <c r="AC164" s="91"/>
      <c r="AD164" s="91">
        <v>5</v>
      </c>
      <c r="AE164" s="91"/>
      <c r="AF164" s="91">
        <v>2</v>
      </c>
      <c r="AG164" s="91"/>
      <c r="AH164" s="91"/>
      <c r="AI164" s="91">
        <v>3</v>
      </c>
      <c r="AJ164" s="91"/>
      <c r="AK164" s="91"/>
      <c r="AL164" s="91">
        <v>11</v>
      </c>
      <c r="AM164" s="91">
        <v>3</v>
      </c>
      <c r="AN164" s="91">
        <v>1</v>
      </c>
      <c r="AO164" s="91">
        <v>2</v>
      </c>
      <c r="AP164" s="91">
        <v>5</v>
      </c>
      <c r="AQ164" s="91">
        <v>2</v>
      </c>
      <c r="AR164" s="91">
        <v>11</v>
      </c>
      <c r="AS164" s="91">
        <v>16</v>
      </c>
      <c r="AT164" s="91"/>
      <c r="AU164" s="91">
        <v>11</v>
      </c>
      <c r="AV164" s="91"/>
      <c r="AW164" s="91">
        <v>4</v>
      </c>
      <c r="AX164" s="91"/>
      <c r="AY164" s="91">
        <v>2</v>
      </c>
      <c r="AZ164" s="91">
        <v>1</v>
      </c>
      <c r="BA164" s="91"/>
      <c r="BB164" s="91">
        <v>6</v>
      </c>
      <c r="BC164" s="91"/>
    </row>
    <row r="165" spans="1:55" x14ac:dyDescent="0.25">
      <c r="A165" s="91" t="s">
        <v>456</v>
      </c>
      <c r="B165" s="129">
        <f t="shared" si="4"/>
        <v>31</v>
      </c>
      <c r="C165" s="91">
        <v>1</v>
      </c>
      <c r="D165" s="91">
        <v>1</v>
      </c>
      <c r="E165" s="91">
        <v>1</v>
      </c>
      <c r="F165" s="91"/>
      <c r="G165" s="91">
        <v>4</v>
      </c>
      <c r="H165" s="91"/>
      <c r="I165" s="91">
        <v>1</v>
      </c>
      <c r="J165" s="91"/>
      <c r="K165" s="91"/>
      <c r="L165" s="91"/>
      <c r="M165" s="91"/>
      <c r="N165" s="91"/>
      <c r="O165" s="91">
        <v>1</v>
      </c>
      <c r="P165" s="91"/>
      <c r="Q165" s="91"/>
      <c r="R165" s="91"/>
      <c r="S165" s="91"/>
      <c r="T165" s="91"/>
      <c r="U165" s="91"/>
      <c r="V165" s="91"/>
      <c r="W165" s="91">
        <v>2</v>
      </c>
      <c r="X165" s="91">
        <v>1</v>
      </c>
      <c r="Y165" s="91"/>
      <c r="Z165" s="91">
        <v>1</v>
      </c>
      <c r="AA165" s="91"/>
      <c r="AB165" s="91"/>
      <c r="AC165" s="91">
        <v>1</v>
      </c>
      <c r="AD165" s="91">
        <v>1</v>
      </c>
      <c r="AE165" s="91">
        <v>1</v>
      </c>
      <c r="AF165" s="91"/>
      <c r="AG165" s="91"/>
      <c r="AH165" s="91"/>
      <c r="AI165" s="91"/>
      <c r="AJ165" s="91"/>
      <c r="AK165" s="91"/>
      <c r="AL165" s="91"/>
      <c r="AM165" s="91"/>
      <c r="AN165" s="91"/>
      <c r="AO165" s="91">
        <v>5</v>
      </c>
      <c r="AP165" s="91"/>
      <c r="AQ165" s="91">
        <v>3</v>
      </c>
      <c r="AR165" s="91"/>
      <c r="AS165" s="91"/>
      <c r="AT165" s="91"/>
      <c r="AU165" s="91"/>
      <c r="AV165" s="91">
        <v>1</v>
      </c>
      <c r="AW165" s="91"/>
      <c r="AX165" s="91"/>
      <c r="AY165" s="91">
        <v>5</v>
      </c>
      <c r="AZ165" s="91"/>
      <c r="BA165" s="91"/>
      <c r="BB165" s="91">
        <v>1</v>
      </c>
      <c r="BC165" s="91"/>
    </row>
    <row r="166" spans="1:55" x14ac:dyDescent="0.25">
      <c r="A166" s="91" t="s">
        <v>435</v>
      </c>
      <c r="B166" s="129">
        <f t="shared" si="4"/>
        <v>128</v>
      </c>
      <c r="C166" s="91">
        <v>1</v>
      </c>
      <c r="D166" s="91">
        <v>1</v>
      </c>
      <c r="E166" s="91">
        <v>2</v>
      </c>
      <c r="F166" s="91">
        <v>3</v>
      </c>
      <c r="G166" s="91"/>
      <c r="H166" s="91"/>
      <c r="I166" s="91">
        <v>3</v>
      </c>
      <c r="J166" s="91">
        <v>2</v>
      </c>
      <c r="K166" s="91">
        <v>1</v>
      </c>
      <c r="L166" s="91">
        <v>1</v>
      </c>
      <c r="M166" s="91"/>
      <c r="N166" s="91">
        <v>1</v>
      </c>
      <c r="O166" s="91">
        <v>1</v>
      </c>
      <c r="P166" s="91">
        <v>8</v>
      </c>
      <c r="Q166" s="91">
        <v>7</v>
      </c>
      <c r="R166" s="91">
        <v>3</v>
      </c>
      <c r="S166" s="91">
        <v>13</v>
      </c>
      <c r="T166" s="91"/>
      <c r="U166" s="91">
        <v>6</v>
      </c>
      <c r="V166" s="91">
        <v>3</v>
      </c>
      <c r="W166" s="91">
        <v>3</v>
      </c>
      <c r="X166" s="91">
        <v>5</v>
      </c>
      <c r="Y166" s="91">
        <v>2</v>
      </c>
      <c r="Z166" s="91">
        <v>2</v>
      </c>
      <c r="AA166" s="91">
        <v>1</v>
      </c>
      <c r="AB166" s="91"/>
      <c r="AC166" s="91">
        <v>4</v>
      </c>
      <c r="AD166" s="91">
        <v>1</v>
      </c>
      <c r="AE166" s="91">
        <v>8</v>
      </c>
      <c r="AF166" s="91">
        <v>1</v>
      </c>
      <c r="AG166" s="91">
        <v>1</v>
      </c>
      <c r="AH166" s="91">
        <v>7</v>
      </c>
      <c r="AI166" s="91">
        <v>4</v>
      </c>
      <c r="AJ166" s="91">
        <v>1</v>
      </c>
      <c r="AK166" s="91"/>
      <c r="AL166" s="91">
        <v>1</v>
      </c>
      <c r="AM166" s="91">
        <v>2</v>
      </c>
      <c r="AN166" s="91">
        <v>3</v>
      </c>
      <c r="AO166" s="91">
        <v>3</v>
      </c>
      <c r="AP166" s="91">
        <v>1</v>
      </c>
      <c r="AQ166" s="91">
        <v>4</v>
      </c>
      <c r="AR166" s="91">
        <v>1</v>
      </c>
      <c r="AS166" s="91"/>
      <c r="AT166" s="91"/>
      <c r="AU166" s="91">
        <v>6</v>
      </c>
      <c r="AV166" s="91">
        <v>9</v>
      </c>
      <c r="AW166" s="91"/>
      <c r="AX166" s="91"/>
      <c r="AY166" s="91"/>
      <c r="AZ166" s="91">
        <v>2</v>
      </c>
      <c r="BA166" s="91"/>
      <c r="BB166" s="91"/>
      <c r="BC166" s="91"/>
    </row>
    <row r="167" spans="1:55" x14ac:dyDescent="0.25">
      <c r="A167" s="91" t="s">
        <v>513</v>
      </c>
      <c r="B167" s="129">
        <f t="shared" si="4"/>
        <v>125</v>
      </c>
      <c r="C167" s="91">
        <v>2</v>
      </c>
      <c r="D167" s="91">
        <v>1</v>
      </c>
      <c r="E167" s="91">
        <v>3</v>
      </c>
      <c r="F167" s="91">
        <v>1</v>
      </c>
      <c r="G167" s="91">
        <v>2</v>
      </c>
      <c r="H167" s="91">
        <v>2</v>
      </c>
      <c r="I167" s="91">
        <v>2</v>
      </c>
      <c r="J167" s="91">
        <v>1</v>
      </c>
      <c r="K167" s="91"/>
      <c r="L167" s="91">
        <v>2</v>
      </c>
      <c r="M167" s="91">
        <v>6</v>
      </c>
      <c r="N167" s="91">
        <v>5</v>
      </c>
      <c r="O167" s="91">
        <v>1</v>
      </c>
      <c r="P167" s="91">
        <v>1</v>
      </c>
      <c r="Q167" s="91"/>
      <c r="R167" s="91">
        <v>1</v>
      </c>
      <c r="S167" s="91">
        <v>1</v>
      </c>
      <c r="T167" s="91"/>
      <c r="U167" s="91">
        <v>3</v>
      </c>
      <c r="V167" s="91"/>
      <c r="W167" s="91">
        <v>11</v>
      </c>
      <c r="X167" s="91">
        <v>3</v>
      </c>
      <c r="Y167" s="91">
        <v>2</v>
      </c>
      <c r="Z167" s="91">
        <v>2</v>
      </c>
      <c r="AA167" s="91">
        <v>3</v>
      </c>
      <c r="AB167" s="91"/>
      <c r="AC167" s="91"/>
      <c r="AD167" s="91">
        <v>1</v>
      </c>
      <c r="AE167" s="91"/>
      <c r="AF167" s="91">
        <v>3</v>
      </c>
      <c r="AG167" s="91">
        <v>2</v>
      </c>
      <c r="AH167" s="91"/>
      <c r="AI167" s="91">
        <v>3</v>
      </c>
      <c r="AJ167" s="91">
        <v>1</v>
      </c>
      <c r="AK167" s="91">
        <v>2</v>
      </c>
      <c r="AL167" s="91">
        <v>7</v>
      </c>
      <c r="AM167" s="91">
        <v>1</v>
      </c>
      <c r="AN167" s="91">
        <v>3</v>
      </c>
      <c r="AO167" s="91">
        <v>2</v>
      </c>
      <c r="AP167" s="91">
        <v>2</v>
      </c>
      <c r="AQ167" s="91">
        <v>3</v>
      </c>
      <c r="AR167" s="91">
        <v>2</v>
      </c>
      <c r="AS167" s="91">
        <v>6</v>
      </c>
      <c r="AT167" s="91"/>
      <c r="AU167" s="91">
        <v>11</v>
      </c>
      <c r="AV167" s="91">
        <v>7</v>
      </c>
      <c r="AW167" s="91">
        <v>2</v>
      </c>
      <c r="AX167" s="91"/>
      <c r="AY167" s="91">
        <v>3</v>
      </c>
      <c r="AZ167" s="91">
        <v>5</v>
      </c>
      <c r="BA167" s="91"/>
      <c r="BB167" s="91">
        <v>4</v>
      </c>
      <c r="BC167" s="91"/>
    </row>
    <row r="168" spans="1:55" x14ac:dyDescent="0.25">
      <c r="A168" s="91" t="s">
        <v>384</v>
      </c>
      <c r="B168" s="129">
        <f t="shared" si="4"/>
        <v>114</v>
      </c>
      <c r="C168" s="91">
        <v>1</v>
      </c>
      <c r="D168" s="91">
        <v>6</v>
      </c>
      <c r="E168" s="91">
        <v>1</v>
      </c>
      <c r="F168" s="91">
        <v>1</v>
      </c>
      <c r="G168" s="91">
        <v>15</v>
      </c>
      <c r="H168" s="91"/>
      <c r="I168" s="91">
        <v>2</v>
      </c>
      <c r="J168" s="91">
        <v>1</v>
      </c>
      <c r="K168" s="91">
        <v>5</v>
      </c>
      <c r="L168" s="91">
        <v>2</v>
      </c>
      <c r="M168" s="91">
        <v>2</v>
      </c>
      <c r="N168" s="91">
        <v>12</v>
      </c>
      <c r="O168" s="91">
        <v>1</v>
      </c>
      <c r="P168" s="91">
        <v>3</v>
      </c>
      <c r="Q168" s="91"/>
      <c r="R168" s="91"/>
      <c r="S168" s="91">
        <v>3</v>
      </c>
      <c r="T168" s="91"/>
      <c r="U168" s="91"/>
      <c r="V168" s="91">
        <v>1</v>
      </c>
      <c r="W168" s="91">
        <v>2</v>
      </c>
      <c r="X168" s="91">
        <v>4</v>
      </c>
      <c r="Y168" s="91">
        <v>5</v>
      </c>
      <c r="Z168" s="91"/>
      <c r="AA168" s="91">
        <v>1</v>
      </c>
      <c r="AB168" s="91">
        <v>5</v>
      </c>
      <c r="AC168" s="91">
        <v>1</v>
      </c>
      <c r="AD168" s="91">
        <v>6</v>
      </c>
      <c r="AE168" s="91">
        <v>1</v>
      </c>
      <c r="AF168" s="91">
        <v>1</v>
      </c>
      <c r="AG168" s="91"/>
      <c r="AH168" s="91"/>
      <c r="AI168" s="91">
        <v>1</v>
      </c>
      <c r="AJ168" s="91">
        <v>1</v>
      </c>
      <c r="AK168" s="91">
        <v>1</v>
      </c>
      <c r="AL168" s="91">
        <v>1</v>
      </c>
      <c r="AM168" s="91">
        <v>2</v>
      </c>
      <c r="AN168" s="91">
        <v>2</v>
      </c>
      <c r="AO168" s="91">
        <v>1</v>
      </c>
      <c r="AP168" s="91">
        <v>2</v>
      </c>
      <c r="AQ168" s="91">
        <v>10</v>
      </c>
      <c r="AR168" s="91">
        <v>3</v>
      </c>
      <c r="AS168" s="91"/>
      <c r="AT168" s="91"/>
      <c r="AU168" s="91"/>
      <c r="AV168" s="91">
        <v>2</v>
      </c>
      <c r="AW168" s="91">
        <v>4</v>
      </c>
      <c r="AX168" s="91"/>
      <c r="AY168" s="91">
        <v>1</v>
      </c>
      <c r="AZ168" s="91">
        <v>1</v>
      </c>
      <c r="BA168" s="91"/>
      <c r="BB168" s="91"/>
      <c r="BC168" s="91"/>
    </row>
    <row r="169" spans="1:55" x14ac:dyDescent="0.25">
      <c r="A169" s="91" t="s">
        <v>273</v>
      </c>
      <c r="B169" s="129">
        <f t="shared" si="4"/>
        <v>291</v>
      </c>
      <c r="C169" s="91">
        <v>9</v>
      </c>
      <c r="D169" s="91">
        <v>4</v>
      </c>
      <c r="E169" s="91">
        <v>7</v>
      </c>
      <c r="F169" s="91">
        <v>1</v>
      </c>
      <c r="G169" s="91">
        <v>8</v>
      </c>
      <c r="H169" s="91"/>
      <c r="I169" s="91">
        <v>6</v>
      </c>
      <c r="J169" s="91">
        <v>6</v>
      </c>
      <c r="K169" s="91">
        <v>2</v>
      </c>
      <c r="L169" s="91">
        <v>1</v>
      </c>
      <c r="M169" s="91">
        <v>5</v>
      </c>
      <c r="N169" s="91">
        <v>5</v>
      </c>
      <c r="O169" s="91">
        <v>10</v>
      </c>
      <c r="P169" s="91">
        <v>2</v>
      </c>
      <c r="Q169" s="91">
        <v>2</v>
      </c>
      <c r="R169" s="91">
        <v>4</v>
      </c>
      <c r="S169" s="91">
        <v>5</v>
      </c>
      <c r="T169" s="91">
        <v>9</v>
      </c>
      <c r="U169" s="91">
        <v>22</v>
      </c>
      <c r="V169" s="91">
        <v>5</v>
      </c>
      <c r="W169" s="91">
        <v>6</v>
      </c>
      <c r="X169" s="91">
        <v>14</v>
      </c>
      <c r="Y169" s="91">
        <v>17</v>
      </c>
      <c r="Z169" s="91">
        <v>1</v>
      </c>
      <c r="AA169" s="91">
        <v>2</v>
      </c>
      <c r="AB169" s="91">
        <v>4</v>
      </c>
      <c r="AC169" s="91">
        <v>4</v>
      </c>
      <c r="AD169" s="91">
        <v>5</v>
      </c>
      <c r="AE169" s="91">
        <v>8</v>
      </c>
      <c r="AF169" s="91">
        <v>4</v>
      </c>
      <c r="AG169" s="91">
        <v>2</v>
      </c>
      <c r="AH169" s="91">
        <v>3</v>
      </c>
      <c r="AI169" s="91">
        <v>15</v>
      </c>
      <c r="AJ169" s="91">
        <v>13</v>
      </c>
      <c r="AK169" s="91">
        <v>6</v>
      </c>
      <c r="AL169" s="91">
        <v>1</v>
      </c>
      <c r="AM169" s="91">
        <v>4</v>
      </c>
      <c r="AN169" s="91">
        <v>2</v>
      </c>
      <c r="AO169" s="91">
        <v>12</v>
      </c>
      <c r="AP169" s="91">
        <v>3</v>
      </c>
      <c r="AQ169" s="91"/>
      <c r="AR169" s="91">
        <v>1</v>
      </c>
      <c r="AS169" s="91">
        <v>2</v>
      </c>
      <c r="AT169" s="91"/>
      <c r="AU169" s="91">
        <v>10</v>
      </c>
      <c r="AV169" s="91">
        <v>2</v>
      </c>
      <c r="AW169" s="91">
        <v>15</v>
      </c>
      <c r="AX169" s="91">
        <v>1</v>
      </c>
      <c r="AY169" s="91">
        <v>7</v>
      </c>
      <c r="AZ169" s="91">
        <v>10</v>
      </c>
      <c r="BA169" s="91"/>
      <c r="BB169" s="91">
        <v>4</v>
      </c>
      <c r="BC169" s="91"/>
    </row>
    <row r="170" spans="1:55" x14ac:dyDescent="0.25">
      <c r="A170" s="91" t="s">
        <v>243</v>
      </c>
      <c r="B170" s="129">
        <f t="shared" si="4"/>
        <v>41</v>
      </c>
      <c r="C170" s="91"/>
      <c r="D170" s="91"/>
      <c r="E170" s="91"/>
      <c r="F170" s="91"/>
      <c r="G170" s="91">
        <v>3</v>
      </c>
      <c r="H170" s="91"/>
      <c r="I170" s="91">
        <v>1</v>
      </c>
      <c r="J170" s="91">
        <v>1</v>
      </c>
      <c r="K170" s="91"/>
      <c r="L170" s="91"/>
      <c r="M170" s="91"/>
      <c r="N170" s="91">
        <v>1</v>
      </c>
      <c r="O170" s="91">
        <v>2</v>
      </c>
      <c r="P170" s="91"/>
      <c r="Q170" s="91">
        <v>6</v>
      </c>
      <c r="R170" s="91">
        <v>1</v>
      </c>
      <c r="S170" s="91">
        <v>3</v>
      </c>
      <c r="T170" s="91"/>
      <c r="U170" s="91">
        <v>1</v>
      </c>
      <c r="V170" s="91"/>
      <c r="W170" s="91">
        <v>2</v>
      </c>
      <c r="X170" s="91">
        <v>1</v>
      </c>
      <c r="Y170" s="91">
        <v>4</v>
      </c>
      <c r="Z170" s="91">
        <v>2</v>
      </c>
      <c r="AA170" s="91"/>
      <c r="AB170" s="91">
        <v>1</v>
      </c>
      <c r="AC170" s="91"/>
      <c r="AD170" s="91"/>
      <c r="AE170" s="91">
        <v>1</v>
      </c>
      <c r="AF170" s="91"/>
      <c r="AG170" s="91"/>
      <c r="AH170" s="91"/>
      <c r="AI170" s="91"/>
      <c r="AJ170" s="91">
        <v>1</v>
      </c>
      <c r="AK170" s="91"/>
      <c r="AL170" s="91">
        <v>1</v>
      </c>
      <c r="AM170" s="91"/>
      <c r="AN170" s="91"/>
      <c r="AO170" s="91"/>
      <c r="AP170" s="91">
        <v>1</v>
      </c>
      <c r="AQ170" s="91">
        <v>1</v>
      </c>
      <c r="AR170" s="91">
        <v>1</v>
      </c>
      <c r="AS170" s="91">
        <v>1</v>
      </c>
      <c r="AT170" s="91"/>
      <c r="AU170" s="91">
        <v>2</v>
      </c>
      <c r="AV170" s="91">
        <v>1</v>
      </c>
      <c r="AW170" s="91">
        <v>2</v>
      </c>
      <c r="AX170" s="91"/>
      <c r="AY170" s="91"/>
      <c r="AZ170" s="91"/>
      <c r="BA170" s="91"/>
      <c r="BB170" s="91"/>
      <c r="BC170" s="91"/>
    </row>
    <row r="171" spans="1:55" x14ac:dyDescent="0.25">
      <c r="A171" s="91" t="s">
        <v>205</v>
      </c>
      <c r="B171" s="129">
        <f t="shared" si="4"/>
        <v>139</v>
      </c>
      <c r="C171" s="91">
        <v>3</v>
      </c>
      <c r="D171" s="91">
        <v>1</v>
      </c>
      <c r="E171" s="91">
        <v>1</v>
      </c>
      <c r="F171" s="91">
        <v>3</v>
      </c>
      <c r="G171" s="91">
        <v>3</v>
      </c>
      <c r="H171" s="91"/>
      <c r="I171" s="91">
        <v>1</v>
      </c>
      <c r="J171" s="91">
        <v>1</v>
      </c>
      <c r="K171" s="91">
        <v>5</v>
      </c>
      <c r="L171" s="91">
        <v>2</v>
      </c>
      <c r="M171" s="91">
        <v>3</v>
      </c>
      <c r="N171" s="91">
        <v>1</v>
      </c>
      <c r="O171" s="91">
        <v>3</v>
      </c>
      <c r="P171" s="91">
        <v>1</v>
      </c>
      <c r="Q171" s="91"/>
      <c r="R171" s="91">
        <v>1</v>
      </c>
      <c r="S171" s="91">
        <v>1</v>
      </c>
      <c r="T171" s="91"/>
      <c r="U171" s="91"/>
      <c r="V171" s="91">
        <v>3</v>
      </c>
      <c r="W171" s="91">
        <v>10</v>
      </c>
      <c r="X171" s="91">
        <v>4</v>
      </c>
      <c r="Y171" s="91">
        <v>4</v>
      </c>
      <c r="Z171" s="91">
        <v>1</v>
      </c>
      <c r="AA171" s="91">
        <v>10</v>
      </c>
      <c r="AB171" s="91">
        <v>2</v>
      </c>
      <c r="AC171" s="91">
        <v>1</v>
      </c>
      <c r="AD171" s="91"/>
      <c r="AE171" s="91">
        <v>4</v>
      </c>
      <c r="AF171" s="91">
        <v>1</v>
      </c>
      <c r="AG171" s="91">
        <v>1</v>
      </c>
      <c r="AH171" s="91">
        <v>3</v>
      </c>
      <c r="AI171" s="91">
        <v>2</v>
      </c>
      <c r="AJ171" s="91">
        <v>4</v>
      </c>
      <c r="AK171" s="91">
        <v>1</v>
      </c>
      <c r="AL171" s="91"/>
      <c r="AM171" s="91">
        <v>5</v>
      </c>
      <c r="AN171" s="91">
        <v>3</v>
      </c>
      <c r="AO171" s="91">
        <v>1</v>
      </c>
      <c r="AP171" s="91">
        <v>5</v>
      </c>
      <c r="AQ171" s="91">
        <v>1</v>
      </c>
      <c r="AR171" s="91">
        <v>3</v>
      </c>
      <c r="AS171" s="91">
        <v>1</v>
      </c>
      <c r="AT171" s="91"/>
      <c r="AU171" s="91">
        <v>1</v>
      </c>
      <c r="AV171" s="91">
        <v>1</v>
      </c>
      <c r="AW171" s="91">
        <v>1</v>
      </c>
      <c r="AX171" s="91">
        <v>1</v>
      </c>
      <c r="AY171" s="91">
        <v>1</v>
      </c>
      <c r="AZ171" s="91">
        <v>1</v>
      </c>
      <c r="BA171" s="91">
        <v>11</v>
      </c>
      <c r="BB171" s="91">
        <v>22</v>
      </c>
      <c r="BC171" s="91"/>
    </row>
    <row r="172" spans="1:55" x14ac:dyDescent="0.25">
      <c r="A172" s="91" t="s">
        <v>454</v>
      </c>
      <c r="B172" s="129">
        <f t="shared" si="4"/>
        <v>94</v>
      </c>
      <c r="C172" s="91">
        <v>1</v>
      </c>
      <c r="D172" s="91"/>
      <c r="E172" s="91">
        <v>8</v>
      </c>
      <c r="F172" s="91">
        <v>6</v>
      </c>
      <c r="G172" s="91">
        <v>4</v>
      </c>
      <c r="H172" s="91"/>
      <c r="I172" s="91"/>
      <c r="J172" s="91">
        <v>4</v>
      </c>
      <c r="K172" s="91">
        <v>1</v>
      </c>
      <c r="L172" s="91"/>
      <c r="M172" s="91"/>
      <c r="N172" s="91">
        <v>1</v>
      </c>
      <c r="O172" s="91"/>
      <c r="P172" s="91"/>
      <c r="Q172" s="91">
        <v>1</v>
      </c>
      <c r="R172" s="91">
        <v>3</v>
      </c>
      <c r="S172" s="91">
        <v>3</v>
      </c>
      <c r="T172" s="91"/>
      <c r="U172" s="91">
        <v>1</v>
      </c>
      <c r="V172" s="91">
        <v>2</v>
      </c>
      <c r="W172" s="91">
        <v>1</v>
      </c>
      <c r="X172" s="91">
        <v>4</v>
      </c>
      <c r="Y172" s="91">
        <v>7</v>
      </c>
      <c r="Z172" s="91"/>
      <c r="AA172" s="91"/>
      <c r="AB172" s="91">
        <v>1</v>
      </c>
      <c r="AC172" s="91"/>
      <c r="AD172" s="91"/>
      <c r="AE172" s="91">
        <v>3</v>
      </c>
      <c r="AF172" s="91">
        <v>2</v>
      </c>
      <c r="AG172" s="91">
        <v>2</v>
      </c>
      <c r="AH172" s="91"/>
      <c r="AI172" s="91">
        <v>2</v>
      </c>
      <c r="AJ172" s="91">
        <v>3</v>
      </c>
      <c r="AK172" s="91"/>
      <c r="AL172" s="91">
        <v>4</v>
      </c>
      <c r="AM172" s="91">
        <v>2</v>
      </c>
      <c r="AN172" s="91"/>
      <c r="AO172" s="91">
        <v>2</v>
      </c>
      <c r="AP172" s="91"/>
      <c r="AQ172" s="91">
        <v>6</v>
      </c>
      <c r="AR172" s="91">
        <v>1</v>
      </c>
      <c r="AS172" s="91"/>
      <c r="AT172" s="91"/>
      <c r="AU172" s="91"/>
      <c r="AV172" s="91"/>
      <c r="AW172" s="91">
        <v>11</v>
      </c>
      <c r="AX172" s="91">
        <v>2</v>
      </c>
      <c r="AY172" s="91">
        <v>1</v>
      </c>
      <c r="AZ172" s="91">
        <v>2</v>
      </c>
      <c r="BA172" s="91"/>
      <c r="BB172" s="91">
        <v>3</v>
      </c>
      <c r="BC172" s="91"/>
    </row>
    <row r="173" spans="1:55" x14ac:dyDescent="0.25">
      <c r="A173" s="91" t="s">
        <v>461</v>
      </c>
      <c r="B173" s="129">
        <f t="shared" si="4"/>
        <v>127</v>
      </c>
      <c r="C173" s="91"/>
      <c r="D173" s="91">
        <v>1</v>
      </c>
      <c r="E173" s="91">
        <v>2</v>
      </c>
      <c r="F173" s="91">
        <v>2</v>
      </c>
      <c r="G173" s="91">
        <v>2</v>
      </c>
      <c r="H173" s="91">
        <v>12</v>
      </c>
      <c r="I173" s="91"/>
      <c r="J173" s="91">
        <v>1</v>
      </c>
      <c r="K173" s="91"/>
      <c r="L173" s="91">
        <v>1</v>
      </c>
      <c r="M173" s="91">
        <v>2</v>
      </c>
      <c r="N173" s="91">
        <v>2</v>
      </c>
      <c r="O173" s="91"/>
      <c r="P173" s="91">
        <v>1</v>
      </c>
      <c r="Q173" s="91">
        <v>10</v>
      </c>
      <c r="R173" s="91">
        <v>1</v>
      </c>
      <c r="S173" s="91">
        <v>2</v>
      </c>
      <c r="T173" s="91"/>
      <c r="U173" s="91"/>
      <c r="V173" s="91"/>
      <c r="W173" s="91">
        <v>7</v>
      </c>
      <c r="X173" s="91">
        <v>14</v>
      </c>
      <c r="Y173" s="91">
        <v>2</v>
      </c>
      <c r="Z173" s="91">
        <v>1</v>
      </c>
      <c r="AA173" s="91">
        <v>6</v>
      </c>
      <c r="AB173" s="91"/>
      <c r="AC173" s="91">
        <v>2</v>
      </c>
      <c r="AD173" s="91"/>
      <c r="AE173" s="91">
        <v>2</v>
      </c>
      <c r="AF173" s="91">
        <v>5</v>
      </c>
      <c r="AG173" s="91"/>
      <c r="AH173" s="91">
        <v>2</v>
      </c>
      <c r="AI173" s="91">
        <v>11</v>
      </c>
      <c r="AJ173" s="91">
        <v>5</v>
      </c>
      <c r="AK173" s="91">
        <v>1</v>
      </c>
      <c r="AL173" s="91">
        <v>1</v>
      </c>
      <c r="AM173" s="91"/>
      <c r="AN173" s="91"/>
      <c r="AO173" s="91">
        <v>1</v>
      </c>
      <c r="AP173" s="91">
        <v>3</v>
      </c>
      <c r="AQ173" s="91">
        <v>2</v>
      </c>
      <c r="AR173" s="91">
        <v>1</v>
      </c>
      <c r="AS173" s="91">
        <v>1</v>
      </c>
      <c r="AT173" s="91"/>
      <c r="AU173" s="91"/>
      <c r="AV173" s="91">
        <v>1</v>
      </c>
      <c r="AW173" s="91">
        <v>4</v>
      </c>
      <c r="AX173" s="91">
        <v>3</v>
      </c>
      <c r="AY173" s="91"/>
      <c r="AZ173" s="91"/>
      <c r="BA173" s="91"/>
      <c r="BB173" s="91">
        <v>13</v>
      </c>
      <c r="BC173" s="91"/>
    </row>
    <row r="174" spans="1:55" x14ac:dyDescent="0.25">
      <c r="A174" s="91" t="s">
        <v>333</v>
      </c>
      <c r="B174" s="129">
        <f t="shared" si="4"/>
        <v>182</v>
      </c>
      <c r="C174" s="91">
        <v>4</v>
      </c>
      <c r="D174" s="91">
        <v>8</v>
      </c>
      <c r="E174" s="91">
        <v>2</v>
      </c>
      <c r="F174" s="91">
        <v>3</v>
      </c>
      <c r="G174" s="91">
        <v>3</v>
      </c>
      <c r="H174" s="91"/>
      <c r="I174" s="91">
        <v>9</v>
      </c>
      <c r="J174" s="91">
        <v>6</v>
      </c>
      <c r="K174" s="91">
        <v>13</v>
      </c>
      <c r="L174" s="91">
        <v>1</v>
      </c>
      <c r="M174" s="91">
        <v>6</v>
      </c>
      <c r="N174" s="91">
        <v>5</v>
      </c>
      <c r="O174" s="91"/>
      <c r="P174" s="91">
        <v>7</v>
      </c>
      <c r="Q174" s="91">
        <v>7</v>
      </c>
      <c r="R174" s="91">
        <v>4</v>
      </c>
      <c r="S174" s="91">
        <v>1</v>
      </c>
      <c r="T174" s="91"/>
      <c r="U174" s="91">
        <v>9</v>
      </c>
      <c r="V174" s="91">
        <v>2</v>
      </c>
      <c r="W174" s="91">
        <v>7</v>
      </c>
      <c r="X174" s="91">
        <v>3</v>
      </c>
      <c r="Y174" s="91">
        <v>2</v>
      </c>
      <c r="Z174" s="91">
        <v>1</v>
      </c>
      <c r="AA174" s="91">
        <v>11</v>
      </c>
      <c r="AB174" s="91">
        <v>6</v>
      </c>
      <c r="AC174" s="91">
        <v>4</v>
      </c>
      <c r="AD174" s="91"/>
      <c r="AE174" s="91"/>
      <c r="AF174" s="91"/>
      <c r="AG174" s="91">
        <v>2</v>
      </c>
      <c r="AH174" s="91">
        <v>1</v>
      </c>
      <c r="AI174" s="91">
        <v>6</v>
      </c>
      <c r="AJ174" s="91">
        <v>7</v>
      </c>
      <c r="AK174" s="91">
        <v>4</v>
      </c>
      <c r="AL174" s="91">
        <v>1</v>
      </c>
      <c r="AM174" s="91">
        <v>6</v>
      </c>
      <c r="AN174" s="91">
        <v>1</v>
      </c>
      <c r="AO174" s="91">
        <v>1</v>
      </c>
      <c r="AP174" s="91">
        <v>2</v>
      </c>
      <c r="AQ174" s="91">
        <v>4</v>
      </c>
      <c r="AR174" s="91">
        <v>4</v>
      </c>
      <c r="AS174" s="91">
        <v>1</v>
      </c>
      <c r="AT174" s="91"/>
      <c r="AU174" s="91"/>
      <c r="AV174" s="91">
        <v>2</v>
      </c>
      <c r="AW174" s="91">
        <v>9</v>
      </c>
      <c r="AX174" s="91">
        <v>4</v>
      </c>
      <c r="AY174" s="91">
        <v>1</v>
      </c>
      <c r="AZ174" s="91">
        <v>1</v>
      </c>
      <c r="BA174" s="91"/>
      <c r="BB174" s="91">
        <v>1</v>
      </c>
      <c r="BC174" s="91"/>
    </row>
    <row r="175" spans="1:55" x14ac:dyDescent="0.25">
      <c r="A175" s="91" t="s">
        <v>130</v>
      </c>
      <c r="B175" s="129">
        <f t="shared" si="4"/>
        <v>37</v>
      </c>
      <c r="C175" s="91">
        <v>1</v>
      </c>
      <c r="D175" s="91">
        <v>3</v>
      </c>
      <c r="E175" s="91"/>
      <c r="F175" s="91">
        <v>3</v>
      </c>
      <c r="G175" s="91"/>
      <c r="H175" s="91"/>
      <c r="I175" s="91">
        <v>7</v>
      </c>
      <c r="J175" s="91">
        <v>3</v>
      </c>
      <c r="K175" s="91">
        <v>1</v>
      </c>
      <c r="L175" s="91"/>
      <c r="M175" s="91"/>
      <c r="N175" s="91"/>
      <c r="O175" s="91">
        <v>1</v>
      </c>
      <c r="P175" s="91">
        <v>2</v>
      </c>
      <c r="Q175" s="91">
        <v>1</v>
      </c>
      <c r="R175" s="91"/>
      <c r="S175" s="91"/>
      <c r="T175" s="91">
        <v>1</v>
      </c>
      <c r="U175" s="91"/>
      <c r="V175" s="91"/>
      <c r="W175" s="91"/>
      <c r="X175" s="91">
        <v>1</v>
      </c>
      <c r="Y175" s="91">
        <v>1</v>
      </c>
      <c r="Z175" s="91"/>
      <c r="AA175" s="91"/>
      <c r="AB175" s="91"/>
      <c r="AC175" s="91"/>
      <c r="AD175" s="91"/>
      <c r="AE175" s="91"/>
      <c r="AF175" s="91"/>
      <c r="AG175" s="91"/>
      <c r="AH175" s="91">
        <v>1</v>
      </c>
      <c r="AI175" s="91">
        <v>1</v>
      </c>
      <c r="AJ175" s="91">
        <v>1</v>
      </c>
      <c r="AK175" s="91">
        <v>2</v>
      </c>
      <c r="AL175" s="91"/>
      <c r="AM175" s="91"/>
      <c r="AN175" s="91"/>
      <c r="AO175" s="91"/>
      <c r="AP175" s="91"/>
      <c r="AQ175" s="91"/>
      <c r="AR175" s="91">
        <v>3</v>
      </c>
      <c r="AS175" s="91"/>
      <c r="AT175" s="91"/>
      <c r="AU175" s="91"/>
      <c r="AV175" s="91"/>
      <c r="AW175" s="91"/>
      <c r="AX175" s="91"/>
      <c r="AY175" s="91"/>
      <c r="AZ175" s="91"/>
      <c r="BA175" s="91">
        <v>2</v>
      </c>
      <c r="BB175" s="91">
        <v>2</v>
      </c>
      <c r="BC175" s="91"/>
    </row>
    <row r="176" spans="1:55" x14ac:dyDescent="0.25">
      <c r="A176" s="91" t="s">
        <v>416</v>
      </c>
      <c r="B176" s="129">
        <f t="shared" si="4"/>
        <v>173</v>
      </c>
      <c r="C176" s="91">
        <v>1</v>
      </c>
      <c r="D176" s="91">
        <v>11</v>
      </c>
      <c r="E176" s="91">
        <v>7</v>
      </c>
      <c r="F176" s="91">
        <v>3</v>
      </c>
      <c r="G176" s="91">
        <v>5</v>
      </c>
      <c r="H176" s="91"/>
      <c r="I176" s="91"/>
      <c r="J176" s="91">
        <v>12</v>
      </c>
      <c r="K176" s="91">
        <v>1</v>
      </c>
      <c r="L176" s="91">
        <v>4</v>
      </c>
      <c r="M176" s="91">
        <v>1</v>
      </c>
      <c r="N176" s="91">
        <v>3</v>
      </c>
      <c r="O176" s="91">
        <v>4</v>
      </c>
      <c r="P176" s="91">
        <v>1</v>
      </c>
      <c r="Q176" s="91">
        <v>2</v>
      </c>
      <c r="R176" s="91">
        <v>3</v>
      </c>
      <c r="S176" s="91">
        <v>9</v>
      </c>
      <c r="T176" s="91"/>
      <c r="U176" s="91">
        <v>3</v>
      </c>
      <c r="V176" s="91"/>
      <c r="W176" s="91">
        <v>7</v>
      </c>
      <c r="X176" s="91">
        <v>4</v>
      </c>
      <c r="Y176" s="91">
        <v>5</v>
      </c>
      <c r="Z176" s="91"/>
      <c r="AA176" s="91"/>
      <c r="AB176" s="91">
        <v>5</v>
      </c>
      <c r="AC176" s="91">
        <v>6</v>
      </c>
      <c r="AD176" s="91">
        <v>3</v>
      </c>
      <c r="AE176" s="91">
        <v>1</v>
      </c>
      <c r="AF176" s="91"/>
      <c r="AG176" s="91">
        <v>5</v>
      </c>
      <c r="AH176" s="91">
        <v>5</v>
      </c>
      <c r="AI176" s="91"/>
      <c r="AJ176" s="91">
        <v>3</v>
      </c>
      <c r="AK176" s="91">
        <v>3</v>
      </c>
      <c r="AL176" s="91"/>
      <c r="AM176" s="91"/>
      <c r="AN176" s="91">
        <v>1</v>
      </c>
      <c r="AO176" s="91"/>
      <c r="AP176" s="91"/>
      <c r="AQ176" s="91"/>
      <c r="AR176" s="91"/>
      <c r="AS176" s="91">
        <v>3</v>
      </c>
      <c r="AT176" s="91"/>
      <c r="AU176" s="91">
        <v>2</v>
      </c>
      <c r="AV176" s="91">
        <v>1</v>
      </c>
      <c r="AW176" s="91">
        <v>11</v>
      </c>
      <c r="AX176" s="91">
        <v>3</v>
      </c>
      <c r="AY176" s="91"/>
      <c r="AZ176" s="91"/>
      <c r="BA176" s="91"/>
      <c r="BB176" s="91">
        <v>35</v>
      </c>
      <c r="BC176" s="91"/>
    </row>
    <row r="177" spans="1:55" x14ac:dyDescent="0.25">
      <c r="A177" s="91" t="s">
        <v>187</v>
      </c>
      <c r="B177" s="129">
        <f t="shared" si="4"/>
        <v>227</v>
      </c>
      <c r="C177" s="91">
        <v>7</v>
      </c>
      <c r="D177" s="91">
        <v>8</v>
      </c>
      <c r="E177" s="91">
        <v>4</v>
      </c>
      <c r="F177" s="91">
        <v>1</v>
      </c>
      <c r="G177" s="91">
        <v>5</v>
      </c>
      <c r="H177" s="91"/>
      <c r="I177" s="91">
        <v>9</v>
      </c>
      <c r="J177" s="91">
        <v>10</v>
      </c>
      <c r="K177" s="91">
        <v>1</v>
      </c>
      <c r="L177" s="91">
        <v>2</v>
      </c>
      <c r="M177" s="91">
        <v>16</v>
      </c>
      <c r="N177" s="91">
        <v>4</v>
      </c>
      <c r="O177" s="91">
        <v>6</v>
      </c>
      <c r="P177" s="91">
        <v>1</v>
      </c>
      <c r="Q177" s="91">
        <v>2</v>
      </c>
      <c r="R177" s="91"/>
      <c r="S177" s="91">
        <v>14</v>
      </c>
      <c r="T177" s="91"/>
      <c r="U177" s="91">
        <v>6</v>
      </c>
      <c r="V177" s="91"/>
      <c r="W177" s="91">
        <v>12</v>
      </c>
      <c r="X177" s="91">
        <v>1</v>
      </c>
      <c r="Y177" s="91">
        <v>8</v>
      </c>
      <c r="Z177" s="91"/>
      <c r="AA177" s="91">
        <v>15</v>
      </c>
      <c r="AB177" s="91">
        <v>2</v>
      </c>
      <c r="AC177" s="91">
        <v>6</v>
      </c>
      <c r="AD177" s="91">
        <v>2</v>
      </c>
      <c r="AE177" s="91">
        <v>1</v>
      </c>
      <c r="AF177" s="91"/>
      <c r="AG177" s="91">
        <v>1</v>
      </c>
      <c r="AH177" s="91">
        <v>1</v>
      </c>
      <c r="AI177" s="91">
        <v>8</v>
      </c>
      <c r="AJ177" s="91">
        <v>5</v>
      </c>
      <c r="AK177" s="91">
        <v>13</v>
      </c>
      <c r="AL177" s="91"/>
      <c r="AM177" s="91">
        <v>6</v>
      </c>
      <c r="AN177" s="91">
        <v>2</v>
      </c>
      <c r="AO177" s="91">
        <v>2</v>
      </c>
      <c r="AP177" s="91">
        <v>3</v>
      </c>
      <c r="AQ177" s="91">
        <v>2</v>
      </c>
      <c r="AR177" s="91"/>
      <c r="AS177" s="91">
        <v>8</v>
      </c>
      <c r="AT177" s="91"/>
      <c r="AU177" s="91">
        <v>6</v>
      </c>
      <c r="AV177" s="91">
        <v>3</v>
      </c>
      <c r="AW177" s="91">
        <v>5</v>
      </c>
      <c r="AX177" s="91">
        <v>3</v>
      </c>
      <c r="AY177" s="91">
        <v>3</v>
      </c>
      <c r="AZ177" s="91">
        <v>7</v>
      </c>
      <c r="BA177" s="91"/>
      <c r="BB177" s="91">
        <v>6</v>
      </c>
      <c r="BC177" s="91"/>
    </row>
    <row r="178" spans="1:55" x14ac:dyDescent="0.25">
      <c r="A178" s="91" t="s">
        <v>365</v>
      </c>
      <c r="B178" s="129">
        <f t="shared" si="4"/>
        <v>217</v>
      </c>
      <c r="C178" s="91"/>
      <c r="D178" s="91">
        <v>6</v>
      </c>
      <c r="E178" s="91">
        <v>7</v>
      </c>
      <c r="F178" s="91">
        <v>3</v>
      </c>
      <c r="G178" s="91">
        <v>12</v>
      </c>
      <c r="H178" s="91"/>
      <c r="I178" s="91">
        <v>9</v>
      </c>
      <c r="J178" s="91">
        <v>2</v>
      </c>
      <c r="K178" s="91">
        <v>6</v>
      </c>
      <c r="L178" s="91">
        <v>3</v>
      </c>
      <c r="M178" s="91">
        <v>2</v>
      </c>
      <c r="N178" s="91">
        <v>4</v>
      </c>
      <c r="O178" s="91">
        <v>7</v>
      </c>
      <c r="P178" s="91">
        <v>1</v>
      </c>
      <c r="Q178" s="91">
        <v>6</v>
      </c>
      <c r="R178" s="91">
        <v>9</v>
      </c>
      <c r="S178" s="91">
        <v>5</v>
      </c>
      <c r="T178" s="91"/>
      <c r="U178" s="91">
        <v>5</v>
      </c>
      <c r="V178" s="91">
        <v>1</v>
      </c>
      <c r="W178" s="91">
        <v>23</v>
      </c>
      <c r="X178" s="91">
        <v>8</v>
      </c>
      <c r="Y178" s="91">
        <v>5</v>
      </c>
      <c r="Z178" s="91">
        <v>1</v>
      </c>
      <c r="AA178" s="91">
        <v>5</v>
      </c>
      <c r="AB178" s="91">
        <v>3</v>
      </c>
      <c r="AC178" s="91">
        <v>2</v>
      </c>
      <c r="AD178" s="91">
        <v>9</v>
      </c>
      <c r="AE178" s="91">
        <v>8</v>
      </c>
      <c r="AF178" s="91"/>
      <c r="AG178" s="91">
        <v>2</v>
      </c>
      <c r="AH178" s="91">
        <v>6</v>
      </c>
      <c r="AI178" s="91">
        <v>4</v>
      </c>
      <c r="AJ178" s="91"/>
      <c r="AK178" s="91">
        <v>7</v>
      </c>
      <c r="AL178" s="91"/>
      <c r="AM178" s="91">
        <v>4</v>
      </c>
      <c r="AN178" s="91">
        <v>5</v>
      </c>
      <c r="AO178" s="91">
        <v>2</v>
      </c>
      <c r="AP178" s="91"/>
      <c r="AQ178" s="91"/>
      <c r="AR178" s="91">
        <v>17</v>
      </c>
      <c r="AS178" s="91">
        <v>1</v>
      </c>
      <c r="AT178" s="91"/>
      <c r="AU178" s="91">
        <v>7</v>
      </c>
      <c r="AV178" s="91">
        <v>1</v>
      </c>
      <c r="AW178" s="91">
        <v>6</v>
      </c>
      <c r="AX178" s="91"/>
      <c r="AY178" s="91">
        <v>1</v>
      </c>
      <c r="AZ178" s="91">
        <v>1</v>
      </c>
      <c r="BA178" s="91"/>
      <c r="BB178" s="91">
        <v>1</v>
      </c>
      <c r="BC178" s="91"/>
    </row>
    <row r="179" spans="1:55" x14ac:dyDescent="0.25">
      <c r="A179" s="91" t="s">
        <v>358</v>
      </c>
      <c r="B179" s="129">
        <f t="shared" si="4"/>
        <v>216</v>
      </c>
      <c r="C179" s="91">
        <v>1</v>
      </c>
      <c r="D179" s="91">
        <v>6</v>
      </c>
      <c r="E179" s="91">
        <v>8</v>
      </c>
      <c r="F179" s="91">
        <v>5</v>
      </c>
      <c r="G179" s="91">
        <v>12</v>
      </c>
      <c r="H179" s="91"/>
      <c r="I179" s="91">
        <v>10</v>
      </c>
      <c r="J179" s="91">
        <v>4</v>
      </c>
      <c r="K179" s="91">
        <v>1</v>
      </c>
      <c r="L179" s="91">
        <v>2</v>
      </c>
      <c r="M179" s="91">
        <v>1</v>
      </c>
      <c r="N179" s="91">
        <v>10</v>
      </c>
      <c r="O179" s="91">
        <v>3</v>
      </c>
      <c r="P179" s="91"/>
      <c r="Q179" s="91"/>
      <c r="R179" s="91">
        <v>3</v>
      </c>
      <c r="S179" s="91">
        <v>7</v>
      </c>
      <c r="T179" s="91">
        <v>1</v>
      </c>
      <c r="U179" s="91">
        <v>1</v>
      </c>
      <c r="V179" s="91">
        <v>7</v>
      </c>
      <c r="W179" s="91">
        <v>16</v>
      </c>
      <c r="X179" s="91">
        <v>5</v>
      </c>
      <c r="Y179" s="91">
        <v>6</v>
      </c>
      <c r="Z179" s="91">
        <v>1</v>
      </c>
      <c r="AA179" s="91">
        <v>4</v>
      </c>
      <c r="AB179" s="91">
        <v>3</v>
      </c>
      <c r="AC179" s="91">
        <v>1</v>
      </c>
      <c r="AD179" s="91">
        <v>2</v>
      </c>
      <c r="AE179" s="91">
        <v>3</v>
      </c>
      <c r="AF179" s="91"/>
      <c r="AG179" s="91">
        <v>4</v>
      </c>
      <c r="AH179" s="91">
        <v>5</v>
      </c>
      <c r="AI179" s="91"/>
      <c r="AJ179" s="91">
        <v>11</v>
      </c>
      <c r="AK179" s="91">
        <v>4</v>
      </c>
      <c r="AL179" s="91">
        <v>4</v>
      </c>
      <c r="AM179" s="91">
        <v>3</v>
      </c>
      <c r="AN179" s="91">
        <v>6</v>
      </c>
      <c r="AO179" s="91">
        <v>13</v>
      </c>
      <c r="AP179" s="91">
        <v>2</v>
      </c>
      <c r="AQ179" s="91"/>
      <c r="AR179" s="91">
        <v>2</v>
      </c>
      <c r="AS179" s="91"/>
      <c r="AT179" s="91"/>
      <c r="AU179" s="91">
        <v>2</v>
      </c>
      <c r="AV179" s="91">
        <v>2</v>
      </c>
      <c r="AW179" s="91">
        <v>27</v>
      </c>
      <c r="AX179" s="91"/>
      <c r="AY179" s="91">
        <v>2</v>
      </c>
      <c r="AZ179" s="91">
        <v>1</v>
      </c>
      <c r="BA179" s="91"/>
      <c r="BB179" s="91">
        <v>5</v>
      </c>
      <c r="BC179" s="91"/>
    </row>
    <row r="180" spans="1:55" x14ac:dyDescent="0.25">
      <c r="A180" s="91" t="s">
        <v>274</v>
      </c>
      <c r="B180" s="129">
        <f t="shared" si="4"/>
        <v>93</v>
      </c>
      <c r="C180" s="91"/>
      <c r="D180" s="91"/>
      <c r="E180" s="91"/>
      <c r="F180" s="91">
        <v>12</v>
      </c>
      <c r="G180" s="91">
        <v>5</v>
      </c>
      <c r="H180" s="91"/>
      <c r="I180" s="91">
        <v>3</v>
      </c>
      <c r="J180" s="91">
        <v>1</v>
      </c>
      <c r="K180" s="91"/>
      <c r="L180" s="91">
        <v>1</v>
      </c>
      <c r="M180" s="91">
        <v>1</v>
      </c>
      <c r="N180" s="91">
        <v>9</v>
      </c>
      <c r="O180" s="91"/>
      <c r="P180" s="91">
        <v>2</v>
      </c>
      <c r="Q180" s="91">
        <v>5</v>
      </c>
      <c r="R180" s="91"/>
      <c r="S180" s="91">
        <v>2</v>
      </c>
      <c r="T180" s="91"/>
      <c r="U180" s="91"/>
      <c r="V180" s="91"/>
      <c r="W180" s="91">
        <v>1</v>
      </c>
      <c r="X180" s="91">
        <v>5</v>
      </c>
      <c r="Y180" s="91"/>
      <c r="Z180" s="91"/>
      <c r="AA180" s="91">
        <v>4</v>
      </c>
      <c r="AB180" s="91">
        <v>1</v>
      </c>
      <c r="AC180" s="91"/>
      <c r="AD180" s="91">
        <v>1</v>
      </c>
      <c r="AE180" s="91">
        <v>1</v>
      </c>
      <c r="AF180" s="91">
        <v>8</v>
      </c>
      <c r="AG180" s="91"/>
      <c r="AH180" s="91">
        <v>3</v>
      </c>
      <c r="AI180" s="91">
        <v>2</v>
      </c>
      <c r="AJ180" s="91">
        <v>1</v>
      </c>
      <c r="AK180" s="91">
        <v>1</v>
      </c>
      <c r="AL180" s="91"/>
      <c r="AM180" s="91">
        <v>1</v>
      </c>
      <c r="AN180" s="91"/>
      <c r="AO180" s="91">
        <v>1</v>
      </c>
      <c r="AP180" s="91"/>
      <c r="AQ180" s="91">
        <v>3</v>
      </c>
      <c r="AR180" s="91">
        <v>5</v>
      </c>
      <c r="AS180" s="91">
        <v>1</v>
      </c>
      <c r="AT180" s="91"/>
      <c r="AU180" s="91">
        <v>1</v>
      </c>
      <c r="AV180" s="91">
        <v>3</v>
      </c>
      <c r="AW180" s="91">
        <v>5</v>
      </c>
      <c r="AX180" s="91"/>
      <c r="AY180" s="91">
        <v>1</v>
      </c>
      <c r="AZ180" s="91"/>
      <c r="BA180" s="91"/>
      <c r="BB180" s="91">
        <v>3</v>
      </c>
      <c r="BC180" s="91"/>
    </row>
    <row r="181" spans="1:55" x14ac:dyDescent="0.25">
      <c r="A181" s="91" t="s">
        <v>137</v>
      </c>
      <c r="B181" s="129">
        <f t="shared" si="4"/>
        <v>788</v>
      </c>
      <c r="C181" s="91">
        <v>30</v>
      </c>
      <c r="D181" s="91">
        <v>14</v>
      </c>
      <c r="E181" s="91">
        <v>26</v>
      </c>
      <c r="F181" s="91">
        <v>16</v>
      </c>
      <c r="G181" s="91">
        <v>17</v>
      </c>
      <c r="H181" s="91"/>
      <c r="I181" s="91">
        <v>31</v>
      </c>
      <c r="J181" s="91">
        <v>21</v>
      </c>
      <c r="K181" s="91">
        <v>11</v>
      </c>
      <c r="L181" s="91">
        <v>23</v>
      </c>
      <c r="M181" s="91"/>
      <c r="N181" s="91">
        <v>26</v>
      </c>
      <c r="O181" s="91">
        <v>10</v>
      </c>
      <c r="P181" s="91">
        <v>17</v>
      </c>
      <c r="Q181" s="91">
        <v>13</v>
      </c>
      <c r="R181" s="91">
        <v>16</v>
      </c>
      <c r="S181" s="91">
        <v>39</v>
      </c>
      <c r="T181" s="91"/>
      <c r="U181" s="91">
        <v>10</v>
      </c>
      <c r="V181" s="91">
        <v>19</v>
      </c>
      <c r="W181" s="91">
        <v>18</v>
      </c>
      <c r="X181" s="91">
        <v>9</v>
      </c>
      <c r="Y181" s="91">
        <v>21</v>
      </c>
      <c r="Z181" s="91">
        <v>23</v>
      </c>
      <c r="AA181" s="91">
        <v>19</v>
      </c>
      <c r="AB181" s="91">
        <v>4</v>
      </c>
      <c r="AC181" s="91">
        <v>15</v>
      </c>
      <c r="AD181" s="91">
        <v>18</v>
      </c>
      <c r="AE181" s="91">
        <v>9</v>
      </c>
      <c r="AF181" s="91">
        <v>12</v>
      </c>
      <c r="AG181" s="91">
        <v>15</v>
      </c>
      <c r="AH181" s="91">
        <v>15</v>
      </c>
      <c r="AI181" s="91">
        <v>11</v>
      </c>
      <c r="AJ181" s="91">
        <v>16</v>
      </c>
      <c r="AK181" s="91">
        <v>3</v>
      </c>
      <c r="AL181" s="91">
        <v>24</v>
      </c>
      <c r="AM181" s="91">
        <v>14</v>
      </c>
      <c r="AN181" s="91">
        <v>7</v>
      </c>
      <c r="AO181" s="91">
        <v>37</v>
      </c>
      <c r="AP181" s="91">
        <v>2</v>
      </c>
      <c r="AQ181" s="91">
        <v>17</v>
      </c>
      <c r="AR181" s="91">
        <v>19</v>
      </c>
      <c r="AS181" s="91">
        <v>20</v>
      </c>
      <c r="AT181" s="91"/>
      <c r="AU181" s="91">
        <v>28</v>
      </c>
      <c r="AV181" s="91">
        <v>15</v>
      </c>
      <c r="AW181" s="91">
        <v>18</v>
      </c>
      <c r="AX181" s="91">
        <v>19</v>
      </c>
      <c r="AY181" s="91">
        <v>10</v>
      </c>
      <c r="AZ181" s="91">
        <v>11</v>
      </c>
      <c r="BA181" s="91"/>
      <c r="BB181" s="91"/>
      <c r="BC181" s="91"/>
    </row>
    <row r="182" spans="1:55" x14ac:dyDescent="0.25">
      <c r="A182" s="91" t="s">
        <v>388</v>
      </c>
      <c r="B182" s="129">
        <f t="shared" si="4"/>
        <v>195</v>
      </c>
      <c r="C182" s="91">
        <v>5</v>
      </c>
      <c r="D182" s="91">
        <v>2</v>
      </c>
      <c r="E182" s="91">
        <v>7</v>
      </c>
      <c r="F182" s="91">
        <v>2</v>
      </c>
      <c r="G182" s="91">
        <v>4</v>
      </c>
      <c r="H182" s="91"/>
      <c r="I182" s="91">
        <v>1</v>
      </c>
      <c r="J182" s="91">
        <v>10</v>
      </c>
      <c r="K182" s="91">
        <v>1</v>
      </c>
      <c r="L182" s="91">
        <v>9</v>
      </c>
      <c r="M182" s="91"/>
      <c r="N182" s="91">
        <v>6</v>
      </c>
      <c r="O182" s="91">
        <v>5</v>
      </c>
      <c r="P182" s="91">
        <v>1</v>
      </c>
      <c r="Q182" s="91">
        <v>1</v>
      </c>
      <c r="R182" s="91">
        <v>3</v>
      </c>
      <c r="S182" s="91">
        <v>2</v>
      </c>
      <c r="T182" s="91">
        <v>2</v>
      </c>
      <c r="U182" s="91">
        <v>8</v>
      </c>
      <c r="V182" s="91">
        <v>2</v>
      </c>
      <c r="W182" s="91">
        <v>10</v>
      </c>
      <c r="X182" s="91">
        <v>6</v>
      </c>
      <c r="Y182" s="91">
        <v>2</v>
      </c>
      <c r="Z182" s="91"/>
      <c r="AA182" s="91">
        <v>2</v>
      </c>
      <c r="AB182" s="91">
        <v>8</v>
      </c>
      <c r="AC182" s="91">
        <v>3</v>
      </c>
      <c r="AD182" s="91">
        <v>3</v>
      </c>
      <c r="AE182" s="91">
        <v>3</v>
      </c>
      <c r="AF182" s="91">
        <v>1</v>
      </c>
      <c r="AG182" s="91">
        <v>3</v>
      </c>
      <c r="AH182" s="91">
        <v>1</v>
      </c>
      <c r="AI182" s="91">
        <v>4</v>
      </c>
      <c r="AJ182" s="91">
        <v>1</v>
      </c>
      <c r="AK182" s="91"/>
      <c r="AL182" s="91">
        <v>10</v>
      </c>
      <c r="AM182" s="91"/>
      <c r="AN182" s="91">
        <v>2</v>
      </c>
      <c r="AO182" s="91">
        <v>16</v>
      </c>
      <c r="AP182" s="91">
        <v>2</v>
      </c>
      <c r="AQ182" s="91">
        <v>7</v>
      </c>
      <c r="AR182" s="91">
        <v>5</v>
      </c>
      <c r="AS182" s="91">
        <v>4</v>
      </c>
      <c r="AT182" s="91"/>
      <c r="AU182" s="91">
        <v>3</v>
      </c>
      <c r="AV182" s="91">
        <v>2</v>
      </c>
      <c r="AW182" s="91">
        <v>9</v>
      </c>
      <c r="AX182" s="91">
        <v>5</v>
      </c>
      <c r="AY182" s="91">
        <v>4</v>
      </c>
      <c r="AZ182" s="91"/>
      <c r="BA182" s="91">
        <v>1</v>
      </c>
      <c r="BB182" s="91">
        <v>7</v>
      </c>
      <c r="BC182" s="91"/>
    </row>
    <row r="183" spans="1:55" x14ac:dyDescent="0.25">
      <c r="A183" s="91" t="s">
        <v>415</v>
      </c>
      <c r="B183" s="129">
        <f t="shared" si="4"/>
        <v>127</v>
      </c>
      <c r="C183" s="91"/>
      <c r="D183" s="91">
        <v>1</v>
      </c>
      <c r="E183" s="91">
        <v>3</v>
      </c>
      <c r="F183" s="91">
        <v>3</v>
      </c>
      <c r="G183" s="91">
        <v>9</v>
      </c>
      <c r="H183" s="91"/>
      <c r="I183" s="91">
        <v>7</v>
      </c>
      <c r="J183" s="91">
        <v>2</v>
      </c>
      <c r="K183" s="91">
        <v>2</v>
      </c>
      <c r="L183" s="91">
        <v>3</v>
      </c>
      <c r="M183" s="91">
        <v>3</v>
      </c>
      <c r="N183" s="91"/>
      <c r="O183" s="91">
        <v>1</v>
      </c>
      <c r="P183" s="91">
        <v>1</v>
      </c>
      <c r="Q183" s="91">
        <v>1</v>
      </c>
      <c r="R183" s="91">
        <v>1</v>
      </c>
      <c r="S183" s="91">
        <v>7</v>
      </c>
      <c r="T183" s="91"/>
      <c r="U183" s="91">
        <v>5</v>
      </c>
      <c r="V183" s="91">
        <v>2</v>
      </c>
      <c r="W183" s="91">
        <v>2</v>
      </c>
      <c r="X183" s="91">
        <v>3</v>
      </c>
      <c r="Y183" s="91"/>
      <c r="Z183" s="91"/>
      <c r="AA183" s="91">
        <v>2</v>
      </c>
      <c r="AB183" s="91">
        <v>1</v>
      </c>
      <c r="AC183" s="91">
        <v>2</v>
      </c>
      <c r="AD183" s="91">
        <v>3</v>
      </c>
      <c r="AE183" s="91">
        <v>8</v>
      </c>
      <c r="AF183" s="91">
        <v>1</v>
      </c>
      <c r="AG183" s="91">
        <v>2</v>
      </c>
      <c r="AH183" s="91">
        <v>1</v>
      </c>
      <c r="AI183" s="91">
        <v>6</v>
      </c>
      <c r="AJ183" s="91"/>
      <c r="AK183" s="91"/>
      <c r="AL183" s="91"/>
      <c r="AM183" s="91">
        <v>4</v>
      </c>
      <c r="AN183" s="91">
        <v>2</v>
      </c>
      <c r="AO183" s="91">
        <v>1</v>
      </c>
      <c r="AP183" s="91">
        <v>3</v>
      </c>
      <c r="AQ183" s="91">
        <v>5</v>
      </c>
      <c r="AR183" s="91">
        <v>9</v>
      </c>
      <c r="AS183" s="91">
        <v>1</v>
      </c>
      <c r="AT183" s="91"/>
      <c r="AU183" s="91">
        <v>1</v>
      </c>
      <c r="AV183" s="91">
        <v>4</v>
      </c>
      <c r="AW183" s="91">
        <v>6</v>
      </c>
      <c r="AX183" s="91">
        <v>1</v>
      </c>
      <c r="AY183" s="91">
        <v>3</v>
      </c>
      <c r="AZ183" s="91">
        <v>3</v>
      </c>
      <c r="BA183" s="91">
        <v>2</v>
      </c>
      <c r="BB183" s="91"/>
      <c r="BC183" s="91"/>
    </row>
    <row r="184" spans="1:55" x14ac:dyDescent="0.25">
      <c r="A184" s="91" t="s">
        <v>154</v>
      </c>
      <c r="B184" s="129">
        <f t="shared" si="4"/>
        <v>35</v>
      </c>
      <c r="C184" s="91"/>
      <c r="D184" s="91"/>
      <c r="E184" s="91"/>
      <c r="F184" s="91">
        <v>1</v>
      </c>
      <c r="G184" s="91">
        <v>2</v>
      </c>
      <c r="H184" s="91"/>
      <c r="I184" s="91">
        <v>2</v>
      </c>
      <c r="J184" s="91">
        <v>5</v>
      </c>
      <c r="K184" s="91">
        <v>1</v>
      </c>
      <c r="L184" s="91">
        <v>1</v>
      </c>
      <c r="M184" s="91">
        <v>1</v>
      </c>
      <c r="N184" s="91"/>
      <c r="O184" s="91">
        <v>1</v>
      </c>
      <c r="P184" s="91">
        <v>1</v>
      </c>
      <c r="Q184" s="91">
        <v>1</v>
      </c>
      <c r="R184" s="91"/>
      <c r="S184" s="91"/>
      <c r="T184" s="91"/>
      <c r="U184" s="91">
        <v>2</v>
      </c>
      <c r="V184" s="91">
        <v>1</v>
      </c>
      <c r="W184" s="91">
        <v>1</v>
      </c>
      <c r="X184" s="91">
        <v>2</v>
      </c>
      <c r="Y184" s="91">
        <v>1</v>
      </c>
      <c r="Z184" s="91"/>
      <c r="AA184" s="91">
        <v>1</v>
      </c>
      <c r="AB184" s="91">
        <v>2</v>
      </c>
      <c r="AC184" s="91"/>
      <c r="AD184" s="91"/>
      <c r="AE184" s="91">
        <v>1</v>
      </c>
      <c r="AF184" s="91"/>
      <c r="AG184" s="91"/>
      <c r="AH184" s="91"/>
      <c r="AI184" s="91"/>
      <c r="AJ184" s="91"/>
      <c r="AK184" s="91">
        <v>1</v>
      </c>
      <c r="AL184" s="91">
        <v>1</v>
      </c>
      <c r="AM184" s="91"/>
      <c r="AN184" s="91"/>
      <c r="AO184" s="91">
        <v>1</v>
      </c>
      <c r="AP184" s="91"/>
      <c r="AQ184" s="91"/>
      <c r="AR184" s="91">
        <v>1</v>
      </c>
      <c r="AS184" s="91"/>
      <c r="AT184" s="91"/>
      <c r="AU184" s="91">
        <v>2</v>
      </c>
      <c r="AV184" s="91">
        <v>1</v>
      </c>
      <c r="AW184" s="91">
        <v>1</v>
      </c>
      <c r="AX184" s="91"/>
      <c r="AY184" s="91"/>
      <c r="AZ184" s="91"/>
      <c r="BA184" s="91"/>
      <c r="BB184" s="91"/>
      <c r="BC184" s="91"/>
    </row>
    <row r="185" spans="1:55" x14ac:dyDescent="0.25">
      <c r="A185" s="91" t="s">
        <v>430</v>
      </c>
      <c r="B185" s="129">
        <f t="shared" si="4"/>
        <v>302</v>
      </c>
      <c r="C185" s="91">
        <v>1</v>
      </c>
      <c r="D185" s="91">
        <v>4</v>
      </c>
      <c r="E185" s="91">
        <v>11</v>
      </c>
      <c r="F185" s="91">
        <v>10</v>
      </c>
      <c r="G185" s="91">
        <v>2</v>
      </c>
      <c r="H185" s="91"/>
      <c r="I185" s="91">
        <v>6</v>
      </c>
      <c r="J185" s="91">
        <v>16</v>
      </c>
      <c r="K185" s="91">
        <v>2</v>
      </c>
      <c r="L185" s="91">
        <v>5</v>
      </c>
      <c r="M185" s="91">
        <v>5</v>
      </c>
      <c r="N185" s="91">
        <v>11</v>
      </c>
      <c r="O185" s="91">
        <v>1</v>
      </c>
      <c r="P185" s="91">
        <v>1</v>
      </c>
      <c r="Q185" s="91">
        <v>9</v>
      </c>
      <c r="R185" s="91">
        <v>10</v>
      </c>
      <c r="S185" s="91">
        <v>6</v>
      </c>
      <c r="T185" s="91"/>
      <c r="U185" s="91">
        <v>11</v>
      </c>
      <c r="V185" s="91">
        <v>2</v>
      </c>
      <c r="W185" s="91">
        <v>2</v>
      </c>
      <c r="X185" s="91">
        <v>7</v>
      </c>
      <c r="Y185" s="91">
        <v>7</v>
      </c>
      <c r="Z185" s="91">
        <v>9</v>
      </c>
      <c r="AA185" s="91">
        <v>2</v>
      </c>
      <c r="AB185" s="91">
        <v>7</v>
      </c>
      <c r="AC185" s="91">
        <v>3</v>
      </c>
      <c r="AD185" s="91">
        <v>13</v>
      </c>
      <c r="AE185" s="91">
        <v>7</v>
      </c>
      <c r="AF185" s="91">
        <v>1</v>
      </c>
      <c r="AG185" s="91">
        <v>1</v>
      </c>
      <c r="AH185" s="91">
        <v>4</v>
      </c>
      <c r="AI185" s="91">
        <v>13</v>
      </c>
      <c r="AJ185" s="91">
        <v>8</v>
      </c>
      <c r="AK185" s="91">
        <v>10</v>
      </c>
      <c r="AL185" s="91">
        <v>9</v>
      </c>
      <c r="AM185" s="91">
        <v>2</v>
      </c>
      <c r="AN185" s="91">
        <v>6</v>
      </c>
      <c r="AO185" s="91">
        <v>10</v>
      </c>
      <c r="AP185" s="91">
        <v>10</v>
      </c>
      <c r="AQ185" s="91">
        <v>5</v>
      </c>
      <c r="AR185" s="91">
        <v>11</v>
      </c>
      <c r="AS185" s="91">
        <v>7</v>
      </c>
      <c r="AT185" s="91"/>
      <c r="AU185" s="91">
        <v>6</v>
      </c>
      <c r="AV185" s="91">
        <v>5</v>
      </c>
      <c r="AW185" s="91">
        <v>9</v>
      </c>
      <c r="AX185" s="91"/>
      <c r="AY185" s="91">
        <v>5</v>
      </c>
      <c r="AZ185" s="91">
        <v>8</v>
      </c>
      <c r="BA185" s="91"/>
      <c r="BB185" s="91">
        <v>2</v>
      </c>
      <c r="BC185" s="91"/>
    </row>
    <row r="186" spans="1:55" x14ac:dyDescent="0.25">
      <c r="A186" s="91" t="s">
        <v>590</v>
      </c>
      <c r="B186" s="129">
        <f t="shared" si="4"/>
        <v>172</v>
      </c>
      <c r="C186" s="91">
        <v>5</v>
      </c>
      <c r="D186" s="91">
        <v>2</v>
      </c>
      <c r="E186" s="91">
        <v>3</v>
      </c>
      <c r="F186" s="91">
        <v>6</v>
      </c>
      <c r="G186" s="91">
        <v>14</v>
      </c>
      <c r="H186" s="91">
        <v>4</v>
      </c>
      <c r="I186" s="91">
        <v>1</v>
      </c>
      <c r="J186" s="91">
        <v>8</v>
      </c>
      <c r="K186" s="91">
        <v>2</v>
      </c>
      <c r="L186" s="91">
        <v>2</v>
      </c>
      <c r="M186" s="91">
        <v>3</v>
      </c>
      <c r="N186" s="91">
        <v>12</v>
      </c>
      <c r="O186" s="91"/>
      <c r="P186" s="91"/>
      <c r="Q186" s="91">
        <v>3</v>
      </c>
      <c r="R186" s="91">
        <v>1</v>
      </c>
      <c r="S186" s="91">
        <v>2</v>
      </c>
      <c r="T186" s="91">
        <v>1</v>
      </c>
      <c r="U186" s="91">
        <v>8</v>
      </c>
      <c r="V186" s="91">
        <v>9</v>
      </c>
      <c r="W186" s="91">
        <v>7</v>
      </c>
      <c r="X186" s="91">
        <v>3</v>
      </c>
      <c r="Y186" s="91">
        <v>2</v>
      </c>
      <c r="Z186" s="91">
        <v>2</v>
      </c>
      <c r="AA186" s="91">
        <v>1</v>
      </c>
      <c r="AB186" s="91"/>
      <c r="AC186" s="91">
        <v>2</v>
      </c>
      <c r="AD186" s="91">
        <v>3</v>
      </c>
      <c r="AE186" s="91">
        <v>2</v>
      </c>
      <c r="AF186" s="91"/>
      <c r="AG186" s="91">
        <v>2</v>
      </c>
      <c r="AH186" s="91">
        <v>11</v>
      </c>
      <c r="AI186" s="91">
        <v>2</v>
      </c>
      <c r="AJ186" s="91">
        <v>1</v>
      </c>
      <c r="AK186" s="91">
        <v>3</v>
      </c>
      <c r="AL186" s="91">
        <v>8</v>
      </c>
      <c r="AM186" s="91">
        <v>2</v>
      </c>
      <c r="AN186" s="91"/>
      <c r="AO186" s="91">
        <v>9</v>
      </c>
      <c r="AP186" s="91">
        <v>2</v>
      </c>
      <c r="AQ186" s="91">
        <v>6</v>
      </c>
      <c r="AR186" s="91">
        <v>3</v>
      </c>
      <c r="AS186" s="91"/>
      <c r="AT186" s="91"/>
      <c r="AU186" s="91"/>
      <c r="AV186" s="91">
        <v>1</v>
      </c>
      <c r="AW186" s="91">
        <v>1</v>
      </c>
      <c r="AX186" s="91">
        <v>2</v>
      </c>
      <c r="AY186" s="91">
        <v>1</v>
      </c>
      <c r="AZ186" s="91">
        <v>7</v>
      </c>
      <c r="BA186" s="91"/>
      <c r="BB186" s="91">
        <v>3</v>
      </c>
      <c r="BC186" s="91"/>
    </row>
    <row r="187" spans="1:55" x14ac:dyDescent="0.25">
      <c r="A187" s="91" t="s">
        <v>479</v>
      </c>
      <c r="B187" s="129">
        <f t="shared" si="4"/>
        <v>95</v>
      </c>
      <c r="C187" s="91">
        <v>1</v>
      </c>
      <c r="D187" s="91"/>
      <c r="E187" s="91">
        <v>2</v>
      </c>
      <c r="F187" s="91">
        <v>1</v>
      </c>
      <c r="G187" s="91">
        <v>1</v>
      </c>
      <c r="H187" s="91">
        <v>21</v>
      </c>
      <c r="I187" s="91">
        <v>1</v>
      </c>
      <c r="J187" s="91">
        <v>2</v>
      </c>
      <c r="K187" s="91"/>
      <c r="L187" s="91">
        <v>2</v>
      </c>
      <c r="M187" s="91"/>
      <c r="N187" s="91"/>
      <c r="O187" s="91">
        <v>2</v>
      </c>
      <c r="P187" s="91">
        <v>4</v>
      </c>
      <c r="Q187" s="91"/>
      <c r="R187" s="91">
        <v>1</v>
      </c>
      <c r="S187" s="91">
        <v>3</v>
      </c>
      <c r="T187" s="91"/>
      <c r="U187" s="91">
        <v>4</v>
      </c>
      <c r="V187" s="91"/>
      <c r="W187" s="91"/>
      <c r="X187" s="91">
        <v>2</v>
      </c>
      <c r="Y187" s="91">
        <v>3</v>
      </c>
      <c r="Z187" s="91"/>
      <c r="AA187" s="91">
        <v>1</v>
      </c>
      <c r="AB187" s="91">
        <v>1</v>
      </c>
      <c r="AC187" s="91">
        <v>1</v>
      </c>
      <c r="AD187" s="91">
        <v>1</v>
      </c>
      <c r="AE187" s="91">
        <v>2</v>
      </c>
      <c r="AF187" s="91"/>
      <c r="AG187" s="91">
        <v>3</v>
      </c>
      <c r="AH187" s="91">
        <v>3</v>
      </c>
      <c r="AI187" s="91">
        <v>4</v>
      </c>
      <c r="AJ187" s="91"/>
      <c r="AK187" s="91"/>
      <c r="AL187" s="91"/>
      <c r="AM187" s="91">
        <v>4</v>
      </c>
      <c r="AN187" s="91"/>
      <c r="AO187" s="91">
        <v>6</v>
      </c>
      <c r="AP187" s="91">
        <v>1</v>
      </c>
      <c r="AQ187" s="91">
        <v>1</v>
      </c>
      <c r="AR187" s="91">
        <v>6</v>
      </c>
      <c r="AS187" s="91">
        <v>5</v>
      </c>
      <c r="AT187" s="91"/>
      <c r="AU187" s="91">
        <v>1</v>
      </c>
      <c r="AV187" s="91">
        <v>1</v>
      </c>
      <c r="AW187" s="91">
        <v>1</v>
      </c>
      <c r="AX187" s="91">
        <v>1</v>
      </c>
      <c r="AY187" s="91">
        <v>1</v>
      </c>
      <c r="AZ187" s="91">
        <v>1</v>
      </c>
      <c r="BA187" s="91"/>
      <c r="BB187" s="91"/>
      <c r="BC187" s="91"/>
    </row>
    <row r="188" spans="1:55" x14ac:dyDescent="0.25">
      <c r="A188" s="91" t="s">
        <v>250</v>
      </c>
      <c r="B188" s="129">
        <f t="shared" si="4"/>
        <v>116</v>
      </c>
      <c r="C188" s="91">
        <v>2</v>
      </c>
      <c r="D188" s="91">
        <v>1</v>
      </c>
      <c r="E188" s="91">
        <v>2</v>
      </c>
      <c r="F188" s="91">
        <v>1</v>
      </c>
      <c r="G188" s="91">
        <v>3</v>
      </c>
      <c r="H188" s="91"/>
      <c r="I188" s="91">
        <v>8</v>
      </c>
      <c r="J188" s="91">
        <v>3</v>
      </c>
      <c r="K188" s="91">
        <v>2</v>
      </c>
      <c r="L188" s="91">
        <v>2</v>
      </c>
      <c r="M188" s="91">
        <v>2</v>
      </c>
      <c r="N188" s="91">
        <v>12</v>
      </c>
      <c r="O188" s="91">
        <v>3</v>
      </c>
      <c r="P188" s="91"/>
      <c r="Q188" s="91">
        <v>2</v>
      </c>
      <c r="R188" s="91"/>
      <c r="S188" s="91">
        <v>5</v>
      </c>
      <c r="T188" s="91"/>
      <c r="U188" s="91">
        <v>1</v>
      </c>
      <c r="V188" s="91">
        <v>4</v>
      </c>
      <c r="W188" s="91">
        <v>3</v>
      </c>
      <c r="X188" s="91">
        <v>1</v>
      </c>
      <c r="Y188" s="91">
        <v>9</v>
      </c>
      <c r="Z188" s="91">
        <v>3</v>
      </c>
      <c r="AA188" s="91"/>
      <c r="AB188" s="91"/>
      <c r="AC188" s="91">
        <v>1</v>
      </c>
      <c r="AD188" s="91">
        <v>4</v>
      </c>
      <c r="AE188" s="91">
        <v>1</v>
      </c>
      <c r="AF188" s="91">
        <v>1</v>
      </c>
      <c r="AG188" s="91">
        <v>1</v>
      </c>
      <c r="AH188" s="91">
        <v>5</v>
      </c>
      <c r="AI188" s="91"/>
      <c r="AJ188" s="91"/>
      <c r="AK188" s="91"/>
      <c r="AL188" s="91">
        <v>2</v>
      </c>
      <c r="AM188" s="91">
        <v>2</v>
      </c>
      <c r="AN188" s="91">
        <v>5</v>
      </c>
      <c r="AO188" s="91">
        <v>1</v>
      </c>
      <c r="AP188" s="91">
        <v>1</v>
      </c>
      <c r="AQ188" s="91">
        <v>4</v>
      </c>
      <c r="AR188" s="91">
        <v>1</v>
      </c>
      <c r="AS188" s="91">
        <v>1</v>
      </c>
      <c r="AT188" s="91"/>
      <c r="AU188" s="91">
        <v>2</v>
      </c>
      <c r="AV188" s="91">
        <v>2</v>
      </c>
      <c r="AW188" s="91">
        <v>6</v>
      </c>
      <c r="AX188" s="91">
        <v>3</v>
      </c>
      <c r="AY188" s="91">
        <v>1</v>
      </c>
      <c r="AZ188" s="91">
        <v>1</v>
      </c>
      <c r="BA188" s="91">
        <v>1</v>
      </c>
      <c r="BB188" s="91">
        <v>1</v>
      </c>
      <c r="BC188" s="91"/>
    </row>
    <row r="189" spans="1:55" x14ac:dyDescent="0.25">
      <c r="A189" s="91" t="s">
        <v>222</v>
      </c>
      <c r="B189" s="129">
        <f t="shared" si="4"/>
        <v>223</v>
      </c>
      <c r="C189" s="91">
        <v>2</v>
      </c>
      <c r="D189" s="91">
        <v>10</v>
      </c>
      <c r="E189" s="91">
        <v>11</v>
      </c>
      <c r="F189" s="91">
        <v>3</v>
      </c>
      <c r="G189" s="91">
        <v>2</v>
      </c>
      <c r="H189" s="91"/>
      <c r="I189" s="91">
        <v>11</v>
      </c>
      <c r="J189" s="91">
        <v>16</v>
      </c>
      <c r="K189" s="91">
        <v>4</v>
      </c>
      <c r="L189" s="91"/>
      <c r="M189" s="91"/>
      <c r="N189" s="91">
        <v>15</v>
      </c>
      <c r="O189" s="91">
        <v>2</v>
      </c>
      <c r="P189" s="91"/>
      <c r="Q189" s="91">
        <v>1</v>
      </c>
      <c r="R189" s="91">
        <v>4</v>
      </c>
      <c r="S189" s="91">
        <v>2</v>
      </c>
      <c r="T189" s="91"/>
      <c r="U189" s="91">
        <v>6</v>
      </c>
      <c r="V189" s="91">
        <v>4</v>
      </c>
      <c r="W189" s="91">
        <v>1</v>
      </c>
      <c r="X189" s="91">
        <v>1</v>
      </c>
      <c r="Y189" s="91">
        <v>2</v>
      </c>
      <c r="Z189" s="91">
        <v>2</v>
      </c>
      <c r="AA189" s="91">
        <v>2</v>
      </c>
      <c r="AB189" s="91"/>
      <c r="AC189" s="91">
        <v>3</v>
      </c>
      <c r="AD189" s="91">
        <v>6</v>
      </c>
      <c r="AE189" s="91">
        <v>2</v>
      </c>
      <c r="AF189" s="91">
        <v>2</v>
      </c>
      <c r="AG189" s="91">
        <v>2</v>
      </c>
      <c r="AH189" s="91">
        <v>1</v>
      </c>
      <c r="AI189" s="91">
        <v>12</v>
      </c>
      <c r="AJ189" s="91"/>
      <c r="AK189" s="91">
        <v>3</v>
      </c>
      <c r="AL189" s="91">
        <v>4</v>
      </c>
      <c r="AM189" s="91">
        <v>8</v>
      </c>
      <c r="AN189" s="91">
        <v>4</v>
      </c>
      <c r="AO189" s="91">
        <v>6</v>
      </c>
      <c r="AP189" s="91">
        <v>3</v>
      </c>
      <c r="AQ189" s="91">
        <v>5</v>
      </c>
      <c r="AR189" s="91">
        <v>3</v>
      </c>
      <c r="AS189" s="91">
        <v>7</v>
      </c>
      <c r="AT189" s="91"/>
      <c r="AU189" s="91">
        <v>4</v>
      </c>
      <c r="AV189" s="91"/>
      <c r="AW189" s="91">
        <v>6</v>
      </c>
      <c r="AX189" s="91">
        <v>11</v>
      </c>
      <c r="AY189" s="91"/>
      <c r="AZ189" s="91">
        <v>3</v>
      </c>
      <c r="BA189" s="91">
        <v>11</v>
      </c>
      <c r="BB189" s="91">
        <v>16</v>
      </c>
      <c r="BC189" s="91"/>
    </row>
    <row r="190" spans="1:55" x14ac:dyDescent="0.25">
      <c r="A190" s="91" t="s">
        <v>420</v>
      </c>
      <c r="B190" s="129">
        <f t="shared" si="4"/>
        <v>134</v>
      </c>
      <c r="C190" s="91"/>
      <c r="D190" s="91">
        <v>3</v>
      </c>
      <c r="E190" s="91">
        <v>17</v>
      </c>
      <c r="F190" s="91">
        <v>1</v>
      </c>
      <c r="G190" s="91"/>
      <c r="H190" s="91"/>
      <c r="I190" s="91">
        <v>4</v>
      </c>
      <c r="J190" s="91">
        <v>4</v>
      </c>
      <c r="K190" s="91">
        <v>3</v>
      </c>
      <c r="L190" s="91"/>
      <c r="M190" s="91">
        <v>3</v>
      </c>
      <c r="N190" s="91">
        <v>9</v>
      </c>
      <c r="O190" s="91">
        <v>2</v>
      </c>
      <c r="P190" s="91">
        <v>1</v>
      </c>
      <c r="Q190" s="91">
        <v>4</v>
      </c>
      <c r="R190" s="91">
        <v>8</v>
      </c>
      <c r="S190" s="91">
        <v>4</v>
      </c>
      <c r="T190" s="91"/>
      <c r="U190" s="91">
        <v>1</v>
      </c>
      <c r="V190" s="91">
        <v>4</v>
      </c>
      <c r="W190" s="91">
        <v>4</v>
      </c>
      <c r="X190" s="91">
        <v>8</v>
      </c>
      <c r="Y190" s="91"/>
      <c r="Z190" s="91"/>
      <c r="AA190" s="91">
        <v>3</v>
      </c>
      <c r="AB190" s="91">
        <v>1</v>
      </c>
      <c r="AC190" s="91"/>
      <c r="AD190" s="91">
        <v>2</v>
      </c>
      <c r="AE190" s="91">
        <v>1</v>
      </c>
      <c r="AF190" s="91">
        <v>2</v>
      </c>
      <c r="AG190" s="91">
        <v>1</v>
      </c>
      <c r="AH190" s="91">
        <v>2</v>
      </c>
      <c r="AI190" s="91">
        <v>1</v>
      </c>
      <c r="AJ190" s="91">
        <v>13</v>
      </c>
      <c r="AK190" s="91">
        <v>2</v>
      </c>
      <c r="AL190" s="91"/>
      <c r="AM190" s="91">
        <v>2</v>
      </c>
      <c r="AN190" s="91">
        <v>3</v>
      </c>
      <c r="AO190" s="91">
        <v>1</v>
      </c>
      <c r="AP190" s="91">
        <v>3</v>
      </c>
      <c r="AQ190" s="91">
        <v>6</v>
      </c>
      <c r="AR190" s="91">
        <v>2</v>
      </c>
      <c r="AS190" s="91">
        <v>1</v>
      </c>
      <c r="AT190" s="91"/>
      <c r="AU190" s="91"/>
      <c r="AV190" s="91">
        <v>6</v>
      </c>
      <c r="AW190" s="91">
        <v>1</v>
      </c>
      <c r="AX190" s="91">
        <v>1</v>
      </c>
      <c r="AY190" s="91"/>
      <c r="AZ190" s="91"/>
      <c r="BA190" s="91"/>
      <c r="BB190" s="91"/>
      <c r="BC190" s="91"/>
    </row>
    <row r="191" spans="1:55" x14ac:dyDescent="0.25">
      <c r="A191" s="91" t="s">
        <v>387</v>
      </c>
      <c r="B191" s="129">
        <f t="shared" si="4"/>
        <v>288</v>
      </c>
      <c r="C191" s="91">
        <v>1</v>
      </c>
      <c r="D191" s="91">
        <v>11</v>
      </c>
      <c r="E191" s="91">
        <v>3</v>
      </c>
      <c r="F191" s="91">
        <v>16</v>
      </c>
      <c r="G191" s="91">
        <v>1</v>
      </c>
      <c r="H191" s="91"/>
      <c r="I191" s="91">
        <v>6</v>
      </c>
      <c r="J191" s="91">
        <v>3</v>
      </c>
      <c r="K191" s="91">
        <v>2</v>
      </c>
      <c r="L191" s="91">
        <v>7</v>
      </c>
      <c r="M191" s="91">
        <v>1</v>
      </c>
      <c r="N191" s="91">
        <v>7</v>
      </c>
      <c r="O191" s="91">
        <v>3</v>
      </c>
      <c r="P191" s="91">
        <v>1</v>
      </c>
      <c r="Q191" s="91">
        <v>5</v>
      </c>
      <c r="R191" s="91">
        <v>2</v>
      </c>
      <c r="S191" s="91">
        <v>6</v>
      </c>
      <c r="T191" s="91"/>
      <c r="U191" s="91">
        <v>20</v>
      </c>
      <c r="V191" s="91">
        <v>7</v>
      </c>
      <c r="W191" s="91">
        <v>7</v>
      </c>
      <c r="X191" s="91">
        <v>10</v>
      </c>
      <c r="Y191" s="91">
        <v>17</v>
      </c>
      <c r="Z191" s="91">
        <v>2</v>
      </c>
      <c r="AA191" s="91"/>
      <c r="AB191" s="91">
        <v>1</v>
      </c>
      <c r="AC191" s="91">
        <v>8</v>
      </c>
      <c r="AD191" s="91">
        <v>7</v>
      </c>
      <c r="AE191" s="91">
        <v>9</v>
      </c>
      <c r="AF191" s="91">
        <v>4</v>
      </c>
      <c r="AG191" s="91">
        <v>2</v>
      </c>
      <c r="AH191" s="91">
        <v>5</v>
      </c>
      <c r="AI191" s="91">
        <v>10</v>
      </c>
      <c r="AJ191" s="91">
        <v>5</v>
      </c>
      <c r="AK191" s="91">
        <v>6</v>
      </c>
      <c r="AL191" s="91">
        <v>9</v>
      </c>
      <c r="AM191" s="91">
        <v>2</v>
      </c>
      <c r="AN191" s="91">
        <v>14</v>
      </c>
      <c r="AO191" s="91">
        <v>11</v>
      </c>
      <c r="AP191" s="91">
        <v>14</v>
      </c>
      <c r="AQ191" s="91">
        <v>5</v>
      </c>
      <c r="AR191" s="91">
        <v>1</v>
      </c>
      <c r="AS191" s="91">
        <v>8</v>
      </c>
      <c r="AT191" s="91"/>
      <c r="AU191" s="91">
        <v>5</v>
      </c>
      <c r="AV191" s="91">
        <v>3</v>
      </c>
      <c r="AW191" s="91">
        <v>10</v>
      </c>
      <c r="AX191" s="91"/>
      <c r="AY191" s="91">
        <v>1</v>
      </c>
      <c r="AZ191" s="91">
        <v>3</v>
      </c>
      <c r="BA191" s="91">
        <v>2</v>
      </c>
      <c r="BB191" s="91">
        <v>5</v>
      </c>
      <c r="BC191" s="91"/>
    </row>
    <row r="192" spans="1:55" x14ac:dyDescent="0.25">
      <c r="A192" s="91" t="s">
        <v>218</v>
      </c>
      <c r="B192" s="129">
        <f t="shared" si="4"/>
        <v>101</v>
      </c>
      <c r="C192" s="91"/>
      <c r="D192" s="91"/>
      <c r="E192" s="91">
        <v>4</v>
      </c>
      <c r="F192" s="91">
        <v>13</v>
      </c>
      <c r="G192" s="91">
        <v>6</v>
      </c>
      <c r="H192" s="91"/>
      <c r="I192" s="91">
        <v>3</v>
      </c>
      <c r="J192" s="91"/>
      <c r="K192" s="91"/>
      <c r="L192" s="91">
        <v>1</v>
      </c>
      <c r="M192" s="91">
        <v>2</v>
      </c>
      <c r="N192" s="91">
        <v>1</v>
      </c>
      <c r="O192" s="91"/>
      <c r="P192" s="91">
        <v>1</v>
      </c>
      <c r="Q192" s="91">
        <v>10</v>
      </c>
      <c r="R192" s="91"/>
      <c r="S192" s="91"/>
      <c r="T192" s="91"/>
      <c r="U192" s="91">
        <v>2</v>
      </c>
      <c r="V192" s="91"/>
      <c r="W192" s="91"/>
      <c r="X192" s="91">
        <v>7</v>
      </c>
      <c r="Y192" s="91">
        <v>4</v>
      </c>
      <c r="Z192" s="91">
        <v>4</v>
      </c>
      <c r="AA192" s="91">
        <v>3</v>
      </c>
      <c r="AB192" s="91">
        <v>3</v>
      </c>
      <c r="AC192" s="91"/>
      <c r="AD192" s="91">
        <v>7</v>
      </c>
      <c r="AE192" s="91">
        <v>1</v>
      </c>
      <c r="AF192" s="91">
        <v>1</v>
      </c>
      <c r="AG192" s="91"/>
      <c r="AH192" s="91"/>
      <c r="AI192" s="91">
        <v>2</v>
      </c>
      <c r="AJ192" s="91"/>
      <c r="AK192" s="91">
        <v>4</v>
      </c>
      <c r="AL192" s="91">
        <v>2</v>
      </c>
      <c r="AM192" s="91">
        <v>1</v>
      </c>
      <c r="AN192" s="91"/>
      <c r="AO192" s="91"/>
      <c r="AP192" s="91"/>
      <c r="AQ192" s="91">
        <v>1</v>
      </c>
      <c r="AR192" s="91"/>
      <c r="AS192" s="91">
        <v>1</v>
      </c>
      <c r="AT192" s="91"/>
      <c r="AU192" s="91"/>
      <c r="AV192" s="91"/>
      <c r="AW192" s="91">
        <v>10</v>
      </c>
      <c r="AX192" s="91">
        <v>6</v>
      </c>
      <c r="AY192" s="91"/>
      <c r="AZ192" s="91">
        <v>1</v>
      </c>
      <c r="BA192" s="91"/>
      <c r="BB192" s="91"/>
      <c r="BC192" s="91"/>
    </row>
    <row r="193" spans="1:55" x14ac:dyDescent="0.25">
      <c r="A193" s="91" t="s">
        <v>202</v>
      </c>
      <c r="B193" s="129">
        <f t="shared" si="4"/>
        <v>20</v>
      </c>
      <c r="C193" s="91"/>
      <c r="D193" s="91">
        <v>1</v>
      </c>
      <c r="E193" s="91"/>
      <c r="F193" s="91">
        <v>2</v>
      </c>
      <c r="G193" s="91"/>
      <c r="H193" s="91"/>
      <c r="I193" s="91">
        <v>2</v>
      </c>
      <c r="J193" s="91"/>
      <c r="K193" s="91"/>
      <c r="L193" s="91"/>
      <c r="M193" s="91"/>
      <c r="N193" s="91">
        <v>2</v>
      </c>
      <c r="O193" s="91"/>
      <c r="P193" s="91"/>
      <c r="Q193" s="91">
        <v>1</v>
      </c>
      <c r="R193" s="91">
        <v>1</v>
      </c>
      <c r="S193" s="91">
        <v>1</v>
      </c>
      <c r="T193" s="91">
        <v>2</v>
      </c>
      <c r="U193" s="91"/>
      <c r="V193" s="91">
        <v>1</v>
      </c>
      <c r="W193" s="91"/>
      <c r="X193" s="91"/>
      <c r="Y193" s="91"/>
      <c r="Z193" s="91"/>
      <c r="AA193" s="91"/>
      <c r="AB193" s="91"/>
      <c r="AC193" s="91">
        <v>1</v>
      </c>
      <c r="AD193" s="91"/>
      <c r="AE193" s="91">
        <v>1</v>
      </c>
      <c r="AF193" s="91"/>
      <c r="AG193" s="91"/>
      <c r="AH193" s="91">
        <v>1</v>
      </c>
      <c r="AI193" s="91"/>
      <c r="AJ193" s="91"/>
      <c r="AK193" s="91"/>
      <c r="AL193" s="91"/>
      <c r="AM193" s="91"/>
      <c r="AN193" s="91"/>
      <c r="AO193" s="91">
        <v>3</v>
      </c>
      <c r="AP193" s="91"/>
      <c r="AQ193" s="91"/>
      <c r="AR193" s="91">
        <v>1</v>
      </c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</row>
    <row r="194" spans="1:55" x14ac:dyDescent="0.25">
      <c r="A194" s="91" t="s">
        <v>67</v>
      </c>
      <c r="B194" s="129">
        <f t="shared" si="4"/>
        <v>590</v>
      </c>
      <c r="C194" s="91">
        <v>2</v>
      </c>
      <c r="D194" s="91"/>
      <c r="E194" s="91">
        <v>15</v>
      </c>
      <c r="F194" s="91">
        <v>21</v>
      </c>
      <c r="G194" s="91">
        <v>20</v>
      </c>
      <c r="H194" s="91"/>
      <c r="I194" s="91">
        <v>24</v>
      </c>
      <c r="J194" s="91">
        <v>16</v>
      </c>
      <c r="K194" s="91">
        <v>18</v>
      </c>
      <c r="L194" s="91">
        <v>12</v>
      </c>
      <c r="M194" s="91">
        <v>22</v>
      </c>
      <c r="N194" s="91">
        <v>33</v>
      </c>
      <c r="O194" s="91">
        <v>22</v>
      </c>
      <c r="P194" s="91"/>
      <c r="Q194" s="91">
        <v>13</v>
      </c>
      <c r="R194" s="91">
        <v>1</v>
      </c>
      <c r="S194" s="91">
        <v>1</v>
      </c>
      <c r="T194" s="91">
        <v>12</v>
      </c>
      <c r="U194" s="91"/>
      <c r="V194" s="91"/>
      <c r="W194" s="91">
        <v>22</v>
      </c>
      <c r="X194" s="91">
        <v>18</v>
      </c>
      <c r="Y194" s="91">
        <v>17</v>
      </c>
      <c r="Z194" s="91"/>
      <c r="AA194" s="91">
        <v>18</v>
      </c>
      <c r="AB194" s="91">
        <v>12</v>
      </c>
      <c r="AC194" s="91">
        <v>25</v>
      </c>
      <c r="AD194" s="91">
        <v>18</v>
      </c>
      <c r="AE194" s="91">
        <v>14</v>
      </c>
      <c r="AF194" s="91"/>
      <c r="AG194" s="91">
        <v>12</v>
      </c>
      <c r="AH194" s="91">
        <v>15</v>
      </c>
      <c r="AI194" s="91">
        <v>14</v>
      </c>
      <c r="AJ194" s="91">
        <v>19</v>
      </c>
      <c r="AK194" s="91">
        <v>13</v>
      </c>
      <c r="AL194" s="91">
        <v>3</v>
      </c>
      <c r="AM194" s="91">
        <v>1</v>
      </c>
      <c r="AN194" s="91">
        <v>19</v>
      </c>
      <c r="AO194" s="91">
        <v>13</v>
      </c>
      <c r="AP194" s="91">
        <v>13</v>
      </c>
      <c r="AQ194" s="91"/>
      <c r="AR194" s="91">
        <v>14</v>
      </c>
      <c r="AS194" s="91">
        <v>6</v>
      </c>
      <c r="AT194" s="91">
        <v>19</v>
      </c>
      <c r="AU194" s="91">
        <v>6</v>
      </c>
      <c r="AV194" s="91">
        <v>1</v>
      </c>
      <c r="AW194" s="91">
        <v>19</v>
      </c>
      <c r="AX194" s="91"/>
      <c r="AY194" s="91">
        <v>12</v>
      </c>
      <c r="AZ194" s="91">
        <v>15</v>
      </c>
      <c r="BA194" s="91"/>
      <c r="BB194" s="91"/>
      <c r="BC194" s="91"/>
    </row>
    <row r="195" spans="1:55" x14ac:dyDescent="0.25">
      <c r="A195" s="91" t="s">
        <v>386</v>
      </c>
      <c r="B195" s="129">
        <f t="shared" si="4"/>
        <v>399</v>
      </c>
      <c r="C195" s="91">
        <v>9</v>
      </c>
      <c r="D195" s="91">
        <v>6</v>
      </c>
      <c r="E195" s="91">
        <v>8</v>
      </c>
      <c r="F195" s="91"/>
      <c r="G195" s="91">
        <v>6</v>
      </c>
      <c r="H195" s="91"/>
      <c r="I195" s="91">
        <v>6</v>
      </c>
      <c r="J195" s="91">
        <v>19</v>
      </c>
      <c r="K195" s="91">
        <v>1</v>
      </c>
      <c r="L195" s="91">
        <v>1</v>
      </c>
      <c r="M195" s="91">
        <v>7</v>
      </c>
      <c r="N195" s="91">
        <v>13</v>
      </c>
      <c r="O195" s="91">
        <v>4</v>
      </c>
      <c r="P195" s="91">
        <v>8</v>
      </c>
      <c r="Q195" s="91">
        <v>2</v>
      </c>
      <c r="R195" s="91">
        <v>4</v>
      </c>
      <c r="S195" s="91">
        <v>24</v>
      </c>
      <c r="T195" s="91">
        <v>5</v>
      </c>
      <c r="U195" s="91">
        <v>3</v>
      </c>
      <c r="V195" s="91">
        <v>12</v>
      </c>
      <c r="W195" s="91">
        <v>4</v>
      </c>
      <c r="X195" s="91">
        <v>16</v>
      </c>
      <c r="Y195" s="91">
        <v>6</v>
      </c>
      <c r="Z195" s="91">
        <v>8</v>
      </c>
      <c r="AA195" s="91">
        <v>2</v>
      </c>
      <c r="AB195" s="91">
        <v>6</v>
      </c>
      <c r="AC195" s="91">
        <v>11</v>
      </c>
      <c r="AD195" s="91">
        <v>9</v>
      </c>
      <c r="AE195" s="91">
        <v>13</v>
      </c>
      <c r="AF195" s="91">
        <v>4</v>
      </c>
      <c r="AG195" s="91">
        <v>11</v>
      </c>
      <c r="AH195" s="91">
        <v>3</v>
      </c>
      <c r="AI195" s="91">
        <v>4</v>
      </c>
      <c r="AJ195" s="91">
        <v>13</v>
      </c>
      <c r="AK195" s="91">
        <v>5</v>
      </c>
      <c r="AL195" s="91">
        <v>15</v>
      </c>
      <c r="AM195" s="91">
        <v>5</v>
      </c>
      <c r="AN195" s="91">
        <v>4</v>
      </c>
      <c r="AO195" s="91">
        <v>11</v>
      </c>
      <c r="AP195" s="91">
        <v>12</v>
      </c>
      <c r="AQ195" s="91">
        <v>12</v>
      </c>
      <c r="AR195" s="91">
        <v>10</v>
      </c>
      <c r="AS195" s="91">
        <v>3</v>
      </c>
      <c r="AT195" s="91"/>
      <c r="AU195" s="91">
        <v>6</v>
      </c>
      <c r="AV195" s="91">
        <v>4</v>
      </c>
      <c r="AW195" s="91">
        <v>20</v>
      </c>
      <c r="AX195" s="91">
        <v>5</v>
      </c>
      <c r="AY195" s="91">
        <v>3</v>
      </c>
      <c r="AZ195" s="91">
        <v>4</v>
      </c>
      <c r="BA195" s="91">
        <v>5</v>
      </c>
      <c r="BB195" s="91">
        <v>27</v>
      </c>
      <c r="BC195" s="91"/>
    </row>
    <row r="196" spans="1:55" x14ac:dyDescent="0.25">
      <c r="A196" s="91" t="s">
        <v>364</v>
      </c>
      <c r="B196" s="129">
        <f t="shared" si="4"/>
        <v>223</v>
      </c>
      <c r="C196" s="91"/>
      <c r="D196" s="91">
        <v>8</v>
      </c>
      <c r="E196" s="91">
        <v>1</v>
      </c>
      <c r="F196" s="91">
        <v>14</v>
      </c>
      <c r="G196" s="91">
        <v>8</v>
      </c>
      <c r="H196" s="91"/>
      <c r="I196" s="91">
        <v>4</v>
      </c>
      <c r="J196" s="91">
        <v>1</v>
      </c>
      <c r="K196" s="91">
        <v>1</v>
      </c>
      <c r="L196" s="91">
        <v>1</v>
      </c>
      <c r="M196" s="91">
        <v>3</v>
      </c>
      <c r="N196" s="91">
        <v>14</v>
      </c>
      <c r="O196" s="91">
        <v>1</v>
      </c>
      <c r="P196" s="91">
        <v>5</v>
      </c>
      <c r="Q196" s="91">
        <v>14</v>
      </c>
      <c r="R196" s="91">
        <v>1</v>
      </c>
      <c r="S196" s="91">
        <v>6</v>
      </c>
      <c r="T196" s="91">
        <v>4</v>
      </c>
      <c r="U196" s="91">
        <v>14</v>
      </c>
      <c r="V196" s="91">
        <v>2</v>
      </c>
      <c r="W196" s="91">
        <v>7</v>
      </c>
      <c r="X196" s="91">
        <v>18</v>
      </c>
      <c r="Y196" s="91">
        <v>2</v>
      </c>
      <c r="Z196" s="91">
        <v>1</v>
      </c>
      <c r="AA196" s="91">
        <v>4</v>
      </c>
      <c r="AB196" s="91">
        <v>1</v>
      </c>
      <c r="AC196" s="91"/>
      <c r="AD196" s="91">
        <v>10</v>
      </c>
      <c r="AE196" s="91"/>
      <c r="AF196" s="91">
        <v>7</v>
      </c>
      <c r="AG196" s="91">
        <v>5</v>
      </c>
      <c r="AH196" s="91">
        <v>3</v>
      </c>
      <c r="AI196" s="91">
        <v>1</v>
      </c>
      <c r="AJ196" s="91"/>
      <c r="AK196" s="91">
        <v>1</v>
      </c>
      <c r="AL196" s="91">
        <v>10</v>
      </c>
      <c r="AM196" s="91">
        <v>1</v>
      </c>
      <c r="AN196" s="91">
        <v>1</v>
      </c>
      <c r="AO196" s="91">
        <v>2</v>
      </c>
      <c r="AP196" s="91"/>
      <c r="AQ196" s="91">
        <v>1</v>
      </c>
      <c r="AR196" s="91">
        <v>5</v>
      </c>
      <c r="AS196" s="91">
        <v>1</v>
      </c>
      <c r="AT196" s="91"/>
      <c r="AU196" s="91">
        <v>12</v>
      </c>
      <c r="AV196" s="91">
        <v>5</v>
      </c>
      <c r="AW196" s="91">
        <v>16</v>
      </c>
      <c r="AX196" s="91">
        <v>5</v>
      </c>
      <c r="AY196" s="91"/>
      <c r="AZ196" s="91">
        <v>1</v>
      </c>
      <c r="BA196" s="91"/>
      <c r="BB196" s="91">
        <v>1</v>
      </c>
      <c r="BC196" s="91"/>
    </row>
    <row r="197" spans="1:55" x14ac:dyDescent="0.25">
      <c r="A197" s="91" t="s">
        <v>378</v>
      </c>
      <c r="B197" s="129">
        <f t="shared" si="4"/>
        <v>193</v>
      </c>
      <c r="C197" s="91">
        <v>2</v>
      </c>
      <c r="D197" s="91">
        <v>1</v>
      </c>
      <c r="E197" s="91">
        <v>4</v>
      </c>
      <c r="F197" s="91">
        <v>2</v>
      </c>
      <c r="G197" s="91"/>
      <c r="H197" s="91"/>
      <c r="I197" s="91">
        <v>8</v>
      </c>
      <c r="J197" s="91">
        <v>5</v>
      </c>
      <c r="K197" s="91"/>
      <c r="L197" s="91">
        <v>4</v>
      </c>
      <c r="M197" s="91">
        <v>1</v>
      </c>
      <c r="N197" s="91">
        <v>6</v>
      </c>
      <c r="O197" s="91">
        <v>6</v>
      </c>
      <c r="P197" s="91">
        <v>8</v>
      </c>
      <c r="Q197" s="91">
        <v>2</v>
      </c>
      <c r="R197" s="91">
        <v>4</v>
      </c>
      <c r="S197" s="91">
        <v>11</v>
      </c>
      <c r="T197" s="91">
        <v>2</v>
      </c>
      <c r="U197" s="91">
        <v>3</v>
      </c>
      <c r="V197" s="91">
        <v>3</v>
      </c>
      <c r="W197" s="91">
        <v>3</v>
      </c>
      <c r="X197" s="91"/>
      <c r="Y197" s="91">
        <v>6</v>
      </c>
      <c r="Z197" s="91">
        <v>3</v>
      </c>
      <c r="AA197" s="91">
        <v>7</v>
      </c>
      <c r="AB197" s="91">
        <v>4</v>
      </c>
      <c r="AC197" s="91">
        <v>2</v>
      </c>
      <c r="AD197" s="91">
        <v>6</v>
      </c>
      <c r="AE197" s="91">
        <v>2</v>
      </c>
      <c r="AF197" s="91"/>
      <c r="AG197" s="91">
        <v>11</v>
      </c>
      <c r="AH197" s="91">
        <v>2</v>
      </c>
      <c r="AI197" s="91">
        <v>10</v>
      </c>
      <c r="AJ197" s="91">
        <v>6</v>
      </c>
      <c r="AK197" s="91">
        <v>3</v>
      </c>
      <c r="AL197" s="91">
        <v>4</v>
      </c>
      <c r="AM197" s="91">
        <v>1</v>
      </c>
      <c r="AN197" s="91">
        <v>4</v>
      </c>
      <c r="AO197" s="91">
        <v>1</v>
      </c>
      <c r="AP197" s="91">
        <v>6</v>
      </c>
      <c r="AQ197" s="91">
        <v>7</v>
      </c>
      <c r="AR197" s="91">
        <v>6</v>
      </c>
      <c r="AS197" s="91">
        <v>1</v>
      </c>
      <c r="AT197" s="91"/>
      <c r="AU197" s="91">
        <v>7</v>
      </c>
      <c r="AV197" s="91"/>
      <c r="AW197" s="91">
        <v>2</v>
      </c>
      <c r="AX197" s="91">
        <v>2</v>
      </c>
      <c r="AY197" s="91">
        <v>3</v>
      </c>
      <c r="AZ197" s="91">
        <v>2</v>
      </c>
      <c r="BA197" s="91"/>
      <c r="BB197" s="91">
        <v>10</v>
      </c>
      <c r="BC197" s="91"/>
    </row>
    <row r="198" spans="1:55" x14ac:dyDescent="0.25">
      <c r="A198" s="91" t="s">
        <v>459</v>
      </c>
      <c r="B198" s="129">
        <f t="shared" si="4"/>
        <v>91</v>
      </c>
      <c r="C198" s="91">
        <v>1</v>
      </c>
      <c r="D198" s="91">
        <v>5</v>
      </c>
      <c r="E198" s="91">
        <v>6</v>
      </c>
      <c r="F198" s="91">
        <v>1</v>
      </c>
      <c r="G198" s="91">
        <v>4</v>
      </c>
      <c r="H198" s="91"/>
      <c r="I198" s="91">
        <v>3</v>
      </c>
      <c r="J198" s="91">
        <v>3</v>
      </c>
      <c r="K198" s="91">
        <v>1</v>
      </c>
      <c r="L198" s="91">
        <v>1</v>
      </c>
      <c r="M198" s="91">
        <v>5</v>
      </c>
      <c r="N198" s="91">
        <v>2</v>
      </c>
      <c r="O198" s="91">
        <v>3</v>
      </c>
      <c r="P198" s="91"/>
      <c r="Q198" s="91">
        <v>2</v>
      </c>
      <c r="R198" s="91">
        <v>1</v>
      </c>
      <c r="S198" s="91">
        <v>3</v>
      </c>
      <c r="T198" s="91"/>
      <c r="U198" s="91">
        <v>2</v>
      </c>
      <c r="V198" s="91">
        <v>1</v>
      </c>
      <c r="W198" s="91">
        <v>8</v>
      </c>
      <c r="X198" s="91">
        <v>1</v>
      </c>
      <c r="Y198" s="91">
        <v>2</v>
      </c>
      <c r="Z198" s="91">
        <v>5</v>
      </c>
      <c r="AA198" s="91"/>
      <c r="AB198" s="91">
        <v>1</v>
      </c>
      <c r="AC198" s="91"/>
      <c r="AD198" s="91"/>
      <c r="AE198" s="91"/>
      <c r="AF198" s="91"/>
      <c r="AG198" s="91"/>
      <c r="AH198" s="91">
        <v>2</v>
      </c>
      <c r="AI198" s="91"/>
      <c r="AJ198" s="91">
        <v>1</v>
      </c>
      <c r="AK198" s="91"/>
      <c r="AL198" s="91">
        <v>1</v>
      </c>
      <c r="AM198" s="91">
        <v>1</v>
      </c>
      <c r="AN198" s="91">
        <v>4</v>
      </c>
      <c r="AO198" s="91">
        <v>1</v>
      </c>
      <c r="AP198" s="91"/>
      <c r="AQ198" s="91"/>
      <c r="AR198" s="91"/>
      <c r="AS198" s="91">
        <v>1</v>
      </c>
      <c r="AT198" s="91"/>
      <c r="AU198" s="91">
        <v>5</v>
      </c>
      <c r="AV198" s="91"/>
      <c r="AW198" s="91">
        <v>1</v>
      </c>
      <c r="AX198" s="91">
        <v>2</v>
      </c>
      <c r="AY198" s="91">
        <v>2</v>
      </c>
      <c r="AZ198" s="91"/>
      <c r="BA198" s="91"/>
      <c r="BB198" s="91">
        <v>9</v>
      </c>
      <c r="BC198" s="91"/>
    </row>
    <row r="199" spans="1:55" x14ac:dyDescent="0.25">
      <c r="A199" s="91" t="s">
        <v>140</v>
      </c>
      <c r="B199" s="129">
        <f t="shared" si="4"/>
        <v>39</v>
      </c>
      <c r="C199" s="91"/>
      <c r="D199" s="91"/>
      <c r="E199" s="91">
        <v>1</v>
      </c>
      <c r="F199" s="91">
        <v>2</v>
      </c>
      <c r="G199" s="91">
        <v>2</v>
      </c>
      <c r="H199" s="91"/>
      <c r="I199" s="91">
        <v>1</v>
      </c>
      <c r="J199" s="91">
        <v>8</v>
      </c>
      <c r="K199" s="91">
        <v>1</v>
      </c>
      <c r="L199" s="91"/>
      <c r="M199" s="91"/>
      <c r="N199" s="91">
        <v>2</v>
      </c>
      <c r="O199" s="91">
        <v>1</v>
      </c>
      <c r="P199" s="91"/>
      <c r="Q199" s="91">
        <v>1</v>
      </c>
      <c r="R199" s="91">
        <v>6</v>
      </c>
      <c r="S199" s="91">
        <v>3</v>
      </c>
      <c r="T199" s="91"/>
      <c r="U199" s="91"/>
      <c r="V199" s="91"/>
      <c r="W199" s="91">
        <v>1</v>
      </c>
      <c r="X199" s="91">
        <v>1</v>
      </c>
      <c r="Y199" s="91">
        <v>1</v>
      </c>
      <c r="Z199" s="91"/>
      <c r="AA199" s="91"/>
      <c r="AB199" s="91"/>
      <c r="AC199" s="91">
        <v>1</v>
      </c>
      <c r="AD199" s="91">
        <v>2</v>
      </c>
      <c r="AE199" s="91"/>
      <c r="AF199" s="91"/>
      <c r="AG199" s="91">
        <v>1</v>
      </c>
      <c r="AH199" s="91">
        <v>1</v>
      </c>
      <c r="AI199" s="91"/>
      <c r="AJ199" s="91">
        <v>1</v>
      </c>
      <c r="AK199" s="91"/>
      <c r="AL199" s="91"/>
      <c r="AM199" s="91"/>
      <c r="AN199" s="91">
        <v>1</v>
      </c>
      <c r="AO199" s="91">
        <v>1</v>
      </c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</row>
    <row r="200" spans="1:55" x14ac:dyDescent="0.25">
      <c r="A200" s="91" t="s">
        <v>346</v>
      </c>
      <c r="B200" s="129">
        <f t="shared" ref="B200:B263" si="5">SUM(C200:BC200)</f>
        <v>506</v>
      </c>
      <c r="C200" s="91">
        <v>6</v>
      </c>
      <c r="D200" s="91">
        <v>23</v>
      </c>
      <c r="E200" s="91">
        <v>28</v>
      </c>
      <c r="F200" s="91">
        <v>13</v>
      </c>
      <c r="G200" s="91">
        <v>35</v>
      </c>
      <c r="H200" s="91"/>
      <c r="I200" s="91">
        <v>20</v>
      </c>
      <c r="J200" s="91">
        <v>25</v>
      </c>
      <c r="K200" s="91">
        <v>3</v>
      </c>
      <c r="L200" s="91">
        <v>1</v>
      </c>
      <c r="M200" s="91">
        <v>3</v>
      </c>
      <c r="N200" s="91">
        <v>16</v>
      </c>
      <c r="O200" s="91">
        <v>8</v>
      </c>
      <c r="P200" s="91">
        <v>4</v>
      </c>
      <c r="Q200" s="91">
        <v>12</v>
      </c>
      <c r="R200" s="91">
        <v>1</v>
      </c>
      <c r="S200" s="91">
        <v>10</v>
      </c>
      <c r="T200" s="91">
        <v>2</v>
      </c>
      <c r="U200" s="91">
        <v>7</v>
      </c>
      <c r="V200" s="91">
        <v>26</v>
      </c>
      <c r="W200" s="91">
        <v>17</v>
      </c>
      <c r="X200" s="91">
        <v>8</v>
      </c>
      <c r="Y200" s="91">
        <v>12</v>
      </c>
      <c r="Z200" s="91">
        <v>8</v>
      </c>
      <c r="AA200" s="91">
        <v>22</v>
      </c>
      <c r="AB200" s="91">
        <v>7</v>
      </c>
      <c r="AC200" s="91">
        <v>4</v>
      </c>
      <c r="AD200" s="91">
        <v>19</v>
      </c>
      <c r="AE200" s="91">
        <v>9</v>
      </c>
      <c r="AF200" s="91">
        <v>1</v>
      </c>
      <c r="AG200" s="91">
        <v>14</v>
      </c>
      <c r="AH200" s="91">
        <v>15</v>
      </c>
      <c r="AI200" s="91"/>
      <c r="AJ200" s="91">
        <v>11</v>
      </c>
      <c r="AK200" s="91">
        <v>8</v>
      </c>
      <c r="AL200" s="91">
        <v>8</v>
      </c>
      <c r="AM200" s="91">
        <v>2</v>
      </c>
      <c r="AN200" s="91">
        <v>5</v>
      </c>
      <c r="AO200" s="91">
        <v>17</v>
      </c>
      <c r="AP200" s="91">
        <v>5</v>
      </c>
      <c r="AQ200" s="91"/>
      <c r="AR200" s="91">
        <v>7</v>
      </c>
      <c r="AS200" s="91">
        <v>9</v>
      </c>
      <c r="AT200" s="91"/>
      <c r="AU200" s="91">
        <v>7</v>
      </c>
      <c r="AV200" s="91"/>
      <c r="AW200" s="91">
        <v>30</v>
      </c>
      <c r="AX200" s="91">
        <v>1</v>
      </c>
      <c r="AY200" s="91">
        <v>1</v>
      </c>
      <c r="AZ200" s="91">
        <v>2</v>
      </c>
      <c r="BA200" s="91">
        <v>2</v>
      </c>
      <c r="BB200" s="91">
        <v>12</v>
      </c>
      <c r="BC200" s="91"/>
    </row>
    <row r="201" spans="1:55" x14ac:dyDescent="0.25">
      <c r="A201" s="91" t="s">
        <v>208</v>
      </c>
      <c r="B201" s="129">
        <f t="shared" si="5"/>
        <v>136</v>
      </c>
      <c r="C201" s="91">
        <v>4</v>
      </c>
      <c r="D201" s="91">
        <v>2</v>
      </c>
      <c r="E201" s="91">
        <v>1</v>
      </c>
      <c r="F201" s="91">
        <v>3</v>
      </c>
      <c r="G201" s="91">
        <v>2</v>
      </c>
      <c r="H201" s="91"/>
      <c r="I201" s="91"/>
      <c r="J201" s="91">
        <v>1</v>
      </c>
      <c r="K201" s="91">
        <v>3</v>
      </c>
      <c r="L201" s="91">
        <v>1</v>
      </c>
      <c r="M201" s="91">
        <v>5</v>
      </c>
      <c r="N201" s="91">
        <v>7</v>
      </c>
      <c r="O201" s="91"/>
      <c r="P201" s="91"/>
      <c r="Q201" s="91"/>
      <c r="R201" s="91">
        <v>3</v>
      </c>
      <c r="S201" s="91"/>
      <c r="T201" s="91">
        <v>2</v>
      </c>
      <c r="U201" s="91"/>
      <c r="V201" s="91">
        <v>1</v>
      </c>
      <c r="W201" s="91">
        <v>11</v>
      </c>
      <c r="X201" s="91">
        <v>1</v>
      </c>
      <c r="Y201" s="91">
        <v>10</v>
      </c>
      <c r="Z201" s="91">
        <v>1</v>
      </c>
      <c r="AA201" s="91">
        <v>14</v>
      </c>
      <c r="AB201" s="91">
        <v>2</v>
      </c>
      <c r="AC201" s="91"/>
      <c r="AD201" s="91"/>
      <c r="AE201" s="91"/>
      <c r="AF201" s="91"/>
      <c r="AG201" s="91"/>
      <c r="AH201" s="91">
        <v>8</v>
      </c>
      <c r="AI201" s="91">
        <v>2</v>
      </c>
      <c r="AJ201" s="91">
        <v>5</v>
      </c>
      <c r="AK201" s="91"/>
      <c r="AL201" s="91">
        <v>5</v>
      </c>
      <c r="AM201" s="91"/>
      <c r="AN201" s="91"/>
      <c r="AO201" s="91"/>
      <c r="AP201" s="91"/>
      <c r="AQ201" s="91">
        <v>2</v>
      </c>
      <c r="AR201" s="91">
        <v>3</v>
      </c>
      <c r="AS201" s="91">
        <v>5</v>
      </c>
      <c r="AT201" s="91"/>
      <c r="AU201" s="91"/>
      <c r="AV201" s="91">
        <v>2</v>
      </c>
      <c r="AW201" s="91">
        <v>13</v>
      </c>
      <c r="AX201" s="91"/>
      <c r="AY201" s="91"/>
      <c r="AZ201" s="91"/>
      <c r="BA201" s="91">
        <v>2</v>
      </c>
      <c r="BB201" s="91">
        <v>15</v>
      </c>
      <c r="BC201" s="91"/>
    </row>
    <row r="202" spans="1:55" x14ac:dyDescent="0.25">
      <c r="A202" s="91" t="s">
        <v>457</v>
      </c>
      <c r="B202" s="129">
        <f t="shared" si="5"/>
        <v>291</v>
      </c>
      <c r="C202" s="91">
        <v>1</v>
      </c>
      <c r="D202" s="91">
        <v>17</v>
      </c>
      <c r="E202" s="91">
        <v>14</v>
      </c>
      <c r="F202" s="91">
        <v>12</v>
      </c>
      <c r="G202" s="91">
        <v>10</v>
      </c>
      <c r="H202" s="91"/>
      <c r="I202" s="91">
        <v>15</v>
      </c>
      <c r="J202" s="91">
        <v>13</v>
      </c>
      <c r="K202" s="91">
        <v>9</v>
      </c>
      <c r="L202" s="91">
        <v>5</v>
      </c>
      <c r="M202" s="91">
        <v>1</v>
      </c>
      <c r="N202" s="91">
        <v>17</v>
      </c>
      <c r="O202" s="91"/>
      <c r="P202" s="91">
        <v>15</v>
      </c>
      <c r="Q202" s="91"/>
      <c r="R202" s="91"/>
      <c r="S202" s="91"/>
      <c r="T202" s="91"/>
      <c r="U202" s="91">
        <v>10</v>
      </c>
      <c r="V202" s="91">
        <v>11</v>
      </c>
      <c r="W202" s="91"/>
      <c r="X202" s="91">
        <v>1</v>
      </c>
      <c r="Y202" s="91">
        <v>15</v>
      </c>
      <c r="Z202" s="91">
        <v>8</v>
      </c>
      <c r="AA202" s="91">
        <v>9</v>
      </c>
      <c r="AB202" s="91">
        <v>1</v>
      </c>
      <c r="AC202" s="91">
        <v>14</v>
      </c>
      <c r="AD202" s="91">
        <v>1</v>
      </c>
      <c r="AE202" s="91"/>
      <c r="AF202" s="91">
        <v>6</v>
      </c>
      <c r="AG202" s="91">
        <v>9</v>
      </c>
      <c r="AH202" s="91">
        <v>2</v>
      </c>
      <c r="AI202" s="91">
        <v>9</v>
      </c>
      <c r="AJ202" s="91">
        <v>10</v>
      </c>
      <c r="AK202" s="91"/>
      <c r="AL202" s="91">
        <v>10</v>
      </c>
      <c r="AM202" s="91">
        <v>2</v>
      </c>
      <c r="AN202" s="91"/>
      <c r="AO202" s="91">
        <v>7</v>
      </c>
      <c r="AP202" s="91">
        <v>3</v>
      </c>
      <c r="AQ202" s="91">
        <v>1</v>
      </c>
      <c r="AR202" s="91"/>
      <c r="AS202" s="91">
        <v>10</v>
      </c>
      <c r="AT202" s="91"/>
      <c r="AU202" s="91"/>
      <c r="AV202" s="91"/>
      <c r="AW202" s="91">
        <v>2</v>
      </c>
      <c r="AX202" s="91">
        <v>1</v>
      </c>
      <c r="AY202" s="91"/>
      <c r="AZ202" s="91">
        <v>17</v>
      </c>
      <c r="BA202" s="91"/>
      <c r="BB202" s="91">
        <v>3</v>
      </c>
      <c r="BC202" s="91"/>
    </row>
    <row r="203" spans="1:55" x14ac:dyDescent="0.25">
      <c r="A203" s="91" t="s">
        <v>440</v>
      </c>
      <c r="B203" s="129">
        <f t="shared" si="5"/>
        <v>37</v>
      </c>
      <c r="C203" s="91"/>
      <c r="D203" s="91"/>
      <c r="E203" s="91">
        <v>1</v>
      </c>
      <c r="F203" s="91"/>
      <c r="G203" s="91">
        <v>1</v>
      </c>
      <c r="H203" s="91"/>
      <c r="I203" s="91"/>
      <c r="J203" s="91">
        <v>3</v>
      </c>
      <c r="K203" s="91">
        <v>2</v>
      </c>
      <c r="L203" s="91"/>
      <c r="M203" s="91"/>
      <c r="N203" s="91"/>
      <c r="O203" s="91"/>
      <c r="P203" s="91"/>
      <c r="Q203" s="91"/>
      <c r="R203" s="91"/>
      <c r="S203" s="91">
        <v>2</v>
      </c>
      <c r="T203" s="91"/>
      <c r="U203" s="91"/>
      <c r="V203" s="91"/>
      <c r="W203" s="91"/>
      <c r="X203" s="91">
        <v>2</v>
      </c>
      <c r="Y203" s="91"/>
      <c r="Z203" s="91"/>
      <c r="AA203" s="91"/>
      <c r="AB203" s="91"/>
      <c r="AC203" s="91">
        <v>1</v>
      </c>
      <c r="AD203" s="91"/>
      <c r="AE203" s="91"/>
      <c r="AF203" s="91"/>
      <c r="AG203" s="91">
        <v>1</v>
      </c>
      <c r="AH203" s="91"/>
      <c r="AI203" s="91">
        <v>3</v>
      </c>
      <c r="AJ203" s="91">
        <v>2</v>
      </c>
      <c r="AK203" s="91"/>
      <c r="AL203" s="91">
        <v>4</v>
      </c>
      <c r="AM203" s="91"/>
      <c r="AN203" s="91"/>
      <c r="AO203" s="91">
        <v>2</v>
      </c>
      <c r="AP203" s="91"/>
      <c r="AQ203" s="91"/>
      <c r="AR203" s="91">
        <v>7</v>
      </c>
      <c r="AS203" s="91"/>
      <c r="AT203" s="91"/>
      <c r="AU203" s="91"/>
      <c r="AV203" s="91"/>
      <c r="AW203" s="91">
        <v>2</v>
      </c>
      <c r="AX203" s="91"/>
      <c r="AY203" s="91"/>
      <c r="AZ203" s="91"/>
      <c r="BA203" s="91"/>
      <c r="BB203" s="91">
        <v>4</v>
      </c>
      <c r="BC203" s="91"/>
    </row>
    <row r="204" spans="1:55" x14ac:dyDescent="0.25">
      <c r="A204" s="91" t="s">
        <v>425</v>
      </c>
      <c r="B204" s="129">
        <f t="shared" si="5"/>
        <v>196</v>
      </c>
      <c r="C204" s="91">
        <v>2</v>
      </c>
      <c r="D204" s="91">
        <v>1</v>
      </c>
      <c r="E204" s="91">
        <v>8</v>
      </c>
      <c r="F204" s="91">
        <v>1</v>
      </c>
      <c r="G204" s="91">
        <v>2</v>
      </c>
      <c r="H204" s="91">
        <v>5</v>
      </c>
      <c r="I204" s="91">
        <v>11</v>
      </c>
      <c r="J204" s="91">
        <v>3</v>
      </c>
      <c r="K204" s="91"/>
      <c r="L204" s="91">
        <v>5</v>
      </c>
      <c r="M204" s="91">
        <v>1</v>
      </c>
      <c r="N204" s="91">
        <v>4</v>
      </c>
      <c r="O204" s="91">
        <v>10</v>
      </c>
      <c r="P204" s="91"/>
      <c r="Q204" s="91">
        <v>3</v>
      </c>
      <c r="R204" s="91">
        <v>10</v>
      </c>
      <c r="S204" s="91">
        <v>8</v>
      </c>
      <c r="T204" s="91">
        <v>1</v>
      </c>
      <c r="U204" s="91"/>
      <c r="V204" s="91">
        <v>6</v>
      </c>
      <c r="W204" s="91">
        <v>7</v>
      </c>
      <c r="X204" s="91">
        <v>4</v>
      </c>
      <c r="Y204" s="91">
        <v>6</v>
      </c>
      <c r="Z204" s="91">
        <v>10</v>
      </c>
      <c r="AA204" s="91">
        <v>3</v>
      </c>
      <c r="AB204" s="91">
        <v>6</v>
      </c>
      <c r="AC204" s="91">
        <v>1</v>
      </c>
      <c r="AD204" s="91">
        <v>5</v>
      </c>
      <c r="AE204" s="91">
        <v>4</v>
      </c>
      <c r="AF204" s="91">
        <v>1</v>
      </c>
      <c r="AG204" s="91"/>
      <c r="AH204" s="91"/>
      <c r="AI204" s="91">
        <v>1</v>
      </c>
      <c r="AJ204" s="91">
        <v>3</v>
      </c>
      <c r="AK204" s="91">
        <v>2</v>
      </c>
      <c r="AL204" s="91">
        <v>14</v>
      </c>
      <c r="AM204" s="91">
        <v>6</v>
      </c>
      <c r="AN204" s="91">
        <v>4</v>
      </c>
      <c r="AO204" s="91">
        <v>4</v>
      </c>
      <c r="AP204" s="91">
        <v>3</v>
      </c>
      <c r="AQ204" s="91">
        <v>8</v>
      </c>
      <c r="AR204" s="91">
        <v>2</v>
      </c>
      <c r="AS204" s="91">
        <v>1</v>
      </c>
      <c r="AT204" s="91"/>
      <c r="AU204" s="91">
        <v>2</v>
      </c>
      <c r="AV204" s="91">
        <v>1</v>
      </c>
      <c r="AW204" s="91">
        <v>13</v>
      </c>
      <c r="AX204" s="91"/>
      <c r="AY204" s="91">
        <v>1</v>
      </c>
      <c r="AZ204" s="91">
        <v>3</v>
      </c>
      <c r="BA204" s="91"/>
      <c r="BB204" s="91"/>
      <c r="BC204" s="91"/>
    </row>
    <row r="205" spans="1:55" x14ac:dyDescent="0.25">
      <c r="A205" s="91" t="s">
        <v>353</v>
      </c>
      <c r="B205" s="129">
        <f t="shared" si="5"/>
        <v>207</v>
      </c>
      <c r="C205" s="91">
        <v>10</v>
      </c>
      <c r="D205" s="91">
        <v>10</v>
      </c>
      <c r="E205" s="91">
        <v>2</v>
      </c>
      <c r="F205" s="91">
        <v>1</v>
      </c>
      <c r="G205" s="91">
        <v>6</v>
      </c>
      <c r="H205" s="91"/>
      <c r="I205" s="91">
        <v>3</v>
      </c>
      <c r="J205" s="91">
        <v>8</v>
      </c>
      <c r="K205" s="91">
        <v>6</v>
      </c>
      <c r="L205" s="91">
        <v>2</v>
      </c>
      <c r="M205" s="91">
        <v>7</v>
      </c>
      <c r="N205" s="91">
        <v>11</v>
      </c>
      <c r="O205" s="91">
        <v>6</v>
      </c>
      <c r="P205" s="91">
        <v>3</v>
      </c>
      <c r="Q205" s="91"/>
      <c r="R205" s="91">
        <v>7</v>
      </c>
      <c r="S205" s="91">
        <v>10</v>
      </c>
      <c r="T205" s="91"/>
      <c r="U205" s="91">
        <v>6</v>
      </c>
      <c r="V205" s="91">
        <v>1</v>
      </c>
      <c r="W205" s="91">
        <v>12</v>
      </c>
      <c r="X205" s="91">
        <v>2</v>
      </c>
      <c r="Y205" s="91">
        <v>3</v>
      </c>
      <c r="Z205" s="91">
        <v>3</v>
      </c>
      <c r="AA205" s="91">
        <v>9</v>
      </c>
      <c r="AB205" s="91">
        <v>3</v>
      </c>
      <c r="AC205" s="91">
        <v>12</v>
      </c>
      <c r="AD205" s="91"/>
      <c r="AE205" s="91">
        <v>4</v>
      </c>
      <c r="AF205" s="91">
        <v>5</v>
      </c>
      <c r="AG205" s="91">
        <v>1</v>
      </c>
      <c r="AH205" s="91"/>
      <c r="AI205" s="91">
        <v>3</v>
      </c>
      <c r="AJ205" s="91">
        <v>3</v>
      </c>
      <c r="AK205" s="91">
        <v>2</v>
      </c>
      <c r="AL205" s="91"/>
      <c r="AM205" s="91">
        <v>1</v>
      </c>
      <c r="AN205" s="91"/>
      <c r="AO205" s="91">
        <v>6</v>
      </c>
      <c r="AP205" s="91">
        <v>3</v>
      </c>
      <c r="AQ205" s="91"/>
      <c r="AR205" s="91">
        <v>6</v>
      </c>
      <c r="AS205" s="91">
        <v>2</v>
      </c>
      <c r="AT205" s="91"/>
      <c r="AU205" s="91"/>
      <c r="AV205" s="91">
        <v>4</v>
      </c>
      <c r="AW205" s="91">
        <v>10</v>
      </c>
      <c r="AX205" s="91">
        <v>7</v>
      </c>
      <c r="AY205" s="91">
        <v>1</v>
      </c>
      <c r="AZ205" s="91">
        <v>3</v>
      </c>
      <c r="BA205" s="91"/>
      <c r="BB205" s="91">
        <v>3</v>
      </c>
      <c r="BC205" s="91"/>
    </row>
    <row r="206" spans="1:55" x14ac:dyDescent="0.25">
      <c r="A206" s="91" t="s">
        <v>494</v>
      </c>
      <c r="B206" s="129">
        <f t="shared" si="5"/>
        <v>147</v>
      </c>
      <c r="C206" s="91">
        <v>2</v>
      </c>
      <c r="D206" s="91"/>
      <c r="E206" s="91">
        <v>1</v>
      </c>
      <c r="F206" s="91">
        <v>5</v>
      </c>
      <c r="G206" s="91">
        <v>6</v>
      </c>
      <c r="H206" s="91"/>
      <c r="I206" s="91">
        <v>4</v>
      </c>
      <c r="J206" s="91">
        <v>7</v>
      </c>
      <c r="K206" s="91">
        <v>2</v>
      </c>
      <c r="L206" s="91">
        <v>3</v>
      </c>
      <c r="M206" s="91">
        <v>3</v>
      </c>
      <c r="N206" s="91">
        <v>7</v>
      </c>
      <c r="O206" s="91">
        <v>4</v>
      </c>
      <c r="P206" s="91">
        <v>5</v>
      </c>
      <c r="Q206" s="91">
        <v>7</v>
      </c>
      <c r="R206" s="91">
        <v>7</v>
      </c>
      <c r="S206" s="91">
        <v>7</v>
      </c>
      <c r="T206" s="91"/>
      <c r="U206" s="91">
        <v>1</v>
      </c>
      <c r="V206" s="91">
        <v>1</v>
      </c>
      <c r="W206" s="91">
        <v>2</v>
      </c>
      <c r="X206" s="91">
        <v>2</v>
      </c>
      <c r="Y206" s="91">
        <v>1</v>
      </c>
      <c r="Z206" s="91"/>
      <c r="AA206" s="91"/>
      <c r="AB206" s="91">
        <v>2</v>
      </c>
      <c r="AC206" s="91"/>
      <c r="AD206" s="91">
        <v>2</v>
      </c>
      <c r="AE206" s="91">
        <v>1</v>
      </c>
      <c r="AF206" s="91">
        <v>5</v>
      </c>
      <c r="AG206" s="91">
        <v>5</v>
      </c>
      <c r="AH206" s="91">
        <v>4</v>
      </c>
      <c r="AI206" s="91">
        <v>3</v>
      </c>
      <c r="AJ206" s="91">
        <v>5</v>
      </c>
      <c r="AK206" s="91"/>
      <c r="AL206" s="91">
        <v>5</v>
      </c>
      <c r="AM206" s="91">
        <v>2</v>
      </c>
      <c r="AN206" s="91">
        <v>1</v>
      </c>
      <c r="AO206" s="91">
        <v>9</v>
      </c>
      <c r="AP206" s="91"/>
      <c r="AQ206" s="91">
        <v>1</v>
      </c>
      <c r="AR206" s="91">
        <v>9</v>
      </c>
      <c r="AS206" s="91">
        <v>4</v>
      </c>
      <c r="AT206" s="91"/>
      <c r="AU206" s="91">
        <v>4</v>
      </c>
      <c r="AV206" s="91">
        <v>1</v>
      </c>
      <c r="AW206" s="91"/>
      <c r="AX206" s="91">
        <v>6</v>
      </c>
      <c r="AY206" s="91"/>
      <c r="AZ206" s="91">
        <v>1</v>
      </c>
      <c r="BA206" s="91"/>
      <c r="BB206" s="91"/>
      <c r="BC206" s="91"/>
    </row>
    <row r="207" spans="1:55" x14ac:dyDescent="0.25">
      <c r="A207" s="91" t="s">
        <v>82</v>
      </c>
      <c r="B207" s="129">
        <f t="shared" si="5"/>
        <v>342</v>
      </c>
      <c r="C207" s="91">
        <v>1</v>
      </c>
      <c r="D207" s="91"/>
      <c r="E207" s="91">
        <v>10</v>
      </c>
      <c r="F207" s="91">
        <v>13</v>
      </c>
      <c r="G207" s="91">
        <v>15</v>
      </c>
      <c r="H207" s="91"/>
      <c r="I207" s="91">
        <v>11</v>
      </c>
      <c r="J207" s="91">
        <v>9</v>
      </c>
      <c r="K207" s="91">
        <v>9</v>
      </c>
      <c r="L207" s="91">
        <v>8</v>
      </c>
      <c r="M207" s="91">
        <v>8</v>
      </c>
      <c r="N207" s="91">
        <v>14</v>
      </c>
      <c r="O207" s="91">
        <v>9</v>
      </c>
      <c r="P207" s="91"/>
      <c r="Q207" s="91">
        <v>10</v>
      </c>
      <c r="R207" s="91">
        <v>9</v>
      </c>
      <c r="S207" s="91">
        <v>8</v>
      </c>
      <c r="T207" s="91"/>
      <c r="U207" s="91"/>
      <c r="V207" s="91"/>
      <c r="W207" s="91">
        <v>11</v>
      </c>
      <c r="X207" s="91">
        <v>9</v>
      </c>
      <c r="Y207" s="91">
        <v>9</v>
      </c>
      <c r="Z207" s="91">
        <v>1</v>
      </c>
      <c r="AA207" s="91">
        <v>8</v>
      </c>
      <c r="AB207" s="91">
        <v>8</v>
      </c>
      <c r="AC207" s="91">
        <v>10</v>
      </c>
      <c r="AD207" s="91">
        <v>9</v>
      </c>
      <c r="AE207" s="91">
        <v>10</v>
      </c>
      <c r="AF207" s="91"/>
      <c r="AG207" s="91">
        <v>8</v>
      </c>
      <c r="AH207" s="91">
        <v>11</v>
      </c>
      <c r="AI207" s="91">
        <v>9</v>
      </c>
      <c r="AJ207" s="91">
        <v>13</v>
      </c>
      <c r="AK207" s="91">
        <v>8</v>
      </c>
      <c r="AL207" s="91">
        <v>3</v>
      </c>
      <c r="AM207" s="91"/>
      <c r="AN207" s="91">
        <v>8</v>
      </c>
      <c r="AO207" s="91">
        <v>17</v>
      </c>
      <c r="AP207" s="91">
        <v>8</v>
      </c>
      <c r="AQ207" s="91"/>
      <c r="AR207" s="91">
        <v>11</v>
      </c>
      <c r="AS207" s="91">
        <v>1</v>
      </c>
      <c r="AT207" s="91"/>
      <c r="AU207" s="91"/>
      <c r="AV207" s="91">
        <v>1</v>
      </c>
      <c r="AW207" s="91">
        <v>11</v>
      </c>
      <c r="AX207" s="91">
        <v>8</v>
      </c>
      <c r="AY207" s="91">
        <v>8</v>
      </c>
      <c r="AZ207" s="91">
        <v>8</v>
      </c>
      <c r="BA207" s="91"/>
      <c r="BB207" s="91"/>
      <c r="BC207" s="91"/>
    </row>
    <row r="208" spans="1:55" x14ac:dyDescent="0.25">
      <c r="A208" s="91" t="s">
        <v>383</v>
      </c>
      <c r="B208" s="129">
        <f t="shared" si="5"/>
        <v>179</v>
      </c>
      <c r="C208" s="91">
        <v>5</v>
      </c>
      <c r="D208" s="91">
        <v>9</v>
      </c>
      <c r="E208" s="91">
        <v>1</v>
      </c>
      <c r="F208" s="91">
        <v>7</v>
      </c>
      <c r="G208" s="91">
        <v>4</v>
      </c>
      <c r="H208" s="91"/>
      <c r="I208" s="91">
        <v>9</v>
      </c>
      <c r="J208" s="91">
        <v>12</v>
      </c>
      <c r="K208" s="91">
        <v>3</v>
      </c>
      <c r="L208" s="91">
        <v>7</v>
      </c>
      <c r="M208" s="91">
        <v>11</v>
      </c>
      <c r="N208" s="91">
        <v>8</v>
      </c>
      <c r="O208" s="91">
        <v>6</v>
      </c>
      <c r="P208" s="91">
        <v>1</v>
      </c>
      <c r="Q208" s="91">
        <v>4</v>
      </c>
      <c r="R208" s="91">
        <v>1</v>
      </c>
      <c r="S208" s="91">
        <v>3</v>
      </c>
      <c r="T208" s="91">
        <v>2</v>
      </c>
      <c r="U208" s="91">
        <v>6</v>
      </c>
      <c r="V208" s="91">
        <v>7</v>
      </c>
      <c r="W208" s="91">
        <v>1</v>
      </c>
      <c r="X208" s="91">
        <v>7</v>
      </c>
      <c r="Y208" s="91">
        <v>14</v>
      </c>
      <c r="Z208" s="91"/>
      <c r="AA208" s="91"/>
      <c r="AB208" s="91">
        <v>2</v>
      </c>
      <c r="AC208" s="91">
        <v>2</v>
      </c>
      <c r="AD208" s="91">
        <v>1</v>
      </c>
      <c r="AE208" s="91">
        <v>2</v>
      </c>
      <c r="AF208" s="91"/>
      <c r="AG208" s="91">
        <v>5</v>
      </c>
      <c r="AH208" s="91">
        <v>1</v>
      </c>
      <c r="AI208" s="91">
        <v>3</v>
      </c>
      <c r="AJ208" s="91">
        <v>1</v>
      </c>
      <c r="AK208" s="91">
        <v>5</v>
      </c>
      <c r="AL208" s="91">
        <v>3</v>
      </c>
      <c r="AM208" s="91">
        <v>3</v>
      </c>
      <c r="AN208" s="91">
        <v>2</v>
      </c>
      <c r="AO208" s="91"/>
      <c r="AP208" s="91">
        <v>3</v>
      </c>
      <c r="AQ208" s="91"/>
      <c r="AR208" s="91">
        <v>7</v>
      </c>
      <c r="AS208" s="91"/>
      <c r="AT208" s="91"/>
      <c r="AU208" s="91"/>
      <c r="AV208" s="91">
        <v>3</v>
      </c>
      <c r="AW208" s="91">
        <v>8</v>
      </c>
      <c r="AX208" s="91"/>
      <c r="AY208" s="91"/>
      <c r="AZ208" s="91"/>
      <c r="BA208" s="91"/>
      <c r="BB208" s="91"/>
      <c r="BC208" s="91"/>
    </row>
    <row r="209" spans="1:55" x14ac:dyDescent="0.25">
      <c r="A209" s="91" t="s">
        <v>157</v>
      </c>
      <c r="B209" s="129">
        <f t="shared" si="5"/>
        <v>662</v>
      </c>
      <c r="C209" s="91">
        <v>28</v>
      </c>
      <c r="D209" s="91">
        <v>19</v>
      </c>
      <c r="E209" s="91">
        <v>12</v>
      </c>
      <c r="F209" s="91">
        <v>25</v>
      </c>
      <c r="G209" s="91">
        <v>15</v>
      </c>
      <c r="H209" s="91"/>
      <c r="I209" s="91">
        <v>14</v>
      </c>
      <c r="J209" s="91">
        <v>17</v>
      </c>
      <c r="K209" s="91">
        <v>12</v>
      </c>
      <c r="L209" s="91">
        <v>16</v>
      </c>
      <c r="M209" s="91">
        <v>11</v>
      </c>
      <c r="N209" s="91">
        <v>9</v>
      </c>
      <c r="O209" s="91">
        <v>17</v>
      </c>
      <c r="P209" s="91">
        <v>9</v>
      </c>
      <c r="Q209" s="91">
        <v>11</v>
      </c>
      <c r="R209" s="91">
        <v>9</v>
      </c>
      <c r="S209" s="91">
        <v>16</v>
      </c>
      <c r="T209" s="91">
        <v>3</v>
      </c>
      <c r="U209" s="91">
        <v>11</v>
      </c>
      <c r="V209" s="91">
        <v>11</v>
      </c>
      <c r="W209" s="91">
        <v>12</v>
      </c>
      <c r="X209" s="91">
        <v>14</v>
      </c>
      <c r="Y209" s="91">
        <v>20</v>
      </c>
      <c r="Z209" s="91">
        <v>8</v>
      </c>
      <c r="AA209" s="91">
        <v>16</v>
      </c>
      <c r="AB209" s="91">
        <v>8</v>
      </c>
      <c r="AC209" s="91">
        <v>12</v>
      </c>
      <c r="AD209" s="91">
        <v>9</v>
      </c>
      <c r="AE209" s="91">
        <v>12</v>
      </c>
      <c r="AF209" s="91">
        <v>8</v>
      </c>
      <c r="AG209" s="91">
        <v>13</v>
      </c>
      <c r="AH209" s="91">
        <v>9</v>
      </c>
      <c r="AI209" s="91">
        <v>11</v>
      </c>
      <c r="AJ209" s="91">
        <v>9</v>
      </c>
      <c r="AK209" s="91">
        <v>8</v>
      </c>
      <c r="AL209" s="91">
        <v>19</v>
      </c>
      <c r="AM209" s="91">
        <v>10</v>
      </c>
      <c r="AN209" s="91">
        <v>16</v>
      </c>
      <c r="AO209" s="91">
        <v>17</v>
      </c>
      <c r="AP209" s="91">
        <v>8</v>
      </c>
      <c r="AQ209" s="91">
        <v>23</v>
      </c>
      <c r="AR209" s="91">
        <v>10</v>
      </c>
      <c r="AS209" s="91">
        <v>8</v>
      </c>
      <c r="AT209" s="91">
        <v>7</v>
      </c>
      <c r="AU209" s="91">
        <v>14</v>
      </c>
      <c r="AV209" s="91">
        <v>11</v>
      </c>
      <c r="AW209" s="91">
        <v>21</v>
      </c>
      <c r="AX209" s="91">
        <v>8</v>
      </c>
      <c r="AY209" s="91">
        <v>8</v>
      </c>
      <c r="AZ209" s="91">
        <v>18</v>
      </c>
      <c r="BA209" s="91">
        <v>15</v>
      </c>
      <c r="BB209" s="91">
        <v>15</v>
      </c>
      <c r="BC209" s="91"/>
    </row>
    <row r="210" spans="1:55" x14ac:dyDescent="0.25">
      <c r="A210" s="91" t="s">
        <v>245</v>
      </c>
      <c r="B210" s="129">
        <f t="shared" si="5"/>
        <v>163</v>
      </c>
      <c r="C210" s="91">
        <v>6</v>
      </c>
      <c r="D210" s="91">
        <v>1</v>
      </c>
      <c r="E210" s="91">
        <v>11</v>
      </c>
      <c r="F210" s="91">
        <v>2</v>
      </c>
      <c r="G210" s="91">
        <v>9</v>
      </c>
      <c r="H210" s="91"/>
      <c r="I210" s="91">
        <v>3</v>
      </c>
      <c r="J210" s="91">
        <v>6</v>
      </c>
      <c r="K210" s="91"/>
      <c r="L210" s="91"/>
      <c r="M210" s="91"/>
      <c r="N210" s="91">
        <v>2</v>
      </c>
      <c r="O210" s="91">
        <v>2</v>
      </c>
      <c r="P210" s="91">
        <v>3</v>
      </c>
      <c r="Q210" s="91">
        <v>10</v>
      </c>
      <c r="R210" s="91">
        <v>4</v>
      </c>
      <c r="S210" s="91">
        <v>7</v>
      </c>
      <c r="T210" s="91">
        <v>3</v>
      </c>
      <c r="U210" s="91">
        <v>3</v>
      </c>
      <c r="V210" s="91">
        <v>1</v>
      </c>
      <c r="W210" s="91">
        <v>3</v>
      </c>
      <c r="X210" s="91">
        <v>10</v>
      </c>
      <c r="Y210" s="91">
        <v>2</v>
      </c>
      <c r="Z210" s="91">
        <v>7</v>
      </c>
      <c r="AA210" s="91"/>
      <c r="AB210" s="91">
        <v>3</v>
      </c>
      <c r="AC210" s="91"/>
      <c r="AD210" s="91">
        <v>4</v>
      </c>
      <c r="AE210" s="91">
        <v>4</v>
      </c>
      <c r="AF210" s="91">
        <v>8</v>
      </c>
      <c r="AG210" s="91">
        <v>1</v>
      </c>
      <c r="AH210" s="91"/>
      <c r="AI210" s="91">
        <v>3</v>
      </c>
      <c r="AJ210" s="91">
        <v>2</v>
      </c>
      <c r="AK210" s="91"/>
      <c r="AL210" s="91">
        <v>3</v>
      </c>
      <c r="AM210" s="91">
        <v>2</v>
      </c>
      <c r="AN210" s="91">
        <v>5</v>
      </c>
      <c r="AO210" s="91">
        <v>1</v>
      </c>
      <c r="AP210" s="91">
        <v>5</v>
      </c>
      <c r="AQ210" s="91">
        <v>4</v>
      </c>
      <c r="AR210" s="91">
        <v>1</v>
      </c>
      <c r="AS210" s="91">
        <v>2</v>
      </c>
      <c r="AT210" s="91">
        <v>2</v>
      </c>
      <c r="AU210" s="91">
        <v>5</v>
      </c>
      <c r="AV210" s="91">
        <v>2</v>
      </c>
      <c r="AW210" s="91">
        <v>1</v>
      </c>
      <c r="AX210" s="91">
        <v>6</v>
      </c>
      <c r="AY210" s="91"/>
      <c r="AZ210" s="91">
        <v>1</v>
      </c>
      <c r="BA210" s="91">
        <v>3</v>
      </c>
      <c r="BB210" s="91"/>
      <c r="BC210" s="91"/>
    </row>
    <row r="211" spans="1:55" x14ac:dyDescent="0.25">
      <c r="A211" s="91" t="s">
        <v>545</v>
      </c>
      <c r="B211" s="129">
        <f t="shared" si="5"/>
        <v>6</v>
      </c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>
        <v>2</v>
      </c>
      <c r="BA211" s="91"/>
      <c r="BB211" s="91">
        <v>4</v>
      </c>
      <c r="BC211" s="91"/>
    </row>
    <row r="212" spans="1:55" x14ac:dyDescent="0.25">
      <c r="A212" s="91" t="s">
        <v>447</v>
      </c>
      <c r="B212" s="129">
        <f t="shared" si="5"/>
        <v>182</v>
      </c>
      <c r="C212" s="91">
        <v>3</v>
      </c>
      <c r="D212" s="91">
        <v>6</v>
      </c>
      <c r="E212" s="91">
        <v>4</v>
      </c>
      <c r="F212" s="91">
        <v>2</v>
      </c>
      <c r="G212" s="91">
        <v>1</v>
      </c>
      <c r="H212" s="91"/>
      <c r="I212" s="91">
        <v>1</v>
      </c>
      <c r="J212" s="91">
        <v>2</v>
      </c>
      <c r="K212" s="91">
        <v>2</v>
      </c>
      <c r="L212" s="91"/>
      <c r="M212" s="91"/>
      <c r="N212" s="91">
        <v>4</v>
      </c>
      <c r="O212" s="91">
        <v>2</v>
      </c>
      <c r="P212" s="91">
        <v>1</v>
      </c>
      <c r="Q212" s="91">
        <v>8</v>
      </c>
      <c r="R212" s="91">
        <v>5</v>
      </c>
      <c r="S212" s="91">
        <v>6</v>
      </c>
      <c r="T212" s="91">
        <v>2</v>
      </c>
      <c r="U212" s="91">
        <v>9</v>
      </c>
      <c r="V212" s="91">
        <v>8</v>
      </c>
      <c r="W212" s="91"/>
      <c r="X212" s="91">
        <v>12</v>
      </c>
      <c r="Y212" s="91">
        <v>4</v>
      </c>
      <c r="Z212" s="91">
        <v>6</v>
      </c>
      <c r="AA212" s="91">
        <v>3</v>
      </c>
      <c r="AB212" s="91"/>
      <c r="AC212" s="91"/>
      <c r="AD212" s="91">
        <v>2</v>
      </c>
      <c r="AE212" s="91"/>
      <c r="AF212" s="91">
        <v>5</v>
      </c>
      <c r="AG212" s="91">
        <v>3</v>
      </c>
      <c r="AH212" s="91">
        <v>1</v>
      </c>
      <c r="AI212" s="91">
        <v>4</v>
      </c>
      <c r="AJ212" s="91">
        <v>5</v>
      </c>
      <c r="AK212" s="91">
        <v>2</v>
      </c>
      <c r="AL212" s="91">
        <v>3</v>
      </c>
      <c r="AM212" s="91">
        <v>3</v>
      </c>
      <c r="AN212" s="91">
        <v>8</v>
      </c>
      <c r="AO212" s="91">
        <v>3</v>
      </c>
      <c r="AP212" s="91">
        <v>5</v>
      </c>
      <c r="AQ212" s="91">
        <v>6</v>
      </c>
      <c r="AR212" s="91">
        <v>5</v>
      </c>
      <c r="AS212" s="91">
        <v>4</v>
      </c>
      <c r="AT212" s="91"/>
      <c r="AU212" s="91">
        <v>13</v>
      </c>
      <c r="AV212" s="91">
        <v>1</v>
      </c>
      <c r="AW212" s="91">
        <v>4</v>
      </c>
      <c r="AX212" s="91"/>
      <c r="AY212" s="91">
        <v>7</v>
      </c>
      <c r="AZ212" s="91">
        <v>1</v>
      </c>
      <c r="BA212" s="91">
        <v>1</v>
      </c>
      <c r="BB212" s="91">
        <v>5</v>
      </c>
      <c r="BC212" s="91"/>
    </row>
    <row r="213" spans="1:55" x14ac:dyDescent="0.25">
      <c r="A213" s="91" t="s">
        <v>177</v>
      </c>
      <c r="B213" s="129">
        <f t="shared" si="5"/>
        <v>42</v>
      </c>
      <c r="C213" s="91"/>
      <c r="D213" s="91">
        <v>3</v>
      </c>
      <c r="E213" s="91">
        <v>2</v>
      </c>
      <c r="F213" s="91">
        <v>3</v>
      </c>
      <c r="G213" s="91"/>
      <c r="H213" s="91"/>
      <c r="I213" s="91">
        <v>1</v>
      </c>
      <c r="J213" s="91"/>
      <c r="K213" s="91">
        <v>1</v>
      </c>
      <c r="L213" s="91"/>
      <c r="M213" s="91">
        <v>2</v>
      </c>
      <c r="N213" s="91"/>
      <c r="O213" s="91"/>
      <c r="P213" s="91">
        <v>1</v>
      </c>
      <c r="Q213" s="91">
        <v>2</v>
      </c>
      <c r="R213" s="91">
        <v>2</v>
      </c>
      <c r="S213" s="91">
        <v>5</v>
      </c>
      <c r="T213" s="91"/>
      <c r="U213" s="91">
        <v>2</v>
      </c>
      <c r="V213" s="91"/>
      <c r="W213" s="91"/>
      <c r="X213" s="91">
        <v>1</v>
      </c>
      <c r="Y213" s="91"/>
      <c r="Z213" s="91"/>
      <c r="AA213" s="91"/>
      <c r="AB213" s="91">
        <v>1</v>
      </c>
      <c r="AC213" s="91">
        <v>1</v>
      </c>
      <c r="AD213" s="91">
        <v>1</v>
      </c>
      <c r="AE213" s="91"/>
      <c r="AF213" s="91">
        <v>1</v>
      </c>
      <c r="AG213" s="91"/>
      <c r="AH213" s="91"/>
      <c r="AI213" s="91">
        <v>1</v>
      </c>
      <c r="AJ213" s="91">
        <v>1</v>
      </c>
      <c r="AK213" s="91">
        <v>1</v>
      </c>
      <c r="AL213" s="91">
        <v>1</v>
      </c>
      <c r="AM213" s="91"/>
      <c r="AN213" s="91">
        <v>1</v>
      </c>
      <c r="AO213" s="91">
        <v>6</v>
      </c>
      <c r="AP213" s="91">
        <v>1</v>
      </c>
      <c r="AQ213" s="91"/>
      <c r="AR213" s="91"/>
      <c r="AS213" s="91"/>
      <c r="AT213" s="91"/>
      <c r="AU213" s="91">
        <v>1</v>
      </c>
      <c r="AV213" s="91"/>
      <c r="AW213" s="91"/>
      <c r="AX213" s="91"/>
      <c r="AY213" s="91"/>
      <c r="AZ213" s="91"/>
      <c r="BA213" s="91"/>
      <c r="BB213" s="91"/>
      <c r="BC213" s="91"/>
    </row>
    <row r="214" spans="1:55" x14ac:dyDescent="0.25">
      <c r="A214" s="91" t="s">
        <v>362</v>
      </c>
      <c r="B214" s="129">
        <f t="shared" si="5"/>
        <v>265</v>
      </c>
      <c r="C214" s="91">
        <v>4</v>
      </c>
      <c r="D214" s="91">
        <v>3</v>
      </c>
      <c r="E214" s="91">
        <v>7</v>
      </c>
      <c r="F214" s="91">
        <v>1</v>
      </c>
      <c r="G214" s="91">
        <v>1</v>
      </c>
      <c r="H214" s="91">
        <v>2</v>
      </c>
      <c r="I214" s="91">
        <v>2</v>
      </c>
      <c r="J214" s="91">
        <v>9</v>
      </c>
      <c r="K214" s="91">
        <v>2</v>
      </c>
      <c r="L214" s="91">
        <v>1</v>
      </c>
      <c r="M214" s="91">
        <v>13</v>
      </c>
      <c r="N214" s="91">
        <v>18</v>
      </c>
      <c r="O214" s="91">
        <v>3</v>
      </c>
      <c r="P214" s="91">
        <v>8</v>
      </c>
      <c r="Q214" s="91">
        <v>12</v>
      </c>
      <c r="R214" s="91">
        <v>7</v>
      </c>
      <c r="S214" s="91">
        <v>3</v>
      </c>
      <c r="T214" s="91">
        <v>1</v>
      </c>
      <c r="U214" s="91">
        <v>3</v>
      </c>
      <c r="V214" s="91">
        <v>4</v>
      </c>
      <c r="W214" s="91">
        <v>3</v>
      </c>
      <c r="X214" s="91">
        <v>9</v>
      </c>
      <c r="Y214" s="91">
        <v>6</v>
      </c>
      <c r="Z214" s="91">
        <v>3</v>
      </c>
      <c r="AA214" s="91">
        <v>5</v>
      </c>
      <c r="AB214" s="91">
        <v>2</v>
      </c>
      <c r="AC214" s="91">
        <v>6</v>
      </c>
      <c r="AD214" s="91">
        <v>14</v>
      </c>
      <c r="AE214" s="91">
        <v>4</v>
      </c>
      <c r="AF214" s="91">
        <v>2</v>
      </c>
      <c r="AG214" s="91">
        <v>5</v>
      </c>
      <c r="AH214" s="91">
        <v>6</v>
      </c>
      <c r="AI214" s="91">
        <v>11</v>
      </c>
      <c r="AJ214" s="91">
        <v>11</v>
      </c>
      <c r="AK214" s="91">
        <v>4</v>
      </c>
      <c r="AL214" s="91">
        <v>10</v>
      </c>
      <c r="AM214" s="91">
        <v>2</v>
      </c>
      <c r="AN214" s="91">
        <v>2</v>
      </c>
      <c r="AO214" s="91">
        <v>6</v>
      </c>
      <c r="AP214" s="91">
        <v>4</v>
      </c>
      <c r="AQ214" s="91">
        <v>3</v>
      </c>
      <c r="AR214" s="91">
        <v>5</v>
      </c>
      <c r="AS214" s="91"/>
      <c r="AT214" s="91"/>
      <c r="AU214" s="91">
        <v>10</v>
      </c>
      <c r="AV214" s="91">
        <v>5</v>
      </c>
      <c r="AW214" s="91">
        <v>9</v>
      </c>
      <c r="AX214" s="91">
        <v>3</v>
      </c>
      <c r="AY214" s="91">
        <v>5</v>
      </c>
      <c r="AZ214" s="91">
        <v>4</v>
      </c>
      <c r="BA214" s="91"/>
      <c r="BB214" s="91">
        <v>2</v>
      </c>
      <c r="BC214" s="91"/>
    </row>
    <row r="215" spans="1:55" x14ac:dyDescent="0.25">
      <c r="A215" s="91" t="s">
        <v>439</v>
      </c>
      <c r="B215" s="129">
        <f t="shared" si="5"/>
        <v>82</v>
      </c>
      <c r="C215" s="91">
        <v>5</v>
      </c>
      <c r="D215" s="91"/>
      <c r="E215" s="91"/>
      <c r="F215" s="91">
        <v>2</v>
      </c>
      <c r="G215" s="91">
        <v>2</v>
      </c>
      <c r="H215" s="91"/>
      <c r="I215" s="91">
        <v>1</v>
      </c>
      <c r="J215" s="91">
        <v>3</v>
      </c>
      <c r="K215" s="91">
        <v>2</v>
      </c>
      <c r="L215" s="91"/>
      <c r="M215" s="91"/>
      <c r="N215" s="91">
        <v>6</v>
      </c>
      <c r="O215" s="91">
        <v>1</v>
      </c>
      <c r="P215" s="91"/>
      <c r="Q215" s="91"/>
      <c r="R215" s="91">
        <v>1</v>
      </c>
      <c r="S215" s="91">
        <v>5</v>
      </c>
      <c r="T215" s="91"/>
      <c r="U215" s="91">
        <v>2</v>
      </c>
      <c r="V215" s="91"/>
      <c r="W215" s="91">
        <v>1</v>
      </c>
      <c r="X215" s="91"/>
      <c r="Y215" s="91">
        <v>3</v>
      </c>
      <c r="Z215" s="91"/>
      <c r="AA215" s="91">
        <v>1</v>
      </c>
      <c r="AB215" s="91">
        <v>3</v>
      </c>
      <c r="AC215" s="91"/>
      <c r="AD215" s="91">
        <v>4</v>
      </c>
      <c r="AE215" s="91"/>
      <c r="AF215" s="91"/>
      <c r="AG215" s="91">
        <v>1</v>
      </c>
      <c r="AH215" s="91">
        <v>4</v>
      </c>
      <c r="AI215" s="91">
        <v>3</v>
      </c>
      <c r="AJ215" s="91">
        <v>4</v>
      </c>
      <c r="AK215" s="91"/>
      <c r="AL215" s="91"/>
      <c r="AM215" s="91">
        <v>1</v>
      </c>
      <c r="AN215" s="91">
        <v>1</v>
      </c>
      <c r="AO215" s="91">
        <v>2</v>
      </c>
      <c r="AP215" s="91"/>
      <c r="AQ215" s="91">
        <v>10</v>
      </c>
      <c r="AR215" s="91">
        <v>1</v>
      </c>
      <c r="AS215" s="91"/>
      <c r="AT215" s="91"/>
      <c r="AU215" s="91">
        <v>1</v>
      </c>
      <c r="AV215" s="91"/>
      <c r="AW215" s="91">
        <v>7</v>
      </c>
      <c r="AX215" s="91"/>
      <c r="AY215" s="91">
        <v>4</v>
      </c>
      <c r="AZ215" s="91"/>
      <c r="BA215" s="91"/>
      <c r="BB215" s="91">
        <v>1</v>
      </c>
      <c r="BC215" s="91"/>
    </row>
    <row r="216" spans="1:55" x14ac:dyDescent="0.25">
      <c r="A216" s="91" t="s">
        <v>123</v>
      </c>
      <c r="B216" s="129">
        <f t="shared" si="5"/>
        <v>106</v>
      </c>
      <c r="C216" s="91"/>
      <c r="D216" s="91"/>
      <c r="E216" s="91">
        <v>8</v>
      </c>
      <c r="F216" s="91">
        <v>1</v>
      </c>
      <c r="G216" s="91">
        <v>7</v>
      </c>
      <c r="H216" s="91"/>
      <c r="I216" s="91">
        <v>4</v>
      </c>
      <c r="J216" s="91">
        <v>12</v>
      </c>
      <c r="K216" s="91">
        <v>2</v>
      </c>
      <c r="L216" s="91">
        <v>1</v>
      </c>
      <c r="M216" s="91"/>
      <c r="N216" s="91">
        <v>17</v>
      </c>
      <c r="O216" s="91">
        <v>3</v>
      </c>
      <c r="P216" s="91"/>
      <c r="Q216" s="91">
        <v>3</v>
      </c>
      <c r="R216" s="91">
        <v>6</v>
      </c>
      <c r="S216" s="91">
        <v>5</v>
      </c>
      <c r="T216" s="91"/>
      <c r="U216" s="91"/>
      <c r="V216" s="91"/>
      <c r="W216" s="91">
        <v>1</v>
      </c>
      <c r="X216" s="91">
        <v>2</v>
      </c>
      <c r="Y216" s="91"/>
      <c r="Z216" s="91"/>
      <c r="AA216" s="91"/>
      <c r="AB216" s="91"/>
      <c r="AC216" s="91">
        <v>2</v>
      </c>
      <c r="AD216" s="91"/>
      <c r="AE216" s="91">
        <v>3</v>
      </c>
      <c r="AF216" s="91"/>
      <c r="AG216" s="91">
        <v>2</v>
      </c>
      <c r="AH216" s="91">
        <v>2</v>
      </c>
      <c r="AI216" s="91"/>
      <c r="AJ216" s="91">
        <v>5</v>
      </c>
      <c r="AK216" s="91">
        <v>3</v>
      </c>
      <c r="AL216" s="91"/>
      <c r="AM216" s="91"/>
      <c r="AN216" s="91">
        <v>2</v>
      </c>
      <c r="AO216" s="91">
        <v>2</v>
      </c>
      <c r="AP216" s="91"/>
      <c r="AQ216" s="91"/>
      <c r="AR216" s="91">
        <v>7</v>
      </c>
      <c r="AS216" s="91"/>
      <c r="AT216" s="91"/>
      <c r="AU216" s="91"/>
      <c r="AV216" s="91"/>
      <c r="AW216" s="91"/>
      <c r="AX216" s="91">
        <v>2</v>
      </c>
      <c r="AY216" s="91"/>
      <c r="AZ216" s="91"/>
      <c r="BA216" s="91">
        <v>4</v>
      </c>
      <c r="BB216" s="91"/>
      <c r="BC216" s="91"/>
    </row>
    <row r="217" spans="1:55" x14ac:dyDescent="0.25">
      <c r="A217" s="91" t="s">
        <v>253</v>
      </c>
      <c r="B217" s="129">
        <f t="shared" si="5"/>
        <v>360</v>
      </c>
      <c r="C217" s="91">
        <v>7</v>
      </c>
      <c r="D217" s="91">
        <v>14</v>
      </c>
      <c r="E217" s="91">
        <v>3</v>
      </c>
      <c r="F217" s="91">
        <v>12</v>
      </c>
      <c r="G217" s="91">
        <v>2</v>
      </c>
      <c r="H217" s="91">
        <v>8</v>
      </c>
      <c r="I217" s="91">
        <v>4</v>
      </c>
      <c r="J217" s="91">
        <v>8</v>
      </c>
      <c r="K217" s="91">
        <v>8</v>
      </c>
      <c r="L217" s="91">
        <v>2</v>
      </c>
      <c r="M217" s="91">
        <v>5</v>
      </c>
      <c r="N217" s="91">
        <v>9</v>
      </c>
      <c r="O217" s="91">
        <v>8</v>
      </c>
      <c r="P217" s="91">
        <v>6</v>
      </c>
      <c r="Q217" s="91">
        <v>6</v>
      </c>
      <c r="R217" s="91">
        <v>7</v>
      </c>
      <c r="S217" s="91">
        <v>11</v>
      </c>
      <c r="T217" s="91">
        <v>1</v>
      </c>
      <c r="U217" s="91">
        <v>8</v>
      </c>
      <c r="V217" s="91">
        <v>5</v>
      </c>
      <c r="W217" s="91">
        <v>10</v>
      </c>
      <c r="X217" s="91">
        <v>10</v>
      </c>
      <c r="Y217" s="91">
        <v>12</v>
      </c>
      <c r="Z217" s="91">
        <v>2</v>
      </c>
      <c r="AA217" s="91">
        <v>4</v>
      </c>
      <c r="AB217" s="91"/>
      <c r="AC217" s="91">
        <v>5</v>
      </c>
      <c r="AD217" s="91">
        <v>21</v>
      </c>
      <c r="AE217" s="91">
        <v>8</v>
      </c>
      <c r="AF217" s="91">
        <v>1</v>
      </c>
      <c r="AG217" s="91">
        <v>10</v>
      </c>
      <c r="AH217" s="91">
        <v>7</v>
      </c>
      <c r="AI217" s="91">
        <v>7</v>
      </c>
      <c r="AJ217" s="91">
        <v>13</v>
      </c>
      <c r="AK217" s="91">
        <v>4</v>
      </c>
      <c r="AL217" s="91">
        <v>3</v>
      </c>
      <c r="AM217" s="91">
        <v>8</v>
      </c>
      <c r="AN217" s="91">
        <v>5</v>
      </c>
      <c r="AO217" s="91">
        <v>6</v>
      </c>
      <c r="AP217" s="91">
        <v>12</v>
      </c>
      <c r="AQ217" s="91">
        <v>21</v>
      </c>
      <c r="AR217" s="91">
        <v>14</v>
      </c>
      <c r="AS217" s="91">
        <v>8</v>
      </c>
      <c r="AT217" s="91"/>
      <c r="AU217" s="91">
        <v>6</v>
      </c>
      <c r="AV217" s="91">
        <v>6</v>
      </c>
      <c r="AW217" s="91">
        <v>7</v>
      </c>
      <c r="AX217" s="91">
        <v>1</v>
      </c>
      <c r="AY217" s="91">
        <v>9</v>
      </c>
      <c r="AZ217" s="91">
        <v>3</v>
      </c>
      <c r="BA217" s="91"/>
      <c r="BB217" s="91">
        <v>3</v>
      </c>
      <c r="BC217" s="91"/>
    </row>
    <row r="218" spans="1:55" x14ac:dyDescent="0.25">
      <c r="A218" s="91" t="s">
        <v>584</v>
      </c>
      <c r="B218" s="129">
        <f t="shared" si="5"/>
        <v>476</v>
      </c>
      <c r="C218" s="91">
        <v>13</v>
      </c>
      <c r="D218" s="91">
        <v>12</v>
      </c>
      <c r="E218" s="91">
        <v>16</v>
      </c>
      <c r="F218" s="91">
        <v>19</v>
      </c>
      <c r="G218" s="91">
        <v>26</v>
      </c>
      <c r="H218" s="91"/>
      <c r="I218" s="91">
        <v>3</v>
      </c>
      <c r="J218" s="91">
        <v>23</v>
      </c>
      <c r="K218" s="91">
        <v>5</v>
      </c>
      <c r="L218" s="91">
        <v>12</v>
      </c>
      <c r="M218" s="91">
        <v>1</v>
      </c>
      <c r="N218" s="91">
        <v>13</v>
      </c>
      <c r="O218" s="91">
        <v>7</v>
      </c>
      <c r="P218" s="91">
        <v>19</v>
      </c>
      <c r="Q218" s="91">
        <v>11</v>
      </c>
      <c r="R218" s="91">
        <v>5</v>
      </c>
      <c r="S218" s="91">
        <v>18</v>
      </c>
      <c r="T218" s="91">
        <v>7</v>
      </c>
      <c r="U218" s="91">
        <v>14</v>
      </c>
      <c r="V218" s="91">
        <v>7</v>
      </c>
      <c r="W218" s="91">
        <v>32</v>
      </c>
      <c r="X218" s="91">
        <v>7</v>
      </c>
      <c r="Y218" s="91">
        <v>12</v>
      </c>
      <c r="Z218" s="91">
        <v>3</v>
      </c>
      <c r="AA218" s="91">
        <v>3</v>
      </c>
      <c r="AB218" s="91">
        <v>14</v>
      </c>
      <c r="AC218" s="91">
        <v>7</v>
      </c>
      <c r="AD218" s="91">
        <v>5</v>
      </c>
      <c r="AE218" s="91">
        <v>5</v>
      </c>
      <c r="AF218" s="91">
        <v>3</v>
      </c>
      <c r="AG218" s="91">
        <v>3</v>
      </c>
      <c r="AH218" s="91">
        <v>2</v>
      </c>
      <c r="AI218" s="91">
        <v>14</v>
      </c>
      <c r="AJ218" s="91">
        <v>11</v>
      </c>
      <c r="AK218" s="91">
        <v>13</v>
      </c>
      <c r="AL218" s="91">
        <v>17</v>
      </c>
      <c r="AM218" s="91">
        <v>9</v>
      </c>
      <c r="AN218" s="91">
        <v>9</v>
      </c>
      <c r="AO218" s="91">
        <v>10</v>
      </c>
      <c r="AP218" s="91">
        <v>7</v>
      </c>
      <c r="AQ218" s="91">
        <v>20</v>
      </c>
      <c r="AR218" s="91">
        <v>5</v>
      </c>
      <c r="AS218" s="91"/>
      <c r="AT218" s="91"/>
      <c r="AU218" s="91"/>
      <c r="AV218" s="91">
        <v>10</v>
      </c>
      <c r="AW218" s="91">
        <v>15</v>
      </c>
      <c r="AX218" s="91">
        <v>3</v>
      </c>
      <c r="AY218" s="91">
        <v>4</v>
      </c>
      <c r="AZ218" s="91"/>
      <c r="BA218" s="91"/>
      <c r="BB218" s="91">
        <v>1</v>
      </c>
      <c r="BC218" s="91">
        <v>1</v>
      </c>
    </row>
    <row r="219" spans="1:55" x14ac:dyDescent="0.25">
      <c r="A219" s="91" t="s">
        <v>298</v>
      </c>
      <c r="B219" s="129">
        <f t="shared" si="5"/>
        <v>208</v>
      </c>
      <c r="C219" s="91">
        <v>2</v>
      </c>
      <c r="D219" s="91">
        <v>2</v>
      </c>
      <c r="E219" s="91">
        <v>8</v>
      </c>
      <c r="F219" s="91">
        <v>3</v>
      </c>
      <c r="G219" s="91">
        <v>8</v>
      </c>
      <c r="H219" s="91"/>
      <c r="I219" s="91">
        <v>3</v>
      </c>
      <c r="J219" s="91">
        <v>10</v>
      </c>
      <c r="K219" s="91">
        <v>5</v>
      </c>
      <c r="L219" s="91">
        <v>2</v>
      </c>
      <c r="M219" s="91">
        <v>12</v>
      </c>
      <c r="N219" s="91">
        <v>9</v>
      </c>
      <c r="O219" s="91">
        <v>2</v>
      </c>
      <c r="P219" s="91">
        <v>2</v>
      </c>
      <c r="Q219" s="91">
        <v>8</v>
      </c>
      <c r="R219" s="91">
        <v>1</v>
      </c>
      <c r="S219" s="91">
        <v>3</v>
      </c>
      <c r="T219" s="91"/>
      <c r="U219" s="91">
        <v>4</v>
      </c>
      <c r="V219" s="91">
        <v>1</v>
      </c>
      <c r="W219" s="91">
        <v>3</v>
      </c>
      <c r="X219" s="91">
        <v>3</v>
      </c>
      <c r="Y219" s="91">
        <v>4</v>
      </c>
      <c r="Z219" s="91">
        <v>10</v>
      </c>
      <c r="AA219" s="91">
        <v>5</v>
      </c>
      <c r="AB219" s="91">
        <v>1</v>
      </c>
      <c r="AC219" s="91">
        <v>2</v>
      </c>
      <c r="AD219" s="91">
        <v>4</v>
      </c>
      <c r="AE219" s="91">
        <v>5</v>
      </c>
      <c r="AF219" s="91">
        <v>5</v>
      </c>
      <c r="AG219" s="91"/>
      <c r="AH219" s="91">
        <v>3</v>
      </c>
      <c r="AI219" s="91">
        <v>3</v>
      </c>
      <c r="AJ219" s="91">
        <v>2</v>
      </c>
      <c r="AK219" s="91"/>
      <c r="AL219" s="91">
        <v>4</v>
      </c>
      <c r="AM219" s="91">
        <v>2</v>
      </c>
      <c r="AN219" s="91"/>
      <c r="AO219" s="91">
        <v>1</v>
      </c>
      <c r="AP219" s="91">
        <v>1</v>
      </c>
      <c r="AQ219" s="91">
        <v>3</v>
      </c>
      <c r="AR219" s="91">
        <v>7</v>
      </c>
      <c r="AS219" s="91">
        <v>8</v>
      </c>
      <c r="AT219" s="91"/>
      <c r="AU219" s="91">
        <v>8</v>
      </c>
      <c r="AV219" s="91">
        <v>8</v>
      </c>
      <c r="AW219" s="91">
        <v>16</v>
      </c>
      <c r="AX219" s="91">
        <v>3</v>
      </c>
      <c r="AY219" s="91">
        <v>2</v>
      </c>
      <c r="AZ219" s="91"/>
      <c r="BA219" s="91">
        <v>3</v>
      </c>
      <c r="BB219" s="91">
        <v>7</v>
      </c>
      <c r="BC219" s="91"/>
    </row>
    <row r="220" spans="1:55" x14ac:dyDescent="0.25">
      <c r="A220" s="91" t="s">
        <v>379</v>
      </c>
      <c r="B220" s="129">
        <f t="shared" si="5"/>
        <v>207</v>
      </c>
      <c r="C220" s="91">
        <v>3</v>
      </c>
      <c r="D220" s="91">
        <v>7</v>
      </c>
      <c r="E220" s="91">
        <v>3</v>
      </c>
      <c r="F220" s="91">
        <v>2</v>
      </c>
      <c r="G220" s="91">
        <v>10</v>
      </c>
      <c r="H220" s="91"/>
      <c r="I220" s="91">
        <v>6</v>
      </c>
      <c r="J220" s="91">
        <v>13</v>
      </c>
      <c r="K220" s="91">
        <v>5</v>
      </c>
      <c r="L220" s="91">
        <v>3</v>
      </c>
      <c r="M220" s="91"/>
      <c r="N220" s="91">
        <v>8</v>
      </c>
      <c r="O220" s="91">
        <v>5</v>
      </c>
      <c r="P220" s="91">
        <v>5</v>
      </c>
      <c r="Q220" s="91">
        <v>3</v>
      </c>
      <c r="R220" s="91">
        <v>5</v>
      </c>
      <c r="S220" s="91">
        <v>11</v>
      </c>
      <c r="T220" s="91">
        <v>1</v>
      </c>
      <c r="U220" s="91">
        <v>4</v>
      </c>
      <c r="V220" s="91"/>
      <c r="W220" s="91">
        <v>1</v>
      </c>
      <c r="X220" s="91">
        <v>3</v>
      </c>
      <c r="Y220" s="91">
        <v>6</v>
      </c>
      <c r="Z220" s="91">
        <v>9</v>
      </c>
      <c r="AA220" s="91">
        <v>3</v>
      </c>
      <c r="AB220" s="91">
        <v>4</v>
      </c>
      <c r="AC220" s="91">
        <v>7</v>
      </c>
      <c r="AD220" s="91">
        <v>1</v>
      </c>
      <c r="AE220" s="91">
        <v>6</v>
      </c>
      <c r="AF220" s="91">
        <v>6</v>
      </c>
      <c r="AG220" s="91">
        <v>3</v>
      </c>
      <c r="AH220" s="91">
        <v>2</v>
      </c>
      <c r="AI220" s="91">
        <v>2</v>
      </c>
      <c r="AJ220" s="91"/>
      <c r="AK220" s="91"/>
      <c r="AL220" s="91"/>
      <c r="AM220" s="91">
        <v>3</v>
      </c>
      <c r="AN220" s="91">
        <v>3</v>
      </c>
      <c r="AO220" s="91">
        <v>9</v>
      </c>
      <c r="AP220" s="91">
        <v>1</v>
      </c>
      <c r="AQ220" s="91"/>
      <c r="AR220" s="91">
        <v>2</v>
      </c>
      <c r="AS220" s="91"/>
      <c r="AT220" s="91"/>
      <c r="AU220" s="91">
        <v>5</v>
      </c>
      <c r="AV220" s="91"/>
      <c r="AW220" s="91">
        <v>3</v>
      </c>
      <c r="AX220" s="91">
        <v>2</v>
      </c>
      <c r="AY220" s="91">
        <v>3</v>
      </c>
      <c r="AZ220" s="91">
        <v>4</v>
      </c>
      <c r="BA220" s="91"/>
      <c r="BB220" s="91">
        <v>25</v>
      </c>
      <c r="BC220" s="91"/>
    </row>
    <row r="221" spans="1:55" x14ac:dyDescent="0.25">
      <c r="A221" s="91" t="s">
        <v>451</v>
      </c>
      <c r="B221" s="129">
        <f t="shared" si="5"/>
        <v>164</v>
      </c>
      <c r="C221" s="91"/>
      <c r="D221" s="91">
        <v>2</v>
      </c>
      <c r="E221" s="91">
        <v>7</v>
      </c>
      <c r="F221" s="91"/>
      <c r="G221" s="91">
        <v>6</v>
      </c>
      <c r="H221" s="91"/>
      <c r="I221" s="91">
        <v>1</v>
      </c>
      <c r="J221" s="91">
        <v>9</v>
      </c>
      <c r="K221" s="91">
        <v>2</v>
      </c>
      <c r="L221" s="91">
        <v>1</v>
      </c>
      <c r="M221" s="91">
        <v>3</v>
      </c>
      <c r="N221" s="91">
        <v>8</v>
      </c>
      <c r="O221" s="91">
        <v>2</v>
      </c>
      <c r="P221" s="91">
        <v>3</v>
      </c>
      <c r="Q221" s="91">
        <v>2</v>
      </c>
      <c r="R221" s="91">
        <v>11</v>
      </c>
      <c r="S221" s="91">
        <v>5</v>
      </c>
      <c r="T221" s="91">
        <v>1</v>
      </c>
      <c r="U221" s="91">
        <v>7</v>
      </c>
      <c r="V221" s="91">
        <v>1</v>
      </c>
      <c r="W221" s="91">
        <v>4</v>
      </c>
      <c r="X221" s="91">
        <v>4</v>
      </c>
      <c r="Y221" s="91">
        <v>2</v>
      </c>
      <c r="Z221" s="91">
        <v>2</v>
      </c>
      <c r="AA221" s="91">
        <v>3</v>
      </c>
      <c r="AB221" s="91">
        <v>1</v>
      </c>
      <c r="AC221" s="91">
        <v>6</v>
      </c>
      <c r="AD221" s="91">
        <v>4</v>
      </c>
      <c r="AE221" s="91">
        <v>8</v>
      </c>
      <c r="AF221" s="91"/>
      <c r="AG221" s="91">
        <v>2</v>
      </c>
      <c r="AH221" s="91">
        <v>2</v>
      </c>
      <c r="AI221" s="91">
        <v>4</v>
      </c>
      <c r="AJ221" s="91">
        <v>4</v>
      </c>
      <c r="AK221" s="91"/>
      <c r="AL221" s="91">
        <v>4</v>
      </c>
      <c r="AM221" s="91"/>
      <c r="AN221" s="91"/>
      <c r="AO221" s="91">
        <v>2</v>
      </c>
      <c r="AP221" s="91">
        <v>11</v>
      </c>
      <c r="AQ221" s="91">
        <v>1</v>
      </c>
      <c r="AR221" s="91">
        <v>2</v>
      </c>
      <c r="AS221" s="91">
        <v>4</v>
      </c>
      <c r="AT221" s="91"/>
      <c r="AU221" s="91">
        <v>4</v>
      </c>
      <c r="AV221" s="91">
        <v>1</v>
      </c>
      <c r="AW221" s="91">
        <v>4</v>
      </c>
      <c r="AX221" s="91">
        <v>2</v>
      </c>
      <c r="AY221" s="91">
        <v>1</v>
      </c>
      <c r="AZ221" s="91"/>
      <c r="BA221" s="91"/>
      <c r="BB221" s="91">
        <v>11</v>
      </c>
      <c r="BC221" s="91"/>
    </row>
    <row r="222" spans="1:55" x14ac:dyDescent="0.25">
      <c r="A222" s="91" t="s">
        <v>460</v>
      </c>
      <c r="B222" s="129">
        <f t="shared" si="5"/>
        <v>189</v>
      </c>
      <c r="C222" s="91">
        <v>2</v>
      </c>
      <c r="D222" s="91">
        <v>3</v>
      </c>
      <c r="E222" s="91">
        <v>11</v>
      </c>
      <c r="F222" s="91">
        <v>6</v>
      </c>
      <c r="G222" s="91">
        <v>1</v>
      </c>
      <c r="H222" s="91">
        <v>5</v>
      </c>
      <c r="I222" s="91">
        <v>1</v>
      </c>
      <c r="J222" s="91">
        <v>2</v>
      </c>
      <c r="K222" s="91">
        <v>1</v>
      </c>
      <c r="L222" s="91"/>
      <c r="M222" s="91">
        <v>9</v>
      </c>
      <c r="N222" s="91">
        <v>7</v>
      </c>
      <c r="O222" s="91">
        <v>6</v>
      </c>
      <c r="P222" s="91">
        <v>4</v>
      </c>
      <c r="Q222" s="91">
        <v>4</v>
      </c>
      <c r="R222" s="91">
        <v>5</v>
      </c>
      <c r="S222" s="91">
        <v>2</v>
      </c>
      <c r="T222" s="91"/>
      <c r="U222" s="91"/>
      <c r="V222" s="91">
        <v>6</v>
      </c>
      <c r="W222" s="91">
        <v>2</v>
      </c>
      <c r="X222" s="91">
        <v>10</v>
      </c>
      <c r="Y222" s="91">
        <v>10</v>
      </c>
      <c r="Z222" s="91">
        <v>4</v>
      </c>
      <c r="AA222" s="91">
        <v>4</v>
      </c>
      <c r="AB222" s="91">
        <v>1</v>
      </c>
      <c r="AC222" s="91">
        <v>7</v>
      </c>
      <c r="AD222" s="91">
        <v>2</v>
      </c>
      <c r="AE222" s="91">
        <v>4</v>
      </c>
      <c r="AF222" s="91"/>
      <c r="AG222" s="91">
        <v>1</v>
      </c>
      <c r="AH222" s="91">
        <v>2</v>
      </c>
      <c r="AI222" s="91">
        <v>6</v>
      </c>
      <c r="AJ222" s="91">
        <v>3</v>
      </c>
      <c r="AK222" s="91">
        <v>2</v>
      </c>
      <c r="AL222" s="91">
        <v>7</v>
      </c>
      <c r="AM222" s="91">
        <v>4</v>
      </c>
      <c r="AN222" s="91">
        <v>5</v>
      </c>
      <c r="AO222" s="91">
        <v>2</v>
      </c>
      <c r="AP222" s="91"/>
      <c r="AQ222" s="91">
        <v>4</v>
      </c>
      <c r="AR222" s="91">
        <v>7</v>
      </c>
      <c r="AS222" s="91">
        <v>7</v>
      </c>
      <c r="AT222" s="91"/>
      <c r="AU222" s="91">
        <v>2</v>
      </c>
      <c r="AV222" s="91"/>
      <c r="AW222" s="91">
        <v>15</v>
      </c>
      <c r="AX222" s="91"/>
      <c r="AY222" s="91"/>
      <c r="AZ222" s="91"/>
      <c r="BA222" s="91">
        <v>1</v>
      </c>
      <c r="BB222" s="91">
        <v>2</v>
      </c>
      <c r="BC222" s="91"/>
    </row>
    <row r="223" spans="1:55" x14ac:dyDescent="0.25">
      <c r="A223" s="91" t="s">
        <v>397</v>
      </c>
      <c r="B223" s="129">
        <f t="shared" si="5"/>
        <v>169</v>
      </c>
      <c r="C223" s="91"/>
      <c r="D223" s="91">
        <v>1</v>
      </c>
      <c r="E223" s="91">
        <v>14</v>
      </c>
      <c r="F223" s="91">
        <v>3</v>
      </c>
      <c r="G223" s="91">
        <v>2</v>
      </c>
      <c r="H223" s="91"/>
      <c r="I223" s="91">
        <v>2</v>
      </c>
      <c r="J223" s="91">
        <v>4</v>
      </c>
      <c r="K223" s="91">
        <v>4</v>
      </c>
      <c r="L223" s="91">
        <v>4</v>
      </c>
      <c r="M223" s="91"/>
      <c r="N223" s="91">
        <v>5</v>
      </c>
      <c r="O223" s="91">
        <v>7</v>
      </c>
      <c r="P223" s="91">
        <v>3</v>
      </c>
      <c r="Q223" s="91">
        <v>5</v>
      </c>
      <c r="R223" s="91">
        <v>11</v>
      </c>
      <c r="S223" s="91">
        <v>6</v>
      </c>
      <c r="T223" s="91"/>
      <c r="U223" s="91">
        <v>7</v>
      </c>
      <c r="V223" s="91">
        <v>2</v>
      </c>
      <c r="W223" s="91">
        <v>2</v>
      </c>
      <c r="X223" s="91">
        <v>2</v>
      </c>
      <c r="Y223" s="91">
        <v>7</v>
      </c>
      <c r="Z223" s="91"/>
      <c r="AA223" s="91">
        <v>2</v>
      </c>
      <c r="AB223" s="91">
        <v>5</v>
      </c>
      <c r="AC223" s="91">
        <v>3</v>
      </c>
      <c r="AD223" s="91">
        <v>2</v>
      </c>
      <c r="AE223" s="91">
        <v>2</v>
      </c>
      <c r="AF223" s="91">
        <v>4</v>
      </c>
      <c r="AG223" s="91">
        <v>1</v>
      </c>
      <c r="AH223" s="91">
        <v>6</v>
      </c>
      <c r="AI223" s="91"/>
      <c r="AJ223" s="91">
        <v>9</v>
      </c>
      <c r="AK223" s="91">
        <v>2</v>
      </c>
      <c r="AL223" s="91"/>
      <c r="AM223" s="91"/>
      <c r="AN223" s="91">
        <v>5</v>
      </c>
      <c r="AO223" s="91"/>
      <c r="AP223" s="91"/>
      <c r="AQ223" s="91">
        <v>1</v>
      </c>
      <c r="AR223" s="91">
        <v>4</v>
      </c>
      <c r="AS223" s="91">
        <v>2</v>
      </c>
      <c r="AT223" s="91"/>
      <c r="AU223" s="91"/>
      <c r="AV223" s="91">
        <v>2</v>
      </c>
      <c r="AW223" s="91">
        <v>3</v>
      </c>
      <c r="AX223" s="91">
        <v>1</v>
      </c>
      <c r="AY223" s="91">
        <v>5</v>
      </c>
      <c r="AZ223" s="91"/>
      <c r="BA223" s="91"/>
      <c r="BB223" s="91">
        <v>19</v>
      </c>
      <c r="BC223" s="91"/>
    </row>
    <row r="224" spans="1:55" x14ac:dyDescent="0.25">
      <c r="A224" s="91" t="s">
        <v>552</v>
      </c>
      <c r="B224" s="129">
        <f t="shared" si="5"/>
        <v>204</v>
      </c>
      <c r="C224" s="91">
        <v>2</v>
      </c>
      <c r="D224" s="91">
        <v>1</v>
      </c>
      <c r="E224" s="91">
        <v>2</v>
      </c>
      <c r="F224" s="91"/>
      <c r="G224" s="91">
        <v>2</v>
      </c>
      <c r="H224" s="91">
        <v>10</v>
      </c>
      <c r="I224" s="91">
        <v>11</v>
      </c>
      <c r="J224" s="91">
        <v>2</v>
      </c>
      <c r="K224" s="91">
        <v>4</v>
      </c>
      <c r="L224" s="91">
        <v>1</v>
      </c>
      <c r="M224" s="91">
        <v>5</v>
      </c>
      <c r="N224" s="91">
        <v>3</v>
      </c>
      <c r="O224" s="91">
        <v>1</v>
      </c>
      <c r="P224" s="91">
        <v>3</v>
      </c>
      <c r="Q224" s="91">
        <v>1</v>
      </c>
      <c r="R224" s="91">
        <v>1</v>
      </c>
      <c r="S224" s="91">
        <v>5</v>
      </c>
      <c r="T224" s="91"/>
      <c r="U224" s="91">
        <v>1</v>
      </c>
      <c r="V224" s="91">
        <v>3</v>
      </c>
      <c r="W224" s="91">
        <v>2</v>
      </c>
      <c r="X224" s="91">
        <v>4</v>
      </c>
      <c r="Y224" s="91">
        <v>3</v>
      </c>
      <c r="Z224" s="91">
        <v>1</v>
      </c>
      <c r="AA224" s="91">
        <v>9</v>
      </c>
      <c r="AB224" s="91">
        <v>1</v>
      </c>
      <c r="AC224" s="91">
        <v>4</v>
      </c>
      <c r="AD224" s="91">
        <v>9</v>
      </c>
      <c r="AE224" s="91">
        <v>1</v>
      </c>
      <c r="AF224" s="91">
        <v>6</v>
      </c>
      <c r="AG224" s="91">
        <v>1</v>
      </c>
      <c r="AH224" s="91">
        <v>2</v>
      </c>
      <c r="AI224" s="91">
        <v>5</v>
      </c>
      <c r="AJ224" s="91">
        <v>3</v>
      </c>
      <c r="AK224" s="91">
        <v>2</v>
      </c>
      <c r="AL224" s="91">
        <v>9</v>
      </c>
      <c r="AM224" s="91">
        <v>4</v>
      </c>
      <c r="AN224" s="91">
        <v>5</v>
      </c>
      <c r="AO224" s="91">
        <v>6</v>
      </c>
      <c r="AP224" s="91">
        <v>2</v>
      </c>
      <c r="AQ224" s="91">
        <v>8</v>
      </c>
      <c r="AR224" s="91">
        <v>4</v>
      </c>
      <c r="AS224" s="91">
        <v>8</v>
      </c>
      <c r="AT224" s="91"/>
      <c r="AU224" s="91">
        <v>2</v>
      </c>
      <c r="AV224" s="91">
        <v>2</v>
      </c>
      <c r="AW224" s="91">
        <v>16</v>
      </c>
      <c r="AX224" s="91">
        <v>2</v>
      </c>
      <c r="AY224" s="91">
        <v>3</v>
      </c>
      <c r="AZ224" s="91">
        <v>9</v>
      </c>
      <c r="BA224" s="91"/>
      <c r="BB224" s="91">
        <v>13</v>
      </c>
      <c r="BC224" s="91"/>
    </row>
    <row r="225" spans="1:55" x14ac:dyDescent="0.25">
      <c r="A225" s="91" t="s">
        <v>532</v>
      </c>
      <c r="B225" s="129">
        <f t="shared" si="5"/>
        <v>86</v>
      </c>
      <c r="C225" s="91">
        <v>3</v>
      </c>
      <c r="D225" s="91">
        <v>2</v>
      </c>
      <c r="E225" s="91"/>
      <c r="F225" s="91"/>
      <c r="G225" s="91">
        <v>4</v>
      </c>
      <c r="H225" s="91"/>
      <c r="I225" s="91"/>
      <c r="J225" s="91">
        <v>1</v>
      </c>
      <c r="K225" s="91">
        <v>2</v>
      </c>
      <c r="L225" s="91"/>
      <c r="M225" s="91">
        <v>3</v>
      </c>
      <c r="N225" s="91"/>
      <c r="O225" s="91">
        <v>3</v>
      </c>
      <c r="P225" s="91"/>
      <c r="Q225" s="91"/>
      <c r="R225" s="91"/>
      <c r="S225" s="91">
        <v>1</v>
      </c>
      <c r="T225" s="91"/>
      <c r="U225" s="91">
        <v>2</v>
      </c>
      <c r="V225" s="91">
        <v>1</v>
      </c>
      <c r="W225" s="91">
        <v>1</v>
      </c>
      <c r="X225" s="91">
        <v>1</v>
      </c>
      <c r="Y225" s="91">
        <v>4</v>
      </c>
      <c r="Z225" s="91">
        <v>3</v>
      </c>
      <c r="AA225" s="91">
        <v>2</v>
      </c>
      <c r="AB225" s="91">
        <v>1</v>
      </c>
      <c r="AC225" s="91"/>
      <c r="AD225" s="91">
        <v>2</v>
      </c>
      <c r="AE225" s="91">
        <v>4</v>
      </c>
      <c r="AF225" s="91">
        <v>1</v>
      </c>
      <c r="AG225" s="91">
        <v>1</v>
      </c>
      <c r="AH225" s="91">
        <v>2</v>
      </c>
      <c r="AI225" s="91">
        <v>5</v>
      </c>
      <c r="AJ225" s="91">
        <v>3</v>
      </c>
      <c r="AK225" s="91">
        <v>3</v>
      </c>
      <c r="AL225" s="91">
        <v>1</v>
      </c>
      <c r="AM225" s="91">
        <v>1</v>
      </c>
      <c r="AN225" s="91">
        <v>2</v>
      </c>
      <c r="AO225" s="91"/>
      <c r="AP225" s="91"/>
      <c r="AQ225" s="91">
        <v>5</v>
      </c>
      <c r="AR225" s="91">
        <v>1</v>
      </c>
      <c r="AS225" s="91"/>
      <c r="AT225" s="91"/>
      <c r="AU225" s="91"/>
      <c r="AV225" s="91"/>
      <c r="AW225" s="91">
        <v>4</v>
      </c>
      <c r="AX225" s="91"/>
      <c r="AY225" s="91"/>
      <c r="AZ225" s="91">
        <v>4</v>
      </c>
      <c r="BA225" s="91">
        <v>1</v>
      </c>
      <c r="BB225" s="91">
        <v>12</v>
      </c>
      <c r="BC225" s="91"/>
    </row>
    <row r="226" spans="1:55" x14ac:dyDescent="0.25">
      <c r="A226" s="91" t="s">
        <v>581</v>
      </c>
      <c r="B226" s="129">
        <f t="shared" si="5"/>
        <v>220</v>
      </c>
      <c r="C226" s="91">
        <v>8</v>
      </c>
      <c r="D226" s="91">
        <v>1</v>
      </c>
      <c r="E226" s="91">
        <v>1</v>
      </c>
      <c r="F226" s="91">
        <v>4</v>
      </c>
      <c r="G226" s="91">
        <v>13</v>
      </c>
      <c r="H226" s="91"/>
      <c r="I226" s="91">
        <v>1</v>
      </c>
      <c r="J226" s="91">
        <v>7</v>
      </c>
      <c r="K226" s="91">
        <v>2</v>
      </c>
      <c r="L226" s="91">
        <v>5</v>
      </c>
      <c r="M226" s="91">
        <v>4</v>
      </c>
      <c r="N226" s="91">
        <v>3</v>
      </c>
      <c r="O226" s="91">
        <v>6</v>
      </c>
      <c r="P226" s="91">
        <v>6</v>
      </c>
      <c r="Q226" s="91"/>
      <c r="R226" s="91">
        <v>3</v>
      </c>
      <c r="S226" s="91">
        <v>6</v>
      </c>
      <c r="T226" s="91"/>
      <c r="U226" s="91">
        <v>2</v>
      </c>
      <c r="V226" s="91">
        <v>1</v>
      </c>
      <c r="W226" s="91">
        <v>13</v>
      </c>
      <c r="X226" s="91">
        <v>13</v>
      </c>
      <c r="Y226" s="91">
        <v>3</v>
      </c>
      <c r="Z226" s="91">
        <v>1</v>
      </c>
      <c r="AA226" s="91">
        <v>5</v>
      </c>
      <c r="AB226" s="91"/>
      <c r="AC226" s="91">
        <v>3</v>
      </c>
      <c r="AD226" s="91">
        <v>5</v>
      </c>
      <c r="AE226" s="91">
        <v>5</v>
      </c>
      <c r="AF226" s="91">
        <v>1</v>
      </c>
      <c r="AG226" s="91">
        <v>2</v>
      </c>
      <c r="AH226" s="91">
        <v>11</v>
      </c>
      <c r="AI226" s="91">
        <v>2</v>
      </c>
      <c r="AJ226" s="91">
        <v>13</v>
      </c>
      <c r="AK226" s="91">
        <v>8</v>
      </c>
      <c r="AL226" s="91">
        <v>7</v>
      </c>
      <c r="AM226" s="91">
        <v>3</v>
      </c>
      <c r="AN226" s="91"/>
      <c r="AO226" s="91">
        <v>3</v>
      </c>
      <c r="AP226" s="91">
        <v>3</v>
      </c>
      <c r="AQ226" s="91">
        <v>8</v>
      </c>
      <c r="AR226" s="91">
        <v>1</v>
      </c>
      <c r="AS226" s="91">
        <v>1</v>
      </c>
      <c r="AT226" s="91"/>
      <c r="AU226" s="91">
        <v>2</v>
      </c>
      <c r="AV226" s="91"/>
      <c r="AW226" s="91">
        <v>16</v>
      </c>
      <c r="AX226" s="91">
        <v>1</v>
      </c>
      <c r="AY226" s="91">
        <v>10</v>
      </c>
      <c r="AZ226" s="91">
        <v>2</v>
      </c>
      <c r="BA226" s="91"/>
      <c r="BB226" s="91">
        <v>5</v>
      </c>
      <c r="BC226" s="91"/>
    </row>
    <row r="227" spans="1:55" x14ac:dyDescent="0.25">
      <c r="A227" s="91" t="s">
        <v>533</v>
      </c>
      <c r="B227" s="129">
        <f t="shared" si="5"/>
        <v>95</v>
      </c>
      <c r="C227" s="91">
        <v>1</v>
      </c>
      <c r="D227" s="91">
        <v>8</v>
      </c>
      <c r="E227" s="91">
        <v>5</v>
      </c>
      <c r="F227" s="91">
        <v>1</v>
      </c>
      <c r="G227" s="91"/>
      <c r="H227" s="91"/>
      <c r="I227" s="91"/>
      <c r="J227" s="91">
        <v>8</v>
      </c>
      <c r="K227" s="91">
        <v>3</v>
      </c>
      <c r="L227" s="91"/>
      <c r="M227" s="91">
        <v>2</v>
      </c>
      <c r="N227" s="91">
        <v>8</v>
      </c>
      <c r="O227" s="91"/>
      <c r="P227" s="91">
        <v>1</v>
      </c>
      <c r="Q227" s="91"/>
      <c r="R227" s="91">
        <v>1</v>
      </c>
      <c r="S227" s="91">
        <v>2</v>
      </c>
      <c r="T227" s="91"/>
      <c r="U227" s="91"/>
      <c r="V227" s="91">
        <v>1</v>
      </c>
      <c r="W227" s="91">
        <v>1</v>
      </c>
      <c r="X227" s="91"/>
      <c r="Y227" s="91">
        <v>1</v>
      </c>
      <c r="Z227" s="91"/>
      <c r="AA227" s="91">
        <v>2</v>
      </c>
      <c r="AB227" s="91">
        <v>2</v>
      </c>
      <c r="AC227" s="91"/>
      <c r="AD227" s="91">
        <v>2</v>
      </c>
      <c r="AE227" s="91">
        <v>7</v>
      </c>
      <c r="AF227" s="91"/>
      <c r="AG227" s="91">
        <v>3</v>
      </c>
      <c r="AH227" s="91"/>
      <c r="AI227" s="91">
        <v>2</v>
      </c>
      <c r="AJ227" s="91"/>
      <c r="AK227" s="91">
        <v>2</v>
      </c>
      <c r="AL227" s="91">
        <v>3</v>
      </c>
      <c r="AM227" s="91">
        <v>1</v>
      </c>
      <c r="AN227" s="91">
        <v>1</v>
      </c>
      <c r="AO227" s="91">
        <v>1</v>
      </c>
      <c r="AP227" s="91">
        <v>1</v>
      </c>
      <c r="AQ227" s="91">
        <v>7</v>
      </c>
      <c r="AR227" s="91">
        <v>3</v>
      </c>
      <c r="AS227" s="91"/>
      <c r="AT227" s="91"/>
      <c r="AU227" s="91">
        <v>2</v>
      </c>
      <c r="AV227" s="91"/>
      <c r="AW227" s="91">
        <v>1</v>
      </c>
      <c r="AX227" s="91">
        <v>3</v>
      </c>
      <c r="AY227" s="91">
        <v>2</v>
      </c>
      <c r="AZ227" s="91">
        <v>1</v>
      </c>
      <c r="BA227" s="91"/>
      <c r="BB227" s="91">
        <v>6</v>
      </c>
      <c r="BC227" s="91"/>
    </row>
    <row r="228" spans="1:55" x14ac:dyDescent="0.25">
      <c r="A228" s="91" t="s">
        <v>474</v>
      </c>
      <c r="B228" s="129">
        <f t="shared" si="5"/>
        <v>67</v>
      </c>
      <c r="C228" s="91"/>
      <c r="D228" s="91">
        <v>1</v>
      </c>
      <c r="E228" s="91">
        <v>4</v>
      </c>
      <c r="F228" s="91"/>
      <c r="G228" s="91">
        <v>2</v>
      </c>
      <c r="H228" s="91"/>
      <c r="I228" s="91">
        <v>2</v>
      </c>
      <c r="J228" s="91">
        <v>3</v>
      </c>
      <c r="K228" s="91"/>
      <c r="L228" s="91"/>
      <c r="M228" s="91">
        <v>2</v>
      </c>
      <c r="N228" s="91"/>
      <c r="O228" s="91">
        <v>1</v>
      </c>
      <c r="P228" s="91"/>
      <c r="Q228" s="91">
        <v>2</v>
      </c>
      <c r="R228" s="91"/>
      <c r="S228" s="91">
        <v>1</v>
      </c>
      <c r="T228" s="91"/>
      <c r="U228" s="91">
        <v>2</v>
      </c>
      <c r="V228" s="91">
        <v>2</v>
      </c>
      <c r="W228" s="91">
        <v>2</v>
      </c>
      <c r="X228" s="91">
        <v>3</v>
      </c>
      <c r="Y228" s="91">
        <v>1</v>
      </c>
      <c r="Z228" s="91"/>
      <c r="AA228" s="91">
        <v>1</v>
      </c>
      <c r="AB228" s="91">
        <v>1</v>
      </c>
      <c r="AC228" s="91"/>
      <c r="AD228" s="91">
        <v>2</v>
      </c>
      <c r="AE228" s="91">
        <v>3</v>
      </c>
      <c r="AF228" s="91"/>
      <c r="AG228" s="91"/>
      <c r="AH228" s="91"/>
      <c r="AI228" s="91"/>
      <c r="AJ228" s="91"/>
      <c r="AK228" s="91"/>
      <c r="AL228" s="91">
        <v>1</v>
      </c>
      <c r="AM228" s="91">
        <v>1</v>
      </c>
      <c r="AN228" s="91">
        <v>4</v>
      </c>
      <c r="AO228" s="91">
        <v>2</v>
      </c>
      <c r="AP228" s="91">
        <v>1</v>
      </c>
      <c r="AQ228" s="91">
        <v>1</v>
      </c>
      <c r="AR228" s="91">
        <v>3</v>
      </c>
      <c r="AS228" s="91"/>
      <c r="AT228" s="91"/>
      <c r="AU228" s="91">
        <v>7</v>
      </c>
      <c r="AV228" s="91">
        <v>1</v>
      </c>
      <c r="AW228" s="91">
        <v>3</v>
      </c>
      <c r="AX228" s="91">
        <v>1</v>
      </c>
      <c r="AY228" s="91">
        <v>1</v>
      </c>
      <c r="AZ228" s="91">
        <v>4</v>
      </c>
      <c r="BA228" s="91">
        <v>1</v>
      </c>
      <c r="BB228" s="91">
        <v>1</v>
      </c>
      <c r="BC228" s="91"/>
    </row>
    <row r="229" spans="1:55" x14ac:dyDescent="0.25">
      <c r="A229" s="91" t="s">
        <v>320</v>
      </c>
      <c r="B229" s="129">
        <f t="shared" si="5"/>
        <v>38</v>
      </c>
      <c r="C229" s="91"/>
      <c r="D229" s="91"/>
      <c r="E229" s="91">
        <v>3</v>
      </c>
      <c r="F229" s="91">
        <v>3</v>
      </c>
      <c r="G229" s="91">
        <v>2</v>
      </c>
      <c r="H229" s="91"/>
      <c r="I229" s="91">
        <v>3</v>
      </c>
      <c r="J229" s="91">
        <v>1</v>
      </c>
      <c r="K229" s="91"/>
      <c r="L229" s="91"/>
      <c r="M229" s="91"/>
      <c r="N229" s="91">
        <v>1</v>
      </c>
      <c r="O229" s="91"/>
      <c r="P229" s="91">
        <v>1</v>
      </c>
      <c r="Q229" s="91">
        <v>2</v>
      </c>
      <c r="R229" s="91">
        <v>3</v>
      </c>
      <c r="S229" s="91"/>
      <c r="T229" s="91"/>
      <c r="U229" s="91"/>
      <c r="V229" s="91"/>
      <c r="W229" s="91"/>
      <c r="X229" s="91">
        <v>1</v>
      </c>
      <c r="Y229" s="91"/>
      <c r="Z229" s="91">
        <v>1</v>
      </c>
      <c r="AA229" s="91"/>
      <c r="AB229" s="91"/>
      <c r="AC229" s="91"/>
      <c r="AD229" s="91">
        <v>1</v>
      </c>
      <c r="AE229" s="91"/>
      <c r="AF229" s="91">
        <v>1</v>
      </c>
      <c r="AG229" s="91"/>
      <c r="AH229" s="91">
        <v>1</v>
      </c>
      <c r="AI229" s="91"/>
      <c r="AJ229" s="91"/>
      <c r="AK229" s="91"/>
      <c r="AL229" s="91"/>
      <c r="AM229" s="91"/>
      <c r="AN229" s="91">
        <v>1</v>
      </c>
      <c r="AO229" s="91">
        <v>1</v>
      </c>
      <c r="AP229" s="91"/>
      <c r="AQ229" s="91">
        <v>1</v>
      </c>
      <c r="AR229" s="91">
        <v>1</v>
      </c>
      <c r="AS229" s="91"/>
      <c r="AT229" s="91"/>
      <c r="AU229" s="91"/>
      <c r="AV229" s="91"/>
      <c r="AW229" s="91">
        <v>1</v>
      </c>
      <c r="AX229" s="91"/>
      <c r="AY229" s="91"/>
      <c r="AZ229" s="91"/>
      <c r="BA229" s="91">
        <v>5</v>
      </c>
      <c r="BB229" s="91">
        <v>4</v>
      </c>
      <c r="BC229" s="91"/>
    </row>
    <row r="230" spans="1:55" x14ac:dyDescent="0.25">
      <c r="A230" s="91" t="s">
        <v>406</v>
      </c>
      <c r="B230" s="129">
        <f t="shared" si="5"/>
        <v>144</v>
      </c>
      <c r="C230" s="91">
        <v>5</v>
      </c>
      <c r="D230" s="91"/>
      <c r="E230" s="91">
        <v>3</v>
      </c>
      <c r="F230" s="91">
        <v>4</v>
      </c>
      <c r="G230" s="91">
        <v>9</v>
      </c>
      <c r="H230" s="91"/>
      <c r="I230" s="91">
        <v>6</v>
      </c>
      <c r="J230" s="91">
        <v>5</v>
      </c>
      <c r="K230" s="91">
        <v>2</v>
      </c>
      <c r="L230" s="91">
        <v>2</v>
      </c>
      <c r="M230" s="91"/>
      <c r="N230" s="91">
        <v>6</v>
      </c>
      <c r="O230" s="91"/>
      <c r="P230" s="91">
        <v>1</v>
      </c>
      <c r="Q230" s="91">
        <v>4</v>
      </c>
      <c r="R230" s="91">
        <v>2</v>
      </c>
      <c r="S230" s="91">
        <v>7</v>
      </c>
      <c r="T230" s="91"/>
      <c r="U230" s="91">
        <v>3</v>
      </c>
      <c r="V230" s="91">
        <v>2</v>
      </c>
      <c r="W230" s="91">
        <v>1</v>
      </c>
      <c r="X230" s="91">
        <v>4</v>
      </c>
      <c r="Y230" s="91">
        <v>3</v>
      </c>
      <c r="Z230" s="91">
        <v>8</v>
      </c>
      <c r="AA230" s="91">
        <v>1</v>
      </c>
      <c r="AB230" s="91">
        <v>1</v>
      </c>
      <c r="AC230" s="91">
        <v>1</v>
      </c>
      <c r="AD230" s="91"/>
      <c r="AE230" s="91">
        <v>1</v>
      </c>
      <c r="AF230" s="91">
        <v>2</v>
      </c>
      <c r="AG230" s="91">
        <v>1</v>
      </c>
      <c r="AH230" s="91"/>
      <c r="AI230" s="91">
        <v>4</v>
      </c>
      <c r="AJ230" s="91">
        <v>1</v>
      </c>
      <c r="AK230" s="91"/>
      <c r="AL230" s="91">
        <v>7</v>
      </c>
      <c r="AM230" s="91"/>
      <c r="AN230" s="91"/>
      <c r="AO230" s="91">
        <v>1</v>
      </c>
      <c r="AP230" s="91">
        <v>3</v>
      </c>
      <c r="AQ230" s="91">
        <v>6</v>
      </c>
      <c r="AR230" s="91">
        <v>2</v>
      </c>
      <c r="AS230" s="91">
        <v>5</v>
      </c>
      <c r="AT230" s="91"/>
      <c r="AU230" s="91">
        <v>3</v>
      </c>
      <c r="AV230" s="91">
        <v>2</v>
      </c>
      <c r="AW230" s="91">
        <v>6</v>
      </c>
      <c r="AX230" s="91"/>
      <c r="AY230" s="91">
        <v>5</v>
      </c>
      <c r="AZ230" s="91"/>
      <c r="BA230" s="91"/>
      <c r="BB230" s="91">
        <v>15</v>
      </c>
      <c r="BC230" s="91"/>
    </row>
    <row r="231" spans="1:55" x14ac:dyDescent="0.25">
      <c r="A231" s="91" t="s">
        <v>348</v>
      </c>
      <c r="B231" s="129">
        <f t="shared" si="5"/>
        <v>436</v>
      </c>
      <c r="C231" s="91">
        <v>9</v>
      </c>
      <c r="D231" s="91">
        <v>9</v>
      </c>
      <c r="E231" s="91">
        <v>20</v>
      </c>
      <c r="F231" s="91">
        <v>5</v>
      </c>
      <c r="G231" s="91">
        <v>15</v>
      </c>
      <c r="H231" s="91"/>
      <c r="I231" s="91">
        <v>8</v>
      </c>
      <c r="J231" s="91">
        <v>35</v>
      </c>
      <c r="K231" s="91">
        <v>2</v>
      </c>
      <c r="L231" s="91"/>
      <c r="M231" s="91">
        <v>13</v>
      </c>
      <c r="N231" s="91">
        <v>24</v>
      </c>
      <c r="O231" s="91">
        <v>14</v>
      </c>
      <c r="P231" s="91">
        <v>9</v>
      </c>
      <c r="Q231" s="91">
        <v>1</v>
      </c>
      <c r="R231" s="91">
        <v>2</v>
      </c>
      <c r="S231" s="91">
        <v>37</v>
      </c>
      <c r="T231" s="91">
        <v>8</v>
      </c>
      <c r="U231" s="91">
        <v>7</v>
      </c>
      <c r="V231" s="91">
        <v>3</v>
      </c>
      <c r="W231" s="91">
        <v>15</v>
      </c>
      <c r="X231" s="91">
        <v>12</v>
      </c>
      <c r="Y231" s="91">
        <v>8</v>
      </c>
      <c r="Z231" s="91">
        <v>2</v>
      </c>
      <c r="AA231" s="91">
        <v>3</v>
      </c>
      <c r="AB231" s="91">
        <v>7</v>
      </c>
      <c r="AC231" s="91">
        <v>4</v>
      </c>
      <c r="AD231" s="91">
        <v>7</v>
      </c>
      <c r="AE231" s="91">
        <v>5</v>
      </c>
      <c r="AF231" s="91">
        <v>2</v>
      </c>
      <c r="AG231" s="91">
        <v>6</v>
      </c>
      <c r="AH231" s="91">
        <v>9</v>
      </c>
      <c r="AI231" s="91">
        <v>3</v>
      </c>
      <c r="AJ231" s="91">
        <v>13</v>
      </c>
      <c r="AK231" s="91">
        <v>2</v>
      </c>
      <c r="AL231" s="91">
        <v>13</v>
      </c>
      <c r="AM231" s="91">
        <v>5</v>
      </c>
      <c r="AN231" s="91"/>
      <c r="AO231" s="91">
        <v>3</v>
      </c>
      <c r="AP231" s="91">
        <v>8</v>
      </c>
      <c r="AQ231" s="91">
        <v>4</v>
      </c>
      <c r="AR231" s="91">
        <v>13</v>
      </c>
      <c r="AS231" s="91">
        <v>10</v>
      </c>
      <c r="AT231" s="91"/>
      <c r="AU231" s="91">
        <v>6</v>
      </c>
      <c r="AV231" s="91">
        <v>6</v>
      </c>
      <c r="AW231" s="91">
        <v>8</v>
      </c>
      <c r="AX231" s="91">
        <v>12</v>
      </c>
      <c r="AY231" s="91"/>
      <c r="AZ231" s="91">
        <v>5</v>
      </c>
      <c r="BA231" s="91"/>
      <c r="BB231" s="91">
        <v>24</v>
      </c>
      <c r="BC231" s="91"/>
    </row>
    <row r="232" spans="1:55" x14ac:dyDescent="0.25">
      <c r="A232" s="91" t="s">
        <v>531</v>
      </c>
      <c r="B232" s="129">
        <f t="shared" si="5"/>
        <v>136</v>
      </c>
      <c r="C232" s="91">
        <v>6</v>
      </c>
      <c r="D232" s="91">
        <v>1</v>
      </c>
      <c r="E232" s="91">
        <v>7</v>
      </c>
      <c r="F232" s="91">
        <v>2</v>
      </c>
      <c r="G232" s="91">
        <v>1</v>
      </c>
      <c r="H232" s="91"/>
      <c r="I232" s="91">
        <v>1</v>
      </c>
      <c r="J232" s="91">
        <v>7</v>
      </c>
      <c r="K232" s="91"/>
      <c r="L232" s="91">
        <v>1</v>
      </c>
      <c r="M232" s="91">
        <v>2</v>
      </c>
      <c r="N232" s="91">
        <v>6</v>
      </c>
      <c r="O232" s="91">
        <v>15</v>
      </c>
      <c r="P232" s="91">
        <v>4</v>
      </c>
      <c r="Q232" s="91">
        <v>3</v>
      </c>
      <c r="R232" s="91">
        <v>1</v>
      </c>
      <c r="S232" s="91"/>
      <c r="T232" s="91"/>
      <c r="U232" s="91">
        <v>2</v>
      </c>
      <c r="V232" s="91">
        <v>2</v>
      </c>
      <c r="W232" s="91"/>
      <c r="X232" s="91">
        <v>2</v>
      </c>
      <c r="Y232" s="91">
        <v>2</v>
      </c>
      <c r="Z232" s="91">
        <v>2</v>
      </c>
      <c r="AA232" s="91"/>
      <c r="AB232" s="91">
        <v>2</v>
      </c>
      <c r="AC232" s="91">
        <v>11</v>
      </c>
      <c r="AD232" s="91">
        <v>2</v>
      </c>
      <c r="AE232" s="91">
        <v>9</v>
      </c>
      <c r="AF232" s="91">
        <v>1</v>
      </c>
      <c r="AG232" s="91">
        <v>2</v>
      </c>
      <c r="AH232" s="91">
        <v>5</v>
      </c>
      <c r="AI232" s="91"/>
      <c r="AJ232" s="91"/>
      <c r="AK232" s="91">
        <v>1</v>
      </c>
      <c r="AL232" s="91"/>
      <c r="AM232" s="91">
        <v>3</v>
      </c>
      <c r="AN232" s="91"/>
      <c r="AO232" s="91">
        <v>1</v>
      </c>
      <c r="AP232" s="91"/>
      <c r="AQ232" s="91">
        <v>3</v>
      </c>
      <c r="AR232" s="91"/>
      <c r="AS232" s="91">
        <v>1</v>
      </c>
      <c r="AT232" s="91"/>
      <c r="AU232" s="91"/>
      <c r="AV232" s="91"/>
      <c r="AW232" s="91">
        <v>5</v>
      </c>
      <c r="AX232" s="91"/>
      <c r="AY232" s="91"/>
      <c r="AZ232" s="91">
        <v>2</v>
      </c>
      <c r="BA232" s="91">
        <v>9</v>
      </c>
      <c r="BB232" s="91">
        <v>12</v>
      </c>
      <c r="BC232" s="91"/>
    </row>
    <row r="233" spans="1:55" x14ac:dyDescent="0.25">
      <c r="A233" s="91" t="s">
        <v>486</v>
      </c>
      <c r="B233" s="129">
        <f t="shared" si="5"/>
        <v>114</v>
      </c>
      <c r="C233" s="91">
        <v>3</v>
      </c>
      <c r="D233" s="91"/>
      <c r="E233" s="91"/>
      <c r="F233" s="91">
        <v>6</v>
      </c>
      <c r="G233" s="91">
        <v>1</v>
      </c>
      <c r="H233" s="91"/>
      <c r="I233" s="91">
        <v>2</v>
      </c>
      <c r="J233" s="91">
        <v>2</v>
      </c>
      <c r="K233" s="91">
        <v>1</v>
      </c>
      <c r="L233" s="91"/>
      <c r="M233" s="91">
        <v>2</v>
      </c>
      <c r="N233" s="91">
        <v>6</v>
      </c>
      <c r="O233" s="91">
        <v>3</v>
      </c>
      <c r="P233" s="91"/>
      <c r="Q233" s="91">
        <v>2</v>
      </c>
      <c r="R233" s="91">
        <v>1</v>
      </c>
      <c r="S233" s="91">
        <v>4</v>
      </c>
      <c r="T233" s="91"/>
      <c r="U233" s="91"/>
      <c r="V233" s="91">
        <v>1</v>
      </c>
      <c r="W233" s="91">
        <v>1</v>
      </c>
      <c r="X233" s="91">
        <v>1</v>
      </c>
      <c r="Y233" s="91">
        <v>4</v>
      </c>
      <c r="Z233" s="91">
        <v>2</v>
      </c>
      <c r="AA233" s="91">
        <v>1</v>
      </c>
      <c r="AB233" s="91">
        <v>2</v>
      </c>
      <c r="AC233" s="91">
        <v>5</v>
      </c>
      <c r="AD233" s="91"/>
      <c r="AE233" s="91">
        <v>5</v>
      </c>
      <c r="AF233" s="91">
        <v>2</v>
      </c>
      <c r="AG233" s="91">
        <v>3</v>
      </c>
      <c r="AH233" s="91">
        <v>7</v>
      </c>
      <c r="AI233" s="91">
        <v>3</v>
      </c>
      <c r="AJ233" s="91">
        <v>3</v>
      </c>
      <c r="AK233" s="91"/>
      <c r="AL233" s="91">
        <v>1</v>
      </c>
      <c r="AM233" s="91">
        <v>1</v>
      </c>
      <c r="AN233" s="91">
        <v>3</v>
      </c>
      <c r="AO233" s="91"/>
      <c r="AP233" s="91">
        <v>1</v>
      </c>
      <c r="AQ233" s="91">
        <v>6</v>
      </c>
      <c r="AR233" s="91"/>
      <c r="AS233" s="91"/>
      <c r="AT233" s="91"/>
      <c r="AU233" s="91"/>
      <c r="AV233" s="91">
        <v>3</v>
      </c>
      <c r="AW233" s="91"/>
      <c r="AX233" s="91">
        <v>2</v>
      </c>
      <c r="AY233" s="91">
        <v>1</v>
      </c>
      <c r="AZ233" s="91">
        <v>1</v>
      </c>
      <c r="BA233" s="91">
        <v>8</v>
      </c>
      <c r="BB233" s="91">
        <v>14</v>
      </c>
      <c r="BC233" s="91"/>
    </row>
    <row r="234" spans="1:55" x14ac:dyDescent="0.25">
      <c r="A234" s="91" t="s">
        <v>355</v>
      </c>
      <c r="B234" s="129">
        <f t="shared" si="5"/>
        <v>58</v>
      </c>
      <c r="C234" s="91"/>
      <c r="D234" s="91"/>
      <c r="E234" s="91">
        <v>9</v>
      </c>
      <c r="F234" s="91">
        <v>3</v>
      </c>
      <c r="G234" s="91">
        <v>2</v>
      </c>
      <c r="H234" s="91"/>
      <c r="I234" s="91">
        <v>7</v>
      </c>
      <c r="J234" s="91">
        <v>5</v>
      </c>
      <c r="K234" s="91"/>
      <c r="L234" s="91"/>
      <c r="M234" s="91"/>
      <c r="N234" s="91">
        <v>3</v>
      </c>
      <c r="O234" s="91">
        <v>1</v>
      </c>
      <c r="P234" s="91"/>
      <c r="Q234" s="91">
        <v>1</v>
      </c>
      <c r="R234" s="91">
        <v>1</v>
      </c>
      <c r="S234" s="91">
        <v>3</v>
      </c>
      <c r="T234" s="91"/>
      <c r="U234" s="91">
        <v>1</v>
      </c>
      <c r="V234" s="91"/>
      <c r="W234" s="91">
        <v>3</v>
      </c>
      <c r="X234" s="91">
        <v>3</v>
      </c>
      <c r="Y234" s="91"/>
      <c r="Z234" s="91">
        <v>1</v>
      </c>
      <c r="AA234" s="91">
        <v>1</v>
      </c>
      <c r="AB234" s="91"/>
      <c r="AC234" s="91"/>
      <c r="AD234" s="91"/>
      <c r="AE234" s="91">
        <v>3</v>
      </c>
      <c r="AF234" s="91">
        <v>1</v>
      </c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>
        <v>1</v>
      </c>
      <c r="AT234" s="91"/>
      <c r="AU234" s="91"/>
      <c r="AV234" s="91">
        <v>1</v>
      </c>
      <c r="AW234" s="91"/>
      <c r="AX234" s="91"/>
      <c r="AY234" s="91">
        <v>1</v>
      </c>
      <c r="AZ234" s="91"/>
      <c r="BA234" s="91">
        <v>3</v>
      </c>
      <c r="BB234" s="91">
        <v>4</v>
      </c>
      <c r="BC234" s="91"/>
    </row>
    <row r="235" spans="1:55" x14ac:dyDescent="0.25">
      <c r="A235" s="91" t="s">
        <v>190</v>
      </c>
      <c r="B235" s="129">
        <f t="shared" si="5"/>
        <v>50</v>
      </c>
      <c r="C235" s="91"/>
      <c r="D235" s="91">
        <v>1</v>
      </c>
      <c r="E235" s="91"/>
      <c r="F235" s="91">
        <v>7</v>
      </c>
      <c r="G235" s="91">
        <v>7</v>
      </c>
      <c r="H235" s="91"/>
      <c r="I235" s="91">
        <v>1</v>
      </c>
      <c r="J235" s="91">
        <v>1</v>
      </c>
      <c r="K235" s="91"/>
      <c r="L235" s="91"/>
      <c r="M235" s="91"/>
      <c r="N235" s="91">
        <v>6</v>
      </c>
      <c r="O235" s="91">
        <v>1</v>
      </c>
      <c r="P235" s="91"/>
      <c r="Q235" s="91">
        <v>1</v>
      </c>
      <c r="R235" s="91"/>
      <c r="S235" s="91"/>
      <c r="T235" s="91"/>
      <c r="U235" s="91">
        <v>1</v>
      </c>
      <c r="V235" s="91"/>
      <c r="W235" s="91"/>
      <c r="X235" s="91">
        <v>9</v>
      </c>
      <c r="Y235" s="91">
        <v>1</v>
      </c>
      <c r="Z235" s="91">
        <v>1</v>
      </c>
      <c r="AA235" s="91">
        <v>1</v>
      </c>
      <c r="AB235" s="91"/>
      <c r="AC235" s="91">
        <v>4</v>
      </c>
      <c r="AD235" s="91"/>
      <c r="AE235" s="91"/>
      <c r="AF235" s="91">
        <v>2</v>
      </c>
      <c r="AG235" s="91"/>
      <c r="AH235" s="91"/>
      <c r="AI235" s="91"/>
      <c r="AJ235" s="91">
        <v>1</v>
      </c>
      <c r="AK235" s="91"/>
      <c r="AL235" s="91"/>
      <c r="AM235" s="91"/>
      <c r="AN235" s="91"/>
      <c r="AO235" s="91"/>
      <c r="AP235" s="91">
        <v>1</v>
      </c>
      <c r="AQ235" s="91">
        <v>1</v>
      </c>
      <c r="AR235" s="91"/>
      <c r="AS235" s="91"/>
      <c r="AT235" s="91"/>
      <c r="AU235" s="91"/>
      <c r="AV235" s="91"/>
      <c r="AW235" s="91">
        <v>2</v>
      </c>
      <c r="AX235" s="91"/>
      <c r="AY235" s="91"/>
      <c r="AZ235" s="91"/>
      <c r="BA235" s="91"/>
      <c r="BB235" s="91">
        <v>1</v>
      </c>
      <c r="BC235" s="91"/>
    </row>
    <row r="236" spans="1:55" x14ac:dyDescent="0.25">
      <c r="A236" s="91" t="s">
        <v>366</v>
      </c>
      <c r="B236" s="129">
        <f t="shared" si="5"/>
        <v>12</v>
      </c>
      <c r="C236" s="91"/>
      <c r="D236" s="91"/>
      <c r="E236" s="91"/>
      <c r="F236" s="91">
        <v>1</v>
      </c>
      <c r="G236" s="91"/>
      <c r="H236" s="91"/>
      <c r="I236" s="91"/>
      <c r="J236" s="91"/>
      <c r="K236" s="91"/>
      <c r="L236" s="91"/>
      <c r="M236" s="91"/>
      <c r="N236" s="91"/>
      <c r="O236" s="91">
        <v>1</v>
      </c>
      <c r="P236" s="91"/>
      <c r="Q236" s="91"/>
      <c r="R236" s="91"/>
      <c r="S236" s="91">
        <v>2</v>
      </c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>
        <v>1</v>
      </c>
      <c r="AG236" s="91"/>
      <c r="AH236" s="91">
        <v>1</v>
      </c>
      <c r="AI236" s="91"/>
      <c r="AJ236" s="91">
        <v>1</v>
      </c>
      <c r="AK236" s="91">
        <v>1</v>
      </c>
      <c r="AL236" s="91"/>
      <c r="AM236" s="91"/>
      <c r="AN236" s="91"/>
      <c r="AO236" s="91"/>
      <c r="AP236" s="91"/>
      <c r="AQ236" s="91">
        <v>2</v>
      </c>
      <c r="AR236" s="91"/>
      <c r="AS236" s="91">
        <v>1</v>
      </c>
      <c r="AT236" s="91"/>
      <c r="AU236" s="91"/>
      <c r="AV236" s="91"/>
      <c r="AW236" s="91"/>
      <c r="AX236" s="91"/>
      <c r="AY236" s="91"/>
      <c r="AZ236" s="91">
        <v>1</v>
      </c>
      <c r="BA236" s="91"/>
      <c r="BB236" s="91"/>
      <c r="BC236" s="91"/>
    </row>
    <row r="237" spans="1:55" x14ac:dyDescent="0.25">
      <c r="A237" s="91" t="s">
        <v>158</v>
      </c>
      <c r="B237" s="129">
        <f t="shared" si="5"/>
        <v>31</v>
      </c>
      <c r="C237" s="91"/>
      <c r="D237" s="91"/>
      <c r="E237" s="91">
        <v>3</v>
      </c>
      <c r="F237" s="91">
        <v>6</v>
      </c>
      <c r="G237" s="91">
        <v>1</v>
      </c>
      <c r="H237" s="91"/>
      <c r="I237" s="91">
        <v>1</v>
      </c>
      <c r="J237" s="91">
        <v>4</v>
      </c>
      <c r="K237" s="91"/>
      <c r="L237" s="91"/>
      <c r="M237" s="91"/>
      <c r="N237" s="91">
        <v>2</v>
      </c>
      <c r="O237" s="91"/>
      <c r="P237" s="91"/>
      <c r="Q237" s="91">
        <v>1</v>
      </c>
      <c r="R237" s="91">
        <v>1</v>
      </c>
      <c r="S237" s="91"/>
      <c r="T237" s="91"/>
      <c r="U237" s="91"/>
      <c r="V237" s="91"/>
      <c r="W237" s="91">
        <v>1</v>
      </c>
      <c r="X237" s="91">
        <v>2</v>
      </c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>
        <v>1</v>
      </c>
      <c r="AO237" s="91">
        <v>6</v>
      </c>
      <c r="AP237" s="91"/>
      <c r="AQ237" s="91"/>
      <c r="AR237" s="91">
        <v>1</v>
      </c>
      <c r="AS237" s="91"/>
      <c r="AT237" s="91"/>
      <c r="AU237" s="91"/>
      <c r="AV237" s="91"/>
      <c r="AW237" s="91"/>
      <c r="AX237" s="91">
        <v>1</v>
      </c>
      <c r="AY237" s="91"/>
      <c r="AZ237" s="91"/>
      <c r="BA237" s="91"/>
      <c r="BB237" s="91"/>
      <c r="BC237" s="91"/>
    </row>
    <row r="238" spans="1:55" x14ac:dyDescent="0.25">
      <c r="A238" s="91" t="s">
        <v>342</v>
      </c>
      <c r="B238" s="129">
        <f t="shared" si="5"/>
        <v>58</v>
      </c>
      <c r="C238" s="91"/>
      <c r="D238" s="91"/>
      <c r="E238" s="91">
        <v>2</v>
      </c>
      <c r="F238" s="91">
        <v>6</v>
      </c>
      <c r="G238" s="91">
        <v>4</v>
      </c>
      <c r="H238" s="91"/>
      <c r="I238" s="91">
        <v>10</v>
      </c>
      <c r="J238" s="91">
        <v>1</v>
      </c>
      <c r="K238" s="91"/>
      <c r="L238" s="91"/>
      <c r="M238" s="91"/>
      <c r="N238" s="91"/>
      <c r="O238" s="91"/>
      <c r="P238" s="91"/>
      <c r="Q238" s="91">
        <v>6</v>
      </c>
      <c r="R238" s="91">
        <v>2</v>
      </c>
      <c r="S238" s="91">
        <v>4</v>
      </c>
      <c r="T238" s="91"/>
      <c r="U238" s="91">
        <v>1</v>
      </c>
      <c r="V238" s="91"/>
      <c r="W238" s="91">
        <v>3</v>
      </c>
      <c r="X238" s="91">
        <v>4</v>
      </c>
      <c r="Y238" s="91"/>
      <c r="Z238" s="91">
        <v>1</v>
      </c>
      <c r="AA238" s="91">
        <v>1</v>
      </c>
      <c r="AB238" s="91">
        <v>2</v>
      </c>
      <c r="AC238" s="91">
        <v>1</v>
      </c>
      <c r="AD238" s="91">
        <v>1</v>
      </c>
      <c r="AE238" s="91"/>
      <c r="AF238" s="91">
        <v>1</v>
      </c>
      <c r="AG238" s="91"/>
      <c r="AH238" s="91"/>
      <c r="AI238" s="91"/>
      <c r="AJ238" s="91">
        <v>1</v>
      </c>
      <c r="AK238" s="91"/>
      <c r="AL238" s="91"/>
      <c r="AM238" s="91"/>
      <c r="AN238" s="91"/>
      <c r="AO238" s="91"/>
      <c r="AP238" s="91"/>
      <c r="AQ238" s="91">
        <v>1</v>
      </c>
      <c r="AR238" s="91"/>
      <c r="AS238" s="91"/>
      <c r="AT238" s="91"/>
      <c r="AU238" s="91"/>
      <c r="AV238" s="91"/>
      <c r="AW238" s="91"/>
      <c r="AX238" s="91"/>
      <c r="AY238" s="91"/>
      <c r="AZ238" s="91"/>
      <c r="BA238" s="91">
        <v>1</v>
      </c>
      <c r="BB238" s="91">
        <v>5</v>
      </c>
      <c r="BC238" s="91"/>
    </row>
    <row r="239" spans="1:55" x14ac:dyDescent="0.25">
      <c r="A239" s="91" t="s">
        <v>483</v>
      </c>
      <c r="B239" s="129">
        <f t="shared" si="5"/>
        <v>47</v>
      </c>
      <c r="C239" s="91"/>
      <c r="D239" s="91"/>
      <c r="E239" s="91">
        <v>1</v>
      </c>
      <c r="F239" s="91">
        <v>1</v>
      </c>
      <c r="G239" s="91"/>
      <c r="H239" s="91"/>
      <c r="I239" s="91">
        <v>3</v>
      </c>
      <c r="J239" s="91"/>
      <c r="K239" s="91">
        <v>1</v>
      </c>
      <c r="L239" s="91"/>
      <c r="M239" s="91"/>
      <c r="N239" s="91">
        <v>1</v>
      </c>
      <c r="O239" s="91">
        <v>5</v>
      </c>
      <c r="P239" s="91">
        <v>3</v>
      </c>
      <c r="Q239" s="91">
        <v>1</v>
      </c>
      <c r="R239" s="91">
        <v>1</v>
      </c>
      <c r="S239" s="91">
        <v>6</v>
      </c>
      <c r="T239" s="91"/>
      <c r="U239" s="91"/>
      <c r="V239" s="91">
        <v>1</v>
      </c>
      <c r="W239" s="91"/>
      <c r="X239" s="91"/>
      <c r="Y239" s="91">
        <v>4</v>
      </c>
      <c r="Z239" s="91"/>
      <c r="AA239" s="91">
        <v>1</v>
      </c>
      <c r="AB239" s="91"/>
      <c r="AC239" s="91"/>
      <c r="AD239" s="91"/>
      <c r="AE239" s="91">
        <v>1</v>
      </c>
      <c r="AF239" s="91"/>
      <c r="AG239" s="91">
        <v>1</v>
      </c>
      <c r="AH239" s="91">
        <v>1</v>
      </c>
      <c r="AI239" s="91"/>
      <c r="AJ239" s="91"/>
      <c r="AK239" s="91">
        <v>2</v>
      </c>
      <c r="AL239" s="91">
        <v>1</v>
      </c>
      <c r="AM239" s="91">
        <v>1</v>
      </c>
      <c r="AN239" s="91">
        <v>3</v>
      </c>
      <c r="AO239" s="91">
        <v>1</v>
      </c>
      <c r="AP239" s="91"/>
      <c r="AQ239" s="91">
        <v>4</v>
      </c>
      <c r="AR239" s="91"/>
      <c r="AS239" s="91"/>
      <c r="AT239" s="91"/>
      <c r="AU239" s="91"/>
      <c r="AV239" s="91"/>
      <c r="AW239" s="91"/>
      <c r="AX239" s="91">
        <v>1</v>
      </c>
      <c r="AY239" s="91"/>
      <c r="AZ239" s="91"/>
      <c r="BA239" s="91">
        <v>1</v>
      </c>
      <c r="BB239" s="91">
        <v>1</v>
      </c>
      <c r="BC239" s="91"/>
    </row>
    <row r="240" spans="1:55" x14ac:dyDescent="0.25">
      <c r="A240" s="91" t="s">
        <v>394</v>
      </c>
      <c r="B240" s="129">
        <f t="shared" si="5"/>
        <v>44</v>
      </c>
      <c r="C240" s="91"/>
      <c r="D240" s="91"/>
      <c r="E240" s="91">
        <v>3</v>
      </c>
      <c r="F240" s="91">
        <v>3</v>
      </c>
      <c r="G240" s="91">
        <v>4</v>
      </c>
      <c r="H240" s="91"/>
      <c r="I240" s="91">
        <v>1</v>
      </c>
      <c r="J240" s="91">
        <v>1</v>
      </c>
      <c r="K240" s="91"/>
      <c r="L240" s="91"/>
      <c r="M240" s="91"/>
      <c r="N240" s="91">
        <v>6</v>
      </c>
      <c r="O240" s="91">
        <v>1</v>
      </c>
      <c r="P240" s="91"/>
      <c r="Q240" s="91">
        <v>1</v>
      </c>
      <c r="R240" s="91">
        <v>1</v>
      </c>
      <c r="S240" s="91">
        <v>1</v>
      </c>
      <c r="T240" s="91"/>
      <c r="U240" s="91"/>
      <c r="V240" s="91"/>
      <c r="W240" s="91"/>
      <c r="X240" s="91">
        <v>1</v>
      </c>
      <c r="Y240" s="91">
        <v>1</v>
      </c>
      <c r="Z240" s="91"/>
      <c r="AA240" s="91"/>
      <c r="AB240" s="91"/>
      <c r="AC240" s="91"/>
      <c r="AD240" s="91"/>
      <c r="AE240" s="91"/>
      <c r="AF240" s="91"/>
      <c r="AG240" s="91"/>
      <c r="AH240" s="91">
        <v>1</v>
      </c>
      <c r="AI240" s="91"/>
      <c r="AJ240" s="91">
        <v>8</v>
      </c>
      <c r="AK240" s="91"/>
      <c r="AL240" s="91"/>
      <c r="AM240" s="91"/>
      <c r="AN240" s="91"/>
      <c r="AO240" s="91">
        <v>1</v>
      </c>
      <c r="AP240" s="91"/>
      <c r="AQ240" s="91"/>
      <c r="AR240" s="91">
        <v>1</v>
      </c>
      <c r="AS240" s="91"/>
      <c r="AT240" s="91"/>
      <c r="AU240" s="91"/>
      <c r="AV240" s="91"/>
      <c r="AW240" s="91">
        <v>4</v>
      </c>
      <c r="AX240" s="91">
        <v>2</v>
      </c>
      <c r="AY240" s="91">
        <v>3</v>
      </c>
      <c r="AZ240" s="91"/>
      <c r="BA240" s="91"/>
      <c r="BB240" s="91"/>
      <c r="BC240" s="91"/>
    </row>
    <row r="241" spans="1:55" x14ac:dyDescent="0.25">
      <c r="A241" s="91" t="s">
        <v>371</v>
      </c>
      <c r="B241" s="129">
        <f t="shared" si="5"/>
        <v>244</v>
      </c>
      <c r="C241" s="91">
        <v>3</v>
      </c>
      <c r="D241" s="91">
        <v>1</v>
      </c>
      <c r="E241" s="91">
        <v>16</v>
      </c>
      <c r="F241" s="91">
        <v>11</v>
      </c>
      <c r="G241" s="91">
        <v>3</v>
      </c>
      <c r="H241" s="91"/>
      <c r="I241" s="91">
        <v>4</v>
      </c>
      <c r="J241" s="91">
        <v>7</v>
      </c>
      <c r="K241" s="91">
        <v>4</v>
      </c>
      <c r="L241" s="91"/>
      <c r="M241" s="91">
        <v>6</v>
      </c>
      <c r="N241" s="91">
        <v>10</v>
      </c>
      <c r="O241" s="91">
        <v>1</v>
      </c>
      <c r="P241" s="91">
        <v>4</v>
      </c>
      <c r="Q241" s="91">
        <v>4</v>
      </c>
      <c r="R241" s="91">
        <v>6</v>
      </c>
      <c r="S241" s="91">
        <v>12</v>
      </c>
      <c r="T241" s="91"/>
      <c r="U241" s="91">
        <v>3</v>
      </c>
      <c r="V241" s="91">
        <v>5</v>
      </c>
      <c r="W241" s="91">
        <v>4</v>
      </c>
      <c r="X241" s="91">
        <v>3</v>
      </c>
      <c r="Y241" s="91">
        <v>3</v>
      </c>
      <c r="Z241" s="91">
        <v>5</v>
      </c>
      <c r="AA241" s="91">
        <v>1</v>
      </c>
      <c r="AB241" s="91">
        <v>3</v>
      </c>
      <c r="AC241" s="91">
        <v>7</v>
      </c>
      <c r="AD241" s="91">
        <v>3</v>
      </c>
      <c r="AE241" s="91">
        <v>8</v>
      </c>
      <c r="AF241" s="91">
        <v>2</v>
      </c>
      <c r="AG241" s="91">
        <v>4</v>
      </c>
      <c r="AH241" s="91">
        <v>2</v>
      </c>
      <c r="AI241" s="91">
        <v>5</v>
      </c>
      <c r="AJ241" s="91">
        <v>7</v>
      </c>
      <c r="AK241" s="91">
        <v>2</v>
      </c>
      <c r="AL241" s="91">
        <v>9</v>
      </c>
      <c r="AM241" s="91">
        <v>1</v>
      </c>
      <c r="AN241" s="91"/>
      <c r="AO241" s="91">
        <v>4</v>
      </c>
      <c r="AP241" s="91">
        <v>10</v>
      </c>
      <c r="AQ241" s="91">
        <v>10</v>
      </c>
      <c r="AR241" s="91">
        <v>3</v>
      </c>
      <c r="AS241" s="91">
        <v>10</v>
      </c>
      <c r="AT241" s="91"/>
      <c r="AU241" s="91">
        <v>5</v>
      </c>
      <c r="AV241" s="91">
        <v>1</v>
      </c>
      <c r="AW241" s="91">
        <v>19</v>
      </c>
      <c r="AX241" s="91">
        <v>2</v>
      </c>
      <c r="AY241" s="91">
        <v>1</v>
      </c>
      <c r="AZ241" s="91">
        <v>2</v>
      </c>
      <c r="BA241" s="91"/>
      <c r="BB241" s="91">
        <v>8</v>
      </c>
      <c r="BC241" s="91"/>
    </row>
    <row r="242" spans="1:55" x14ac:dyDescent="0.25">
      <c r="A242" s="91" t="s">
        <v>446</v>
      </c>
      <c r="B242" s="129">
        <f t="shared" si="5"/>
        <v>377</v>
      </c>
      <c r="C242" s="91">
        <v>9</v>
      </c>
      <c r="D242" s="91">
        <v>10</v>
      </c>
      <c r="E242" s="91">
        <v>6</v>
      </c>
      <c r="F242" s="91">
        <v>7</v>
      </c>
      <c r="G242" s="91">
        <v>16</v>
      </c>
      <c r="H242" s="91"/>
      <c r="I242" s="91">
        <v>14</v>
      </c>
      <c r="J242" s="91">
        <v>9</v>
      </c>
      <c r="K242" s="91">
        <v>1</v>
      </c>
      <c r="L242" s="91">
        <v>1</v>
      </c>
      <c r="M242" s="91">
        <v>9</v>
      </c>
      <c r="N242" s="91">
        <v>18</v>
      </c>
      <c r="O242" s="91">
        <v>1</v>
      </c>
      <c r="P242" s="91">
        <v>2</v>
      </c>
      <c r="Q242" s="91">
        <v>3</v>
      </c>
      <c r="R242" s="91">
        <v>17</v>
      </c>
      <c r="S242" s="91">
        <v>19</v>
      </c>
      <c r="T242" s="91"/>
      <c r="U242" s="91">
        <v>3</v>
      </c>
      <c r="V242" s="91">
        <v>11</v>
      </c>
      <c r="W242" s="91">
        <v>13</v>
      </c>
      <c r="X242" s="91">
        <v>6</v>
      </c>
      <c r="Y242" s="91">
        <v>4</v>
      </c>
      <c r="Z242" s="91">
        <v>4</v>
      </c>
      <c r="AA242" s="91">
        <v>14</v>
      </c>
      <c r="AB242" s="91">
        <v>9</v>
      </c>
      <c r="AC242" s="91">
        <v>9</v>
      </c>
      <c r="AD242" s="91">
        <v>7</v>
      </c>
      <c r="AE242" s="91">
        <v>3</v>
      </c>
      <c r="AF242" s="91">
        <v>4</v>
      </c>
      <c r="AG242" s="91">
        <v>19</v>
      </c>
      <c r="AH242" s="91">
        <v>6</v>
      </c>
      <c r="AI242" s="91">
        <v>2</v>
      </c>
      <c r="AJ242" s="91">
        <v>21</v>
      </c>
      <c r="AK242" s="91">
        <v>1</v>
      </c>
      <c r="AL242" s="91">
        <v>7</v>
      </c>
      <c r="AM242" s="91">
        <v>8</v>
      </c>
      <c r="AN242" s="91">
        <v>1</v>
      </c>
      <c r="AO242" s="91">
        <v>2</v>
      </c>
      <c r="AP242" s="91">
        <v>13</v>
      </c>
      <c r="AQ242" s="91">
        <v>10</v>
      </c>
      <c r="AR242" s="91"/>
      <c r="AS242" s="91">
        <v>2</v>
      </c>
      <c r="AT242" s="91"/>
      <c r="AU242" s="91">
        <v>3</v>
      </c>
      <c r="AV242" s="91">
        <v>3</v>
      </c>
      <c r="AW242" s="91">
        <v>16</v>
      </c>
      <c r="AX242" s="91">
        <v>4</v>
      </c>
      <c r="AY242" s="91">
        <v>9</v>
      </c>
      <c r="AZ242" s="91">
        <v>8</v>
      </c>
      <c r="BA242" s="91">
        <v>6</v>
      </c>
      <c r="BB242" s="91">
        <v>7</v>
      </c>
      <c r="BC242" s="91"/>
    </row>
    <row r="243" spans="1:55" x14ac:dyDescent="0.25">
      <c r="A243" s="91" t="s">
        <v>510</v>
      </c>
      <c r="B243" s="129">
        <f t="shared" si="5"/>
        <v>176</v>
      </c>
      <c r="C243" s="91"/>
      <c r="D243" s="91">
        <v>1</v>
      </c>
      <c r="E243" s="91">
        <v>2</v>
      </c>
      <c r="F243" s="91">
        <v>2</v>
      </c>
      <c r="G243" s="91">
        <v>3</v>
      </c>
      <c r="H243" s="91"/>
      <c r="I243" s="91">
        <v>7</v>
      </c>
      <c r="J243" s="91">
        <v>3</v>
      </c>
      <c r="K243" s="91">
        <v>1</v>
      </c>
      <c r="L243" s="91"/>
      <c r="M243" s="91">
        <v>7</v>
      </c>
      <c r="N243" s="91">
        <v>13</v>
      </c>
      <c r="O243" s="91"/>
      <c r="P243" s="91">
        <v>6</v>
      </c>
      <c r="Q243" s="91">
        <v>1</v>
      </c>
      <c r="R243" s="91">
        <v>3</v>
      </c>
      <c r="S243" s="91">
        <v>13</v>
      </c>
      <c r="T243" s="91"/>
      <c r="U243" s="91">
        <v>5</v>
      </c>
      <c r="V243" s="91">
        <v>2</v>
      </c>
      <c r="W243" s="91">
        <v>5</v>
      </c>
      <c r="X243" s="91">
        <v>15</v>
      </c>
      <c r="Y243" s="91"/>
      <c r="Z243" s="91">
        <v>10</v>
      </c>
      <c r="AA243" s="91">
        <v>4</v>
      </c>
      <c r="AB243" s="91">
        <v>5</v>
      </c>
      <c r="AC243" s="91">
        <v>1</v>
      </c>
      <c r="AD243" s="91"/>
      <c r="AE243" s="91">
        <v>6</v>
      </c>
      <c r="AF243" s="91"/>
      <c r="AG243" s="91">
        <v>8</v>
      </c>
      <c r="AH243" s="91"/>
      <c r="AI243" s="91"/>
      <c r="AJ243" s="91">
        <v>4</v>
      </c>
      <c r="AK243" s="91">
        <v>2</v>
      </c>
      <c r="AL243" s="91">
        <v>2</v>
      </c>
      <c r="AM243" s="91">
        <v>1</v>
      </c>
      <c r="AN243" s="91">
        <v>3</v>
      </c>
      <c r="AO243" s="91">
        <v>2</v>
      </c>
      <c r="AP243" s="91">
        <v>2</v>
      </c>
      <c r="AQ243" s="91">
        <v>2</v>
      </c>
      <c r="AR243" s="91"/>
      <c r="AS243" s="91">
        <v>5</v>
      </c>
      <c r="AT243" s="91"/>
      <c r="AU243" s="91">
        <v>2</v>
      </c>
      <c r="AV243" s="91">
        <v>1</v>
      </c>
      <c r="AW243" s="91">
        <v>7</v>
      </c>
      <c r="AX243" s="91"/>
      <c r="AY243" s="91">
        <v>1</v>
      </c>
      <c r="AZ243" s="91"/>
      <c r="BA243" s="91">
        <v>7</v>
      </c>
      <c r="BB243" s="91">
        <v>12</v>
      </c>
      <c r="BC243" s="91"/>
    </row>
    <row r="244" spans="1:55" x14ac:dyDescent="0.25">
      <c r="A244" s="91" t="s">
        <v>419</v>
      </c>
      <c r="B244" s="129">
        <f t="shared" si="5"/>
        <v>71</v>
      </c>
      <c r="C244" s="91">
        <v>2</v>
      </c>
      <c r="D244" s="91">
        <v>1</v>
      </c>
      <c r="E244" s="91"/>
      <c r="F244" s="91"/>
      <c r="G244" s="91">
        <v>1</v>
      </c>
      <c r="H244" s="91"/>
      <c r="I244" s="91">
        <v>1</v>
      </c>
      <c r="J244" s="91">
        <v>2</v>
      </c>
      <c r="K244" s="91">
        <v>4</v>
      </c>
      <c r="L244" s="91">
        <v>1</v>
      </c>
      <c r="M244" s="91">
        <v>5</v>
      </c>
      <c r="N244" s="91"/>
      <c r="O244" s="91">
        <v>2</v>
      </c>
      <c r="P244" s="91">
        <v>2</v>
      </c>
      <c r="Q244" s="91">
        <v>3</v>
      </c>
      <c r="R244" s="91">
        <v>2</v>
      </c>
      <c r="S244" s="91">
        <v>8</v>
      </c>
      <c r="T244" s="91"/>
      <c r="U244" s="91">
        <v>4</v>
      </c>
      <c r="V244" s="91">
        <v>1</v>
      </c>
      <c r="W244" s="91">
        <v>1</v>
      </c>
      <c r="X244" s="91">
        <v>2</v>
      </c>
      <c r="Y244" s="91"/>
      <c r="Z244" s="91"/>
      <c r="AA244" s="91">
        <v>1</v>
      </c>
      <c r="AB244" s="91"/>
      <c r="AC244" s="91"/>
      <c r="AD244" s="91"/>
      <c r="AE244" s="91">
        <v>1</v>
      </c>
      <c r="AF244" s="91">
        <v>2</v>
      </c>
      <c r="AG244" s="91">
        <v>4</v>
      </c>
      <c r="AH244" s="91">
        <v>3</v>
      </c>
      <c r="AI244" s="91"/>
      <c r="AJ244" s="91"/>
      <c r="AK244" s="91"/>
      <c r="AL244" s="91"/>
      <c r="AM244" s="91"/>
      <c r="AN244" s="91">
        <v>1</v>
      </c>
      <c r="AO244" s="91"/>
      <c r="AP244" s="91"/>
      <c r="AQ244" s="91"/>
      <c r="AR244" s="91"/>
      <c r="AS244" s="91">
        <v>1</v>
      </c>
      <c r="AT244" s="91"/>
      <c r="AU244" s="91">
        <v>1</v>
      </c>
      <c r="AV244" s="91">
        <v>6</v>
      </c>
      <c r="AW244" s="91">
        <v>1</v>
      </c>
      <c r="AX244" s="91">
        <v>5</v>
      </c>
      <c r="AY244" s="91">
        <v>2</v>
      </c>
      <c r="AZ244" s="91"/>
      <c r="BA244" s="91">
        <v>1</v>
      </c>
      <c r="BB244" s="91"/>
      <c r="BC244" s="91"/>
    </row>
    <row r="245" spans="1:55" x14ac:dyDescent="0.25">
      <c r="A245" s="91" t="s">
        <v>167</v>
      </c>
      <c r="B245" s="129">
        <f t="shared" si="5"/>
        <v>50</v>
      </c>
      <c r="C245" s="91"/>
      <c r="D245" s="91">
        <v>5</v>
      </c>
      <c r="E245" s="91">
        <v>2</v>
      </c>
      <c r="F245" s="91">
        <v>2</v>
      </c>
      <c r="G245" s="91"/>
      <c r="H245" s="91"/>
      <c r="I245" s="91">
        <v>2</v>
      </c>
      <c r="J245" s="91"/>
      <c r="K245" s="91"/>
      <c r="L245" s="91">
        <v>1</v>
      </c>
      <c r="M245" s="91"/>
      <c r="N245" s="91">
        <v>3</v>
      </c>
      <c r="O245" s="91"/>
      <c r="P245" s="91">
        <v>3</v>
      </c>
      <c r="Q245" s="91"/>
      <c r="R245" s="91"/>
      <c r="S245" s="91">
        <v>2</v>
      </c>
      <c r="T245" s="91">
        <v>3</v>
      </c>
      <c r="U245" s="91"/>
      <c r="V245" s="91"/>
      <c r="W245" s="91">
        <v>5</v>
      </c>
      <c r="X245" s="91">
        <v>1</v>
      </c>
      <c r="Y245" s="91">
        <v>6</v>
      </c>
      <c r="Z245" s="91"/>
      <c r="AA245" s="91">
        <v>1</v>
      </c>
      <c r="AB245" s="91"/>
      <c r="AC245" s="91">
        <v>1</v>
      </c>
      <c r="AD245" s="91">
        <v>1</v>
      </c>
      <c r="AE245" s="91"/>
      <c r="AF245" s="91"/>
      <c r="AG245" s="91"/>
      <c r="AH245" s="91"/>
      <c r="AI245" s="91"/>
      <c r="AJ245" s="91"/>
      <c r="AK245" s="91">
        <v>2</v>
      </c>
      <c r="AL245" s="91">
        <v>2</v>
      </c>
      <c r="AM245" s="91"/>
      <c r="AN245" s="91">
        <v>1</v>
      </c>
      <c r="AO245" s="91"/>
      <c r="AP245" s="91"/>
      <c r="AQ245" s="91"/>
      <c r="AR245" s="91">
        <v>4</v>
      </c>
      <c r="AS245" s="91"/>
      <c r="AT245" s="91"/>
      <c r="AU245" s="91"/>
      <c r="AV245" s="91"/>
      <c r="AW245" s="91">
        <v>3</v>
      </c>
      <c r="AX245" s="91"/>
      <c r="AY245" s="91"/>
      <c r="AZ245" s="91"/>
      <c r="BA245" s="91"/>
      <c r="BB245" s="91"/>
      <c r="BC245" s="91"/>
    </row>
    <row r="246" spans="1:55" x14ac:dyDescent="0.25">
      <c r="A246" s="91" t="s">
        <v>240</v>
      </c>
      <c r="B246" s="129">
        <f t="shared" si="5"/>
        <v>30</v>
      </c>
      <c r="C246" s="91"/>
      <c r="D246" s="91"/>
      <c r="E246" s="91">
        <v>1</v>
      </c>
      <c r="F246" s="91">
        <v>4</v>
      </c>
      <c r="G246" s="91">
        <v>2</v>
      </c>
      <c r="H246" s="91"/>
      <c r="I246" s="91">
        <v>1</v>
      </c>
      <c r="J246" s="91">
        <v>2</v>
      </c>
      <c r="K246" s="91"/>
      <c r="L246" s="91"/>
      <c r="M246" s="91"/>
      <c r="N246" s="91"/>
      <c r="O246" s="91">
        <v>1</v>
      </c>
      <c r="P246" s="91">
        <v>1</v>
      </c>
      <c r="Q246" s="91">
        <v>1</v>
      </c>
      <c r="R246" s="91">
        <v>2</v>
      </c>
      <c r="S246" s="91">
        <v>2</v>
      </c>
      <c r="T246" s="91"/>
      <c r="U246" s="91">
        <v>1</v>
      </c>
      <c r="V246" s="91"/>
      <c r="W246" s="91">
        <v>1</v>
      </c>
      <c r="X246" s="91">
        <v>2</v>
      </c>
      <c r="Y246" s="91">
        <v>2</v>
      </c>
      <c r="Z246" s="91"/>
      <c r="AA246" s="91"/>
      <c r="AB246" s="91"/>
      <c r="AC246" s="91"/>
      <c r="AD246" s="91">
        <v>1</v>
      </c>
      <c r="AE246" s="91"/>
      <c r="AF246" s="91"/>
      <c r="AG246" s="91">
        <v>1</v>
      </c>
      <c r="AH246" s="91">
        <v>1</v>
      </c>
      <c r="AI246" s="91">
        <v>1</v>
      </c>
      <c r="AJ246" s="91"/>
      <c r="AK246" s="91"/>
      <c r="AL246" s="91">
        <v>1</v>
      </c>
      <c r="AM246" s="91"/>
      <c r="AN246" s="91"/>
      <c r="AO246" s="91"/>
      <c r="AP246" s="91"/>
      <c r="AQ246" s="91">
        <v>1</v>
      </c>
      <c r="AR246" s="91"/>
      <c r="AS246" s="91"/>
      <c r="AT246" s="91"/>
      <c r="AU246" s="91"/>
      <c r="AV246" s="91"/>
      <c r="AW246" s="91"/>
      <c r="AX246" s="91"/>
      <c r="AY246" s="91">
        <v>1</v>
      </c>
      <c r="AZ246" s="91"/>
      <c r="BA246" s="91"/>
      <c r="BB246" s="91"/>
      <c r="BC246" s="91"/>
    </row>
    <row r="247" spans="1:55" x14ac:dyDescent="0.25">
      <c r="A247" s="91" t="s">
        <v>146</v>
      </c>
      <c r="B247" s="129">
        <f t="shared" si="5"/>
        <v>168</v>
      </c>
      <c r="C247" s="91">
        <v>4</v>
      </c>
      <c r="D247" s="91">
        <v>10</v>
      </c>
      <c r="E247" s="91">
        <v>6</v>
      </c>
      <c r="F247" s="91">
        <v>15</v>
      </c>
      <c r="G247" s="91">
        <v>2</v>
      </c>
      <c r="H247" s="91"/>
      <c r="I247" s="91">
        <v>3</v>
      </c>
      <c r="J247" s="91">
        <v>4</v>
      </c>
      <c r="K247" s="91">
        <v>3</v>
      </c>
      <c r="L247" s="91">
        <v>1</v>
      </c>
      <c r="M247" s="91">
        <v>2</v>
      </c>
      <c r="N247" s="91">
        <v>8</v>
      </c>
      <c r="O247" s="91"/>
      <c r="P247" s="91">
        <v>1</v>
      </c>
      <c r="Q247" s="91">
        <v>1</v>
      </c>
      <c r="R247" s="91">
        <v>3</v>
      </c>
      <c r="S247" s="91">
        <v>6</v>
      </c>
      <c r="T247" s="91"/>
      <c r="U247" s="91">
        <v>2</v>
      </c>
      <c r="V247" s="91">
        <v>2</v>
      </c>
      <c r="W247" s="91">
        <v>4</v>
      </c>
      <c r="X247" s="91">
        <v>2</v>
      </c>
      <c r="Y247" s="91">
        <v>6</v>
      </c>
      <c r="Z247" s="91"/>
      <c r="AA247" s="91">
        <v>3</v>
      </c>
      <c r="AB247" s="91"/>
      <c r="AC247" s="91">
        <v>2</v>
      </c>
      <c r="AD247" s="91">
        <v>3</v>
      </c>
      <c r="AE247" s="91">
        <v>8</v>
      </c>
      <c r="AF247" s="91">
        <v>1</v>
      </c>
      <c r="AG247" s="91">
        <v>2</v>
      </c>
      <c r="AH247" s="91">
        <v>4</v>
      </c>
      <c r="AI247" s="91">
        <v>2</v>
      </c>
      <c r="AJ247" s="91">
        <v>3</v>
      </c>
      <c r="AK247" s="91">
        <v>9</v>
      </c>
      <c r="AL247" s="91"/>
      <c r="AM247" s="91"/>
      <c r="AN247" s="91">
        <v>1</v>
      </c>
      <c r="AO247" s="91"/>
      <c r="AP247" s="91"/>
      <c r="AQ247" s="91">
        <v>3</v>
      </c>
      <c r="AR247" s="91">
        <v>1</v>
      </c>
      <c r="AS247" s="91">
        <v>8</v>
      </c>
      <c r="AT247" s="91"/>
      <c r="AU247" s="91">
        <v>12</v>
      </c>
      <c r="AV247" s="91">
        <v>4</v>
      </c>
      <c r="AW247" s="91">
        <v>9</v>
      </c>
      <c r="AX247" s="91">
        <v>1</v>
      </c>
      <c r="AY247" s="91">
        <v>1</v>
      </c>
      <c r="AZ247" s="91">
        <v>2</v>
      </c>
      <c r="BA247" s="91">
        <v>3</v>
      </c>
      <c r="BB247" s="91">
        <v>1</v>
      </c>
      <c r="BC247" s="91"/>
    </row>
    <row r="248" spans="1:55" x14ac:dyDescent="0.25">
      <c r="A248" s="91" t="s">
        <v>242</v>
      </c>
      <c r="B248" s="129">
        <f t="shared" si="5"/>
        <v>20</v>
      </c>
      <c r="C248" s="91"/>
      <c r="D248" s="91">
        <v>2</v>
      </c>
      <c r="E248" s="91"/>
      <c r="F248" s="91"/>
      <c r="G248" s="91"/>
      <c r="H248" s="91"/>
      <c r="I248" s="91">
        <v>2</v>
      </c>
      <c r="J248" s="91">
        <v>1</v>
      </c>
      <c r="K248" s="91"/>
      <c r="L248" s="91"/>
      <c r="M248" s="91"/>
      <c r="N248" s="91"/>
      <c r="O248" s="91">
        <v>1</v>
      </c>
      <c r="P248" s="91"/>
      <c r="Q248" s="91"/>
      <c r="R248" s="91">
        <v>3</v>
      </c>
      <c r="S248" s="91">
        <v>1</v>
      </c>
      <c r="T248" s="91"/>
      <c r="U248" s="91"/>
      <c r="V248" s="91"/>
      <c r="W248" s="91">
        <v>1</v>
      </c>
      <c r="X248" s="91">
        <v>1</v>
      </c>
      <c r="Y248" s="91"/>
      <c r="Z248" s="91">
        <v>3</v>
      </c>
      <c r="AA248" s="91"/>
      <c r="AB248" s="91"/>
      <c r="AC248" s="91"/>
      <c r="AD248" s="91"/>
      <c r="AE248" s="91"/>
      <c r="AF248" s="91"/>
      <c r="AG248" s="91"/>
      <c r="AH248" s="91"/>
      <c r="AI248" s="91"/>
      <c r="AJ248" s="91">
        <v>1</v>
      </c>
      <c r="AK248" s="91">
        <v>1</v>
      </c>
      <c r="AL248" s="91"/>
      <c r="AM248" s="91"/>
      <c r="AN248" s="91"/>
      <c r="AO248" s="91"/>
      <c r="AP248" s="91"/>
      <c r="AQ248" s="91"/>
      <c r="AR248" s="91"/>
      <c r="AS248" s="91">
        <v>1</v>
      </c>
      <c r="AT248" s="91"/>
      <c r="AU248" s="91">
        <v>1</v>
      </c>
      <c r="AV248" s="91"/>
      <c r="AW248" s="91">
        <v>1</v>
      </c>
      <c r="AX248" s="91"/>
      <c r="AY248" s="91"/>
      <c r="AZ248" s="91"/>
      <c r="BA248" s="91"/>
      <c r="BB248" s="91"/>
      <c r="BC248" s="91"/>
    </row>
    <row r="249" spans="1:55" x14ac:dyDescent="0.25">
      <c r="A249" s="91" t="s">
        <v>472</v>
      </c>
      <c r="B249" s="129">
        <f t="shared" si="5"/>
        <v>152</v>
      </c>
      <c r="C249" s="91">
        <v>9</v>
      </c>
      <c r="D249" s="91">
        <v>5</v>
      </c>
      <c r="E249" s="91">
        <v>7</v>
      </c>
      <c r="F249" s="91">
        <v>2</v>
      </c>
      <c r="G249" s="91">
        <v>1</v>
      </c>
      <c r="H249" s="91"/>
      <c r="I249" s="91">
        <v>2</v>
      </c>
      <c r="J249" s="91">
        <v>2</v>
      </c>
      <c r="K249" s="91">
        <v>1</v>
      </c>
      <c r="L249" s="91">
        <v>1</v>
      </c>
      <c r="M249" s="91">
        <v>2</v>
      </c>
      <c r="N249" s="91">
        <v>1</v>
      </c>
      <c r="O249" s="91">
        <v>11</v>
      </c>
      <c r="P249" s="91">
        <v>1</v>
      </c>
      <c r="Q249" s="91">
        <v>2</v>
      </c>
      <c r="R249" s="91"/>
      <c r="S249" s="91">
        <v>6</v>
      </c>
      <c r="T249" s="91">
        <v>6</v>
      </c>
      <c r="U249" s="91">
        <v>1</v>
      </c>
      <c r="V249" s="91">
        <v>11</v>
      </c>
      <c r="W249" s="91">
        <v>7</v>
      </c>
      <c r="X249" s="91">
        <v>2</v>
      </c>
      <c r="Y249" s="91">
        <v>3</v>
      </c>
      <c r="Z249" s="91">
        <v>1</v>
      </c>
      <c r="AA249" s="91">
        <v>3</v>
      </c>
      <c r="AB249" s="91">
        <v>1</v>
      </c>
      <c r="AC249" s="91">
        <v>3</v>
      </c>
      <c r="AD249" s="91">
        <v>2</v>
      </c>
      <c r="AE249" s="91">
        <v>1</v>
      </c>
      <c r="AF249" s="91">
        <v>1</v>
      </c>
      <c r="AG249" s="91">
        <v>1</v>
      </c>
      <c r="AH249" s="91">
        <v>1</v>
      </c>
      <c r="AI249" s="91">
        <v>2</v>
      </c>
      <c r="AJ249" s="91">
        <v>10</v>
      </c>
      <c r="AK249" s="91">
        <v>2</v>
      </c>
      <c r="AL249" s="91">
        <v>1</v>
      </c>
      <c r="AM249" s="91"/>
      <c r="AN249" s="91">
        <v>4</v>
      </c>
      <c r="AO249" s="91"/>
      <c r="AP249" s="91"/>
      <c r="AQ249" s="91">
        <v>3</v>
      </c>
      <c r="AR249" s="91"/>
      <c r="AS249" s="91"/>
      <c r="AT249" s="91"/>
      <c r="AU249" s="91">
        <v>2</v>
      </c>
      <c r="AV249" s="91"/>
      <c r="AW249" s="91">
        <v>4</v>
      </c>
      <c r="AX249" s="91"/>
      <c r="AY249" s="91">
        <v>1</v>
      </c>
      <c r="AZ249" s="91"/>
      <c r="BA249" s="91">
        <v>5</v>
      </c>
      <c r="BB249" s="91">
        <v>21</v>
      </c>
      <c r="BC249" s="91"/>
    </row>
    <row r="250" spans="1:55" x14ac:dyDescent="0.25">
      <c r="A250" s="91" t="s">
        <v>262</v>
      </c>
      <c r="B250" s="129">
        <f t="shared" si="5"/>
        <v>111</v>
      </c>
      <c r="C250" s="91"/>
      <c r="D250" s="91"/>
      <c r="E250" s="91"/>
      <c r="F250" s="91">
        <v>1</v>
      </c>
      <c r="G250" s="91"/>
      <c r="H250" s="91"/>
      <c r="I250" s="91">
        <v>1</v>
      </c>
      <c r="J250" s="91">
        <v>7</v>
      </c>
      <c r="K250" s="91">
        <v>2</v>
      </c>
      <c r="L250" s="91">
        <v>6</v>
      </c>
      <c r="M250" s="91">
        <v>3</v>
      </c>
      <c r="N250" s="91">
        <v>2</v>
      </c>
      <c r="O250" s="91">
        <v>1</v>
      </c>
      <c r="P250" s="91">
        <v>1</v>
      </c>
      <c r="Q250" s="91">
        <v>4</v>
      </c>
      <c r="R250" s="91">
        <v>4</v>
      </c>
      <c r="S250" s="91">
        <v>17</v>
      </c>
      <c r="T250" s="91"/>
      <c r="U250" s="91">
        <v>8</v>
      </c>
      <c r="V250" s="91"/>
      <c r="W250" s="91">
        <v>1</v>
      </c>
      <c r="X250" s="91">
        <v>4</v>
      </c>
      <c r="Y250" s="91"/>
      <c r="Z250" s="91">
        <v>1</v>
      </c>
      <c r="AA250" s="91">
        <v>2</v>
      </c>
      <c r="AB250" s="91">
        <v>2</v>
      </c>
      <c r="AC250" s="91">
        <v>4</v>
      </c>
      <c r="AD250" s="91">
        <v>3</v>
      </c>
      <c r="AE250" s="91">
        <v>1</v>
      </c>
      <c r="AF250" s="91"/>
      <c r="AG250" s="91">
        <v>2</v>
      </c>
      <c r="AH250" s="91">
        <v>2</v>
      </c>
      <c r="AI250" s="91">
        <v>4</v>
      </c>
      <c r="AJ250" s="91">
        <v>1</v>
      </c>
      <c r="AK250" s="91">
        <v>1</v>
      </c>
      <c r="AL250" s="91">
        <v>1</v>
      </c>
      <c r="AM250" s="91">
        <v>2</v>
      </c>
      <c r="AN250" s="91">
        <v>2</v>
      </c>
      <c r="AO250" s="91">
        <v>2</v>
      </c>
      <c r="AP250" s="91">
        <v>1</v>
      </c>
      <c r="AQ250" s="91">
        <v>3</v>
      </c>
      <c r="AR250" s="91">
        <v>3</v>
      </c>
      <c r="AS250" s="91"/>
      <c r="AT250" s="91"/>
      <c r="AU250" s="91">
        <v>1</v>
      </c>
      <c r="AV250" s="91">
        <v>4</v>
      </c>
      <c r="AW250" s="91">
        <v>1</v>
      </c>
      <c r="AX250" s="91">
        <v>2</v>
      </c>
      <c r="AY250" s="91">
        <v>2</v>
      </c>
      <c r="AZ250" s="91">
        <v>1</v>
      </c>
      <c r="BA250" s="91">
        <v>1</v>
      </c>
      <c r="BB250" s="91"/>
      <c r="BC250" s="91"/>
    </row>
    <row r="251" spans="1:55" x14ac:dyDescent="0.25">
      <c r="A251" s="91" t="s">
        <v>587</v>
      </c>
      <c r="B251" s="129">
        <f t="shared" si="5"/>
        <v>283</v>
      </c>
      <c r="C251" s="91">
        <v>2</v>
      </c>
      <c r="D251" s="91">
        <v>20</v>
      </c>
      <c r="E251" s="91">
        <v>15</v>
      </c>
      <c r="F251" s="91">
        <v>7</v>
      </c>
      <c r="G251" s="91">
        <v>13</v>
      </c>
      <c r="H251" s="91"/>
      <c r="I251" s="91">
        <v>6</v>
      </c>
      <c r="J251" s="91">
        <v>15</v>
      </c>
      <c r="K251" s="91"/>
      <c r="L251" s="91">
        <v>7</v>
      </c>
      <c r="M251" s="91">
        <v>12</v>
      </c>
      <c r="N251" s="91">
        <v>11</v>
      </c>
      <c r="O251" s="91">
        <v>2</v>
      </c>
      <c r="P251" s="91">
        <v>4</v>
      </c>
      <c r="Q251" s="91">
        <v>2</v>
      </c>
      <c r="R251" s="91">
        <v>3</v>
      </c>
      <c r="S251" s="91">
        <v>7</v>
      </c>
      <c r="T251" s="91">
        <v>3</v>
      </c>
      <c r="U251" s="91">
        <v>4</v>
      </c>
      <c r="V251" s="91"/>
      <c r="W251" s="91">
        <v>16</v>
      </c>
      <c r="X251" s="91">
        <v>11</v>
      </c>
      <c r="Y251" s="91">
        <v>4</v>
      </c>
      <c r="Z251" s="91"/>
      <c r="AA251" s="91">
        <v>2</v>
      </c>
      <c r="AB251" s="91"/>
      <c r="AC251" s="91">
        <v>9</v>
      </c>
      <c r="AD251" s="91">
        <v>4</v>
      </c>
      <c r="AE251" s="91">
        <v>6</v>
      </c>
      <c r="AF251" s="91">
        <v>4</v>
      </c>
      <c r="AG251" s="91">
        <v>7</v>
      </c>
      <c r="AH251" s="91">
        <v>4</v>
      </c>
      <c r="AI251" s="91"/>
      <c r="AJ251" s="91">
        <v>8</v>
      </c>
      <c r="AK251" s="91">
        <v>2</v>
      </c>
      <c r="AL251" s="91">
        <v>23</v>
      </c>
      <c r="AM251" s="91">
        <v>2</v>
      </c>
      <c r="AN251" s="91"/>
      <c r="AO251" s="91">
        <v>6</v>
      </c>
      <c r="AP251" s="91">
        <v>1</v>
      </c>
      <c r="AQ251" s="91"/>
      <c r="AR251" s="91">
        <v>5</v>
      </c>
      <c r="AS251" s="91">
        <v>2</v>
      </c>
      <c r="AT251" s="91"/>
      <c r="AU251" s="91">
        <v>7</v>
      </c>
      <c r="AV251" s="91">
        <v>1</v>
      </c>
      <c r="AW251" s="91">
        <v>4</v>
      </c>
      <c r="AX251" s="91"/>
      <c r="AY251" s="91">
        <v>1</v>
      </c>
      <c r="AZ251" s="91">
        <v>2</v>
      </c>
      <c r="BA251" s="91"/>
      <c r="BB251" s="91">
        <v>19</v>
      </c>
      <c r="BC251" s="91"/>
    </row>
    <row r="252" spans="1:55" x14ac:dyDescent="0.25">
      <c r="A252" s="91" t="s">
        <v>404</v>
      </c>
      <c r="B252" s="129">
        <f t="shared" si="5"/>
        <v>220</v>
      </c>
      <c r="C252" s="91">
        <v>4</v>
      </c>
      <c r="D252" s="91">
        <v>6</v>
      </c>
      <c r="E252" s="91">
        <v>2</v>
      </c>
      <c r="F252" s="91">
        <v>1</v>
      </c>
      <c r="G252" s="91">
        <v>2</v>
      </c>
      <c r="H252" s="91">
        <v>6</v>
      </c>
      <c r="I252" s="91">
        <v>3</v>
      </c>
      <c r="J252" s="91">
        <v>9</v>
      </c>
      <c r="K252" s="91">
        <v>1</v>
      </c>
      <c r="L252" s="91"/>
      <c r="M252" s="91">
        <v>5</v>
      </c>
      <c r="N252" s="91">
        <v>2</v>
      </c>
      <c r="O252" s="91">
        <v>2</v>
      </c>
      <c r="P252" s="91">
        <v>9</v>
      </c>
      <c r="Q252" s="91"/>
      <c r="R252" s="91">
        <v>7</v>
      </c>
      <c r="S252" s="91">
        <v>9</v>
      </c>
      <c r="T252" s="91">
        <v>1</v>
      </c>
      <c r="U252" s="91">
        <v>2</v>
      </c>
      <c r="V252" s="91">
        <v>3</v>
      </c>
      <c r="W252" s="91">
        <v>5</v>
      </c>
      <c r="X252" s="91">
        <v>11</v>
      </c>
      <c r="Y252" s="91">
        <v>8</v>
      </c>
      <c r="Z252" s="91">
        <v>5</v>
      </c>
      <c r="AA252" s="91">
        <v>4</v>
      </c>
      <c r="AB252" s="91">
        <v>6</v>
      </c>
      <c r="AC252" s="91"/>
      <c r="AD252" s="91"/>
      <c r="AE252" s="91">
        <v>8</v>
      </c>
      <c r="AF252" s="91">
        <v>8</v>
      </c>
      <c r="AG252" s="91">
        <v>2</v>
      </c>
      <c r="AH252" s="91">
        <v>6</v>
      </c>
      <c r="AI252" s="91">
        <v>4</v>
      </c>
      <c r="AJ252" s="91"/>
      <c r="AK252" s="91">
        <v>9</v>
      </c>
      <c r="AL252" s="91">
        <v>8</v>
      </c>
      <c r="AM252" s="91">
        <v>3</v>
      </c>
      <c r="AN252" s="91"/>
      <c r="AO252" s="91"/>
      <c r="AP252" s="91">
        <v>1</v>
      </c>
      <c r="AQ252" s="91">
        <v>3</v>
      </c>
      <c r="AR252" s="91">
        <v>9</v>
      </c>
      <c r="AS252" s="91">
        <v>5</v>
      </c>
      <c r="AT252" s="91"/>
      <c r="AU252" s="91">
        <v>11</v>
      </c>
      <c r="AV252" s="91">
        <v>2</v>
      </c>
      <c r="AW252" s="91">
        <v>3</v>
      </c>
      <c r="AX252" s="91">
        <v>1</v>
      </c>
      <c r="AY252" s="91">
        <v>9</v>
      </c>
      <c r="AZ252" s="91">
        <v>6</v>
      </c>
      <c r="BA252" s="91"/>
      <c r="BB252" s="91">
        <v>9</v>
      </c>
      <c r="BC252" s="91"/>
    </row>
    <row r="253" spans="1:55" x14ac:dyDescent="0.25">
      <c r="A253" s="91" t="s">
        <v>335</v>
      </c>
      <c r="B253" s="129">
        <f t="shared" si="5"/>
        <v>332</v>
      </c>
      <c r="C253" s="91">
        <v>2</v>
      </c>
      <c r="D253" s="91">
        <v>14</v>
      </c>
      <c r="E253" s="91">
        <v>7</v>
      </c>
      <c r="F253" s="91">
        <v>4</v>
      </c>
      <c r="G253" s="91">
        <v>11</v>
      </c>
      <c r="H253" s="91"/>
      <c r="I253" s="91">
        <v>2</v>
      </c>
      <c r="J253" s="91">
        <v>23</v>
      </c>
      <c r="K253" s="91">
        <v>6</v>
      </c>
      <c r="L253" s="91">
        <v>4</v>
      </c>
      <c r="M253" s="91">
        <v>1</v>
      </c>
      <c r="N253" s="91">
        <v>16</v>
      </c>
      <c r="O253" s="91">
        <v>2</v>
      </c>
      <c r="P253" s="91">
        <v>13</v>
      </c>
      <c r="Q253" s="91">
        <v>2</v>
      </c>
      <c r="R253" s="91">
        <v>14</v>
      </c>
      <c r="S253" s="91">
        <v>9</v>
      </c>
      <c r="T253" s="91">
        <v>1</v>
      </c>
      <c r="U253" s="91">
        <v>1</v>
      </c>
      <c r="V253" s="91">
        <v>5</v>
      </c>
      <c r="W253" s="91">
        <v>10</v>
      </c>
      <c r="X253" s="91">
        <v>2</v>
      </c>
      <c r="Y253" s="91">
        <v>11</v>
      </c>
      <c r="Z253" s="91">
        <v>2</v>
      </c>
      <c r="AA253" s="91"/>
      <c r="AB253" s="91">
        <v>4</v>
      </c>
      <c r="AC253" s="91">
        <v>10</v>
      </c>
      <c r="AD253" s="91">
        <v>1</v>
      </c>
      <c r="AE253" s="91">
        <v>5</v>
      </c>
      <c r="AF253" s="91">
        <v>1</v>
      </c>
      <c r="AG253" s="91">
        <v>7</v>
      </c>
      <c r="AH253" s="91">
        <v>14</v>
      </c>
      <c r="AI253" s="91">
        <v>2</v>
      </c>
      <c r="AJ253" s="91">
        <v>13</v>
      </c>
      <c r="AK253" s="91">
        <v>6</v>
      </c>
      <c r="AL253" s="91">
        <v>2</v>
      </c>
      <c r="AM253" s="91">
        <v>1</v>
      </c>
      <c r="AN253" s="91">
        <v>9</v>
      </c>
      <c r="AO253" s="91">
        <v>1</v>
      </c>
      <c r="AP253" s="91">
        <v>15</v>
      </c>
      <c r="AQ253" s="91">
        <v>5</v>
      </c>
      <c r="AR253" s="91">
        <v>9</v>
      </c>
      <c r="AS253" s="91">
        <v>8</v>
      </c>
      <c r="AT253" s="91"/>
      <c r="AU253" s="91">
        <v>9</v>
      </c>
      <c r="AV253" s="91">
        <v>8</v>
      </c>
      <c r="AW253" s="91">
        <v>2</v>
      </c>
      <c r="AX253" s="91">
        <v>8</v>
      </c>
      <c r="AY253" s="91">
        <v>2</v>
      </c>
      <c r="AZ253" s="91">
        <v>15</v>
      </c>
      <c r="BA253" s="91">
        <v>3</v>
      </c>
      <c r="BB253" s="91">
        <v>10</v>
      </c>
      <c r="BC253" s="91"/>
    </row>
    <row r="254" spans="1:55" x14ac:dyDescent="0.25">
      <c r="A254" s="91" t="s">
        <v>514</v>
      </c>
      <c r="B254" s="129">
        <f t="shared" si="5"/>
        <v>260</v>
      </c>
      <c r="C254" s="91">
        <v>1</v>
      </c>
      <c r="D254" s="91">
        <v>10</v>
      </c>
      <c r="E254" s="91">
        <v>9</v>
      </c>
      <c r="F254" s="91">
        <v>11</v>
      </c>
      <c r="G254" s="91"/>
      <c r="H254" s="91"/>
      <c r="I254" s="91">
        <v>9</v>
      </c>
      <c r="J254" s="91">
        <v>9</v>
      </c>
      <c r="K254" s="91">
        <v>9</v>
      </c>
      <c r="L254" s="91"/>
      <c r="M254" s="91">
        <v>9</v>
      </c>
      <c r="N254" s="91">
        <v>11</v>
      </c>
      <c r="O254" s="91">
        <v>1</v>
      </c>
      <c r="P254" s="91">
        <v>9</v>
      </c>
      <c r="Q254" s="91">
        <v>9</v>
      </c>
      <c r="R254" s="91"/>
      <c r="S254" s="91">
        <v>2</v>
      </c>
      <c r="T254" s="91"/>
      <c r="U254" s="91">
        <v>9</v>
      </c>
      <c r="V254" s="91">
        <v>2</v>
      </c>
      <c r="W254" s="91"/>
      <c r="X254" s="91">
        <v>9</v>
      </c>
      <c r="Y254" s="91"/>
      <c r="Z254" s="91">
        <v>9</v>
      </c>
      <c r="AA254" s="91">
        <v>1</v>
      </c>
      <c r="AB254" s="91">
        <v>9</v>
      </c>
      <c r="AC254" s="91">
        <v>10</v>
      </c>
      <c r="AD254" s="91">
        <v>12</v>
      </c>
      <c r="AE254" s="91">
        <v>9</v>
      </c>
      <c r="AF254" s="91">
        <v>10</v>
      </c>
      <c r="AG254" s="91">
        <v>2</v>
      </c>
      <c r="AH254" s="91">
        <v>9</v>
      </c>
      <c r="AI254" s="91">
        <v>9</v>
      </c>
      <c r="AJ254" s="91">
        <v>1</v>
      </c>
      <c r="AK254" s="91">
        <v>9</v>
      </c>
      <c r="AL254" s="91">
        <v>1</v>
      </c>
      <c r="AM254" s="91">
        <v>9</v>
      </c>
      <c r="AN254" s="91"/>
      <c r="AO254" s="91"/>
      <c r="AP254" s="91">
        <v>9</v>
      </c>
      <c r="AQ254" s="91">
        <v>1</v>
      </c>
      <c r="AR254" s="91">
        <v>1</v>
      </c>
      <c r="AS254" s="91">
        <v>11</v>
      </c>
      <c r="AT254" s="91"/>
      <c r="AU254" s="91">
        <v>1</v>
      </c>
      <c r="AV254" s="91"/>
      <c r="AW254" s="91">
        <v>1</v>
      </c>
      <c r="AX254" s="91"/>
      <c r="AY254" s="91"/>
      <c r="AZ254" s="91">
        <v>11</v>
      </c>
      <c r="BA254" s="91"/>
      <c r="BB254" s="91">
        <v>6</v>
      </c>
      <c r="BC254" s="91"/>
    </row>
    <row r="255" spans="1:55" x14ac:dyDescent="0.25">
      <c r="A255" s="91" t="s">
        <v>524</v>
      </c>
      <c r="B255" s="129">
        <f t="shared" si="5"/>
        <v>30</v>
      </c>
      <c r="C255" s="91"/>
      <c r="D255" s="91"/>
      <c r="E255" s="91">
        <v>1</v>
      </c>
      <c r="F255" s="91"/>
      <c r="G255" s="91">
        <v>2</v>
      </c>
      <c r="H255" s="91"/>
      <c r="I255" s="91"/>
      <c r="J255" s="91">
        <v>2</v>
      </c>
      <c r="K255" s="91">
        <v>1</v>
      </c>
      <c r="L255" s="91"/>
      <c r="M255" s="91">
        <v>1</v>
      </c>
      <c r="N255" s="91"/>
      <c r="O255" s="91">
        <v>2</v>
      </c>
      <c r="P255" s="91"/>
      <c r="Q255" s="91">
        <v>1</v>
      </c>
      <c r="R255" s="91"/>
      <c r="S255" s="91">
        <v>2</v>
      </c>
      <c r="T255" s="91">
        <v>4</v>
      </c>
      <c r="U255" s="91">
        <v>1</v>
      </c>
      <c r="V255" s="91"/>
      <c r="W255" s="91">
        <v>1</v>
      </c>
      <c r="X255" s="91">
        <v>2</v>
      </c>
      <c r="Y255" s="91">
        <v>2</v>
      </c>
      <c r="Z255" s="91">
        <v>1</v>
      </c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>
        <v>1</v>
      </c>
      <c r="AP255" s="91"/>
      <c r="AQ255" s="91">
        <v>2</v>
      </c>
      <c r="AR255" s="91"/>
      <c r="AS255" s="91">
        <v>2</v>
      </c>
      <c r="AT255" s="91"/>
      <c r="AU255" s="91"/>
      <c r="AV255" s="91"/>
      <c r="AW255" s="91">
        <v>2</v>
      </c>
      <c r="AX255" s="91"/>
      <c r="AY255" s="91"/>
      <c r="AZ255" s="91"/>
      <c r="BA255" s="91"/>
      <c r="BB255" s="91"/>
      <c r="BC255" s="91"/>
    </row>
    <row r="256" spans="1:55" x14ac:dyDescent="0.25">
      <c r="A256" s="91" t="s">
        <v>463</v>
      </c>
      <c r="B256" s="129">
        <f t="shared" si="5"/>
        <v>168</v>
      </c>
      <c r="C256" s="91">
        <v>7</v>
      </c>
      <c r="D256" s="91">
        <v>1</v>
      </c>
      <c r="E256" s="91">
        <v>14</v>
      </c>
      <c r="F256" s="91">
        <v>2</v>
      </c>
      <c r="G256" s="91">
        <v>4</v>
      </c>
      <c r="H256" s="91"/>
      <c r="I256" s="91">
        <v>9</v>
      </c>
      <c r="J256" s="91">
        <v>3</v>
      </c>
      <c r="K256" s="91">
        <v>1</v>
      </c>
      <c r="L256" s="91">
        <v>2</v>
      </c>
      <c r="M256" s="91"/>
      <c r="N256" s="91">
        <v>6</v>
      </c>
      <c r="O256" s="91">
        <v>2</v>
      </c>
      <c r="P256" s="91">
        <v>2</v>
      </c>
      <c r="Q256" s="91">
        <v>5</v>
      </c>
      <c r="R256" s="91">
        <v>2</v>
      </c>
      <c r="S256" s="91">
        <v>11</v>
      </c>
      <c r="T256" s="91"/>
      <c r="U256" s="91">
        <v>3</v>
      </c>
      <c r="V256" s="91">
        <v>2</v>
      </c>
      <c r="W256" s="91">
        <v>1</v>
      </c>
      <c r="X256" s="91">
        <v>9</v>
      </c>
      <c r="Y256" s="91">
        <v>1</v>
      </c>
      <c r="Z256" s="91">
        <v>2</v>
      </c>
      <c r="AA256" s="91">
        <v>5</v>
      </c>
      <c r="AB256" s="91"/>
      <c r="AC256" s="91">
        <v>1</v>
      </c>
      <c r="AD256" s="91">
        <v>3</v>
      </c>
      <c r="AE256" s="91"/>
      <c r="AF256" s="91">
        <v>2</v>
      </c>
      <c r="AG256" s="91">
        <v>5</v>
      </c>
      <c r="AH256" s="91">
        <v>1</v>
      </c>
      <c r="AI256" s="91"/>
      <c r="AJ256" s="91">
        <v>8</v>
      </c>
      <c r="AK256" s="91">
        <v>1</v>
      </c>
      <c r="AL256" s="91">
        <v>1</v>
      </c>
      <c r="AM256" s="91">
        <v>6</v>
      </c>
      <c r="AN256" s="91">
        <v>6</v>
      </c>
      <c r="AO256" s="91"/>
      <c r="AP256" s="91">
        <v>3</v>
      </c>
      <c r="AQ256" s="91">
        <v>3</v>
      </c>
      <c r="AR256" s="91"/>
      <c r="AS256" s="91">
        <v>3</v>
      </c>
      <c r="AT256" s="91"/>
      <c r="AU256" s="91"/>
      <c r="AV256" s="91"/>
      <c r="AW256" s="91">
        <v>5</v>
      </c>
      <c r="AX256" s="91">
        <v>3</v>
      </c>
      <c r="AY256" s="91">
        <v>6</v>
      </c>
      <c r="AZ256" s="91"/>
      <c r="BA256" s="91"/>
      <c r="BB256" s="91">
        <v>17</v>
      </c>
      <c r="BC256" s="91"/>
    </row>
    <row r="257" spans="1:55" x14ac:dyDescent="0.25">
      <c r="A257" s="91" t="s">
        <v>477</v>
      </c>
      <c r="B257" s="129">
        <f t="shared" si="5"/>
        <v>196</v>
      </c>
      <c r="C257" s="91">
        <v>2</v>
      </c>
      <c r="D257" s="91">
        <v>14</v>
      </c>
      <c r="E257" s="91">
        <v>1</v>
      </c>
      <c r="F257" s="91">
        <v>1</v>
      </c>
      <c r="G257" s="91">
        <v>8</v>
      </c>
      <c r="H257" s="91"/>
      <c r="I257" s="91">
        <v>5</v>
      </c>
      <c r="J257" s="91">
        <v>11</v>
      </c>
      <c r="K257" s="91"/>
      <c r="L257" s="91">
        <v>1</v>
      </c>
      <c r="M257" s="91">
        <v>3</v>
      </c>
      <c r="N257" s="91">
        <v>11</v>
      </c>
      <c r="O257" s="91">
        <v>5</v>
      </c>
      <c r="P257" s="91">
        <v>2</v>
      </c>
      <c r="Q257" s="91">
        <v>1</v>
      </c>
      <c r="R257" s="91"/>
      <c r="S257" s="91">
        <v>6</v>
      </c>
      <c r="T257" s="91"/>
      <c r="U257" s="91">
        <v>12</v>
      </c>
      <c r="V257" s="91">
        <v>2</v>
      </c>
      <c r="W257" s="91">
        <v>1</v>
      </c>
      <c r="X257" s="91">
        <v>13</v>
      </c>
      <c r="Y257" s="91">
        <v>1</v>
      </c>
      <c r="Z257" s="91">
        <v>1</v>
      </c>
      <c r="AA257" s="91">
        <v>1</v>
      </c>
      <c r="AB257" s="91">
        <v>3</v>
      </c>
      <c r="AC257" s="91">
        <v>11</v>
      </c>
      <c r="AD257" s="91">
        <v>2</v>
      </c>
      <c r="AE257" s="91">
        <v>2</v>
      </c>
      <c r="AF257" s="91">
        <v>5</v>
      </c>
      <c r="AG257" s="91">
        <v>9</v>
      </c>
      <c r="AH257" s="91"/>
      <c r="AI257" s="91">
        <v>1</v>
      </c>
      <c r="AJ257" s="91">
        <v>6</v>
      </c>
      <c r="AK257" s="91">
        <v>1</v>
      </c>
      <c r="AL257" s="91">
        <v>1</v>
      </c>
      <c r="AM257" s="91">
        <v>5</v>
      </c>
      <c r="AN257" s="91"/>
      <c r="AO257" s="91">
        <v>5</v>
      </c>
      <c r="AP257" s="91">
        <v>2</v>
      </c>
      <c r="AQ257" s="91">
        <v>4</v>
      </c>
      <c r="AR257" s="91"/>
      <c r="AS257" s="91">
        <v>3</v>
      </c>
      <c r="AT257" s="91"/>
      <c r="AU257" s="91">
        <v>5</v>
      </c>
      <c r="AV257" s="91"/>
      <c r="AW257" s="91">
        <v>1</v>
      </c>
      <c r="AX257" s="91">
        <v>1</v>
      </c>
      <c r="AY257" s="91">
        <v>1</v>
      </c>
      <c r="AZ257" s="91">
        <v>1</v>
      </c>
      <c r="BA257" s="91">
        <v>9</v>
      </c>
      <c r="BB257" s="91">
        <v>16</v>
      </c>
      <c r="BC257" s="91"/>
    </row>
    <row r="258" spans="1:55" x14ac:dyDescent="0.25">
      <c r="A258" s="91" t="s">
        <v>564</v>
      </c>
      <c r="B258" s="129">
        <f t="shared" si="5"/>
        <v>117</v>
      </c>
      <c r="C258" s="91">
        <v>1</v>
      </c>
      <c r="D258" s="91">
        <v>1</v>
      </c>
      <c r="E258" s="91">
        <v>3</v>
      </c>
      <c r="F258" s="91"/>
      <c r="G258" s="91">
        <v>1</v>
      </c>
      <c r="H258" s="91">
        <v>1</v>
      </c>
      <c r="I258" s="91">
        <v>1</v>
      </c>
      <c r="J258" s="91"/>
      <c r="K258" s="91"/>
      <c r="L258" s="91"/>
      <c r="M258" s="91">
        <v>6</v>
      </c>
      <c r="N258" s="91">
        <v>7</v>
      </c>
      <c r="O258" s="91">
        <v>1</v>
      </c>
      <c r="P258" s="91">
        <v>3</v>
      </c>
      <c r="Q258" s="91"/>
      <c r="R258" s="91"/>
      <c r="S258" s="91">
        <v>4</v>
      </c>
      <c r="T258" s="91"/>
      <c r="U258" s="91"/>
      <c r="V258" s="91">
        <v>1</v>
      </c>
      <c r="W258" s="91">
        <v>2</v>
      </c>
      <c r="X258" s="91"/>
      <c r="Y258" s="91"/>
      <c r="Z258" s="91">
        <v>2</v>
      </c>
      <c r="AA258" s="91">
        <v>3</v>
      </c>
      <c r="AB258" s="91">
        <v>1</v>
      </c>
      <c r="AC258" s="91">
        <v>4</v>
      </c>
      <c r="AD258" s="91">
        <v>9</v>
      </c>
      <c r="AE258" s="91">
        <v>2</v>
      </c>
      <c r="AF258" s="91">
        <v>1</v>
      </c>
      <c r="AG258" s="91">
        <v>2</v>
      </c>
      <c r="AH258" s="91">
        <v>3</v>
      </c>
      <c r="AI258" s="91">
        <v>1</v>
      </c>
      <c r="AJ258" s="91">
        <v>3</v>
      </c>
      <c r="AK258" s="91">
        <v>3</v>
      </c>
      <c r="AL258" s="91">
        <v>6</v>
      </c>
      <c r="AM258" s="91"/>
      <c r="AN258" s="91">
        <v>1</v>
      </c>
      <c r="AO258" s="91">
        <v>5</v>
      </c>
      <c r="AP258" s="91">
        <v>3</v>
      </c>
      <c r="AQ258" s="91">
        <v>1</v>
      </c>
      <c r="AR258" s="91">
        <v>4</v>
      </c>
      <c r="AS258" s="91">
        <v>4</v>
      </c>
      <c r="AT258" s="91"/>
      <c r="AU258" s="91">
        <v>4</v>
      </c>
      <c r="AV258" s="91">
        <v>2</v>
      </c>
      <c r="AW258" s="91">
        <v>2</v>
      </c>
      <c r="AX258" s="91">
        <v>2</v>
      </c>
      <c r="AY258" s="91">
        <v>1</v>
      </c>
      <c r="AZ258" s="91">
        <v>2</v>
      </c>
      <c r="BA258" s="91">
        <v>4</v>
      </c>
      <c r="BB258" s="91">
        <v>10</v>
      </c>
      <c r="BC258" s="91"/>
    </row>
    <row r="259" spans="1:55" x14ac:dyDescent="0.25">
      <c r="A259" s="91" t="s">
        <v>563</v>
      </c>
      <c r="B259" s="129">
        <f t="shared" si="5"/>
        <v>67</v>
      </c>
      <c r="C259" s="91"/>
      <c r="D259" s="91">
        <v>1</v>
      </c>
      <c r="E259" s="91">
        <v>2</v>
      </c>
      <c r="F259" s="91">
        <v>2</v>
      </c>
      <c r="G259" s="91">
        <v>2</v>
      </c>
      <c r="H259" s="91"/>
      <c r="I259" s="91">
        <v>5</v>
      </c>
      <c r="J259" s="91"/>
      <c r="K259" s="91"/>
      <c r="L259" s="91"/>
      <c r="M259" s="91">
        <v>3</v>
      </c>
      <c r="N259" s="91"/>
      <c r="O259" s="91">
        <v>2</v>
      </c>
      <c r="P259" s="91">
        <v>3</v>
      </c>
      <c r="Q259" s="91">
        <v>3</v>
      </c>
      <c r="R259" s="91">
        <v>2</v>
      </c>
      <c r="S259" s="91">
        <v>1</v>
      </c>
      <c r="T259" s="91"/>
      <c r="U259" s="91">
        <v>2</v>
      </c>
      <c r="V259" s="91"/>
      <c r="W259" s="91">
        <v>1</v>
      </c>
      <c r="X259" s="91"/>
      <c r="Y259" s="91">
        <v>2</v>
      </c>
      <c r="Z259" s="91">
        <v>4</v>
      </c>
      <c r="AA259" s="91"/>
      <c r="AB259" s="91"/>
      <c r="AC259" s="91"/>
      <c r="AD259" s="91"/>
      <c r="AE259" s="91">
        <v>2</v>
      </c>
      <c r="AF259" s="91">
        <v>1</v>
      </c>
      <c r="AG259" s="91"/>
      <c r="AH259" s="91">
        <v>1</v>
      </c>
      <c r="AI259" s="91"/>
      <c r="AJ259" s="91"/>
      <c r="AK259" s="91">
        <v>6</v>
      </c>
      <c r="AL259" s="91"/>
      <c r="AM259" s="91">
        <v>1</v>
      </c>
      <c r="AN259" s="91">
        <v>2</v>
      </c>
      <c r="AO259" s="91"/>
      <c r="AP259" s="91">
        <v>2</v>
      </c>
      <c r="AQ259" s="91">
        <v>1</v>
      </c>
      <c r="AR259" s="91"/>
      <c r="AS259" s="91">
        <v>3</v>
      </c>
      <c r="AT259" s="91"/>
      <c r="AU259" s="91"/>
      <c r="AV259" s="91">
        <v>2</v>
      </c>
      <c r="AW259" s="91">
        <v>3</v>
      </c>
      <c r="AX259" s="91"/>
      <c r="AY259" s="91"/>
      <c r="AZ259" s="91">
        <v>1</v>
      </c>
      <c r="BA259" s="91"/>
      <c r="BB259" s="91">
        <v>7</v>
      </c>
      <c r="BC259" s="91"/>
    </row>
    <row r="260" spans="1:55" x14ac:dyDescent="0.25">
      <c r="A260" s="91" t="s">
        <v>553</v>
      </c>
      <c r="B260" s="129">
        <f t="shared" si="5"/>
        <v>67</v>
      </c>
      <c r="C260" s="91">
        <v>3</v>
      </c>
      <c r="D260" s="91"/>
      <c r="E260" s="91">
        <v>1</v>
      </c>
      <c r="F260" s="91">
        <v>2</v>
      </c>
      <c r="G260" s="91"/>
      <c r="H260" s="91">
        <v>5</v>
      </c>
      <c r="I260" s="91"/>
      <c r="J260" s="91">
        <v>1</v>
      </c>
      <c r="K260" s="91">
        <v>1</v>
      </c>
      <c r="L260" s="91"/>
      <c r="M260" s="91">
        <v>1</v>
      </c>
      <c r="N260" s="91">
        <v>8</v>
      </c>
      <c r="O260" s="91">
        <v>1</v>
      </c>
      <c r="P260" s="91"/>
      <c r="Q260" s="91">
        <v>1</v>
      </c>
      <c r="R260" s="91">
        <v>1</v>
      </c>
      <c r="S260" s="91">
        <v>2</v>
      </c>
      <c r="T260" s="91"/>
      <c r="U260" s="91"/>
      <c r="V260" s="91"/>
      <c r="W260" s="91">
        <v>4</v>
      </c>
      <c r="X260" s="91">
        <v>3</v>
      </c>
      <c r="Y260" s="91"/>
      <c r="Z260" s="91"/>
      <c r="AA260" s="91">
        <v>2</v>
      </c>
      <c r="AB260" s="91"/>
      <c r="AC260" s="91">
        <v>1</v>
      </c>
      <c r="AD260" s="91"/>
      <c r="AE260" s="91"/>
      <c r="AF260" s="91"/>
      <c r="AG260" s="91"/>
      <c r="AH260" s="91">
        <v>2</v>
      </c>
      <c r="AI260" s="91"/>
      <c r="AJ260" s="91">
        <v>5</v>
      </c>
      <c r="AK260" s="91"/>
      <c r="AL260" s="91"/>
      <c r="AM260" s="91"/>
      <c r="AN260" s="91">
        <v>1</v>
      </c>
      <c r="AO260" s="91">
        <v>2</v>
      </c>
      <c r="AP260" s="91">
        <v>5</v>
      </c>
      <c r="AQ260" s="91">
        <v>1</v>
      </c>
      <c r="AR260" s="91">
        <v>2</v>
      </c>
      <c r="AS260" s="91"/>
      <c r="AT260" s="91"/>
      <c r="AU260" s="91"/>
      <c r="AV260" s="91"/>
      <c r="AW260" s="91">
        <v>5</v>
      </c>
      <c r="AX260" s="91"/>
      <c r="AY260" s="91"/>
      <c r="AZ260" s="91"/>
      <c r="BA260" s="91">
        <v>2</v>
      </c>
      <c r="BB260" s="91">
        <v>5</v>
      </c>
      <c r="BC260" s="91"/>
    </row>
    <row r="261" spans="1:55" x14ac:dyDescent="0.25">
      <c r="A261" s="91" t="s">
        <v>544</v>
      </c>
      <c r="B261" s="129">
        <f t="shared" si="5"/>
        <v>157</v>
      </c>
      <c r="C261" s="91">
        <v>3</v>
      </c>
      <c r="D261" s="91">
        <v>9</v>
      </c>
      <c r="E261" s="91">
        <v>4</v>
      </c>
      <c r="F261" s="91">
        <v>2</v>
      </c>
      <c r="G261" s="91">
        <v>2</v>
      </c>
      <c r="H261" s="91">
        <v>4</v>
      </c>
      <c r="I261" s="91">
        <v>2</v>
      </c>
      <c r="J261" s="91">
        <v>5</v>
      </c>
      <c r="K261" s="91"/>
      <c r="L261" s="91">
        <v>2</v>
      </c>
      <c r="M261" s="91">
        <v>2</v>
      </c>
      <c r="N261" s="91">
        <v>7</v>
      </c>
      <c r="O261" s="91"/>
      <c r="P261" s="91">
        <v>3</v>
      </c>
      <c r="Q261" s="91">
        <v>2</v>
      </c>
      <c r="R261" s="91">
        <v>4</v>
      </c>
      <c r="S261" s="91">
        <v>11</v>
      </c>
      <c r="T261" s="91"/>
      <c r="U261" s="91">
        <v>3</v>
      </c>
      <c r="V261" s="91"/>
      <c r="W261" s="91"/>
      <c r="X261" s="91">
        <v>2</v>
      </c>
      <c r="Y261" s="91">
        <v>6</v>
      </c>
      <c r="Z261" s="91">
        <v>4</v>
      </c>
      <c r="AA261" s="91">
        <v>5</v>
      </c>
      <c r="AB261" s="91"/>
      <c r="AC261" s="91">
        <v>3</v>
      </c>
      <c r="AD261" s="91">
        <v>4</v>
      </c>
      <c r="AE261" s="91">
        <v>2</v>
      </c>
      <c r="AF261" s="91">
        <v>2</v>
      </c>
      <c r="AG261" s="91"/>
      <c r="AH261" s="91">
        <v>5</v>
      </c>
      <c r="AI261" s="91">
        <v>1</v>
      </c>
      <c r="AJ261" s="91">
        <v>1</v>
      </c>
      <c r="AK261" s="91"/>
      <c r="AL261" s="91">
        <v>1</v>
      </c>
      <c r="AM261" s="91">
        <v>11</v>
      </c>
      <c r="AN261" s="91"/>
      <c r="AO261" s="91">
        <v>1</v>
      </c>
      <c r="AP261" s="91">
        <v>1</v>
      </c>
      <c r="AQ261" s="91">
        <v>7</v>
      </c>
      <c r="AR261" s="91">
        <v>2</v>
      </c>
      <c r="AS261" s="91">
        <v>3</v>
      </c>
      <c r="AT261" s="91"/>
      <c r="AU261" s="91"/>
      <c r="AV261" s="91">
        <v>11</v>
      </c>
      <c r="AW261" s="91">
        <v>6</v>
      </c>
      <c r="AX261" s="91">
        <v>1</v>
      </c>
      <c r="AY261" s="91"/>
      <c r="AZ261" s="91">
        <v>1</v>
      </c>
      <c r="BA261" s="91"/>
      <c r="BB261" s="91">
        <v>12</v>
      </c>
      <c r="BC261" s="91"/>
    </row>
    <row r="262" spans="1:55" x14ac:dyDescent="0.25">
      <c r="A262" s="91" t="s">
        <v>559</v>
      </c>
      <c r="B262" s="129">
        <f t="shared" si="5"/>
        <v>158</v>
      </c>
      <c r="C262" s="91">
        <v>3</v>
      </c>
      <c r="D262" s="91">
        <v>5</v>
      </c>
      <c r="E262" s="91">
        <v>8</v>
      </c>
      <c r="F262" s="91">
        <v>3</v>
      </c>
      <c r="G262" s="91">
        <v>4</v>
      </c>
      <c r="H262" s="91">
        <v>2</v>
      </c>
      <c r="I262" s="91">
        <v>2</v>
      </c>
      <c r="J262" s="91">
        <v>6</v>
      </c>
      <c r="K262" s="91">
        <v>4</v>
      </c>
      <c r="L262" s="91">
        <v>2</v>
      </c>
      <c r="M262" s="91">
        <v>1</v>
      </c>
      <c r="N262" s="91">
        <v>3</v>
      </c>
      <c r="O262" s="91">
        <v>2</v>
      </c>
      <c r="P262" s="91">
        <v>7</v>
      </c>
      <c r="Q262" s="91">
        <v>4</v>
      </c>
      <c r="R262" s="91">
        <v>1</v>
      </c>
      <c r="S262" s="91">
        <v>2</v>
      </c>
      <c r="T262" s="91"/>
      <c r="U262" s="91">
        <v>2</v>
      </c>
      <c r="V262" s="91">
        <v>1</v>
      </c>
      <c r="W262" s="91">
        <v>2</v>
      </c>
      <c r="X262" s="91">
        <v>7</v>
      </c>
      <c r="Y262" s="91">
        <v>1</v>
      </c>
      <c r="Z262" s="91">
        <v>1</v>
      </c>
      <c r="AA262" s="91">
        <v>4</v>
      </c>
      <c r="AB262" s="91"/>
      <c r="AC262" s="91">
        <v>2</v>
      </c>
      <c r="AD262" s="91">
        <v>10</v>
      </c>
      <c r="AE262" s="91">
        <v>3</v>
      </c>
      <c r="AF262" s="91">
        <v>2</v>
      </c>
      <c r="AG262" s="91">
        <v>3</v>
      </c>
      <c r="AH262" s="91">
        <v>9</v>
      </c>
      <c r="AI262" s="91"/>
      <c r="AJ262" s="91">
        <v>2</v>
      </c>
      <c r="AK262" s="91">
        <v>2</v>
      </c>
      <c r="AL262" s="91">
        <v>7</v>
      </c>
      <c r="AM262" s="91"/>
      <c r="AN262" s="91">
        <v>3</v>
      </c>
      <c r="AO262" s="91">
        <v>6</v>
      </c>
      <c r="AP262" s="91">
        <v>9</v>
      </c>
      <c r="AQ262" s="91">
        <v>2</v>
      </c>
      <c r="AR262" s="91">
        <v>4</v>
      </c>
      <c r="AS262" s="91">
        <v>2</v>
      </c>
      <c r="AT262" s="91"/>
      <c r="AU262" s="91">
        <v>1</v>
      </c>
      <c r="AV262" s="91"/>
      <c r="AW262" s="91">
        <v>2</v>
      </c>
      <c r="AX262" s="91">
        <v>2</v>
      </c>
      <c r="AY262" s="91"/>
      <c r="AZ262" s="91">
        <v>1</v>
      </c>
      <c r="BA262" s="91"/>
      <c r="BB262" s="91">
        <v>9</v>
      </c>
      <c r="BC262" s="91"/>
    </row>
    <row r="263" spans="1:55" x14ac:dyDescent="0.25">
      <c r="A263" s="91" t="s">
        <v>575</v>
      </c>
      <c r="B263" s="129">
        <f t="shared" si="5"/>
        <v>189</v>
      </c>
      <c r="C263" s="91"/>
      <c r="D263" s="91">
        <v>3</v>
      </c>
      <c r="E263" s="91">
        <v>10</v>
      </c>
      <c r="F263" s="91">
        <v>6</v>
      </c>
      <c r="G263" s="91"/>
      <c r="H263" s="91">
        <v>6</v>
      </c>
      <c r="I263" s="91">
        <v>5</v>
      </c>
      <c r="J263" s="91">
        <v>1</v>
      </c>
      <c r="K263" s="91">
        <v>3</v>
      </c>
      <c r="L263" s="91"/>
      <c r="M263" s="91">
        <v>4</v>
      </c>
      <c r="N263" s="91">
        <v>3</v>
      </c>
      <c r="O263" s="91">
        <v>5</v>
      </c>
      <c r="P263" s="91">
        <v>7</v>
      </c>
      <c r="Q263" s="91"/>
      <c r="R263" s="91">
        <v>2</v>
      </c>
      <c r="S263" s="91">
        <v>4</v>
      </c>
      <c r="T263" s="91"/>
      <c r="U263" s="91">
        <v>2</v>
      </c>
      <c r="V263" s="91">
        <v>2</v>
      </c>
      <c r="W263" s="91">
        <v>10</v>
      </c>
      <c r="X263" s="91">
        <v>8</v>
      </c>
      <c r="Y263" s="91">
        <v>5</v>
      </c>
      <c r="Z263" s="91">
        <v>9</v>
      </c>
      <c r="AA263" s="91">
        <v>2</v>
      </c>
      <c r="AB263" s="91">
        <v>4</v>
      </c>
      <c r="AC263" s="91"/>
      <c r="AD263" s="91">
        <v>3</v>
      </c>
      <c r="AE263" s="91">
        <v>8</v>
      </c>
      <c r="AF263" s="91"/>
      <c r="AG263" s="91">
        <v>2</v>
      </c>
      <c r="AH263" s="91"/>
      <c r="AI263" s="91">
        <v>7</v>
      </c>
      <c r="AJ263" s="91">
        <v>5</v>
      </c>
      <c r="AK263" s="91">
        <v>2</v>
      </c>
      <c r="AL263" s="91">
        <v>1</v>
      </c>
      <c r="AM263" s="91">
        <v>4</v>
      </c>
      <c r="AN263" s="91"/>
      <c r="AO263" s="91">
        <v>8</v>
      </c>
      <c r="AP263" s="91"/>
      <c r="AQ263" s="91">
        <v>6</v>
      </c>
      <c r="AR263" s="91">
        <v>1</v>
      </c>
      <c r="AS263" s="91">
        <v>7</v>
      </c>
      <c r="AT263" s="91"/>
      <c r="AU263" s="91"/>
      <c r="AV263" s="91">
        <v>1</v>
      </c>
      <c r="AW263" s="91">
        <v>11</v>
      </c>
      <c r="AX263" s="91">
        <v>7</v>
      </c>
      <c r="AY263" s="91">
        <v>3</v>
      </c>
      <c r="AZ263" s="91">
        <v>8</v>
      </c>
      <c r="BA263" s="91">
        <v>1</v>
      </c>
      <c r="BB263" s="91">
        <v>3</v>
      </c>
      <c r="BC263" s="91"/>
    </row>
    <row r="264" spans="1:55" x14ac:dyDescent="0.25">
      <c r="A264" s="91" t="s">
        <v>228</v>
      </c>
      <c r="B264" s="129">
        <f t="shared" ref="B264:B327" si="6">SUM(C264:BC264)</f>
        <v>29</v>
      </c>
      <c r="C264" s="91"/>
      <c r="D264" s="91"/>
      <c r="E264" s="91">
        <v>2</v>
      </c>
      <c r="F264" s="91"/>
      <c r="G264" s="91"/>
      <c r="H264" s="91"/>
      <c r="I264" s="91">
        <v>1</v>
      </c>
      <c r="J264" s="91">
        <v>2</v>
      </c>
      <c r="K264" s="91"/>
      <c r="L264" s="91"/>
      <c r="M264" s="91">
        <v>1</v>
      </c>
      <c r="N264" s="91">
        <v>1</v>
      </c>
      <c r="O264" s="91"/>
      <c r="P264" s="91"/>
      <c r="Q264" s="91"/>
      <c r="R264" s="91">
        <v>1</v>
      </c>
      <c r="S264" s="91">
        <v>6</v>
      </c>
      <c r="T264" s="91"/>
      <c r="U264" s="91"/>
      <c r="V264" s="91"/>
      <c r="W264" s="91">
        <v>1</v>
      </c>
      <c r="X264" s="91">
        <v>1</v>
      </c>
      <c r="Y264" s="91"/>
      <c r="Z264" s="91"/>
      <c r="AA264" s="91"/>
      <c r="AB264" s="91">
        <v>1</v>
      </c>
      <c r="AC264" s="91"/>
      <c r="AD264" s="91">
        <v>1</v>
      </c>
      <c r="AE264" s="91"/>
      <c r="AF264" s="91"/>
      <c r="AG264" s="91"/>
      <c r="AH264" s="91">
        <v>1</v>
      </c>
      <c r="AI264" s="91">
        <v>1</v>
      </c>
      <c r="AJ264" s="91"/>
      <c r="AK264" s="91"/>
      <c r="AL264" s="91"/>
      <c r="AM264" s="91"/>
      <c r="AN264" s="91">
        <v>1</v>
      </c>
      <c r="AO264" s="91">
        <v>3</v>
      </c>
      <c r="AP264" s="91"/>
      <c r="AQ264" s="91"/>
      <c r="AR264" s="91"/>
      <c r="AS264" s="91"/>
      <c r="AT264" s="91"/>
      <c r="AU264" s="91">
        <v>1</v>
      </c>
      <c r="AV264" s="91">
        <v>1</v>
      </c>
      <c r="AW264" s="91">
        <v>1</v>
      </c>
      <c r="AX264" s="91"/>
      <c r="AY264" s="91"/>
      <c r="AZ264" s="91">
        <v>2</v>
      </c>
      <c r="BA264" s="91"/>
      <c r="BB264" s="91"/>
      <c r="BC264" s="91"/>
    </row>
    <row r="265" spans="1:55" x14ac:dyDescent="0.25">
      <c r="A265" s="91" t="s">
        <v>423</v>
      </c>
      <c r="B265" s="129">
        <f t="shared" si="6"/>
        <v>123</v>
      </c>
      <c r="C265" s="91">
        <v>1</v>
      </c>
      <c r="D265" s="91">
        <v>3</v>
      </c>
      <c r="E265" s="91">
        <v>5</v>
      </c>
      <c r="F265" s="91">
        <v>4</v>
      </c>
      <c r="G265" s="91">
        <v>1</v>
      </c>
      <c r="H265" s="91"/>
      <c r="I265" s="91">
        <v>1</v>
      </c>
      <c r="J265" s="91">
        <v>6</v>
      </c>
      <c r="K265" s="91"/>
      <c r="L265" s="91">
        <v>1</v>
      </c>
      <c r="M265" s="91">
        <v>1</v>
      </c>
      <c r="N265" s="91">
        <v>2</v>
      </c>
      <c r="O265" s="91">
        <v>4</v>
      </c>
      <c r="P265" s="91">
        <v>3</v>
      </c>
      <c r="Q265" s="91">
        <v>5</v>
      </c>
      <c r="R265" s="91"/>
      <c r="S265" s="91">
        <v>2</v>
      </c>
      <c r="T265" s="91"/>
      <c r="U265" s="91">
        <v>3</v>
      </c>
      <c r="V265" s="91"/>
      <c r="W265" s="91">
        <v>3</v>
      </c>
      <c r="X265" s="91"/>
      <c r="Y265" s="91">
        <v>1</v>
      </c>
      <c r="Z265" s="91"/>
      <c r="AA265" s="91">
        <v>4</v>
      </c>
      <c r="AB265" s="91">
        <v>1</v>
      </c>
      <c r="AC265" s="91">
        <v>2</v>
      </c>
      <c r="AD265" s="91">
        <v>7</v>
      </c>
      <c r="AE265" s="91">
        <v>3</v>
      </c>
      <c r="AF265" s="91"/>
      <c r="AG265" s="91">
        <v>1</v>
      </c>
      <c r="AH265" s="91">
        <v>2</v>
      </c>
      <c r="AI265" s="91">
        <v>2</v>
      </c>
      <c r="AJ265" s="91">
        <v>5</v>
      </c>
      <c r="AK265" s="91">
        <v>2</v>
      </c>
      <c r="AL265" s="91">
        <v>3</v>
      </c>
      <c r="AM265" s="91">
        <v>1</v>
      </c>
      <c r="AN265" s="91">
        <v>4</v>
      </c>
      <c r="AO265" s="91">
        <v>1</v>
      </c>
      <c r="AP265" s="91">
        <v>9</v>
      </c>
      <c r="AQ265" s="91"/>
      <c r="AR265" s="91">
        <v>2</v>
      </c>
      <c r="AS265" s="91">
        <v>3</v>
      </c>
      <c r="AT265" s="91"/>
      <c r="AU265" s="91">
        <v>4</v>
      </c>
      <c r="AV265" s="91">
        <v>1</v>
      </c>
      <c r="AW265" s="91">
        <v>4</v>
      </c>
      <c r="AX265" s="91">
        <v>1</v>
      </c>
      <c r="AY265" s="91">
        <v>1</v>
      </c>
      <c r="AZ265" s="91"/>
      <c r="BA265" s="91">
        <v>5</v>
      </c>
      <c r="BB265" s="91">
        <v>9</v>
      </c>
      <c r="BC265" s="91"/>
    </row>
    <row r="266" spans="1:55" x14ac:dyDescent="0.25">
      <c r="A266" s="91" t="s">
        <v>594</v>
      </c>
      <c r="B266" s="129">
        <f t="shared" si="6"/>
        <v>324</v>
      </c>
      <c r="C266" s="91">
        <v>4</v>
      </c>
      <c r="D266" s="91">
        <v>5</v>
      </c>
      <c r="E266" s="91">
        <v>6</v>
      </c>
      <c r="F266" s="91">
        <v>9</v>
      </c>
      <c r="G266" s="91">
        <v>13</v>
      </c>
      <c r="H266" s="91"/>
      <c r="I266" s="91">
        <v>3</v>
      </c>
      <c r="J266" s="91">
        <v>11</v>
      </c>
      <c r="K266" s="91">
        <v>2</v>
      </c>
      <c r="L266" s="91">
        <v>8</v>
      </c>
      <c r="M266" s="91"/>
      <c r="N266" s="91">
        <v>10</v>
      </c>
      <c r="O266" s="91">
        <v>7</v>
      </c>
      <c r="P266" s="91">
        <v>9</v>
      </c>
      <c r="Q266" s="91">
        <v>6</v>
      </c>
      <c r="R266" s="91">
        <v>6</v>
      </c>
      <c r="S266" s="91">
        <v>7</v>
      </c>
      <c r="T266" s="91"/>
      <c r="U266" s="91">
        <v>12</v>
      </c>
      <c r="V266" s="91"/>
      <c r="W266" s="91">
        <v>21</v>
      </c>
      <c r="X266" s="91">
        <v>10</v>
      </c>
      <c r="Y266" s="91">
        <v>16</v>
      </c>
      <c r="Z266" s="91">
        <v>3</v>
      </c>
      <c r="AA266" s="91">
        <v>5</v>
      </c>
      <c r="AB266" s="91">
        <v>2</v>
      </c>
      <c r="AC266" s="91">
        <v>1</v>
      </c>
      <c r="AD266" s="91">
        <v>6</v>
      </c>
      <c r="AE266" s="91">
        <v>4</v>
      </c>
      <c r="AF266" s="91">
        <v>4</v>
      </c>
      <c r="AG266" s="91">
        <v>13</v>
      </c>
      <c r="AH266" s="91">
        <v>2</v>
      </c>
      <c r="AI266" s="91">
        <v>2</v>
      </c>
      <c r="AJ266" s="91">
        <v>16</v>
      </c>
      <c r="AK266" s="91">
        <v>10</v>
      </c>
      <c r="AL266" s="91">
        <v>12</v>
      </c>
      <c r="AM266" s="91">
        <v>3</v>
      </c>
      <c r="AN266" s="91"/>
      <c r="AO266" s="91">
        <v>7</v>
      </c>
      <c r="AP266" s="91">
        <v>3</v>
      </c>
      <c r="AQ266" s="91">
        <v>9</v>
      </c>
      <c r="AR266" s="91">
        <v>2</v>
      </c>
      <c r="AS266" s="91">
        <v>3</v>
      </c>
      <c r="AT266" s="91"/>
      <c r="AU266" s="91">
        <v>2</v>
      </c>
      <c r="AV266" s="91">
        <v>10</v>
      </c>
      <c r="AW266" s="91">
        <v>17</v>
      </c>
      <c r="AX266" s="91">
        <v>5</v>
      </c>
      <c r="AY266" s="91">
        <v>11</v>
      </c>
      <c r="AZ266" s="91">
        <v>1</v>
      </c>
      <c r="BA266" s="91">
        <v>1</v>
      </c>
      <c r="BB266" s="91">
        <v>5</v>
      </c>
      <c r="BC266" s="91"/>
    </row>
    <row r="267" spans="1:55" x14ac:dyDescent="0.25">
      <c r="A267" s="91" t="s">
        <v>562</v>
      </c>
      <c r="B267" s="129">
        <f t="shared" si="6"/>
        <v>202</v>
      </c>
      <c r="C267" s="91"/>
      <c r="D267" s="91">
        <v>4</v>
      </c>
      <c r="E267" s="91">
        <v>4</v>
      </c>
      <c r="F267" s="91">
        <v>9</v>
      </c>
      <c r="G267" s="91">
        <v>4</v>
      </c>
      <c r="H267" s="91"/>
      <c r="I267" s="91">
        <v>6</v>
      </c>
      <c r="J267" s="91">
        <v>6</v>
      </c>
      <c r="K267" s="91"/>
      <c r="L267" s="91">
        <v>1</v>
      </c>
      <c r="M267" s="91">
        <v>2</v>
      </c>
      <c r="N267" s="91">
        <v>5</v>
      </c>
      <c r="O267" s="91">
        <v>1</v>
      </c>
      <c r="P267" s="91">
        <v>4</v>
      </c>
      <c r="Q267" s="91">
        <v>8</v>
      </c>
      <c r="R267" s="91">
        <v>1</v>
      </c>
      <c r="S267" s="91">
        <v>7</v>
      </c>
      <c r="T267" s="91">
        <v>2</v>
      </c>
      <c r="U267" s="91">
        <v>6</v>
      </c>
      <c r="V267" s="91">
        <v>1</v>
      </c>
      <c r="W267" s="91">
        <v>8</v>
      </c>
      <c r="X267" s="91">
        <v>14</v>
      </c>
      <c r="Y267" s="91">
        <v>1</v>
      </c>
      <c r="Z267" s="91">
        <v>9</v>
      </c>
      <c r="AA267" s="91">
        <v>4</v>
      </c>
      <c r="AB267" s="91">
        <v>4</v>
      </c>
      <c r="AC267" s="91">
        <v>5</v>
      </c>
      <c r="AD267" s="91">
        <v>10</v>
      </c>
      <c r="AE267" s="91">
        <v>2</v>
      </c>
      <c r="AF267" s="91">
        <v>1</v>
      </c>
      <c r="AG267" s="91">
        <v>5</v>
      </c>
      <c r="AH267" s="91">
        <v>1</v>
      </c>
      <c r="AI267" s="91">
        <v>4</v>
      </c>
      <c r="AJ267" s="91">
        <v>1</v>
      </c>
      <c r="AK267" s="91">
        <v>2</v>
      </c>
      <c r="AL267" s="91">
        <v>3</v>
      </c>
      <c r="AM267" s="91"/>
      <c r="AN267" s="91">
        <v>5</v>
      </c>
      <c r="AO267" s="91">
        <v>2</v>
      </c>
      <c r="AP267" s="91">
        <v>4</v>
      </c>
      <c r="AQ267" s="91">
        <v>3</v>
      </c>
      <c r="AR267" s="91">
        <v>2</v>
      </c>
      <c r="AS267" s="91">
        <v>1</v>
      </c>
      <c r="AT267" s="91"/>
      <c r="AU267" s="91">
        <v>2</v>
      </c>
      <c r="AV267" s="91">
        <v>1</v>
      </c>
      <c r="AW267" s="91">
        <v>5</v>
      </c>
      <c r="AX267" s="91">
        <v>5</v>
      </c>
      <c r="AY267" s="91">
        <v>2</v>
      </c>
      <c r="AZ267" s="91">
        <v>3</v>
      </c>
      <c r="BA267" s="91">
        <v>5</v>
      </c>
      <c r="BB267" s="91">
        <v>17</v>
      </c>
      <c r="BC267" s="91"/>
    </row>
    <row r="268" spans="1:55" x14ac:dyDescent="0.25">
      <c r="A268" s="91" t="s">
        <v>537</v>
      </c>
      <c r="B268" s="129">
        <f t="shared" si="6"/>
        <v>107</v>
      </c>
      <c r="C268" s="91">
        <v>1</v>
      </c>
      <c r="D268" s="91"/>
      <c r="E268" s="91">
        <v>6</v>
      </c>
      <c r="F268" s="91">
        <v>2</v>
      </c>
      <c r="G268" s="91">
        <v>2</v>
      </c>
      <c r="H268" s="91"/>
      <c r="I268" s="91">
        <v>7</v>
      </c>
      <c r="J268" s="91">
        <v>2</v>
      </c>
      <c r="K268" s="91"/>
      <c r="L268" s="91"/>
      <c r="M268" s="91">
        <v>2</v>
      </c>
      <c r="N268" s="91"/>
      <c r="O268" s="91">
        <v>1</v>
      </c>
      <c r="P268" s="91">
        <v>6</v>
      </c>
      <c r="Q268" s="91">
        <v>4</v>
      </c>
      <c r="R268" s="91">
        <v>2</v>
      </c>
      <c r="S268" s="91">
        <v>1</v>
      </c>
      <c r="T268" s="91"/>
      <c r="U268" s="91">
        <v>1</v>
      </c>
      <c r="V268" s="91">
        <v>1</v>
      </c>
      <c r="W268" s="91"/>
      <c r="X268" s="91">
        <v>9</v>
      </c>
      <c r="Y268" s="91"/>
      <c r="Z268" s="91">
        <v>2</v>
      </c>
      <c r="AA268" s="91">
        <v>2</v>
      </c>
      <c r="AB268" s="91">
        <v>3</v>
      </c>
      <c r="AC268" s="91">
        <v>4</v>
      </c>
      <c r="AD268" s="91">
        <v>13</v>
      </c>
      <c r="AE268" s="91">
        <v>3</v>
      </c>
      <c r="AF268" s="91"/>
      <c r="AG268" s="91">
        <v>2</v>
      </c>
      <c r="AH268" s="91"/>
      <c r="AI268" s="91">
        <v>1</v>
      </c>
      <c r="AJ268" s="91"/>
      <c r="AK268" s="91"/>
      <c r="AL268" s="91">
        <v>2</v>
      </c>
      <c r="AM268" s="91"/>
      <c r="AN268" s="91"/>
      <c r="AO268" s="91">
        <v>2</v>
      </c>
      <c r="AP268" s="91">
        <v>1</v>
      </c>
      <c r="AQ268" s="91">
        <v>3</v>
      </c>
      <c r="AR268" s="91"/>
      <c r="AS268" s="91">
        <v>1</v>
      </c>
      <c r="AT268" s="91"/>
      <c r="AU268" s="91">
        <v>1</v>
      </c>
      <c r="AV268" s="91">
        <v>2</v>
      </c>
      <c r="AW268" s="91">
        <v>6</v>
      </c>
      <c r="AX268" s="91">
        <v>3</v>
      </c>
      <c r="AY268" s="91">
        <v>3</v>
      </c>
      <c r="AZ268" s="91">
        <v>2</v>
      </c>
      <c r="BA268" s="91"/>
      <c r="BB268" s="91">
        <v>4</v>
      </c>
      <c r="BC268" s="91"/>
    </row>
    <row r="269" spans="1:55" x14ac:dyDescent="0.25">
      <c r="A269" s="91" t="s">
        <v>179</v>
      </c>
      <c r="B269" s="129">
        <f t="shared" si="6"/>
        <v>37</v>
      </c>
      <c r="C269" s="91">
        <v>4</v>
      </c>
      <c r="D269" s="91"/>
      <c r="E269" s="91"/>
      <c r="F269" s="91">
        <v>2</v>
      </c>
      <c r="G269" s="91">
        <v>2</v>
      </c>
      <c r="H269" s="91"/>
      <c r="I269" s="91"/>
      <c r="J269" s="91"/>
      <c r="K269" s="91"/>
      <c r="L269" s="91"/>
      <c r="M269" s="91"/>
      <c r="N269" s="91">
        <v>2</v>
      </c>
      <c r="O269" s="91"/>
      <c r="P269" s="91"/>
      <c r="Q269" s="91"/>
      <c r="R269" s="91"/>
      <c r="S269" s="91"/>
      <c r="T269" s="91"/>
      <c r="U269" s="91">
        <v>1</v>
      </c>
      <c r="V269" s="91"/>
      <c r="W269" s="91">
        <v>2</v>
      </c>
      <c r="X269" s="91"/>
      <c r="Y269" s="91"/>
      <c r="Z269" s="91">
        <v>2</v>
      </c>
      <c r="AA269" s="91"/>
      <c r="AB269" s="91"/>
      <c r="AC269" s="91"/>
      <c r="AD269" s="91"/>
      <c r="AE269" s="91">
        <v>1</v>
      </c>
      <c r="AF269" s="91"/>
      <c r="AG269" s="91">
        <v>4</v>
      </c>
      <c r="AH269" s="91"/>
      <c r="AI269" s="91"/>
      <c r="AJ269" s="91"/>
      <c r="AK269" s="91"/>
      <c r="AL269" s="91">
        <v>3</v>
      </c>
      <c r="AM269" s="91"/>
      <c r="AN269" s="91">
        <v>1</v>
      </c>
      <c r="AO269" s="91">
        <v>1</v>
      </c>
      <c r="AP269" s="91"/>
      <c r="AQ269" s="91">
        <v>4</v>
      </c>
      <c r="AR269" s="91"/>
      <c r="AS269" s="91"/>
      <c r="AT269" s="91"/>
      <c r="AU269" s="91"/>
      <c r="AV269" s="91">
        <v>2</v>
      </c>
      <c r="AW269" s="91"/>
      <c r="AX269" s="91">
        <v>3</v>
      </c>
      <c r="AY269" s="91"/>
      <c r="AZ269" s="91">
        <v>3</v>
      </c>
      <c r="BA269" s="91"/>
      <c r="BB269" s="91"/>
      <c r="BC269" s="91"/>
    </row>
    <row r="270" spans="1:55" x14ac:dyDescent="0.25">
      <c r="A270" s="91" t="s">
        <v>578</v>
      </c>
      <c r="B270" s="129">
        <f t="shared" si="6"/>
        <v>108</v>
      </c>
      <c r="C270" s="91">
        <v>3</v>
      </c>
      <c r="D270" s="91">
        <v>2</v>
      </c>
      <c r="E270" s="91">
        <v>1</v>
      </c>
      <c r="F270" s="91">
        <v>1</v>
      </c>
      <c r="G270" s="91">
        <v>2</v>
      </c>
      <c r="H270" s="91"/>
      <c r="I270" s="91">
        <v>3</v>
      </c>
      <c r="J270" s="91">
        <v>2</v>
      </c>
      <c r="K270" s="91"/>
      <c r="L270" s="91">
        <v>1</v>
      </c>
      <c r="M270" s="91">
        <v>5</v>
      </c>
      <c r="N270" s="91">
        <v>1</v>
      </c>
      <c r="O270" s="91">
        <v>2</v>
      </c>
      <c r="P270" s="91">
        <v>4</v>
      </c>
      <c r="Q270" s="91">
        <v>3</v>
      </c>
      <c r="R270" s="91">
        <v>2</v>
      </c>
      <c r="S270" s="91">
        <v>1</v>
      </c>
      <c r="T270" s="91"/>
      <c r="U270" s="91">
        <v>2</v>
      </c>
      <c r="V270" s="91">
        <v>4</v>
      </c>
      <c r="W270" s="91"/>
      <c r="X270" s="91">
        <v>2</v>
      </c>
      <c r="Y270" s="91">
        <v>1</v>
      </c>
      <c r="Z270" s="91">
        <v>7</v>
      </c>
      <c r="AA270" s="91">
        <v>3</v>
      </c>
      <c r="AB270" s="91"/>
      <c r="AC270" s="91"/>
      <c r="AD270" s="91"/>
      <c r="AE270" s="91"/>
      <c r="AF270" s="91">
        <v>5</v>
      </c>
      <c r="AG270" s="91"/>
      <c r="AH270" s="91"/>
      <c r="AI270" s="91">
        <v>1</v>
      </c>
      <c r="AJ270" s="91">
        <v>8</v>
      </c>
      <c r="AK270" s="91">
        <v>2</v>
      </c>
      <c r="AL270" s="91">
        <v>3</v>
      </c>
      <c r="AM270" s="91">
        <v>5</v>
      </c>
      <c r="AN270" s="91">
        <v>1</v>
      </c>
      <c r="AO270" s="91">
        <v>3</v>
      </c>
      <c r="AP270" s="91">
        <v>3</v>
      </c>
      <c r="AQ270" s="91">
        <v>6</v>
      </c>
      <c r="AR270" s="91"/>
      <c r="AS270" s="91"/>
      <c r="AT270" s="91"/>
      <c r="AU270" s="91"/>
      <c r="AV270" s="91">
        <v>1</v>
      </c>
      <c r="AW270" s="91">
        <v>7</v>
      </c>
      <c r="AX270" s="91">
        <v>1</v>
      </c>
      <c r="AY270" s="91"/>
      <c r="AZ270" s="91">
        <v>1</v>
      </c>
      <c r="BA270" s="91">
        <v>2</v>
      </c>
      <c r="BB270" s="91">
        <v>7</v>
      </c>
      <c r="BC270" s="91"/>
    </row>
    <row r="271" spans="1:55" x14ac:dyDescent="0.25">
      <c r="A271" s="91" t="s">
        <v>476</v>
      </c>
      <c r="B271" s="129">
        <f t="shared" si="6"/>
        <v>162</v>
      </c>
      <c r="C271" s="91"/>
      <c r="D271" s="91">
        <v>8</v>
      </c>
      <c r="E271" s="91">
        <v>2</v>
      </c>
      <c r="F271" s="91">
        <v>1</v>
      </c>
      <c r="G271" s="91">
        <v>9</v>
      </c>
      <c r="H271" s="91"/>
      <c r="I271" s="91">
        <v>3</v>
      </c>
      <c r="J271" s="91">
        <v>12</v>
      </c>
      <c r="K271" s="91">
        <v>3</v>
      </c>
      <c r="L271" s="91"/>
      <c r="M271" s="91">
        <v>1</v>
      </c>
      <c r="N271" s="91">
        <v>8</v>
      </c>
      <c r="O271" s="91">
        <v>4</v>
      </c>
      <c r="P271" s="91">
        <v>2</v>
      </c>
      <c r="Q271" s="91"/>
      <c r="R271" s="91"/>
      <c r="S271" s="91"/>
      <c r="T271" s="91"/>
      <c r="U271" s="91">
        <v>9</v>
      </c>
      <c r="V271" s="91"/>
      <c r="W271" s="91"/>
      <c r="X271" s="91">
        <v>10</v>
      </c>
      <c r="Y271" s="91">
        <v>1</v>
      </c>
      <c r="Z271" s="91">
        <v>1</v>
      </c>
      <c r="AA271" s="91">
        <v>4</v>
      </c>
      <c r="AB271" s="91"/>
      <c r="AC271" s="91">
        <v>12</v>
      </c>
      <c r="AD271" s="91"/>
      <c r="AE271" s="91">
        <v>1</v>
      </c>
      <c r="AF271" s="91">
        <v>1</v>
      </c>
      <c r="AG271" s="91">
        <v>10</v>
      </c>
      <c r="AH271" s="91">
        <v>7</v>
      </c>
      <c r="AI271" s="91"/>
      <c r="AJ271" s="91">
        <v>2</v>
      </c>
      <c r="AK271" s="91">
        <v>2</v>
      </c>
      <c r="AL271" s="91">
        <v>7</v>
      </c>
      <c r="AM271" s="91"/>
      <c r="AN271" s="91"/>
      <c r="AO271" s="91"/>
      <c r="AP271" s="91"/>
      <c r="AQ271" s="91">
        <v>5</v>
      </c>
      <c r="AR271" s="91"/>
      <c r="AS271" s="91"/>
      <c r="AT271" s="91"/>
      <c r="AU271" s="91"/>
      <c r="AV271" s="91"/>
      <c r="AW271" s="91">
        <v>2</v>
      </c>
      <c r="AX271" s="91">
        <v>1</v>
      </c>
      <c r="AY271" s="91">
        <v>5</v>
      </c>
      <c r="AZ271" s="91"/>
      <c r="BA271" s="91">
        <v>6</v>
      </c>
      <c r="BB271" s="91">
        <v>23</v>
      </c>
      <c r="BC271" s="91"/>
    </row>
    <row r="272" spans="1:55" x14ac:dyDescent="0.25">
      <c r="A272" s="91" t="s">
        <v>558</v>
      </c>
      <c r="B272" s="129">
        <f t="shared" si="6"/>
        <v>110</v>
      </c>
      <c r="C272" s="91">
        <v>2</v>
      </c>
      <c r="D272" s="91">
        <v>2</v>
      </c>
      <c r="E272" s="91">
        <v>1</v>
      </c>
      <c r="F272" s="91"/>
      <c r="G272" s="91"/>
      <c r="H272" s="91"/>
      <c r="I272" s="91">
        <v>2</v>
      </c>
      <c r="J272" s="91">
        <v>1</v>
      </c>
      <c r="K272" s="91"/>
      <c r="L272" s="91"/>
      <c r="M272" s="91">
        <v>4</v>
      </c>
      <c r="N272" s="91">
        <v>1</v>
      </c>
      <c r="O272" s="91">
        <v>6</v>
      </c>
      <c r="P272" s="91">
        <v>5</v>
      </c>
      <c r="Q272" s="91">
        <v>1</v>
      </c>
      <c r="R272" s="91"/>
      <c r="S272" s="91">
        <v>6</v>
      </c>
      <c r="T272" s="91"/>
      <c r="U272" s="91">
        <v>2</v>
      </c>
      <c r="V272" s="91">
        <v>1</v>
      </c>
      <c r="W272" s="91"/>
      <c r="X272" s="91">
        <v>2</v>
      </c>
      <c r="Y272" s="91">
        <v>1</v>
      </c>
      <c r="Z272" s="91"/>
      <c r="AA272" s="91">
        <v>8</v>
      </c>
      <c r="AB272" s="91">
        <v>3</v>
      </c>
      <c r="AC272" s="91">
        <v>3</v>
      </c>
      <c r="AD272" s="91">
        <v>3</v>
      </c>
      <c r="AE272" s="91">
        <v>4</v>
      </c>
      <c r="AF272" s="91"/>
      <c r="AG272" s="91"/>
      <c r="AH272" s="91"/>
      <c r="AI272" s="91"/>
      <c r="AJ272" s="91">
        <v>1</v>
      </c>
      <c r="AK272" s="91"/>
      <c r="AL272" s="91">
        <v>12</v>
      </c>
      <c r="AM272" s="91">
        <v>4</v>
      </c>
      <c r="AN272" s="91">
        <v>1</v>
      </c>
      <c r="AO272" s="91">
        <v>3</v>
      </c>
      <c r="AP272" s="91">
        <v>2</v>
      </c>
      <c r="AQ272" s="91">
        <v>1</v>
      </c>
      <c r="AR272" s="91"/>
      <c r="AS272" s="91">
        <v>1</v>
      </c>
      <c r="AT272" s="91"/>
      <c r="AU272" s="91"/>
      <c r="AV272" s="91"/>
      <c r="AW272" s="91">
        <v>1</v>
      </c>
      <c r="AX272" s="91"/>
      <c r="AY272" s="91"/>
      <c r="AZ272" s="91">
        <v>2</v>
      </c>
      <c r="BA272" s="91">
        <v>6</v>
      </c>
      <c r="BB272" s="91">
        <v>18</v>
      </c>
      <c r="BC272" s="91"/>
    </row>
    <row r="273" spans="1:55" x14ac:dyDescent="0.25">
      <c r="A273" s="91" t="s">
        <v>550</v>
      </c>
      <c r="B273" s="129">
        <f t="shared" si="6"/>
        <v>128</v>
      </c>
      <c r="C273" s="91"/>
      <c r="D273" s="91">
        <v>6</v>
      </c>
      <c r="E273" s="91"/>
      <c r="F273" s="91">
        <v>2</v>
      </c>
      <c r="G273" s="91"/>
      <c r="H273" s="91"/>
      <c r="I273" s="91"/>
      <c r="J273" s="91">
        <v>2</v>
      </c>
      <c r="K273" s="91">
        <v>1</v>
      </c>
      <c r="L273" s="91"/>
      <c r="M273" s="91">
        <v>2</v>
      </c>
      <c r="N273" s="91">
        <v>1</v>
      </c>
      <c r="O273" s="91">
        <v>4</v>
      </c>
      <c r="P273" s="91">
        <v>7</v>
      </c>
      <c r="Q273" s="91">
        <v>9</v>
      </c>
      <c r="R273" s="91">
        <v>6</v>
      </c>
      <c r="S273" s="91">
        <v>1</v>
      </c>
      <c r="T273" s="91"/>
      <c r="U273" s="91">
        <v>3</v>
      </c>
      <c r="V273" s="91">
        <v>3</v>
      </c>
      <c r="W273" s="91">
        <v>2</v>
      </c>
      <c r="X273" s="91">
        <v>3</v>
      </c>
      <c r="Y273" s="91"/>
      <c r="Z273" s="91">
        <v>4</v>
      </c>
      <c r="AA273" s="91">
        <v>8</v>
      </c>
      <c r="AB273" s="91">
        <v>3</v>
      </c>
      <c r="AC273" s="91"/>
      <c r="AD273" s="91">
        <v>6</v>
      </c>
      <c r="AE273" s="91">
        <v>10</v>
      </c>
      <c r="AF273" s="91"/>
      <c r="AG273" s="91"/>
      <c r="AH273" s="91">
        <v>5</v>
      </c>
      <c r="AI273" s="91">
        <v>4</v>
      </c>
      <c r="AJ273" s="91"/>
      <c r="AK273" s="91">
        <v>1</v>
      </c>
      <c r="AL273" s="91">
        <v>2</v>
      </c>
      <c r="AM273" s="91">
        <v>5</v>
      </c>
      <c r="AN273" s="91">
        <v>2</v>
      </c>
      <c r="AO273" s="91"/>
      <c r="AP273" s="91"/>
      <c r="AQ273" s="91">
        <v>2</v>
      </c>
      <c r="AR273" s="91"/>
      <c r="AS273" s="91">
        <v>4</v>
      </c>
      <c r="AT273" s="91"/>
      <c r="AU273" s="91">
        <v>5</v>
      </c>
      <c r="AV273" s="91"/>
      <c r="AW273" s="91">
        <v>2</v>
      </c>
      <c r="AX273" s="91">
        <v>5</v>
      </c>
      <c r="AY273" s="91"/>
      <c r="AZ273" s="91">
        <v>1</v>
      </c>
      <c r="BA273" s="91"/>
      <c r="BB273" s="91">
        <v>7</v>
      </c>
      <c r="BC273" s="91"/>
    </row>
    <row r="274" spans="1:55" x14ac:dyDescent="0.25">
      <c r="A274" s="91" t="s">
        <v>294</v>
      </c>
      <c r="B274" s="129">
        <f t="shared" si="6"/>
        <v>214</v>
      </c>
      <c r="C274" s="91">
        <v>7</v>
      </c>
      <c r="D274" s="91">
        <v>5</v>
      </c>
      <c r="E274" s="91">
        <v>6</v>
      </c>
      <c r="F274" s="91">
        <v>7</v>
      </c>
      <c r="G274" s="91">
        <v>4</v>
      </c>
      <c r="H274" s="91">
        <v>2</v>
      </c>
      <c r="I274" s="91">
        <v>6</v>
      </c>
      <c r="J274" s="91">
        <v>12</v>
      </c>
      <c r="K274" s="91"/>
      <c r="L274" s="91">
        <v>3</v>
      </c>
      <c r="M274" s="91">
        <v>6</v>
      </c>
      <c r="N274" s="91">
        <v>11</v>
      </c>
      <c r="O274" s="91">
        <v>9</v>
      </c>
      <c r="P274" s="91"/>
      <c r="Q274" s="91">
        <v>1</v>
      </c>
      <c r="R274" s="91">
        <v>7</v>
      </c>
      <c r="S274" s="91">
        <v>2</v>
      </c>
      <c r="T274" s="91">
        <v>2</v>
      </c>
      <c r="U274" s="91">
        <v>3</v>
      </c>
      <c r="V274" s="91">
        <v>8</v>
      </c>
      <c r="W274" s="91">
        <v>7</v>
      </c>
      <c r="X274" s="91">
        <v>14</v>
      </c>
      <c r="Y274" s="91">
        <v>5</v>
      </c>
      <c r="Z274" s="91"/>
      <c r="AA274" s="91">
        <v>1</v>
      </c>
      <c r="AB274" s="91">
        <v>8</v>
      </c>
      <c r="AC274" s="91">
        <v>5</v>
      </c>
      <c r="AD274" s="91">
        <v>3</v>
      </c>
      <c r="AE274" s="91">
        <v>6</v>
      </c>
      <c r="AF274" s="91">
        <v>1</v>
      </c>
      <c r="AG274" s="91">
        <v>1</v>
      </c>
      <c r="AH274" s="91">
        <v>7</v>
      </c>
      <c r="AI274" s="91">
        <v>3</v>
      </c>
      <c r="AJ274" s="91"/>
      <c r="AK274" s="91">
        <v>4</v>
      </c>
      <c r="AL274" s="91"/>
      <c r="AM274" s="91">
        <v>1</v>
      </c>
      <c r="AN274" s="91">
        <v>5</v>
      </c>
      <c r="AO274" s="91">
        <v>1</v>
      </c>
      <c r="AP274" s="91">
        <v>6</v>
      </c>
      <c r="AQ274" s="91"/>
      <c r="AR274" s="91">
        <v>2</v>
      </c>
      <c r="AS274" s="91"/>
      <c r="AT274" s="91"/>
      <c r="AU274" s="91">
        <v>3</v>
      </c>
      <c r="AV274" s="91">
        <v>1</v>
      </c>
      <c r="AW274" s="91">
        <v>13</v>
      </c>
      <c r="AX274" s="91"/>
      <c r="AY274" s="91">
        <v>3</v>
      </c>
      <c r="AZ274" s="91">
        <v>3</v>
      </c>
      <c r="BA274" s="91"/>
      <c r="BB274" s="91">
        <v>10</v>
      </c>
      <c r="BC274" s="91"/>
    </row>
    <row r="275" spans="1:55" x14ac:dyDescent="0.25">
      <c r="A275" s="91" t="s">
        <v>511</v>
      </c>
      <c r="B275" s="129">
        <f t="shared" si="6"/>
        <v>82</v>
      </c>
      <c r="C275" s="91">
        <v>3</v>
      </c>
      <c r="D275" s="91">
        <v>2</v>
      </c>
      <c r="E275" s="91">
        <v>2</v>
      </c>
      <c r="F275" s="91"/>
      <c r="G275" s="91">
        <v>1</v>
      </c>
      <c r="H275" s="91"/>
      <c r="I275" s="91">
        <v>3</v>
      </c>
      <c r="J275" s="91">
        <v>3</v>
      </c>
      <c r="K275" s="91">
        <v>4</v>
      </c>
      <c r="L275" s="91"/>
      <c r="M275" s="91">
        <v>6</v>
      </c>
      <c r="N275" s="91">
        <v>3</v>
      </c>
      <c r="O275" s="91">
        <v>1</v>
      </c>
      <c r="P275" s="91"/>
      <c r="Q275" s="91"/>
      <c r="R275" s="91"/>
      <c r="S275" s="91">
        <v>10</v>
      </c>
      <c r="T275" s="91">
        <v>3</v>
      </c>
      <c r="U275" s="91">
        <v>1</v>
      </c>
      <c r="V275" s="91"/>
      <c r="W275" s="91">
        <v>1</v>
      </c>
      <c r="X275" s="91"/>
      <c r="Y275" s="91">
        <v>1</v>
      </c>
      <c r="Z275" s="91"/>
      <c r="AA275" s="91">
        <v>2</v>
      </c>
      <c r="AB275" s="91">
        <v>1</v>
      </c>
      <c r="AC275" s="91">
        <v>4</v>
      </c>
      <c r="AD275" s="91"/>
      <c r="AE275" s="91">
        <v>2</v>
      </c>
      <c r="AF275" s="91"/>
      <c r="AG275" s="91"/>
      <c r="AH275" s="91"/>
      <c r="AI275" s="91"/>
      <c r="AJ275" s="91"/>
      <c r="AK275" s="91">
        <v>4</v>
      </c>
      <c r="AL275" s="91">
        <v>3</v>
      </c>
      <c r="AM275" s="91">
        <v>1</v>
      </c>
      <c r="AN275" s="91">
        <v>3</v>
      </c>
      <c r="AO275" s="91">
        <v>1</v>
      </c>
      <c r="AP275" s="91"/>
      <c r="AQ275" s="91">
        <v>1</v>
      </c>
      <c r="AR275" s="91"/>
      <c r="AS275" s="91"/>
      <c r="AT275" s="91"/>
      <c r="AU275" s="91"/>
      <c r="AV275" s="91">
        <v>1</v>
      </c>
      <c r="AW275" s="91">
        <v>2</v>
      </c>
      <c r="AX275" s="91"/>
      <c r="AY275" s="91">
        <v>1</v>
      </c>
      <c r="AZ275" s="91">
        <v>2</v>
      </c>
      <c r="BA275" s="91">
        <v>2</v>
      </c>
      <c r="BB275" s="91">
        <v>8</v>
      </c>
      <c r="BC275" s="91"/>
    </row>
    <row r="276" spans="1:55" x14ac:dyDescent="0.25">
      <c r="A276" s="91" t="s">
        <v>473</v>
      </c>
      <c r="B276" s="129">
        <f t="shared" si="6"/>
        <v>123</v>
      </c>
      <c r="C276" s="91">
        <v>5</v>
      </c>
      <c r="D276" s="91">
        <v>7</v>
      </c>
      <c r="E276" s="91">
        <v>13</v>
      </c>
      <c r="F276" s="91"/>
      <c r="G276" s="91">
        <v>2</v>
      </c>
      <c r="H276" s="91"/>
      <c r="I276" s="91">
        <v>6</v>
      </c>
      <c r="J276" s="91">
        <v>4</v>
      </c>
      <c r="K276" s="91">
        <v>2</v>
      </c>
      <c r="L276" s="91">
        <v>2</v>
      </c>
      <c r="M276" s="91"/>
      <c r="N276" s="91">
        <v>2</v>
      </c>
      <c r="O276" s="91">
        <v>1</v>
      </c>
      <c r="P276" s="91"/>
      <c r="Q276" s="91">
        <v>6</v>
      </c>
      <c r="R276" s="91">
        <v>8</v>
      </c>
      <c r="S276" s="91">
        <v>10</v>
      </c>
      <c r="T276" s="91"/>
      <c r="U276" s="91">
        <v>4</v>
      </c>
      <c r="V276" s="91">
        <v>1</v>
      </c>
      <c r="W276" s="91">
        <v>3</v>
      </c>
      <c r="X276" s="91">
        <v>1</v>
      </c>
      <c r="Y276" s="91"/>
      <c r="Z276" s="91"/>
      <c r="AA276" s="91">
        <v>1</v>
      </c>
      <c r="AB276" s="91">
        <v>4</v>
      </c>
      <c r="AC276" s="91">
        <v>1</v>
      </c>
      <c r="AD276" s="91"/>
      <c r="AE276" s="91"/>
      <c r="AF276" s="91">
        <v>6</v>
      </c>
      <c r="AG276" s="91">
        <v>1</v>
      </c>
      <c r="AH276" s="91">
        <v>3</v>
      </c>
      <c r="AI276" s="91"/>
      <c r="AJ276" s="91"/>
      <c r="AK276" s="91">
        <v>1</v>
      </c>
      <c r="AL276" s="91">
        <v>1</v>
      </c>
      <c r="AM276" s="91">
        <v>4</v>
      </c>
      <c r="AN276" s="91"/>
      <c r="AO276" s="91">
        <v>7</v>
      </c>
      <c r="AP276" s="91"/>
      <c r="AQ276" s="91">
        <v>1</v>
      </c>
      <c r="AR276" s="91">
        <v>1</v>
      </c>
      <c r="AS276" s="91">
        <v>2</v>
      </c>
      <c r="AT276" s="91"/>
      <c r="AU276" s="91"/>
      <c r="AV276" s="91">
        <v>1</v>
      </c>
      <c r="AW276" s="91">
        <v>3</v>
      </c>
      <c r="AX276" s="91">
        <v>4</v>
      </c>
      <c r="AY276" s="91">
        <v>4</v>
      </c>
      <c r="AZ276" s="91">
        <v>1</v>
      </c>
      <c r="BA276" s="91"/>
      <c r="BB276" s="91"/>
      <c r="BC276" s="91"/>
    </row>
    <row r="277" spans="1:55" x14ac:dyDescent="0.25">
      <c r="A277" s="91" t="s">
        <v>295</v>
      </c>
      <c r="B277" s="129">
        <f t="shared" si="6"/>
        <v>343</v>
      </c>
      <c r="C277" s="91">
        <v>1</v>
      </c>
      <c r="D277" s="91">
        <v>2</v>
      </c>
      <c r="E277" s="91">
        <v>8</v>
      </c>
      <c r="F277" s="91">
        <v>17</v>
      </c>
      <c r="G277" s="91">
        <v>17</v>
      </c>
      <c r="H277" s="91"/>
      <c r="I277" s="91">
        <v>17</v>
      </c>
      <c r="J277" s="91">
        <v>15</v>
      </c>
      <c r="K277" s="91">
        <v>1</v>
      </c>
      <c r="L277" s="91">
        <v>2</v>
      </c>
      <c r="M277" s="91">
        <v>3</v>
      </c>
      <c r="N277" s="91">
        <v>12</v>
      </c>
      <c r="O277" s="91">
        <v>7</v>
      </c>
      <c r="P277" s="91">
        <v>10</v>
      </c>
      <c r="Q277" s="91"/>
      <c r="R277" s="91">
        <v>2</v>
      </c>
      <c r="S277" s="91">
        <v>5</v>
      </c>
      <c r="T277" s="91">
        <v>7</v>
      </c>
      <c r="U277" s="91">
        <v>21</v>
      </c>
      <c r="V277" s="91"/>
      <c r="W277" s="91">
        <v>16</v>
      </c>
      <c r="X277" s="91">
        <v>8</v>
      </c>
      <c r="Y277" s="91">
        <v>11</v>
      </c>
      <c r="Z277" s="91">
        <v>1</v>
      </c>
      <c r="AA277" s="91">
        <v>5</v>
      </c>
      <c r="AB277" s="91">
        <v>7</v>
      </c>
      <c r="AC277" s="91">
        <v>3</v>
      </c>
      <c r="AD277" s="91">
        <v>2</v>
      </c>
      <c r="AE277" s="91">
        <v>3</v>
      </c>
      <c r="AF277" s="91">
        <v>3</v>
      </c>
      <c r="AG277" s="91">
        <v>4</v>
      </c>
      <c r="AH277" s="91">
        <v>16</v>
      </c>
      <c r="AI277" s="91">
        <v>3</v>
      </c>
      <c r="AJ277" s="91">
        <v>2</v>
      </c>
      <c r="AK277" s="91">
        <v>5</v>
      </c>
      <c r="AL277" s="91">
        <v>14</v>
      </c>
      <c r="AM277" s="91">
        <v>1</v>
      </c>
      <c r="AN277" s="91">
        <v>9</v>
      </c>
      <c r="AO277" s="91">
        <v>9</v>
      </c>
      <c r="AP277" s="91">
        <v>10</v>
      </c>
      <c r="AQ277" s="91">
        <v>17</v>
      </c>
      <c r="AR277" s="91">
        <v>3</v>
      </c>
      <c r="AS277" s="91">
        <v>9</v>
      </c>
      <c r="AT277" s="91"/>
      <c r="AU277" s="91">
        <v>7</v>
      </c>
      <c r="AV277" s="91">
        <v>3</v>
      </c>
      <c r="AW277" s="91">
        <v>14</v>
      </c>
      <c r="AX277" s="91">
        <v>3</v>
      </c>
      <c r="AY277" s="91">
        <v>4</v>
      </c>
      <c r="AZ277" s="91">
        <v>1</v>
      </c>
      <c r="BA277" s="91">
        <v>3</v>
      </c>
      <c r="BB277" s="91"/>
      <c r="BC277" s="91"/>
    </row>
    <row r="278" spans="1:55" x14ac:dyDescent="0.25">
      <c r="A278" s="91" t="s">
        <v>481</v>
      </c>
      <c r="B278" s="129">
        <f t="shared" si="6"/>
        <v>78</v>
      </c>
      <c r="C278" s="91"/>
      <c r="D278" s="91">
        <v>2</v>
      </c>
      <c r="E278" s="91">
        <v>5</v>
      </c>
      <c r="F278" s="91"/>
      <c r="G278" s="91">
        <v>1</v>
      </c>
      <c r="H278" s="91"/>
      <c r="I278" s="91">
        <v>3</v>
      </c>
      <c r="J278" s="91">
        <v>1</v>
      </c>
      <c r="K278" s="91"/>
      <c r="L278" s="91"/>
      <c r="M278" s="91">
        <v>1</v>
      </c>
      <c r="N278" s="91"/>
      <c r="O278" s="91">
        <v>2</v>
      </c>
      <c r="P278" s="91"/>
      <c r="Q278" s="91">
        <v>2</v>
      </c>
      <c r="R278" s="91">
        <v>1</v>
      </c>
      <c r="S278" s="91">
        <v>8</v>
      </c>
      <c r="T278" s="91"/>
      <c r="U278" s="91">
        <v>2</v>
      </c>
      <c r="V278" s="91">
        <v>4</v>
      </c>
      <c r="W278" s="91">
        <v>2</v>
      </c>
      <c r="X278" s="91">
        <v>1</v>
      </c>
      <c r="Y278" s="91"/>
      <c r="Z278" s="91"/>
      <c r="AA278" s="91"/>
      <c r="AB278" s="91">
        <v>3</v>
      </c>
      <c r="AC278" s="91">
        <v>5</v>
      </c>
      <c r="AD278" s="91"/>
      <c r="AE278" s="91">
        <v>6</v>
      </c>
      <c r="AF278" s="91"/>
      <c r="AG278" s="91"/>
      <c r="AH278" s="91"/>
      <c r="AI278" s="91">
        <v>2</v>
      </c>
      <c r="AJ278" s="91">
        <v>2</v>
      </c>
      <c r="AK278" s="91">
        <v>4</v>
      </c>
      <c r="AL278" s="91"/>
      <c r="AM278" s="91">
        <v>1</v>
      </c>
      <c r="AN278" s="91">
        <v>4</v>
      </c>
      <c r="AO278" s="91">
        <v>1</v>
      </c>
      <c r="AP278" s="91">
        <v>5</v>
      </c>
      <c r="AQ278" s="91">
        <v>1</v>
      </c>
      <c r="AR278" s="91">
        <v>1</v>
      </c>
      <c r="AS278" s="91">
        <v>1</v>
      </c>
      <c r="AT278" s="91"/>
      <c r="AU278" s="91"/>
      <c r="AV278" s="91">
        <v>1</v>
      </c>
      <c r="AW278" s="91">
        <v>2</v>
      </c>
      <c r="AX278" s="91">
        <v>1</v>
      </c>
      <c r="AY278" s="91"/>
      <c r="AZ278" s="91">
        <v>1</v>
      </c>
      <c r="BA278" s="91"/>
      <c r="BB278" s="91">
        <v>2</v>
      </c>
      <c r="BC278" s="91"/>
    </row>
    <row r="279" spans="1:55" x14ac:dyDescent="0.25">
      <c r="A279" s="91" t="s">
        <v>923</v>
      </c>
      <c r="B279" s="129">
        <f t="shared" si="6"/>
        <v>0</v>
      </c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</row>
    <row r="280" spans="1:55" x14ac:dyDescent="0.25">
      <c r="A280" s="91" t="s">
        <v>369</v>
      </c>
      <c r="B280" s="129">
        <f t="shared" si="6"/>
        <v>265</v>
      </c>
      <c r="C280" s="91">
        <v>5</v>
      </c>
      <c r="D280" s="91">
        <v>4</v>
      </c>
      <c r="E280" s="91">
        <v>11</v>
      </c>
      <c r="F280" s="91">
        <v>15</v>
      </c>
      <c r="G280" s="91">
        <v>6</v>
      </c>
      <c r="H280" s="91"/>
      <c r="I280" s="91">
        <v>4</v>
      </c>
      <c r="J280" s="91">
        <v>8</v>
      </c>
      <c r="K280" s="91">
        <v>6</v>
      </c>
      <c r="L280" s="91">
        <v>4</v>
      </c>
      <c r="M280" s="91">
        <v>1</v>
      </c>
      <c r="N280" s="91">
        <v>23</v>
      </c>
      <c r="O280" s="91">
        <v>5</v>
      </c>
      <c r="P280" s="91">
        <v>8</v>
      </c>
      <c r="Q280" s="91">
        <v>7</v>
      </c>
      <c r="R280" s="91">
        <v>4</v>
      </c>
      <c r="S280" s="91">
        <v>16</v>
      </c>
      <c r="T280" s="91"/>
      <c r="U280" s="91">
        <v>4</v>
      </c>
      <c r="V280" s="91">
        <v>3</v>
      </c>
      <c r="W280" s="91">
        <v>8</v>
      </c>
      <c r="X280" s="91">
        <v>17</v>
      </c>
      <c r="Y280" s="91">
        <v>6</v>
      </c>
      <c r="Z280" s="91">
        <v>7</v>
      </c>
      <c r="AA280" s="91">
        <v>11</v>
      </c>
      <c r="AB280" s="91"/>
      <c r="AC280" s="91">
        <v>3</v>
      </c>
      <c r="AD280" s="91">
        <v>4</v>
      </c>
      <c r="AE280" s="91">
        <v>5</v>
      </c>
      <c r="AF280" s="91"/>
      <c r="AG280" s="91">
        <v>4</v>
      </c>
      <c r="AH280" s="91">
        <v>3</v>
      </c>
      <c r="AI280" s="91">
        <v>2</v>
      </c>
      <c r="AJ280" s="91">
        <v>12</v>
      </c>
      <c r="AK280" s="91"/>
      <c r="AL280" s="91"/>
      <c r="AM280" s="91">
        <v>4</v>
      </c>
      <c r="AN280" s="91">
        <v>2</v>
      </c>
      <c r="AO280" s="91">
        <v>7</v>
      </c>
      <c r="AP280" s="91">
        <v>1</v>
      </c>
      <c r="AQ280" s="91">
        <v>3</v>
      </c>
      <c r="AR280" s="91"/>
      <c r="AS280" s="91"/>
      <c r="AT280" s="91"/>
      <c r="AU280" s="91">
        <v>1</v>
      </c>
      <c r="AV280" s="91">
        <v>2</v>
      </c>
      <c r="AW280" s="91">
        <v>12</v>
      </c>
      <c r="AX280" s="91"/>
      <c r="AY280" s="91">
        <v>2</v>
      </c>
      <c r="AZ280" s="91">
        <v>2</v>
      </c>
      <c r="BA280" s="91"/>
      <c r="BB280" s="91">
        <v>13</v>
      </c>
      <c r="BC280" s="91"/>
    </row>
    <row r="281" spans="1:55" x14ac:dyDescent="0.25">
      <c r="A281" s="91" t="s">
        <v>484</v>
      </c>
      <c r="B281" s="129">
        <f t="shared" si="6"/>
        <v>184</v>
      </c>
      <c r="C281" s="91">
        <v>2</v>
      </c>
      <c r="D281" s="91">
        <v>3</v>
      </c>
      <c r="E281" s="91">
        <v>14</v>
      </c>
      <c r="F281" s="91">
        <v>9</v>
      </c>
      <c r="G281" s="91">
        <v>10</v>
      </c>
      <c r="H281" s="91"/>
      <c r="I281" s="91">
        <v>2</v>
      </c>
      <c r="J281" s="91">
        <v>8</v>
      </c>
      <c r="K281" s="91"/>
      <c r="L281" s="91">
        <v>4</v>
      </c>
      <c r="M281" s="91">
        <v>1</v>
      </c>
      <c r="N281" s="91">
        <v>2</v>
      </c>
      <c r="O281" s="91">
        <v>4</v>
      </c>
      <c r="P281" s="91"/>
      <c r="Q281" s="91">
        <v>2</v>
      </c>
      <c r="R281" s="91">
        <v>1</v>
      </c>
      <c r="S281" s="91">
        <v>21</v>
      </c>
      <c r="T281" s="91"/>
      <c r="U281" s="91">
        <v>2</v>
      </c>
      <c r="V281" s="91">
        <v>1</v>
      </c>
      <c r="W281" s="91">
        <v>3</v>
      </c>
      <c r="X281" s="91">
        <v>6</v>
      </c>
      <c r="Y281" s="91">
        <v>10</v>
      </c>
      <c r="Z281" s="91">
        <v>3</v>
      </c>
      <c r="AA281" s="91">
        <v>1</v>
      </c>
      <c r="AB281" s="91">
        <v>2</v>
      </c>
      <c r="AC281" s="91"/>
      <c r="AD281" s="91">
        <v>2</v>
      </c>
      <c r="AE281" s="91">
        <v>5</v>
      </c>
      <c r="AF281" s="91">
        <v>2</v>
      </c>
      <c r="AG281" s="91"/>
      <c r="AH281" s="91">
        <v>2</v>
      </c>
      <c r="AI281" s="91"/>
      <c r="AJ281" s="91">
        <v>10</v>
      </c>
      <c r="AK281" s="91">
        <v>2</v>
      </c>
      <c r="AL281" s="91">
        <v>1</v>
      </c>
      <c r="AM281" s="91">
        <v>3</v>
      </c>
      <c r="AN281" s="91">
        <v>5</v>
      </c>
      <c r="AO281" s="91">
        <v>2</v>
      </c>
      <c r="AP281" s="91">
        <v>8</v>
      </c>
      <c r="AQ281" s="91">
        <v>4</v>
      </c>
      <c r="AR281" s="91">
        <v>10</v>
      </c>
      <c r="AS281" s="91"/>
      <c r="AT281" s="91"/>
      <c r="AU281" s="91">
        <v>4</v>
      </c>
      <c r="AV281" s="91">
        <v>3</v>
      </c>
      <c r="AW281" s="91">
        <v>1</v>
      </c>
      <c r="AX281" s="91"/>
      <c r="AY281" s="91"/>
      <c r="AZ281" s="91"/>
      <c r="BA281" s="91">
        <v>2</v>
      </c>
      <c r="BB281" s="91">
        <v>7</v>
      </c>
      <c r="BC281" s="91"/>
    </row>
    <row r="282" spans="1:55" x14ac:dyDescent="0.25">
      <c r="A282" s="91" t="s">
        <v>438</v>
      </c>
      <c r="B282" s="129">
        <f t="shared" si="6"/>
        <v>196</v>
      </c>
      <c r="C282" s="91">
        <v>3</v>
      </c>
      <c r="D282" s="91">
        <v>1</v>
      </c>
      <c r="E282" s="91">
        <v>4</v>
      </c>
      <c r="F282" s="91">
        <v>7</v>
      </c>
      <c r="G282" s="91"/>
      <c r="H282" s="91"/>
      <c r="I282" s="91">
        <v>2</v>
      </c>
      <c r="J282" s="91">
        <v>7</v>
      </c>
      <c r="K282" s="91">
        <v>6</v>
      </c>
      <c r="L282" s="91"/>
      <c r="M282" s="91">
        <v>4</v>
      </c>
      <c r="N282" s="91">
        <v>9</v>
      </c>
      <c r="O282" s="91">
        <v>1</v>
      </c>
      <c r="P282" s="91">
        <v>4</v>
      </c>
      <c r="Q282" s="91"/>
      <c r="R282" s="91">
        <v>6</v>
      </c>
      <c r="S282" s="91">
        <v>16</v>
      </c>
      <c r="T282" s="91"/>
      <c r="U282" s="91"/>
      <c r="V282" s="91">
        <v>6</v>
      </c>
      <c r="W282" s="91">
        <v>2</v>
      </c>
      <c r="X282" s="91">
        <v>1</v>
      </c>
      <c r="Y282" s="91">
        <v>8</v>
      </c>
      <c r="Z282" s="91">
        <v>3</v>
      </c>
      <c r="AA282" s="91">
        <v>10</v>
      </c>
      <c r="AB282" s="91">
        <v>5</v>
      </c>
      <c r="AC282" s="91">
        <v>3</v>
      </c>
      <c r="AD282" s="91">
        <v>8</v>
      </c>
      <c r="AE282" s="91">
        <v>3</v>
      </c>
      <c r="AF282" s="91">
        <v>4</v>
      </c>
      <c r="AG282" s="91">
        <v>1</v>
      </c>
      <c r="AH282" s="91">
        <v>4</v>
      </c>
      <c r="AI282" s="91">
        <v>2</v>
      </c>
      <c r="AJ282" s="91"/>
      <c r="AK282" s="91">
        <v>2</v>
      </c>
      <c r="AL282" s="91">
        <v>6</v>
      </c>
      <c r="AM282" s="91">
        <v>6</v>
      </c>
      <c r="AN282" s="91">
        <v>1</v>
      </c>
      <c r="AO282" s="91">
        <v>3</v>
      </c>
      <c r="AP282" s="91">
        <v>1</v>
      </c>
      <c r="AQ282" s="91">
        <v>10</v>
      </c>
      <c r="AR282" s="91"/>
      <c r="AS282" s="91">
        <v>11</v>
      </c>
      <c r="AT282" s="91"/>
      <c r="AU282" s="91">
        <v>1</v>
      </c>
      <c r="AV282" s="91">
        <v>1</v>
      </c>
      <c r="AW282" s="91">
        <v>3</v>
      </c>
      <c r="AX282" s="91">
        <v>1</v>
      </c>
      <c r="AY282" s="91">
        <v>3</v>
      </c>
      <c r="AZ282" s="91">
        <v>3</v>
      </c>
      <c r="BA282" s="91">
        <v>4</v>
      </c>
      <c r="BB282" s="91">
        <v>10</v>
      </c>
      <c r="BC282" s="91"/>
    </row>
    <row r="283" spans="1:55" x14ac:dyDescent="0.25">
      <c r="A283" s="91" t="s">
        <v>465</v>
      </c>
      <c r="B283" s="129">
        <f t="shared" si="6"/>
        <v>132</v>
      </c>
      <c r="C283" s="91"/>
      <c r="D283" s="91">
        <v>1</v>
      </c>
      <c r="E283" s="91">
        <v>5</v>
      </c>
      <c r="F283" s="91"/>
      <c r="G283" s="91">
        <v>5</v>
      </c>
      <c r="H283" s="91"/>
      <c r="I283" s="91">
        <v>3</v>
      </c>
      <c r="J283" s="91">
        <v>4</v>
      </c>
      <c r="K283" s="91">
        <v>11</v>
      </c>
      <c r="L283" s="91"/>
      <c r="M283" s="91">
        <v>16</v>
      </c>
      <c r="N283" s="91">
        <v>4</v>
      </c>
      <c r="O283" s="91">
        <v>3</v>
      </c>
      <c r="P283" s="91">
        <v>2</v>
      </c>
      <c r="Q283" s="91"/>
      <c r="R283" s="91">
        <v>1</v>
      </c>
      <c r="S283" s="91">
        <v>5</v>
      </c>
      <c r="T283" s="91"/>
      <c r="U283" s="91">
        <v>2</v>
      </c>
      <c r="V283" s="91">
        <v>1</v>
      </c>
      <c r="W283" s="91">
        <v>1</v>
      </c>
      <c r="X283" s="91">
        <v>3</v>
      </c>
      <c r="Y283" s="91">
        <v>3</v>
      </c>
      <c r="Z283" s="91">
        <v>2</v>
      </c>
      <c r="AA283" s="91">
        <v>3</v>
      </c>
      <c r="AB283" s="91">
        <v>5</v>
      </c>
      <c r="AC283" s="91">
        <v>14</v>
      </c>
      <c r="AD283" s="91">
        <v>2</v>
      </c>
      <c r="AE283" s="91">
        <v>1</v>
      </c>
      <c r="AF283" s="91"/>
      <c r="AG283" s="91">
        <v>1</v>
      </c>
      <c r="AH283" s="91"/>
      <c r="AI283" s="91">
        <v>3</v>
      </c>
      <c r="AJ283" s="91">
        <v>2</v>
      </c>
      <c r="AK283" s="91">
        <v>1</v>
      </c>
      <c r="AL283" s="91"/>
      <c r="AM283" s="91"/>
      <c r="AN283" s="91">
        <v>2</v>
      </c>
      <c r="AO283" s="91"/>
      <c r="AP283" s="91">
        <v>4</v>
      </c>
      <c r="AQ283" s="91">
        <v>5</v>
      </c>
      <c r="AR283" s="91">
        <v>2</v>
      </c>
      <c r="AS283" s="91">
        <v>6</v>
      </c>
      <c r="AT283" s="91"/>
      <c r="AU283" s="91">
        <v>1</v>
      </c>
      <c r="AV283" s="91">
        <v>1</v>
      </c>
      <c r="AW283" s="91">
        <v>1</v>
      </c>
      <c r="AX283" s="91">
        <v>2</v>
      </c>
      <c r="AY283" s="91">
        <v>3</v>
      </c>
      <c r="AZ283" s="91">
        <v>1</v>
      </c>
      <c r="BA283" s="91"/>
      <c r="BB283" s="91"/>
      <c r="BC283" s="91"/>
    </row>
    <row r="284" spans="1:55" x14ac:dyDescent="0.25">
      <c r="A284" s="91" t="s">
        <v>261</v>
      </c>
      <c r="B284" s="129">
        <f t="shared" si="6"/>
        <v>177</v>
      </c>
      <c r="C284" s="91"/>
      <c r="D284" s="91">
        <v>1</v>
      </c>
      <c r="E284" s="91">
        <v>14</v>
      </c>
      <c r="F284" s="91">
        <v>4</v>
      </c>
      <c r="G284" s="91">
        <v>7</v>
      </c>
      <c r="H284" s="91"/>
      <c r="I284" s="91">
        <v>2</v>
      </c>
      <c r="J284" s="91"/>
      <c r="K284" s="91">
        <v>11</v>
      </c>
      <c r="L284" s="91">
        <v>2</v>
      </c>
      <c r="M284" s="91">
        <v>1</v>
      </c>
      <c r="N284" s="91">
        <v>8</v>
      </c>
      <c r="O284" s="91">
        <v>2</v>
      </c>
      <c r="P284" s="91">
        <v>5</v>
      </c>
      <c r="Q284" s="91">
        <v>4</v>
      </c>
      <c r="R284" s="91">
        <v>4</v>
      </c>
      <c r="S284" s="91">
        <v>15</v>
      </c>
      <c r="T284" s="91"/>
      <c r="U284" s="91"/>
      <c r="V284" s="91">
        <v>2</v>
      </c>
      <c r="W284" s="91">
        <v>2</v>
      </c>
      <c r="X284" s="91">
        <v>3</v>
      </c>
      <c r="Y284" s="91">
        <v>4</v>
      </c>
      <c r="Z284" s="91">
        <v>10</v>
      </c>
      <c r="AA284" s="91">
        <v>1</v>
      </c>
      <c r="AB284" s="91">
        <v>1</v>
      </c>
      <c r="AC284" s="91">
        <v>4</v>
      </c>
      <c r="AD284" s="91">
        <v>1</v>
      </c>
      <c r="AE284" s="91">
        <v>4</v>
      </c>
      <c r="AF284" s="91"/>
      <c r="AG284" s="91">
        <v>3</v>
      </c>
      <c r="AH284" s="91">
        <v>5</v>
      </c>
      <c r="AI284" s="91">
        <v>3</v>
      </c>
      <c r="AJ284" s="91">
        <v>8</v>
      </c>
      <c r="AK284" s="91">
        <v>1</v>
      </c>
      <c r="AL284" s="91"/>
      <c r="AM284" s="91">
        <v>2</v>
      </c>
      <c r="AN284" s="91">
        <v>2</v>
      </c>
      <c r="AO284" s="91">
        <v>1</v>
      </c>
      <c r="AP284" s="91">
        <v>3</v>
      </c>
      <c r="AQ284" s="91">
        <v>9</v>
      </c>
      <c r="AR284" s="91">
        <v>4</v>
      </c>
      <c r="AS284" s="91">
        <v>2</v>
      </c>
      <c r="AT284" s="91"/>
      <c r="AU284" s="91">
        <v>2</v>
      </c>
      <c r="AV284" s="91"/>
      <c r="AW284" s="91">
        <v>7</v>
      </c>
      <c r="AX284" s="91"/>
      <c r="AY284" s="91">
        <v>1</v>
      </c>
      <c r="AZ284" s="91">
        <v>6</v>
      </c>
      <c r="BA284" s="91">
        <v>2</v>
      </c>
      <c r="BB284" s="91">
        <v>4</v>
      </c>
      <c r="BC284" s="91"/>
    </row>
    <row r="285" spans="1:55" x14ac:dyDescent="0.25">
      <c r="A285" s="91" t="s">
        <v>186</v>
      </c>
      <c r="B285" s="129">
        <f t="shared" si="6"/>
        <v>74</v>
      </c>
      <c r="C285" s="91">
        <v>4</v>
      </c>
      <c r="D285" s="91">
        <v>3</v>
      </c>
      <c r="E285" s="91">
        <v>2</v>
      </c>
      <c r="F285" s="91"/>
      <c r="G285" s="91"/>
      <c r="H285" s="91"/>
      <c r="I285" s="91"/>
      <c r="J285" s="91">
        <v>5</v>
      </c>
      <c r="K285" s="91"/>
      <c r="L285" s="91"/>
      <c r="M285" s="91"/>
      <c r="N285" s="91">
        <v>3</v>
      </c>
      <c r="O285" s="91"/>
      <c r="P285" s="91"/>
      <c r="Q285" s="91">
        <v>4</v>
      </c>
      <c r="R285" s="91">
        <v>3</v>
      </c>
      <c r="S285" s="91">
        <v>1</v>
      </c>
      <c r="T285" s="91"/>
      <c r="U285" s="91">
        <v>1</v>
      </c>
      <c r="V285" s="91"/>
      <c r="W285" s="91">
        <v>6</v>
      </c>
      <c r="X285" s="91">
        <v>4</v>
      </c>
      <c r="Y285" s="91"/>
      <c r="Z285" s="91">
        <v>2</v>
      </c>
      <c r="AA285" s="91"/>
      <c r="AB285" s="91">
        <v>1</v>
      </c>
      <c r="AC285" s="91"/>
      <c r="AD285" s="91">
        <v>2</v>
      </c>
      <c r="AE285" s="91">
        <v>3</v>
      </c>
      <c r="AF285" s="91">
        <v>5</v>
      </c>
      <c r="AG285" s="91">
        <v>1</v>
      </c>
      <c r="AH285" s="91"/>
      <c r="AI285" s="91">
        <v>1</v>
      </c>
      <c r="AJ285" s="91"/>
      <c r="AK285" s="91">
        <v>3</v>
      </c>
      <c r="AL285" s="91">
        <v>4</v>
      </c>
      <c r="AM285" s="91">
        <v>1</v>
      </c>
      <c r="AN285" s="91">
        <v>3</v>
      </c>
      <c r="AO285" s="91"/>
      <c r="AP285" s="91">
        <v>1</v>
      </c>
      <c r="AQ285" s="91"/>
      <c r="AR285" s="91"/>
      <c r="AS285" s="91"/>
      <c r="AT285" s="91"/>
      <c r="AU285" s="91">
        <v>1</v>
      </c>
      <c r="AV285" s="91">
        <v>1</v>
      </c>
      <c r="AW285" s="91">
        <v>7</v>
      </c>
      <c r="AX285" s="91"/>
      <c r="AY285" s="91"/>
      <c r="AZ285" s="91">
        <v>2</v>
      </c>
      <c r="BA285" s="91"/>
      <c r="BB285" s="91"/>
      <c r="BC285" s="91"/>
    </row>
    <row r="286" spans="1:55" x14ac:dyDescent="0.25">
      <c r="A286" s="91" t="s">
        <v>535</v>
      </c>
      <c r="B286" s="129">
        <f t="shared" si="6"/>
        <v>93</v>
      </c>
      <c r="C286" s="91"/>
      <c r="D286" s="91">
        <v>3</v>
      </c>
      <c r="E286" s="91">
        <v>4</v>
      </c>
      <c r="F286" s="91">
        <v>4</v>
      </c>
      <c r="G286" s="91">
        <v>4</v>
      </c>
      <c r="H286" s="91"/>
      <c r="I286" s="91"/>
      <c r="J286" s="91">
        <v>2</v>
      </c>
      <c r="K286" s="91"/>
      <c r="L286" s="91">
        <v>1</v>
      </c>
      <c r="M286" s="91"/>
      <c r="N286" s="91">
        <v>9</v>
      </c>
      <c r="O286" s="91">
        <v>2</v>
      </c>
      <c r="P286" s="91">
        <v>7</v>
      </c>
      <c r="Q286" s="91">
        <v>1</v>
      </c>
      <c r="R286" s="91">
        <v>1</v>
      </c>
      <c r="S286" s="91">
        <v>3</v>
      </c>
      <c r="T286" s="91"/>
      <c r="U286" s="91"/>
      <c r="V286" s="91"/>
      <c r="W286" s="91">
        <v>2</v>
      </c>
      <c r="X286" s="91">
        <v>3</v>
      </c>
      <c r="Y286" s="91">
        <v>1</v>
      </c>
      <c r="Z286" s="91"/>
      <c r="AA286" s="91">
        <v>4</v>
      </c>
      <c r="AB286" s="91">
        <v>3</v>
      </c>
      <c r="AC286" s="91">
        <v>2</v>
      </c>
      <c r="AD286" s="91">
        <v>1</v>
      </c>
      <c r="AE286" s="91">
        <v>4</v>
      </c>
      <c r="AF286" s="91"/>
      <c r="AG286" s="91">
        <v>1</v>
      </c>
      <c r="AH286" s="91">
        <v>4</v>
      </c>
      <c r="AI286" s="91">
        <v>6</v>
      </c>
      <c r="AJ286" s="91">
        <v>1</v>
      </c>
      <c r="AK286" s="91">
        <v>1</v>
      </c>
      <c r="AL286" s="91">
        <v>2</v>
      </c>
      <c r="AM286" s="91"/>
      <c r="AN286" s="91">
        <v>3</v>
      </c>
      <c r="AO286" s="91">
        <v>4</v>
      </c>
      <c r="AP286" s="91"/>
      <c r="AQ286" s="91"/>
      <c r="AR286" s="91">
        <v>1</v>
      </c>
      <c r="AS286" s="91"/>
      <c r="AT286" s="91"/>
      <c r="AU286" s="91"/>
      <c r="AV286" s="91"/>
      <c r="AW286" s="91">
        <v>1</v>
      </c>
      <c r="AX286" s="91"/>
      <c r="AY286" s="91">
        <v>3</v>
      </c>
      <c r="AZ286" s="91"/>
      <c r="BA286" s="91"/>
      <c r="BB286" s="91">
        <v>5</v>
      </c>
      <c r="BC286" s="91"/>
    </row>
    <row r="287" spans="1:55" x14ac:dyDescent="0.25">
      <c r="A287" s="91" t="s">
        <v>857</v>
      </c>
      <c r="B287" s="129">
        <f t="shared" si="6"/>
        <v>28</v>
      </c>
      <c r="C287" s="91">
        <v>1</v>
      </c>
      <c r="D287" s="91"/>
      <c r="E287" s="91"/>
      <c r="F287" s="91"/>
      <c r="G287" s="91"/>
      <c r="H287" s="91"/>
      <c r="I287" s="91">
        <v>1</v>
      </c>
      <c r="J287" s="91">
        <v>5</v>
      </c>
      <c r="K287" s="91"/>
      <c r="L287" s="91"/>
      <c r="M287" s="91">
        <v>1</v>
      </c>
      <c r="N287" s="91"/>
      <c r="O287" s="91"/>
      <c r="P287" s="91">
        <v>1</v>
      </c>
      <c r="Q287" s="91"/>
      <c r="R287" s="91"/>
      <c r="S287" s="91"/>
      <c r="T287" s="91"/>
      <c r="U287" s="91"/>
      <c r="V287" s="91">
        <v>1</v>
      </c>
      <c r="W287" s="91">
        <v>1</v>
      </c>
      <c r="X287" s="91">
        <v>2</v>
      </c>
      <c r="Y287" s="91"/>
      <c r="Z287" s="91">
        <v>1</v>
      </c>
      <c r="AA287" s="91"/>
      <c r="AB287" s="91"/>
      <c r="AC287" s="91"/>
      <c r="AD287" s="91"/>
      <c r="AE287" s="91"/>
      <c r="AF287" s="91">
        <v>1</v>
      </c>
      <c r="AG287" s="91"/>
      <c r="AH287" s="91"/>
      <c r="AI287" s="91"/>
      <c r="AJ287" s="91">
        <v>3</v>
      </c>
      <c r="AK287" s="91"/>
      <c r="AL287" s="91"/>
      <c r="AM287" s="91">
        <v>1</v>
      </c>
      <c r="AN287" s="91"/>
      <c r="AO287" s="91">
        <v>1</v>
      </c>
      <c r="AP287" s="91"/>
      <c r="AQ287" s="91">
        <v>2</v>
      </c>
      <c r="AR287" s="91"/>
      <c r="AS287" s="91">
        <v>5</v>
      </c>
      <c r="AT287" s="91"/>
      <c r="AU287" s="91">
        <v>1</v>
      </c>
      <c r="AV287" s="91"/>
      <c r="AW287" s="91"/>
      <c r="AX287" s="91"/>
      <c r="AY287" s="91"/>
      <c r="AZ287" s="91"/>
      <c r="BA287" s="91"/>
      <c r="BB287" s="91"/>
      <c r="BC287" s="91"/>
    </row>
    <row r="288" spans="1:55" x14ac:dyDescent="0.25">
      <c r="A288" s="91" t="s">
        <v>174</v>
      </c>
      <c r="B288" s="129">
        <f t="shared" si="6"/>
        <v>0</v>
      </c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</row>
    <row r="289" spans="1:55" x14ac:dyDescent="0.25">
      <c r="A289" s="91" t="s">
        <v>200</v>
      </c>
      <c r="B289" s="129">
        <f t="shared" si="6"/>
        <v>77</v>
      </c>
      <c r="C289" s="91"/>
      <c r="D289" s="91"/>
      <c r="E289" s="91">
        <v>2</v>
      </c>
      <c r="F289" s="91">
        <v>2</v>
      </c>
      <c r="G289" s="91">
        <v>4</v>
      </c>
      <c r="H289" s="91"/>
      <c r="I289" s="91">
        <v>1</v>
      </c>
      <c r="J289" s="91">
        <v>6</v>
      </c>
      <c r="K289" s="91">
        <v>3</v>
      </c>
      <c r="L289" s="91"/>
      <c r="M289" s="91">
        <v>1</v>
      </c>
      <c r="N289" s="91">
        <v>2</v>
      </c>
      <c r="O289" s="91">
        <v>2</v>
      </c>
      <c r="P289" s="91">
        <v>3</v>
      </c>
      <c r="Q289" s="91"/>
      <c r="R289" s="91">
        <v>2</v>
      </c>
      <c r="S289" s="91"/>
      <c r="T289" s="91"/>
      <c r="U289" s="91"/>
      <c r="V289" s="91"/>
      <c r="W289" s="91">
        <v>1</v>
      </c>
      <c r="X289" s="91">
        <v>2</v>
      </c>
      <c r="Y289" s="91">
        <v>2</v>
      </c>
      <c r="Z289" s="91">
        <v>2</v>
      </c>
      <c r="AA289" s="91">
        <v>4</v>
      </c>
      <c r="AB289" s="91"/>
      <c r="AC289" s="91"/>
      <c r="AD289" s="91"/>
      <c r="AE289" s="91">
        <v>1</v>
      </c>
      <c r="AF289" s="91"/>
      <c r="AG289" s="91">
        <v>1</v>
      </c>
      <c r="AH289" s="91">
        <v>3</v>
      </c>
      <c r="AI289" s="91"/>
      <c r="AJ289" s="91">
        <v>11</v>
      </c>
      <c r="AK289" s="91"/>
      <c r="AL289" s="91">
        <v>2</v>
      </c>
      <c r="AM289" s="91">
        <v>1</v>
      </c>
      <c r="AN289" s="91">
        <v>2</v>
      </c>
      <c r="AO289" s="91"/>
      <c r="AP289" s="91"/>
      <c r="AQ289" s="91">
        <v>3</v>
      </c>
      <c r="AR289" s="91">
        <v>2</v>
      </c>
      <c r="AS289" s="91">
        <v>2</v>
      </c>
      <c r="AT289" s="91"/>
      <c r="AU289" s="91">
        <v>1</v>
      </c>
      <c r="AV289" s="91"/>
      <c r="AW289" s="91">
        <v>6</v>
      </c>
      <c r="AX289" s="91">
        <v>2</v>
      </c>
      <c r="AY289" s="91"/>
      <c r="AZ289" s="91">
        <v>1</v>
      </c>
      <c r="BA289" s="91"/>
      <c r="BB289" s="91"/>
      <c r="BC289" s="91"/>
    </row>
    <row r="290" spans="1:55" x14ac:dyDescent="0.25">
      <c r="A290" s="91" t="s">
        <v>370</v>
      </c>
      <c r="B290" s="129">
        <f t="shared" si="6"/>
        <v>195</v>
      </c>
      <c r="C290" s="91"/>
      <c r="D290" s="91">
        <v>14</v>
      </c>
      <c r="E290" s="91">
        <v>3</v>
      </c>
      <c r="F290" s="91">
        <v>5</v>
      </c>
      <c r="G290" s="91">
        <v>3</v>
      </c>
      <c r="H290" s="91">
        <v>5</v>
      </c>
      <c r="I290" s="91">
        <v>4</v>
      </c>
      <c r="J290" s="91">
        <v>13</v>
      </c>
      <c r="K290" s="91"/>
      <c r="L290" s="91">
        <v>5</v>
      </c>
      <c r="M290" s="91"/>
      <c r="N290" s="91">
        <v>8</v>
      </c>
      <c r="O290" s="91">
        <v>3</v>
      </c>
      <c r="P290" s="91">
        <v>5</v>
      </c>
      <c r="Q290" s="91">
        <v>1</v>
      </c>
      <c r="R290" s="91">
        <v>5</v>
      </c>
      <c r="S290" s="91">
        <v>15</v>
      </c>
      <c r="T290" s="91">
        <v>1</v>
      </c>
      <c r="U290" s="91">
        <v>5</v>
      </c>
      <c r="V290" s="91">
        <v>2</v>
      </c>
      <c r="W290" s="91"/>
      <c r="X290" s="91">
        <v>1</v>
      </c>
      <c r="Y290" s="91">
        <v>10</v>
      </c>
      <c r="Z290" s="91">
        <v>5</v>
      </c>
      <c r="AA290" s="91">
        <v>1</v>
      </c>
      <c r="AB290" s="91">
        <v>1</v>
      </c>
      <c r="AC290" s="91">
        <v>4</v>
      </c>
      <c r="AD290" s="91">
        <v>1</v>
      </c>
      <c r="AE290" s="91">
        <v>1</v>
      </c>
      <c r="AF290" s="91">
        <v>2</v>
      </c>
      <c r="AG290" s="91">
        <v>1</v>
      </c>
      <c r="AH290" s="91">
        <v>3</v>
      </c>
      <c r="AI290" s="91">
        <v>6</v>
      </c>
      <c r="AJ290" s="91">
        <v>7</v>
      </c>
      <c r="AK290" s="91"/>
      <c r="AL290" s="91">
        <v>2</v>
      </c>
      <c r="AM290" s="91">
        <v>1</v>
      </c>
      <c r="AN290" s="91"/>
      <c r="AO290" s="91">
        <v>1</v>
      </c>
      <c r="AP290" s="91">
        <v>7</v>
      </c>
      <c r="AQ290" s="91"/>
      <c r="AR290" s="91">
        <v>7</v>
      </c>
      <c r="AS290" s="91"/>
      <c r="AT290" s="91"/>
      <c r="AU290" s="91">
        <v>1</v>
      </c>
      <c r="AV290" s="91">
        <v>2</v>
      </c>
      <c r="AW290" s="91">
        <v>5</v>
      </c>
      <c r="AX290" s="91">
        <v>5</v>
      </c>
      <c r="AY290" s="91">
        <v>1</v>
      </c>
      <c r="AZ290" s="91">
        <v>1</v>
      </c>
      <c r="BA290" s="91"/>
      <c r="BB290" s="91">
        <v>22</v>
      </c>
      <c r="BC290" s="91"/>
    </row>
    <row r="291" spans="1:55" x14ac:dyDescent="0.25">
      <c r="A291" s="91" t="s">
        <v>249</v>
      </c>
      <c r="B291" s="129">
        <f t="shared" si="6"/>
        <v>149</v>
      </c>
      <c r="C291" s="91">
        <v>6</v>
      </c>
      <c r="D291" s="91">
        <v>1</v>
      </c>
      <c r="E291" s="91">
        <v>7</v>
      </c>
      <c r="F291" s="91">
        <v>15</v>
      </c>
      <c r="G291" s="91">
        <v>5</v>
      </c>
      <c r="H291" s="91"/>
      <c r="I291" s="91">
        <v>8</v>
      </c>
      <c r="J291" s="91">
        <v>2</v>
      </c>
      <c r="K291" s="91">
        <v>2</v>
      </c>
      <c r="L291" s="91"/>
      <c r="M291" s="91"/>
      <c r="N291" s="91">
        <v>7</v>
      </c>
      <c r="O291" s="91"/>
      <c r="P291" s="91">
        <v>1</v>
      </c>
      <c r="Q291" s="91"/>
      <c r="R291" s="91">
        <v>1</v>
      </c>
      <c r="S291" s="91">
        <v>9</v>
      </c>
      <c r="T291" s="91">
        <v>1</v>
      </c>
      <c r="U291" s="91">
        <v>1</v>
      </c>
      <c r="V291" s="91"/>
      <c r="W291" s="91">
        <v>3</v>
      </c>
      <c r="X291" s="91">
        <v>11</v>
      </c>
      <c r="Y291" s="91">
        <v>5</v>
      </c>
      <c r="Z291" s="91">
        <v>1</v>
      </c>
      <c r="AA291" s="91"/>
      <c r="AB291" s="91">
        <v>1</v>
      </c>
      <c r="AC291" s="91">
        <v>1</v>
      </c>
      <c r="AD291" s="91">
        <v>2</v>
      </c>
      <c r="AE291" s="91">
        <v>3</v>
      </c>
      <c r="AF291" s="91"/>
      <c r="AG291" s="91"/>
      <c r="AH291" s="91"/>
      <c r="AI291" s="91">
        <v>1</v>
      </c>
      <c r="AJ291" s="91">
        <v>10</v>
      </c>
      <c r="AK291" s="91">
        <v>2</v>
      </c>
      <c r="AL291" s="91">
        <v>1</v>
      </c>
      <c r="AM291" s="91"/>
      <c r="AN291" s="91">
        <v>12</v>
      </c>
      <c r="AO291" s="91">
        <v>10</v>
      </c>
      <c r="AP291" s="91">
        <v>1</v>
      </c>
      <c r="AQ291" s="91">
        <v>1</v>
      </c>
      <c r="AR291" s="91">
        <v>8</v>
      </c>
      <c r="AS291" s="91"/>
      <c r="AT291" s="91"/>
      <c r="AU291" s="91">
        <v>2</v>
      </c>
      <c r="AV291" s="91"/>
      <c r="AW291" s="91">
        <v>2</v>
      </c>
      <c r="AX291" s="91">
        <v>2</v>
      </c>
      <c r="AY291" s="91">
        <v>1</v>
      </c>
      <c r="AZ291" s="91">
        <v>3</v>
      </c>
      <c r="BA291" s="91"/>
      <c r="BB291" s="91"/>
      <c r="BC291" s="91"/>
    </row>
    <row r="292" spans="1:55" x14ac:dyDescent="0.25">
      <c r="A292" s="91" t="s">
        <v>424</v>
      </c>
      <c r="B292" s="129">
        <f t="shared" si="6"/>
        <v>259</v>
      </c>
      <c r="C292" s="91">
        <v>2</v>
      </c>
      <c r="D292" s="91">
        <v>3</v>
      </c>
      <c r="E292" s="91">
        <v>6</v>
      </c>
      <c r="F292" s="91">
        <v>8</v>
      </c>
      <c r="G292" s="91">
        <v>16</v>
      </c>
      <c r="H292" s="91"/>
      <c r="I292" s="91">
        <v>1</v>
      </c>
      <c r="J292" s="91">
        <v>14</v>
      </c>
      <c r="K292" s="91">
        <v>4</v>
      </c>
      <c r="L292" s="91">
        <v>2</v>
      </c>
      <c r="M292" s="91">
        <v>2</v>
      </c>
      <c r="N292" s="91">
        <v>17</v>
      </c>
      <c r="O292" s="91">
        <v>2</v>
      </c>
      <c r="P292" s="91">
        <v>2</v>
      </c>
      <c r="Q292" s="91">
        <v>2</v>
      </c>
      <c r="R292" s="91">
        <v>2</v>
      </c>
      <c r="S292" s="91">
        <v>6</v>
      </c>
      <c r="T292" s="91">
        <v>1</v>
      </c>
      <c r="U292" s="91">
        <v>3</v>
      </c>
      <c r="V292" s="91">
        <v>1</v>
      </c>
      <c r="W292" s="91">
        <v>2</v>
      </c>
      <c r="X292" s="91">
        <v>11</v>
      </c>
      <c r="Y292" s="91">
        <v>8</v>
      </c>
      <c r="Z292" s="91">
        <v>5</v>
      </c>
      <c r="AA292" s="91">
        <v>2</v>
      </c>
      <c r="AB292" s="91">
        <v>3</v>
      </c>
      <c r="AC292" s="91">
        <v>3</v>
      </c>
      <c r="AD292" s="91">
        <v>7</v>
      </c>
      <c r="AE292" s="91">
        <v>9</v>
      </c>
      <c r="AF292" s="91">
        <v>4</v>
      </c>
      <c r="AG292" s="91">
        <v>5</v>
      </c>
      <c r="AH292" s="91">
        <v>8</v>
      </c>
      <c r="AI292" s="91">
        <v>7</v>
      </c>
      <c r="AJ292" s="91">
        <v>18</v>
      </c>
      <c r="AK292" s="91"/>
      <c r="AL292" s="91">
        <v>5</v>
      </c>
      <c r="AM292" s="91"/>
      <c r="AN292" s="91">
        <v>1</v>
      </c>
      <c r="AO292" s="91">
        <v>12</v>
      </c>
      <c r="AP292" s="91">
        <v>12</v>
      </c>
      <c r="AQ292" s="91">
        <v>3</v>
      </c>
      <c r="AR292" s="91">
        <v>4</v>
      </c>
      <c r="AS292" s="91">
        <v>5</v>
      </c>
      <c r="AT292" s="91"/>
      <c r="AU292" s="91"/>
      <c r="AV292" s="91">
        <v>1</v>
      </c>
      <c r="AW292" s="91">
        <v>17</v>
      </c>
      <c r="AX292" s="91">
        <v>3</v>
      </c>
      <c r="AY292" s="91">
        <v>5</v>
      </c>
      <c r="AZ292" s="91">
        <v>5</v>
      </c>
      <c r="BA292" s="91"/>
      <c r="BB292" s="91"/>
      <c r="BC292" s="91"/>
    </row>
    <row r="293" spans="1:55" x14ac:dyDescent="0.25">
      <c r="A293" s="91" t="s">
        <v>270</v>
      </c>
      <c r="B293" s="129">
        <f t="shared" si="6"/>
        <v>196</v>
      </c>
      <c r="C293" s="91">
        <v>2</v>
      </c>
      <c r="D293" s="91">
        <v>1</v>
      </c>
      <c r="E293" s="91">
        <v>14</v>
      </c>
      <c r="F293" s="91">
        <v>7</v>
      </c>
      <c r="G293" s="91"/>
      <c r="H293" s="91"/>
      <c r="I293" s="91">
        <v>2</v>
      </c>
      <c r="J293" s="91">
        <v>7</v>
      </c>
      <c r="K293" s="91">
        <v>1</v>
      </c>
      <c r="L293" s="91">
        <v>2</v>
      </c>
      <c r="M293" s="91"/>
      <c r="N293" s="91">
        <v>2</v>
      </c>
      <c r="O293" s="91">
        <v>1</v>
      </c>
      <c r="P293" s="91">
        <v>6</v>
      </c>
      <c r="Q293" s="91">
        <v>15</v>
      </c>
      <c r="R293" s="91">
        <v>15</v>
      </c>
      <c r="S293" s="91">
        <v>12</v>
      </c>
      <c r="T293" s="91"/>
      <c r="U293" s="91">
        <v>7</v>
      </c>
      <c r="V293" s="91">
        <v>4</v>
      </c>
      <c r="W293" s="91">
        <v>1</v>
      </c>
      <c r="X293" s="91">
        <v>13</v>
      </c>
      <c r="Y293" s="91">
        <v>1</v>
      </c>
      <c r="Z293" s="91">
        <v>1</v>
      </c>
      <c r="AA293" s="91">
        <v>5</v>
      </c>
      <c r="AB293" s="91">
        <v>1</v>
      </c>
      <c r="AC293" s="91">
        <v>6</v>
      </c>
      <c r="AD293" s="91">
        <v>4</v>
      </c>
      <c r="AE293" s="91">
        <v>3</v>
      </c>
      <c r="AF293" s="91">
        <v>3</v>
      </c>
      <c r="AG293" s="91">
        <v>2</v>
      </c>
      <c r="AH293" s="91">
        <v>3</v>
      </c>
      <c r="AI293" s="91">
        <v>3</v>
      </c>
      <c r="AJ293" s="91">
        <v>1</v>
      </c>
      <c r="AK293" s="91">
        <v>7</v>
      </c>
      <c r="AL293" s="91"/>
      <c r="AM293" s="91">
        <v>3</v>
      </c>
      <c r="AN293" s="91">
        <v>1</v>
      </c>
      <c r="AO293" s="91">
        <v>1</v>
      </c>
      <c r="AP293" s="91">
        <v>1</v>
      </c>
      <c r="AQ293" s="91">
        <v>1</v>
      </c>
      <c r="AR293" s="91">
        <v>2</v>
      </c>
      <c r="AS293" s="91"/>
      <c r="AT293" s="91"/>
      <c r="AU293" s="91">
        <v>1</v>
      </c>
      <c r="AV293" s="91">
        <v>3</v>
      </c>
      <c r="AW293" s="91">
        <v>8</v>
      </c>
      <c r="AX293" s="91">
        <v>4</v>
      </c>
      <c r="AY293" s="91">
        <v>1</v>
      </c>
      <c r="AZ293" s="91">
        <v>3</v>
      </c>
      <c r="BA293" s="91">
        <v>5</v>
      </c>
      <c r="BB293" s="91">
        <v>10</v>
      </c>
      <c r="BC293" s="91"/>
    </row>
    <row r="294" spans="1:55" x14ac:dyDescent="0.25">
      <c r="A294" s="91" t="s">
        <v>924</v>
      </c>
      <c r="B294" s="129">
        <f t="shared" si="6"/>
        <v>106</v>
      </c>
      <c r="C294" s="91">
        <v>1</v>
      </c>
      <c r="D294" s="91">
        <v>1</v>
      </c>
      <c r="E294" s="91">
        <v>3</v>
      </c>
      <c r="F294" s="91">
        <v>1</v>
      </c>
      <c r="G294" s="91">
        <v>7</v>
      </c>
      <c r="H294" s="91"/>
      <c r="I294" s="91">
        <v>4</v>
      </c>
      <c r="J294" s="91">
        <v>6</v>
      </c>
      <c r="K294" s="91">
        <v>2</v>
      </c>
      <c r="L294" s="91">
        <v>1</v>
      </c>
      <c r="M294" s="91"/>
      <c r="N294" s="91">
        <v>14</v>
      </c>
      <c r="O294" s="91">
        <v>1</v>
      </c>
      <c r="P294" s="91"/>
      <c r="Q294" s="91"/>
      <c r="R294" s="91">
        <v>2</v>
      </c>
      <c r="S294" s="91">
        <v>13</v>
      </c>
      <c r="T294" s="91"/>
      <c r="U294" s="91"/>
      <c r="V294" s="91"/>
      <c r="W294" s="91">
        <v>8</v>
      </c>
      <c r="X294" s="91">
        <v>1</v>
      </c>
      <c r="Y294" s="91">
        <v>1</v>
      </c>
      <c r="Z294" s="91">
        <v>2</v>
      </c>
      <c r="AA294" s="91"/>
      <c r="AB294" s="91">
        <v>2</v>
      </c>
      <c r="AC294" s="91">
        <v>1</v>
      </c>
      <c r="AD294" s="91">
        <v>2</v>
      </c>
      <c r="AE294" s="91"/>
      <c r="AF294" s="91">
        <v>1</v>
      </c>
      <c r="AG294" s="91"/>
      <c r="AH294" s="91">
        <v>1</v>
      </c>
      <c r="AI294" s="91">
        <v>5</v>
      </c>
      <c r="AJ294" s="91">
        <v>2</v>
      </c>
      <c r="AK294" s="91">
        <v>3</v>
      </c>
      <c r="AL294" s="91"/>
      <c r="AM294" s="91"/>
      <c r="AN294" s="91">
        <v>1</v>
      </c>
      <c r="AO294" s="91">
        <v>1</v>
      </c>
      <c r="AP294" s="91"/>
      <c r="AQ294" s="91"/>
      <c r="AR294" s="91">
        <v>5</v>
      </c>
      <c r="AS294" s="91">
        <v>4</v>
      </c>
      <c r="AT294" s="91"/>
      <c r="AU294" s="91"/>
      <c r="AV294" s="91"/>
      <c r="AW294" s="91"/>
      <c r="AX294" s="91"/>
      <c r="AY294" s="91"/>
      <c r="AZ294" s="91"/>
      <c r="BA294" s="91">
        <v>1</v>
      </c>
      <c r="BB294" s="91">
        <v>9</v>
      </c>
      <c r="BC294" s="91"/>
    </row>
    <row r="295" spans="1:55" x14ac:dyDescent="0.25">
      <c r="A295" s="91" t="s">
        <v>482</v>
      </c>
      <c r="B295" s="129">
        <f t="shared" si="6"/>
        <v>373</v>
      </c>
      <c r="C295" s="91">
        <v>2</v>
      </c>
      <c r="D295" s="91">
        <v>14</v>
      </c>
      <c r="E295" s="91">
        <v>14</v>
      </c>
      <c r="F295" s="91">
        <v>10</v>
      </c>
      <c r="G295" s="91">
        <v>1</v>
      </c>
      <c r="H295" s="91"/>
      <c r="I295" s="91">
        <v>8</v>
      </c>
      <c r="J295" s="91">
        <v>9</v>
      </c>
      <c r="K295" s="91">
        <v>19</v>
      </c>
      <c r="L295" s="91">
        <v>1</v>
      </c>
      <c r="M295" s="91">
        <v>10</v>
      </c>
      <c r="N295" s="91">
        <v>14</v>
      </c>
      <c r="O295" s="91">
        <v>3</v>
      </c>
      <c r="P295" s="91">
        <v>14</v>
      </c>
      <c r="Q295" s="91">
        <v>13</v>
      </c>
      <c r="R295" s="91">
        <v>8</v>
      </c>
      <c r="S295" s="91">
        <v>11</v>
      </c>
      <c r="T295" s="91"/>
      <c r="U295" s="91">
        <v>8</v>
      </c>
      <c r="V295" s="91">
        <v>1</v>
      </c>
      <c r="W295" s="91">
        <v>2</v>
      </c>
      <c r="X295" s="91">
        <v>12</v>
      </c>
      <c r="Y295" s="91">
        <v>5</v>
      </c>
      <c r="Z295" s="91">
        <v>4</v>
      </c>
      <c r="AA295" s="91"/>
      <c r="AB295" s="91">
        <v>10</v>
      </c>
      <c r="AC295" s="91">
        <v>18</v>
      </c>
      <c r="AD295" s="91">
        <v>10</v>
      </c>
      <c r="AE295" s="91">
        <v>9</v>
      </c>
      <c r="AF295" s="91">
        <v>8</v>
      </c>
      <c r="AG295" s="91">
        <v>15</v>
      </c>
      <c r="AH295" s="91">
        <v>10</v>
      </c>
      <c r="AI295" s="91">
        <v>9</v>
      </c>
      <c r="AJ295" s="91">
        <v>5</v>
      </c>
      <c r="AK295" s="91">
        <v>10</v>
      </c>
      <c r="AL295" s="91">
        <v>8</v>
      </c>
      <c r="AM295" s="91">
        <v>8</v>
      </c>
      <c r="AN295" s="91"/>
      <c r="AO295" s="91"/>
      <c r="AP295" s="91">
        <v>10</v>
      </c>
      <c r="AQ295" s="91">
        <v>7</v>
      </c>
      <c r="AR295" s="91">
        <v>1</v>
      </c>
      <c r="AS295" s="91">
        <v>10</v>
      </c>
      <c r="AT295" s="91"/>
      <c r="AU295" s="91">
        <v>5</v>
      </c>
      <c r="AV295" s="91">
        <v>1</v>
      </c>
      <c r="AW295" s="91">
        <v>14</v>
      </c>
      <c r="AX295" s="91">
        <v>3</v>
      </c>
      <c r="AY295" s="91">
        <v>1</v>
      </c>
      <c r="AZ295" s="91">
        <v>8</v>
      </c>
      <c r="BA295" s="91">
        <v>3</v>
      </c>
      <c r="BB295" s="91">
        <v>7</v>
      </c>
      <c r="BC295" s="91"/>
    </row>
    <row r="296" spans="1:55" x14ac:dyDescent="0.25">
      <c r="A296" s="91" t="s">
        <v>450</v>
      </c>
      <c r="B296" s="129">
        <f t="shared" si="6"/>
        <v>160</v>
      </c>
      <c r="C296" s="91">
        <v>1</v>
      </c>
      <c r="D296" s="91">
        <v>3</v>
      </c>
      <c r="E296" s="91">
        <v>3</v>
      </c>
      <c r="F296" s="91">
        <v>8</v>
      </c>
      <c r="G296" s="91">
        <v>6</v>
      </c>
      <c r="H296" s="91"/>
      <c r="I296" s="91">
        <v>5</v>
      </c>
      <c r="J296" s="91">
        <v>14</v>
      </c>
      <c r="K296" s="91"/>
      <c r="L296" s="91"/>
      <c r="M296" s="91"/>
      <c r="N296" s="91">
        <v>2</v>
      </c>
      <c r="O296" s="91">
        <v>7</v>
      </c>
      <c r="P296" s="91">
        <v>2</v>
      </c>
      <c r="Q296" s="91">
        <v>1</v>
      </c>
      <c r="R296" s="91">
        <v>1</v>
      </c>
      <c r="S296" s="91">
        <v>12</v>
      </c>
      <c r="T296" s="91">
        <v>1</v>
      </c>
      <c r="U296" s="91">
        <v>1</v>
      </c>
      <c r="V296" s="91">
        <v>2</v>
      </c>
      <c r="W296" s="91">
        <v>5</v>
      </c>
      <c r="X296" s="91"/>
      <c r="Y296" s="91">
        <v>2</v>
      </c>
      <c r="Z296" s="91">
        <v>5</v>
      </c>
      <c r="AA296" s="91">
        <v>2</v>
      </c>
      <c r="AB296" s="91">
        <v>1</v>
      </c>
      <c r="AC296" s="91">
        <v>11</v>
      </c>
      <c r="AD296" s="91">
        <v>3</v>
      </c>
      <c r="AE296" s="91">
        <v>2</v>
      </c>
      <c r="AF296" s="91">
        <v>6</v>
      </c>
      <c r="AG296" s="91">
        <v>8</v>
      </c>
      <c r="AH296" s="91"/>
      <c r="AI296" s="91">
        <v>8</v>
      </c>
      <c r="AJ296" s="91">
        <v>10</v>
      </c>
      <c r="AK296" s="91">
        <v>2</v>
      </c>
      <c r="AL296" s="91"/>
      <c r="AM296" s="91">
        <v>2</v>
      </c>
      <c r="AN296" s="91"/>
      <c r="AO296" s="91">
        <v>4</v>
      </c>
      <c r="AP296" s="91">
        <v>4</v>
      </c>
      <c r="AQ296" s="91">
        <v>1</v>
      </c>
      <c r="AR296" s="91"/>
      <c r="AS296" s="91"/>
      <c r="AT296" s="91"/>
      <c r="AU296" s="91"/>
      <c r="AV296" s="91"/>
      <c r="AW296" s="91">
        <v>3</v>
      </c>
      <c r="AX296" s="91"/>
      <c r="AY296" s="91">
        <v>1</v>
      </c>
      <c r="AZ296" s="91"/>
      <c r="BA296" s="91">
        <v>1</v>
      </c>
      <c r="BB296" s="91">
        <v>10</v>
      </c>
      <c r="BC296" s="91"/>
    </row>
    <row r="297" spans="1:55" x14ac:dyDescent="0.25">
      <c r="A297" s="91" t="s">
        <v>925</v>
      </c>
      <c r="B297" s="129">
        <f t="shared" si="6"/>
        <v>94</v>
      </c>
      <c r="C297" s="91"/>
      <c r="D297" s="91">
        <v>5</v>
      </c>
      <c r="E297" s="91">
        <v>9</v>
      </c>
      <c r="F297" s="91">
        <v>7</v>
      </c>
      <c r="G297" s="91">
        <v>2</v>
      </c>
      <c r="H297" s="91"/>
      <c r="I297" s="91">
        <v>3</v>
      </c>
      <c r="J297" s="91">
        <v>6</v>
      </c>
      <c r="K297" s="91"/>
      <c r="L297" s="91">
        <v>1</v>
      </c>
      <c r="M297" s="91">
        <v>3</v>
      </c>
      <c r="N297" s="91"/>
      <c r="O297" s="91">
        <v>4</v>
      </c>
      <c r="P297" s="91"/>
      <c r="Q297" s="91">
        <v>2</v>
      </c>
      <c r="R297" s="91"/>
      <c r="S297" s="91">
        <v>2</v>
      </c>
      <c r="T297" s="91"/>
      <c r="U297" s="91"/>
      <c r="V297" s="91">
        <v>1</v>
      </c>
      <c r="W297" s="91">
        <v>5</v>
      </c>
      <c r="X297" s="91">
        <v>1</v>
      </c>
      <c r="Y297" s="91">
        <v>1</v>
      </c>
      <c r="Z297" s="91">
        <v>1</v>
      </c>
      <c r="AA297" s="91"/>
      <c r="AB297" s="91"/>
      <c r="AC297" s="91"/>
      <c r="AD297" s="91">
        <v>1</v>
      </c>
      <c r="AE297" s="91">
        <v>1</v>
      </c>
      <c r="AF297" s="91">
        <v>2</v>
      </c>
      <c r="AG297" s="91">
        <v>1</v>
      </c>
      <c r="AH297" s="91">
        <v>2</v>
      </c>
      <c r="AI297" s="91">
        <v>2</v>
      </c>
      <c r="AJ297" s="91">
        <v>3</v>
      </c>
      <c r="AK297" s="91"/>
      <c r="AL297" s="91"/>
      <c r="AM297" s="91"/>
      <c r="AN297" s="91"/>
      <c r="AO297" s="91">
        <v>3</v>
      </c>
      <c r="AP297" s="91">
        <v>1</v>
      </c>
      <c r="AQ297" s="91"/>
      <c r="AR297" s="91">
        <v>1</v>
      </c>
      <c r="AS297" s="91">
        <v>1</v>
      </c>
      <c r="AT297" s="91"/>
      <c r="AU297" s="91">
        <v>3</v>
      </c>
      <c r="AV297" s="91"/>
      <c r="AW297" s="91"/>
      <c r="AX297" s="91"/>
      <c r="AY297" s="91">
        <v>1</v>
      </c>
      <c r="AZ297" s="91">
        <v>1</v>
      </c>
      <c r="BA297" s="91"/>
      <c r="BB297" s="91">
        <v>18</v>
      </c>
      <c r="BC297" s="91"/>
    </row>
    <row r="298" spans="1:55" x14ac:dyDescent="0.25">
      <c r="A298" s="91" t="s">
        <v>422</v>
      </c>
      <c r="B298" s="129">
        <f t="shared" si="6"/>
        <v>196</v>
      </c>
      <c r="C298" s="91"/>
      <c r="D298" s="91">
        <v>4</v>
      </c>
      <c r="E298" s="91">
        <v>4</v>
      </c>
      <c r="F298" s="91"/>
      <c r="G298" s="91">
        <v>11</v>
      </c>
      <c r="H298" s="91"/>
      <c r="I298" s="91">
        <v>11</v>
      </c>
      <c r="J298" s="91">
        <v>6</v>
      </c>
      <c r="K298" s="91">
        <v>3</v>
      </c>
      <c r="L298" s="91">
        <v>2</v>
      </c>
      <c r="M298" s="91">
        <v>1</v>
      </c>
      <c r="N298" s="91">
        <v>15</v>
      </c>
      <c r="O298" s="91">
        <v>3</v>
      </c>
      <c r="P298" s="91"/>
      <c r="Q298" s="91"/>
      <c r="R298" s="91">
        <v>10</v>
      </c>
      <c r="S298" s="91">
        <v>9</v>
      </c>
      <c r="T298" s="91"/>
      <c r="U298" s="91">
        <v>6</v>
      </c>
      <c r="V298" s="91">
        <v>2</v>
      </c>
      <c r="W298" s="91">
        <v>8</v>
      </c>
      <c r="X298" s="91">
        <v>2</v>
      </c>
      <c r="Y298" s="91">
        <v>14</v>
      </c>
      <c r="Z298" s="91">
        <v>1</v>
      </c>
      <c r="AA298" s="91">
        <v>2</v>
      </c>
      <c r="AB298" s="91">
        <v>2</v>
      </c>
      <c r="AC298" s="91">
        <v>4</v>
      </c>
      <c r="AD298" s="91">
        <v>2</v>
      </c>
      <c r="AE298" s="91">
        <v>10</v>
      </c>
      <c r="AF298" s="91">
        <v>1</v>
      </c>
      <c r="AG298" s="91">
        <v>2</v>
      </c>
      <c r="AH298" s="91">
        <v>4</v>
      </c>
      <c r="AI298" s="91"/>
      <c r="AJ298" s="91">
        <v>5</v>
      </c>
      <c r="AK298" s="91">
        <v>1</v>
      </c>
      <c r="AL298" s="91">
        <v>1</v>
      </c>
      <c r="AM298" s="91">
        <v>8</v>
      </c>
      <c r="AN298" s="91">
        <v>3</v>
      </c>
      <c r="AO298" s="91">
        <v>17</v>
      </c>
      <c r="AP298" s="91">
        <v>1</v>
      </c>
      <c r="AQ298" s="91">
        <v>1</v>
      </c>
      <c r="AR298" s="91">
        <v>4</v>
      </c>
      <c r="AS298" s="91"/>
      <c r="AT298" s="91"/>
      <c r="AU298" s="91">
        <v>1</v>
      </c>
      <c r="AV298" s="91">
        <v>1</v>
      </c>
      <c r="AW298" s="91">
        <v>7</v>
      </c>
      <c r="AX298" s="91">
        <v>2</v>
      </c>
      <c r="AY298" s="91">
        <v>1</v>
      </c>
      <c r="AZ298" s="91">
        <v>3</v>
      </c>
      <c r="BA298" s="91"/>
      <c r="BB298" s="91">
        <v>1</v>
      </c>
      <c r="BC298" s="91"/>
    </row>
    <row r="299" spans="1:55" x14ac:dyDescent="0.25">
      <c r="A299" s="91" t="s">
        <v>555</v>
      </c>
      <c r="B299" s="129">
        <f t="shared" si="6"/>
        <v>47</v>
      </c>
      <c r="C299" s="91">
        <v>2</v>
      </c>
      <c r="D299" s="91">
        <v>1</v>
      </c>
      <c r="E299" s="91"/>
      <c r="F299" s="91">
        <v>4</v>
      </c>
      <c r="G299" s="91"/>
      <c r="H299" s="91"/>
      <c r="I299" s="91"/>
      <c r="J299" s="91"/>
      <c r="K299" s="91"/>
      <c r="L299" s="91"/>
      <c r="M299" s="91">
        <v>4</v>
      </c>
      <c r="N299" s="91"/>
      <c r="O299" s="91">
        <v>1</v>
      </c>
      <c r="P299" s="91"/>
      <c r="Q299" s="91"/>
      <c r="R299" s="91"/>
      <c r="S299" s="91"/>
      <c r="T299" s="91"/>
      <c r="U299" s="91">
        <v>1</v>
      </c>
      <c r="V299" s="91"/>
      <c r="W299" s="91"/>
      <c r="X299" s="91"/>
      <c r="Y299" s="91">
        <v>6</v>
      </c>
      <c r="Z299" s="91"/>
      <c r="AA299" s="91"/>
      <c r="AB299" s="91"/>
      <c r="AC299" s="91">
        <v>1</v>
      </c>
      <c r="AD299" s="91">
        <v>1</v>
      </c>
      <c r="AE299" s="91"/>
      <c r="AF299" s="91"/>
      <c r="AG299" s="91"/>
      <c r="AH299" s="91"/>
      <c r="AI299" s="91">
        <v>2</v>
      </c>
      <c r="AJ299" s="91"/>
      <c r="AK299" s="91"/>
      <c r="AL299" s="91"/>
      <c r="AM299" s="91"/>
      <c r="AN299" s="91">
        <v>1</v>
      </c>
      <c r="AO299" s="91">
        <v>1</v>
      </c>
      <c r="AP299" s="91">
        <v>2</v>
      </c>
      <c r="AQ299" s="91">
        <v>6</v>
      </c>
      <c r="AR299" s="91">
        <v>1</v>
      </c>
      <c r="AS299" s="91"/>
      <c r="AT299" s="91"/>
      <c r="AU299" s="91">
        <v>2</v>
      </c>
      <c r="AV299" s="91"/>
      <c r="AW299" s="91">
        <v>2</v>
      </c>
      <c r="AX299" s="91">
        <v>1</v>
      </c>
      <c r="AY299" s="91"/>
      <c r="AZ299" s="91"/>
      <c r="BA299" s="91">
        <v>3</v>
      </c>
      <c r="BB299" s="91">
        <v>5</v>
      </c>
      <c r="BC299" s="91"/>
    </row>
    <row r="300" spans="1:55" x14ac:dyDescent="0.25">
      <c r="A300" s="91" t="s">
        <v>429</v>
      </c>
      <c r="B300" s="129">
        <f t="shared" si="6"/>
        <v>129</v>
      </c>
      <c r="C300" s="91">
        <v>2</v>
      </c>
      <c r="D300" s="91">
        <v>5</v>
      </c>
      <c r="E300" s="91"/>
      <c r="F300" s="91">
        <v>2</v>
      </c>
      <c r="G300" s="91">
        <v>4</v>
      </c>
      <c r="H300" s="91"/>
      <c r="I300" s="91">
        <v>3</v>
      </c>
      <c r="J300" s="91">
        <v>14</v>
      </c>
      <c r="K300" s="91">
        <v>3</v>
      </c>
      <c r="L300" s="91"/>
      <c r="M300" s="91"/>
      <c r="N300" s="91">
        <v>7</v>
      </c>
      <c r="O300" s="91"/>
      <c r="P300" s="91"/>
      <c r="Q300" s="91">
        <v>4</v>
      </c>
      <c r="R300" s="91"/>
      <c r="S300" s="91">
        <v>2</v>
      </c>
      <c r="T300" s="91">
        <v>1</v>
      </c>
      <c r="U300" s="91">
        <v>1</v>
      </c>
      <c r="V300" s="91">
        <v>4</v>
      </c>
      <c r="W300" s="91">
        <v>8</v>
      </c>
      <c r="X300" s="91">
        <v>5</v>
      </c>
      <c r="Y300" s="91">
        <v>1</v>
      </c>
      <c r="Z300" s="91">
        <v>1</v>
      </c>
      <c r="AA300" s="91">
        <v>8</v>
      </c>
      <c r="AB300" s="91">
        <v>1</v>
      </c>
      <c r="AC300" s="91">
        <v>1</v>
      </c>
      <c r="AD300" s="91">
        <v>1</v>
      </c>
      <c r="AE300" s="91">
        <v>1</v>
      </c>
      <c r="AF300" s="91"/>
      <c r="AG300" s="91"/>
      <c r="AH300" s="91">
        <v>3</v>
      </c>
      <c r="AI300" s="91">
        <v>1</v>
      </c>
      <c r="AJ300" s="91">
        <v>8</v>
      </c>
      <c r="AK300" s="91">
        <v>1</v>
      </c>
      <c r="AL300" s="91">
        <v>1</v>
      </c>
      <c r="AM300" s="91">
        <v>4</v>
      </c>
      <c r="AN300" s="91">
        <v>2</v>
      </c>
      <c r="AO300" s="91">
        <v>1</v>
      </c>
      <c r="AP300" s="91">
        <v>5</v>
      </c>
      <c r="AQ300" s="91"/>
      <c r="AR300" s="91"/>
      <c r="AS300" s="91">
        <v>1</v>
      </c>
      <c r="AT300" s="91"/>
      <c r="AU300" s="91"/>
      <c r="AV300" s="91">
        <v>4</v>
      </c>
      <c r="AW300" s="91"/>
      <c r="AX300" s="91"/>
      <c r="AY300" s="91"/>
      <c r="AZ300" s="91">
        <v>3</v>
      </c>
      <c r="BA300" s="91"/>
      <c r="BB300" s="91">
        <v>16</v>
      </c>
      <c r="BC300" s="91"/>
    </row>
    <row r="301" spans="1:55" x14ac:dyDescent="0.25">
      <c r="A301" s="91" t="s">
        <v>469</v>
      </c>
      <c r="B301" s="129">
        <f t="shared" si="6"/>
        <v>94</v>
      </c>
      <c r="C301" s="91">
        <v>6</v>
      </c>
      <c r="D301" s="91">
        <v>6</v>
      </c>
      <c r="E301" s="91">
        <v>1</v>
      </c>
      <c r="F301" s="91">
        <v>2</v>
      </c>
      <c r="G301" s="91"/>
      <c r="H301" s="91"/>
      <c r="I301" s="91">
        <v>3</v>
      </c>
      <c r="J301" s="91">
        <v>4</v>
      </c>
      <c r="K301" s="91">
        <v>1</v>
      </c>
      <c r="L301" s="91">
        <v>1</v>
      </c>
      <c r="M301" s="91">
        <v>1</v>
      </c>
      <c r="N301" s="91">
        <v>3</v>
      </c>
      <c r="O301" s="91"/>
      <c r="P301" s="91">
        <v>1</v>
      </c>
      <c r="Q301" s="91"/>
      <c r="R301" s="91">
        <v>2</v>
      </c>
      <c r="S301" s="91">
        <v>1</v>
      </c>
      <c r="T301" s="91"/>
      <c r="U301" s="91">
        <v>1</v>
      </c>
      <c r="V301" s="91">
        <v>5</v>
      </c>
      <c r="W301" s="91">
        <v>1</v>
      </c>
      <c r="X301" s="91">
        <v>1</v>
      </c>
      <c r="Y301" s="91">
        <v>3</v>
      </c>
      <c r="Z301" s="91">
        <v>1</v>
      </c>
      <c r="AA301" s="91">
        <v>2</v>
      </c>
      <c r="AB301" s="91">
        <v>1</v>
      </c>
      <c r="AC301" s="91">
        <v>1</v>
      </c>
      <c r="AD301" s="91"/>
      <c r="AE301" s="91">
        <v>3</v>
      </c>
      <c r="AF301" s="91"/>
      <c r="AG301" s="91">
        <v>1</v>
      </c>
      <c r="AH301" s="91">
        <v>4</v>
      </c>
      <c r="AI301" s="91">
        <v>2</v>
      </c>
      <c r="AJ301" s="91">
        <v>1</v>
      </c>
      <c r="AK301" s="91">
        <v>2</v>
      </c>
      <c r="AL301" s="91"/>
      <c r="AM301" s="91">
        <v>5</v>
      </c>
      <c r="AN301" s="91">
        <v>3</v>
      </c>
      <c r="AO301" s="91"/>
      <c r="AP301" s="91">
        <v>2</v>
      </c>
      <c r="AQ301" s="91"/>
      <c r="AR301" s="91">
        <v>2</v>
      </c>
      <c r="AS301" s="91">
        <v>1</v>
      </c>
      <c r="AT301" s="91"/>
      <c r="AU301" s="91">
        <v>2</v>
      </c>
      <c r="AV301" s="91"/>
      <c r="AW301" s="91"/>
      <c r="AX301" s="91"/>
      <c r="AY301" s="91">
        <v>2</v>
      </c>
      <c r="AZ301" s="91">
        <v>1</v>
      </c>
      <c r="BA301" s="91"/>
      <c r="BB301" s="91">
        <v>15</v>
      </c>
      <c r="BC301" s="91"/>
    </row>
    <row r="302" spans="1:55" x14ac:dyDescent="0.25">
      <c r="A302" s="91" t="s">
        <v>204</v>
      </c>
      <c r="B302" s="129">
        <f t="shared" si="6"/>
        <v>119</v>
      </c>
      <c r="C302" s="91"/>
      <c r="D302" s="91">
        <v>4</v>
      </c>
      <c r="E302" s="91">
        <v>6</v>
      </c>
      <c r="F302" s="91">
        <v>3</v>
      </c>
      <c r="G302" s="91">
        <v>14</v>
      </c>
      <c r="H302" s="91"/>
      <c r="I302" s="91"/>
      <c r="J302" s="91">
        <v>5</v>
      </c>
      <c r="K302" s="91"/>
      <c r="L302" s="91">
        <v>3</v>
      </c>
      <c r="M302" s="91"/>
      <c r="N302" s="91">
        <v>4</v>
      </c>
      <c r="O302" s="91">
        <v>6</v>
      </c>
      <c r="P302" s="91">
        <v>7</v>
      </c>
      <c r="Q302" s="91">
        <v>6</v>
      </c>
      <c r="R302" s="91">
        <v>2</v>
      </c>
      <c r="S302" s="91">
        <v>7</v>
      </c>
      <c r="T302" s="91"/>
      <c r="U302" s="91"/>
      <c r="V302" s="91"/>
      <c r="W302" s="91">
        <v>3</v>
      </c>
      <c r="X302" s="91">
        <v>3</v>
      </c>
      <c r="Y302" s="91">
        <v>7</v>
      </c>
      <c r="Z302" s="91"/>
      <c r="AA302" s="91">
        <v>1</v>
      </c>
      <c r="AB302" s="91"/>
      <c r="AC302" s="91"/>
      <c r="AD302" s="91">
        <v>2</v>
      </c>
      <c r="AE302" s="91">
        <v>1</v>
      </c>
      <c r="AF302" s="91"/>
      <c r="AG302" s="91"/>
      <c r="AH302" s="91">
        <v>1</v>
      </c>
      <c r="AI302" s="91"/>
      <c r="AJ302" s="91">
        <v>1</v>
      </c>
      <c r="AK302" s="91">
        <v>1</v>
      </c>
      <c r="AL302" s="91"/>
      <c r="AM302" s="91"/>
      <c r="AN302" s="91"/>
      <c r="AO302" s="91"/>
      <c r="AP302" s="91"/>
      <c r="AQ302" s="91"/>
      <c r="AR302" s="91">
        <v>2</v>
      </c>
      <c r="AS302" s="91">
        <v>7</v>
      </c>
      <c r="AT302" s="91"/>
      <c r="AU302" s="91"/>
      <c r="AV302" s="91"/>
      <c r="AW302" s="91">
        <v>9</v>
      </c>
      <c r="AX302" s="91"/>
      <c r="AY302" s="91">
        <v>3</v>
      </c>
      <c r="AZ302" s="91">
        <v>1</v>
      </c>
      <c r="BA302" s="91">
        <v>10</v>
      </c>
      <c r="BB302" s="91"/>
      <c r="BC302" s="91"/>
    </row>
    <row r="303" spans="1:55" x14ac:dyDescent="0.25">
      <c r="A303" s="91" t="s">
        <v>573</v>
      </c>
      <c r="B303" s="129">
        <f t="shared" si="6"/>
        <v>161</v>
      </c>
      <c r="C303" s="91">
        <v>4</v>
      </c>
      <c r="D303" s="91"/>
      <c r="E303" s="91">
        <v>2</v>
      </c>
      <c r="F303" s="91">
        <v>6</v>
      </c>
      <c r="G303" s="91">
        <v>5</v>
      </c>
      <c r="H303" s="91"/>
      <c r="I303" s="91">
        <v>2</v>
      </c>
      <c r="J303" s="91">
        <v>1</v>
      </c>
      <c r="K303" s="91">
        <v>12</v>
      </c>
      <c r="L303" s="91"/>
      <c r="M303" s="91">
        <v>1</v>
      </c>
      <c r="N303" s="91">
        <v>7</v>
      </c>
      <c r="O303" s="91">
        <v>3</v>
      </c>
      <c r="P303" s="91">
        <v>2</v>
      </c>
      <c r="Q303" s="91">
        <v>6</v>
      </c>
      <c r="R303" s="91">
        <v>2</v>
      </c>
      <c r="S303" s="91">
        <v>4</v>
      </c>
      <c r="T303" s="91"/>
      <c r="U303" s="91">
        <v>3</v>
      </c>
      <c r="V303" s="91">
        <v>6</v>
      </c>
      <c r="W303" s="91">
        <v>4</v>
      </c>
      <c r="X303" s="91">
        <v>2</v>
      </c>
      <c r="Y303" s="91"/>
      <c r="Z303" s="91">
        <v>4</v>
      </c>
      <c r="AA303" s="91">
        <v>5</v>
      </c>
      <c r="AB303" s="91">
        <v>4</v>
      </c>
      <c r="AC303" s="91">
        <v>1</v>
      </c>
      <c r="AD303" s="91">
        <v>6</v>
      </c>
      <c r="AE303" s="91">
        <v>5</v>
      </c>
      <c r="AF303" s="91">
        <v>4</v>
      </c>
      <c r="AG303" s="91">
        <v>5</v>
      </c>
      <c r="AH303" s="91">
        <v>1</v>
      </c>
      <c r="AI303" s="91">
        <v>4</v>
      </c>
      <c r="AJ303" s="91">
        <v>3</v>
      </c>
      <c r="AK303" s="91">
        <v>1</v>
      </c>
      <c r="AL303" s="91">
        <v>5</v>
      </c>
      <c r="AM303" s="91"/>
      <c r="AN303" s="91">
        <v>6</v>
      </c>
      <c r="AO303" s="91">
        <v>2</v>
      </c>
      <c r="AP303" s="91">
        <v>1</v>
      </c>
      <c r="AQ303" s="91"/>
      <c r="AR303" s="91"/>
      <c r="AS303" s="91"/>
      <c r="AT303" s="91"/>
      <c r="AU303" s="91">
        <v>2</v>
      </c>
      <c r="AV303" s="91">
        <v>2</v>
      </c>
      <c r="AW303" s="91">
        <v>14</v>
      </c>
      <c r="AX303" s="91">
        <v>7</v>
      </c>
      <c r="AY303" s="91"/>
      <c r="AZ303" s="91">
        <v>7</v>
      </c>
      <c r="BA303" s="91"/>
      <c r="BB303" s="91"/>
      <c r="BC303" s="91"/>
    </row>
    <row r="304" spans="1:55" x14ac:dyDescent="0.25">
      <c r="A304" s="91" t="s">
        <v>498</v>
      </c>
      <c r="B304" s="129">
        <f t="shared" si="6"/>
        <v>147</v>
      </c>
      <c r="C304" s="91">
        <v>1</v>
      </c>
      <c r="D304" s="91">
        <v>12</v>
      </c>
      <c r="E304" s="91">
        <v>1</v>
      </c>
      <c r="F304" s="91">
        <v>4</v>
      </c>
      <c r="G304" s="91">
        <v>8</v>
      </c>
      <c r="H304" s="91"/>
      <c r="I304" s="91"/>
      <c r="J304" s="91">
        <v>9</v>
      </c>
      <c r="K304" s="91"/>
      <c r="L304" s="91">
        <v>6</v>
      </c>
      <c r="M304" s="91">
        <v>3</v>
      </c>
      <c r="N304" s="91">
        <v>11</v>
      </c>
      <c r="O304" s="91">
        <v>3</v>
      </c>
      <c r="P304" s="91">
        <v>1</v>
      </c>
      <c r="Q304" s="91"/>
      <c r="R304" s="91"/>
      <c r="S304" s="91">
        <v>2</v>
      </c>
      <c r="T304" s="91"/>
      <c r="U304" s="91">
        <v>14</v>
      </c>
      <c r="V304" s="91">
        <v>1</v>
      </c>
      <c r="W304" s="91"/>
      <c r="X304" s="91">
        <v>9</v>
      </c>
      <c r="Y304" s="91">
        <v>1</v>
      </c>
      <c r="Z304" s="91">
        <v>3</v>
      </c>
      <c r="AA304" s="91"/>
      <c r="AB304" s="91">
        <v>3</v>
      </c>
      <c r="AC304" s="91">
        <v>9</v>
      </c>
      <c r="AD304" s="91"/>
      <c r="AE304" s="91">
        <v>6</v>
      </c>
      <c r="AF304" s="91">
        <v>4</v>
      </c>
      <c r="AG304" s="91">
        <v>9</v>
      </c>
      <c r="AH304" s="91">
        <v>5</v>
      </c>
      <c r="AI304" s="91">
        <v>1</v>
      </c>
      <c r="AJ304" s="91">
        <v>1</v>
      </c>
      <c r="AK304" s="91">
        <v>1</v>
      </c>
      <c r="AL304" s="91">
        <v>1</v>
      </c>
      <c r="AM304" s="91">
        <v>1</v>
      </c>
      <c r="AN304" s="91"/>
      <c r="AO304" s="91">
        <v>3</v>
      </c>
      <c r="AP304" s="91"/>
      <c r="AQ304" s="91">
        <v>1</v>
      </c>
      <c r="AR304" s="91">
        <v>1</v>
      </c>
      <c r="AS304" s="91"/>
      <c r="AT304" s="91"/>
      <c r="AU304" s="91">
        <v>1</v>
      </c>
      <c r="AV304" s="91"/>
      <c r="AW304" s="91"/>
      <c r="AX304" s="91">
        <v>2</v>
      </c>
      <c r="AY304" s="91">
        <v>4</v>
      </c>
      <c r="AZ304" s="91"/>
      <c r="BA304" s="91"/>
      <c r="BB304" s="91">
        <v>5</v>
      </c>
      <c r="BC304" s="91"/>
    </row>
    <row r="305" spans="1:55" x14ac:dyDescent="0.25">
      <c r="A305" s="91" t="s">
        <v>381</v>
      </c>
      <c r="B305" s="129">
        <f t="shared" si="6"/>
        <v>368</v>
      </c>
      <c r="C305" s="91">
        <v>12</v>
      </c>
      <c r="D305" s="91">
        <v>2</v>
      </c>
      <c r="E305" s="91">
        <v>2</v>
      </c>
      <c r="F305" s="91">
        <v>3</v>
      </c>
      <c r="G305" s="91">
        <v>9</v>
      </c>
      <c r="H305" s="91">
        <v>55</v>
      </c>
      <c r="I305" s="91">
        <v>9</v>
      </c>
      <c r="J305" s="91">
        <v>8</v>
      </c>
      <c r="K305" s="91">
        <v>5</v>
      </c>
      <c r="L305" s="91">
        <v>3</v>
      </c>
      <c r="M305" s="91">
        <v>4</v>
      </c>
      <c r="N305" s="91">
        <v>24</v>
      </c>
      <c r="O305" s="91">
        <v>2</v>
      </c>
      <c r="P305" s="91">
        <v>1</v>
      </c>
      <c r="Q305" s="91"/>
      <c r="R305" s="91">
        <v>6</v>
      </c>
      <c r="S305" s="91">
        <v>13</v>
      </c>
      <c r="T305" s="91">
        <v>4</v>
      </c>
      <c r="U305" s="91">
        <v>2</v>
      </c>
      <c r="V305" s="91">
        <v>3</v>
      </c>
      <c r="W305" s="91">
        <v>2</v>
      </c>
      <c r="X305" s="91">
        <v>5</v>
      </c>
      <c r="Y305" s="91">
        <v>24</v>
      </c>
      <c r="Z305" s="91">
        <v>2</v>
      </c>
      <c r="AA305" s="91">
        <v>6</v>
      </c>
      <c r="AB305" s="91">
        <v>14</v>
      </c>
      <c r="AC305" s="91">
        <v>5</v>
      </c>
      <c r="AD305" s="91">
        <v>10</v>
      </c>
      <c r="AE305" s="91">
        <v>14</v>
      </c>
      <c r="AF305" s="91">
        <v>3</v>
      </c>
      <c r="AG305" s="91">
        <v>6</v>
      </c>
      <c r="AH305" s="91">
        <v>6</v>
      </c>
      <c r="AI305" s="91">
        <v>1</v>
      </c>
      <c r="AJ305" s="91">
        <v>1</v>
      </c>
      <c r="AK305" s="91">
        <v>6</v>
      </c>
      <c r="AL305" s="91">
        <v>3</v>
      </c>
      <c r="AM305" s="91">
        <v>4</v>
      </c>
      <c r="AN305" s="91">
        <v>7</v>
      </c>
      <c r="AO305" s="91">
        <v>3</v>
      </c>
      <c r="AP305" s="91">
        <v>2</v>
      </c>
      <c r="AQ305" s="91">
        <v>5</v>
      </c>
      <c r="AR305" s="91">
        <v>5</v>
      </c>
      <c r="AS305" s="91">
        <v>1</v>
      </c>
      <c r="AT305" s="91"/>
      <c r="AU305" s="91">
        <v>7</v>
      </c>
      <c r="AV305" s="91">
        <v>1</v>
      </c>
      <c r="AW305" s="91">
        <v>46</v>
      </c>
      <c r="AX305" s="91">
        <v>6</v>
      </c>
      <c r="AY305" s="91">
        <v>1</v>
      </c>
      <c r="AZ305" s="91">
        <v>3</v>
      </c>
      <c r="BA305" s="91"/>
      <c r="BB305" s="91">
        <v>2</v>
      </c>
      <c r="BC305" s="91"/>
    </row>
    <row r="306" spans="1:55" x14ac:dyDescent="0.25">
      <c r="A306" s="91" t="s">
        <v>515</v>
      </c>
      <c r="B306" s="129">
        <f t="shared" si="6"/>
        <v>270</v>
      </c>
      <c r="C306" s="91">
        <v>3</v>
      </c>
      <c r="D306" s="91"/>
      <c r="E306" s="91">
        <v>7</v>
      </c>
      <c r="F306" s="91">
        <v>5</v>
      </c>
      <c r="G306" s="91"/>
      <c r="H306" s="91">
        <v>5</v>
      </c>
      <c r="I306" s="91">
        <v>11</v>
      </c>
      <c r="J306" s="91">
        <v>6</v>
      </c>
      <c r="K306" s="91">
        <v>3</v>
      </c>
      <c r="L306" s="91"/>
      <c r="M306" s="91">
        <v>12</v>
      </c>
      <c r="N306" s="91">
        <v>4</v>
      </c>
      <c r="O306" s="91">
        <v>2</v>
      </c>
      <c r="P306" s="91">
        <v>8</v>
      </c>
      <c r="Q306" s="91">
        <v>14</v>
      </c>
      <c r="R306" s="91">
        <v>13</v>
      </c>
      <c r="S306" s="91">
        <v>13</v>
      </c>
      <c r="T306" s="91"/>
      <c r="U306" s="91">
        <v>8</v>
      </c>
      <c r="V306" s="91">
        <v>3</v>
      </c>
      <c r="W306" s="91">
        <v>2</v>
      </c>
      <c r="X306" s="91">
        <v>4</v>
      </c>
      <c r="Y306" s="91"/>
      <c r="Z306" s="91">
        <v>11</v>
      </c>
      <c r="AA306" s="91">
        <v>2</v>
      </c>
      <c r="AB306" s="91">
        <v>3</v>
      </c>
      <c r="AC306" s="91">
        <v>3</v>
      </c>
      <c r="AD306" s="91">
        <v>9</v>
      </c>
      <c r="AE306" s="91">
        <v>9</v>
      </c>
      <c r="AF306" s="91">
        <v>6</v>
      </c>
      <c r="AG306" s="91">
        <v>12</v>
      </c>
      <c r="AH306" s="91">
        <v>12</v>
      </c>
      <c r="AI306" s="91">
        <v>2</v>
      </c>
      <c r="AJ306" s="91">
        <v>3</v>
      </c>
      <c r="AK306" s="91">
        <v>11</v>
      </c>
      <c r="AL306" s="91">
        <v>1</v>
      </c>
      <c r="AM306" s="91">
        <v>5</v>
      </c>
      <c r="AN306" s="91"/>
      <c r="AO306" s="91"/>
      <c r="AP306" s="91">
        <v>14</v>
      </c>
      <c r="AQ306" s="91">
        <v>10</v>
      </c>
      <c r="AR306" s="91">
        <v>1</v>
      </c>
      <c r="AS306" s="91">
        <v>9</v>
      </c>
      <c r="AT306" s="91"/>
      <c r="AU306" s="91"/>
      <c r="AV306" s="91"/>
      <c r="AW306" s="91">
        <v>11</v>
      </c>
      <c r="AX306" s="91">
        <v>1</v>
      </c>
      <c r="AY306" s="91">
        <v>2</v>
      </c>
      <c r="AZ306" s="91">
        <v>10</v>
      </c>
      <c r="BA306" s="91"/>
      <c r="BB306" s="91"/>
      <c r="BC306" s="91"/>
    </row>
    <row r="307" spans="1:55" x14ac:dyDescent="0.25">
      <c r="A307" s="91" t="s">
        <v>344</v>
      </c>
      <c r="B307" s="129">
        <f t="shared" si="6"/>
        <v>258</v>
      </c>
      <c r="C307" s="91">
        <v>20</v>
      </c>
      <c r="D307" s="91">
        <v>5</v>
      </c>
      <c r="E307" s="91">
        <v>12</v>
      </c>
      <c r="F307" s="91">
        <v>3</v>
      </c>
      <c r="G307" s="91">
        <v>7</v>
      </c>
      <c r="H307" s="91"/>
      <c r="I307" s="91">
        <v>6</v>
      </c>
      <c r="J307" s="91">
        <v>23</v>
      </c>
      <c r="K307" s="91"/>
      <c r="L307" s="91"/>
      <c r="M307" s="91">
        <v>8</v>
      </c>
      <c r="N307" s="91">
        <v>6</v>
      </c>
      <c r="O307" s="91">
        <v>1</v>
      </c>
      <c r="P307" s="91"/>
      <c r="Q307" s="91">
        <v>2</v>
      </c>
      <c r="R307" s="91">
        <v>8</v>
      </c>
      <c r="S307" s="91">
        <v>17</v>
      </c>
      <c r="T307" s="91"/>
      <c r="U307" s="91">
        <v>13</v>
      </c>
      <c r="V307" s="91">
        <v>2</v>
      </c>
      <c r="W307" s="91">
        <v>7</v>
      </c>
      <c r="X307" s="91">
        <v>15</v>
      </c>
      <c r="Y307" s="91">
        <v>3</v>
      </c>
      <c r="Z307" s="91">
        <v>2</v>
      </c>
      <c r="AA307" s="91">
        <v>1</v>
      </c>
      <c r="AB307" s="91"/>
      <c r="AC307" s="91">
        <v>9</v>
      </c>
      <c r="AD307" s="91">
        <v>2</v>
      </c>
      <c r="AE307" s="91">
        <v>1</v>
      </c>
      <c r="AF307" s="91">
        <v>3</v>
      </c>
      <c r="AG307" s="91">
        <v>3</v>
      </c>
      <c r="AH307" s="91">
        <v>10</v>
      </c>
      <c r="AI307" s="91">
        <v>1</v>
      </c>
      <c r="AJ307" s="91">
        <v>4</v>
      </c>
      <c r="AK307" s="91">
        <v>6</v>
      </c>
      <c r="AL307" s="91">
        <v>8</v>
      </c>
      <c r="AM307" s="91">
        <v>1</v>
      </c>
      <c r="AN307" s="91"/>
      <c r="AO307" s="91">
        <v>8</v>
      </c>
      <c r="AP307" s="91">
        <v>5</v>
      </c>
      <c r="AQ307" s="91"/>
      <c r="AR307" s="91">
        <v>4</v>
      </c>
      <c r="AS307" s="91">
        <v>9</v>
      </c>
      <c r="AT307" s="91"/>
      <c r="AU307" s="91"/>
      <c r="AV307" s="91">
        <v>1</v>
      </c>
      <c r="AW307" s="91">
        <v>7</v>
      </c>
      <c r="AX307" s="91">
        <v>1</v>
      </c>
      <c r="AY307" s="91">
        <v>1</v>
      </c>
      <c r="AZ307" s="91"/>
      <c r="BA307" s="91"/>
      <c r="BB307" s="91">
        <v>13</v>
      </c>
      <c r="BC307" s="91"/>
    </row>
    <row r="308" spans="1:55" x14ac:dyDescent="0.25">
      <c r="A308" s="91" t="s">
        <v>534</v>
      </c>
      <c r="B308" s="129">
        <f t="shared" si="6"/>
        <v>354</v>
      </c>
      <c r="C308" s="91"/>
      <c r="D308" s="91">
        <v>14</v>
      </c>
      <c r="E308" s="91">
        <v>4</v>
      </c>
      <c r="F308" s="91">
        <v>11</v>
      </c>
      <c r="G308" s="91">
        <v>4</v>
      </c>
      <c r="H308" s="91"/>
      <c r="I308" s="91">
        <v>15</v>
      </c>
      <c r="J308" s="91">
        <v>7</v>
      </c>
      <c r="K308" s="91">
        <v>11</v>
      </c>
      <c r="L308" s="91">
        <v>1</v>
      </c>
      <c r="M308" s="91">
        <v>15</v>
      </c>
      <c r="N308" s="91">
        <v>7</v>
      </c>
      <c r="O308" s="91">
        <v>7</v>
      </c>
      <c r="P308" s="91">
        <v>9</v>
      </c>
      <c r="Q308" s="91">
        <v>10</v>
      </c>
      <c r="R308" s="91">
        <v>1</v>
      </c>
      <c r="S308" s="91">
        <v>16</v>
      </c>
      <c r="T308" s="91"/>
      <c r="U308" s="91">
        <v>12</v>
      </c>
      <c r="V308" s="91">
        <v>1</v>
      </c>
      <c r="W308" s="91">
        <v>1</v>
      </c>
      <c r="X308" s="91">
        <v>8</v>
      </c>
      <c r="Y308" s="91">
        <v>2</v>
      </c>
      <c r="Z308" s="91">
        <v>11</v>
      </c>
      <c r="AA308" s="91">
        <v>1</v>
      </c>
      <c r="AB308" s="91">
        <v>10</v>
      </c>
      <c r="AC308" s="91">
        <v>9</v>
      </c>
      <c r="AD308" s="91">
        <v>14</v>
      </c>
      <c r="AE308" s="91">
        <v>13</v>
      </c>
      <c r="AF308" s="91">
        <v>11</v>
      </c>
      <c r="AG308" s="91">
        <v>12</v>
      </c>
      <c r="AH308" s="91">
        <v>4</v>
      </c>
      <c r="AI308" s="91">
        <v>8</v>
      </c>
      <c r="AJ308" s="91">
        <v>3</v>
      </c>
      <c r="AK308" s="91">
        <v>10</v>
      </c>
      <c r="AL308" s="91">
        <v>6</v>
      </c>
      <c r="AM308" s="91">
        <v>9</v>
      </c>
      <c r="AN308" s="91">
        <v>4</v>
      </c>
      <c r="AO308" s="91">
        <v>5</v>
      </c>
      <c r="AP308" s="91">
        <v>13</v>
      </c>
      <c r="AQ308" s="91">
        <v>9</v>
      </c>
      <c r="AR308" s="91">
        <v>2</v>
      </c>
      <c r="AS308" s="91">
        <v>13</v>
      </c>
      <c r="AT308" s="91"/>
      <c r="AU308" s="91">
        <v>2</v>
      </c>
      <c r="AV308" s="91"/>
      <c r="AW308" s="91">
        <v>4</v>
      </c>
      <c r="AX308" s="91">
        <v>5</v>
      </c>
      <c r="AY308" s="91"/>
      <c r="AZ308" s="91">
        <v>9</v>
      </c>
      <c r="BA308" s="91"/>
      <c r="BB308" s="91">
        <v>11</v>
      </c>
      <c r="BC308" s="91"/>
    </row>
    <row r="309" spans="1:55" x14ac:dyDescent="0.25">
      <c r="A309" s="91" t="s">
        <v>449</v>
      </c>
      <c r="B309" s="129">
        <f t="shared" si="6"/>
        <v>128</v>
      </c>
      <c r="C309" s="91">
        <v>2</v>
      </c>
      <c r="D309" s="91">
        <v>8</v>
      </c>
      <c r="E309" s="91">
        <v>3</v>
      </c>
      <c r="F309" s="91">
        <v>1</v>
      </c>
      <c r="G309" s="91">
        <v>9</v>
      </c>
      <c r="H309" s="91"/>
      <c r="I309" s="91">
        <v>3</v>
      </c>
      <c r="J309" s="91">
        <v>7</v>
      </c>
      <c r="K309" s="91">
        <v>5</v>
      </c>
      <c r="L309" s="91"/>
      <c r="M309" s="91">
        <v>2</v>
      </c>
      <c r="N309" s="91">
        <v>2</v>
      </c>
      <c r="O309" s="91">
        <v>1</v>
      </c>
      <c r="P309" s="91"/>
      <c r="Q309" s="91">
        <v>4</v>
      </c>
      <c r="R309" s="91">
        <v>3</v>
      </c>
      <c r="S309" s="91">
        <v>12</v>
      </c>
      <c r="T309" s="91"/>
      <c r="U309" s="91">
        <v>4</v>
      </c>
      <c r="V309" s="91">
        <v>4</v>
      </c>
      <c r="W309" s="91">
        <v>3</v>
      </c>
      <c r="X309" s="91">
        <v>6</v>
      </c>
      <c r="Y309" s="91"/>
      <c r="Z309" s="91">
        <v>2</v>
      </c>
      <c r="AA309" s="91"/>
      <c r="AB309" s="91">
        <v>3</v>
      </c>
      <c r="AC309" s="91"/>
      <c r="AD309" s="91">
        <v>2</v>
      </c>
      <c r="AE309" s="91">
        <v>2</v>
      </c>
      <c r="AF309" s="91">
        <v>2</v>
      </c>
      <c r="AG309" s="91">
        <v>1</v>
      </c>
      <c r="AH309" s="91">
        <v>7</v>
      </c>
      <c r="AI309" s="91">
        <v>2</v>
      </c>
      <c r="AJ309" s="91">
        <v>2</v>
      </c>
      <c r="AK309" s="91"/>
      <c r="AL309" s="91"/>
      <c r="AM309" s="91">
        <v>1</v>
      </c>
      <c r="AN309" s="91">
        <v>1</v>
      </c>
      <c r="AO309" s="91">
        <v>1</v>
      </c>
      <c r="AP309" s="91">
        <v>2</v>
      </c>
      <c r="AQ309" s="91"/>
      <c r="AR309" s="91">
        <v>2</v>
      </c>
      <c r="AS309" s="91"/>
      <c r="AT309" s="91"/>
      <c r="AU309" s="91"/>
      <c r="AV309" s="91">
        <v>1</v>
      </c>
      <c r="AW309" s="91"/>
      <c r="AX309" s="91"/>
      <c r="AY309" s="91"/>
      <c r="AZ309" s="91"/>
      <c r="BA309" s="91"/>
      <c r="BB309" s="91">
        <v>18</v>
      </c>
      <c r="BC309" s="91"/>
    </row>
    <row r="310" spans="1:55" x14ac:dyDescent="0.25">
      <c r="A310" s="91" t="s">
        <v>500</v>
      </c>
      <c r="B310" s="129">
        <f t="shared" si="6"/>
        <v>63</v>
      </c>
      <c r="C310" s="91"/>
      <c r="D310" s="91"/>
      <c r="E310" s="91"/>
      <c r="F310" s="91"/>
      <c r="G310" s="91"/>
      <c r="H310" s="91">
        <v>8</v>
      </c>
      <c r="I310" s="91"/>
      <c r="J310" s="91"/>
      <c r="K310" s="91">
        <v>4</v>
      </c>
      <c r="L310" s="91"/>
      <c r="M310" s="91">
        <v>1</v>
      </c>
      <c r="N310" s="91">
        <v>5</v>
      </c>
      <c r="O310" s="91"/>
      <c r="P310" s="91">
        <v>1</v>
      </c>
      <c r="Q310" s="91"/>
      <c r="R310" s="91">
        <v>4</v>
      </c>
      <c r="S310" s="91">
        <v>1</v>
      </c>
      <c r="T310" s="91"/>
      <c r="U310" s="91">
        <v>7</v>
      </c>
      <c r="V310" s="91"/>
      <c r="W310" s="91">
        <v>1</v>
      </c>
      <c r="X310" s="91">
        <v>1</v>
      </c>
      <c r="Y310" s="91"/>
      <c r="Z310" s="91"/>
      <c r="AA310" s="91">
        <v>1</v>
      </c>
      <c r="AB310" s="91"/>
      <c r="AC310" s="91"/>
      <c r="AD310" s="91"/>
      <c r="AE310" s="91">
        <v>2</v>
      </c>
      <c r="AF310" s="91"/>
      <c r="AG310" s="91"/>
      <c r="AH310" s="91">
        <v>2</v>
      </c>
      <c r="AI310" s="91">
        <v>5</v>
      </c>
      <c r="AJ310" s="91"/>
      <c r="AK310" s="91"/>
      <c r="AL310" s="91">
        <v>2</v>
      </c>
      <c r="AM310" s="91"/>
      <c r="AN310" s="91">
        <v>1</v>
      </c>
      <c r="AO310" s="91"/>
      <c r="AP310" s="91"/>
      <c r="AQ310" s="91"/>
      <c r="AR310" s="91">
        <v>2</v>
      </c>
      <c r="AS310" s="91"/>
      <c r="AT310" s="91"/>
      <c r="AU310" s="91">
        <v>2</v>
      </c>
      <c r="AV310" s="91">
        <v>4</v>
      </c>
      <c r="AW310" s="91">
        <v>1</v>
      </c>
      <c r="AX310" s="91">
        <v>4</v>
      </c>
      <c r="AY310" s="91"/>
      <c r="AZ310" s="91"/>
      <c r="BA310" s="91">
        <v>2</v>
      </c>
      <c r="BB310" s="91">
        <v>2</v>
      </c>
      <c r="BC310" s="91"/>
    </row>
    <row r="311" spans="1:55" x14ac:dyDescent="0.25">
      <c r="A311" s="91" t="s">
        <v>351</v>
      </c>
      <c r="B311" s="129">
        <f t="shared" si="6"/>
        <v>132</v>
      </c>
      <c r="C311" s="91">
        <v>3</v>
      </c>
      <c r="D311" s="91">
        <v>6</v>
      </c>
      <c r="E311" s="91"/>
      <c r="F311" s="91"/>
      <c r="G311" s="91"/>
      <c r="H311" s="91"/>
      <c r="I311" s="91">
        <v>2</v>
      </c>
      <c r="J311" s="91">
        <v>18</v>
      </c>
      <c r="K311" s="91">
        <v>3</v>
      </c>
      <c r="L311" s="91"/>
      <c r="M311" s="91">
        <v>1</v>
      </c>
      <c r="N311" s="91">
        <v>12</v>
      </c>
      <c r="O311" s="91">
        <v>2</v>
      </c>
      <c r="P311" s="91"/>
      <c r="Q311" s="91">
        <v>1</v>
      </c>
      <c r="R311" s="91">
        <v>1</v>
      </c>
      <c r="S311" s="91">
        <v>6</v>
      </c>
      <c r="T311" s="91"/>
      <c r="U311" s="91"/>
      <c r="V311" s="91">
        <v>4</v>
      </c>
      <c r="W311" s="91">
        <v>11</v>
      </c>
      <c r="X311" s="91">
        <v>7</v>
      </c>
      <c r="Y311" s="91">
        <v>1</v>
      </c>
      <c r="Z311" s="91">
        <v>2</v>
      </c>
      <c r="AA311" s="91"/>
      <c r="AB311" s="91"/>
      <c r="AC311" s="91"/>
      <c r="AD311" s="91">
        <v>3</v>
      </c>
      <c r="AE311" s="91">
        <v>2</v>
      </c>
      <c r="AF311" s="91">
        <v>1</v>
      </c>
      <c r="AG311" s="91">
        <v>1</v>
      </c>
      <c r="AH311" s="91">
        <v>3</v>
      </c>
      <c r="AI311" s="91">
        <v>1</v>
      </c>
      <c r="AJ311" s="91">
        <v>8</v>
      </c>
      <c r="AK311" s="91"/>
      <c r="AL311" s="91">
        <v>1</v>
      </c>
      <c r="AM311" s="91">
        <v>1</v>
      </c>
      <c r="AN311" s="91">
        <v>2</v>
      </c>
      <c r="AO311" s="91"/>
      <c r="AP311" s="91">
        <v>1</v>
      </c>
      <c r="AQ311" s="91"/>
      <c r="AR311" s="91"/>
      <c r="AS311" s="91">
        <v>2</v>
      </c>
      <c r="AT311" s="91"/>
      <c r="AU311" s="91">
        <v>1</v>
      </c>
      <c r="AV311" s="91">
        <v>1</v>
      </c>
      <c r="AW311" s="91"/>
      <c r="AX311" s="91"/>
      <c r="AY311" s="91">
        <v>3</v>
      </c>
      <c r="AZ311" s="91"/>
      <c r="BA311" s="91"/>
      <c r="BB311" s="91">
        <v>21</v>
      </c>
      <c r="BC311" s="91"/>
    </row>
    <row r="312" spans="1:55" x14ac:dyDescent="0.25">
      <c r="A312" s="91" t="s">
        <v>417</v>
      </c>
      <c r="B312" s="129">
        <f t="shared" si="6"/>
        <v>286</v>
      </c>
      <c r="C312" s="91">
        <v>7</v>
      </c>
      <c r="D312" s="91"/>
      <c r="E312" s="91">
        <v>22</v>
      </c>
      <c r="F312" s="91">
        <v>15</v>
      </c>
      <c r="G312" s="91">
        <v>19</v>
      </c>
      <c r="H312" s="91"/>
      <c r="I312" s="91">
        <v>8</v>
      </c>
      <c r="J312" s="91">
        <v>10</v>
      </c>
      <c r="K312" s="91">
        <v>3</v>
      </c>
      <c r="L312" s="91">
        <v>1</v>
      </c>
      <c r="M312" s="91">
        <v>7</v>
      </c>
      <c r="N312" s="91">
        <v>15</v>
      </c>
      <c r="O312" s="91">
        <v>6</v>
      </c>
      <c r="P312" s="91">
        <v>5</v>
      </c>
      <c r="Q312" s="91">
        <v>8</v>
      </c>
      <c r="R312" s="91">
        <v>6</v>
      </c>
      <c r="S312" s="91">
        <v>16</v>
      </c>
      <c r="T312" s="91"/>
      <c r="U312" s="91"/>
      <c r="V312" s="91"/>
      <c r="W312" s="91">
        <v>6</v>
      </c>
      <c r="X312" s="91">
        <v>7</v>
      </c>
      <c r="Y312" s="91">
        <v>3</v>
      </c>
      <c r="Z312" s="91">
        <v>10</v>
      </c>
      <c r="AA312" s="91">
        <v>6</v>
      </c>
      <c r="AB312" s="91">
        <v>2</v>
      </c>
      <c r="AC312" s="91">
        <v>4</v>
      </c>
      <c r="AD312" s="91">
        <v>3</v>
      </c>
      <c r="AE312" s="91">
        <v>8</v>
      </c>
      <c r="AF312" s="91">
        <v>1</v>
      </c>
      <c r="AG312" s="91">
        <v>1</v>
      </c>
      <c r="AH312" s="91">
        <v>2</v>
      </c>
      <c r="AI312" s="91">
        <v>2</v>
      </c>
      <c r="AJ312" s="91">
        <v>10</v>
      </c>
      <c r="AK312" s="91"/>
      <c r="AL312" s="91"/>
      <c r="AM312" s="91">
        <v>7</v>
      </c>
      <c r="AN312" s="91">
        <v>12</v>
      </c>
      <c r="AO312" s="91">
        <v>7</v>
      </c>
      <c r="AP312" s="91"/>
      <c r="AQ312" s="91">
        <v>8</v>
      </c>
      <c r="AR312" s="91">
        <v>4</v>
      </c>
      <c r="AS312" s="91">
        <v>7</v>
      </c>
      <c r="AT312" s="91"/>
      <c r="AU312" s="91">
        <v>2</v>
      </c>
      <c r="AV312" s="91">
        <v>4</v>
      </c>
      <c r="AW312" s="91">
        <v>10</v>
      </c>
      <c r="AX312" s="91"/>
      <c r="AY312" s="91">
        <v>3</v>
      </c>
      <c r="AZ312" s="91">
        <v>5</v>
      </c>
      <c r="BA312" s="91"/>
      <c r="BB312" s="91">
        <v>4</v>
      </c>
      <c r="BC312" s="91"/>
    </row>
    <row r="313" spans="1:55" x14ac:dyDescent="0.25">
      <c r="A313" s="91" t="s">
        <v>380</v>
      </c>
      <c r="B313" s="129">
        <f t="shared" si="6"/>
        <v>127</v>
      </c>
      <c r="C313" s="91">
        <v>12</v>
      </c>
      <c r="D313" s="91"/>
      <c r="E313" s="91">
        <v>2</v>
      </c>
      <c r="F313" s="91">
        <v>3</v>
      </c>
      <c r="G313" s="91">
        <v>9</v>
      </c>
      <c r="H313" s="91"/>
      <c r="I313" s="91">
        <v>3</v>
      </c>
      <c r="J313" s="91">
        <v>3</v>
      </c>
      <c r="K313" s="91">
        <v>4</v>
      </c>
      <c r="L313" s="91">
        <v>1</v>
      </c>
      <c r="M313" s="91">
        <v>2</v>
      </c>
      <c r="N313" s="91">
        <v>2</v>
      </c>
      <c r="O313" s="91">
        <v>1</v>
      </c>
      <c r="P313" s="91">
        <v>2</v>
      </c>
      <c r="Q313" s="91"/>
      <c r="R313" s="91">
        <v>8</v>
      </c>
      <c r="S313" s="91">
        <v>5</v>
      </c>
      <c r="T313" s="91"/>
      <c r="U313" s="91">
        <v>3</v>
      </c>
      <c r="V313" s="91">
        <v>1</v>
      </c>
      <c r="W313" s="91">
        <v>2</v>
      </c>
      <c r="X313" s="91">
        <v>5</v>
      </c>
      <c r="Y313" s="91">
        <v>5</v>
      </c>
      <c r="Z313" s="91">
        <v>2</v>
      </c>
      <c r="AA313" s="91">
        <v>2</v>
      </c>
      <c r="AB313" s="91">
        <v>5</v>
      </c>
      <c r="AC313" s="91">
        <v>1</v>
      </c>
      <c r="AD313" s="91">
        <v>2</v>
      </c>
      <c r="AE313" s="91">
        <v>8</v>
      </c>
      <c r="AF313" s="91">
        <v>2</v>
      </c>
      <c r="AG313" s="91">
        <v>2</v>
      </c>
      <c r="AH313" s="91">
        <v>3</v>
      </c>
      <c r="AI313" s="91">
        <v>1</v>
      </c>
      <c r="AJ313" s="91">
        <v>2</v>
      </c>
      <c r="AK313" s="91"/>
      <c r="AL313" s="91"/>
      <c r="AM313" s="91">
        <v>1</v>
      </c>
      <c r="AN313" s="91">
        <v>4</v>
      </c>
      <c r="AO313" s="91">
        <v>3</v>
      </c>
      <c r="AP313" s="91"/>
      <c r="AQ313" s="91">
        <v>4</v>
      </c>
      <c r="AR313" s="91">
        <v>4</v>
      </c>
      <c r="AS313" s="91"/>
      <c r="AT313" s="91"/>
      <c r="AU313" s="91"/>
      <c r="AV313" s="91"/>
      <c r="AW313" s="91">
        <v>1</v>
      </c>
      <c r="AX313" s="91"/>
      <c r="AY313" s="91"/>
      <c r="AZ313" s="91">
        <v>1</v>
      </c>
      <c r="BA313" s="91"/>
      <c r="BB313" s="91">
        <v>6</v>
      </c>
      <c r="BC313" s="91"/>
    </row>
    <row r="314" spans="1:55" x14ac:dyDescent="0.25">
      <c r="A314" s="91" t="s">
        <v>78</v>
      </c>
      <c r="B314" s="129">
        <f t="shared" si="6"/>
        <v>5</v>
      </c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>
        <v>5</v>
      </c>
      <c r="BB314" s="91"/>
      <c r="BC314" s="91"/>
    </row>
    <row r="315" spans="1:55" x14ac:dyDescent="0.25">
      <c r="A315" s="91" t="s">
        <v>257</v>
      </c>
      <c r="B315" s="129">
        <f t="shared" si="6"/>
        <v>74</v>
      </c>
      <c r="C315" s="91"/>
      <c r="D315" s="91">
        <v>1</v>
      </c>
      <c r="E315" s="91"/>
      <c r="F315" s="91">
        <v>6</v>
      </c>
      <c r="G315" s="91">
        <v>9</v>
      </c>
      <c r="H315" s="91"/>
      <c r="I315" s="91">
        <v>10</v>
      </c>
      <c r="J315" s="91">
        <v>2</v>
      </c>
      <c r="K315" s="91">
        <v>1</v>
      </c>
      <c r="L315" s="91"/>
      <c r="M315" s="91">
        <v>1</v>
      </c>
      <c r="N315" s="91">
        <v>1</v>
      </c>
      <c r="O315" s="91"/>
      <c r="P315" s="91"/>
      <c r="Q315" s="91">
        <v>2</v>
      </c>
      <c r="R315" s="91">
        <v>1</v>
      </c>
      <c r="S315" s="91">
        <v>2</v>
      </c>
      <c r="T315" s="91"/>
      <c r="U315" s="91">
        <v>1</v>
      </c>
      <c r="V315" s="91"/>
      <c r="W315" s="91">
        <v>2</v>
      </c>
      <c r="X315" s="91">
        <v>1</v>
      </c>
      <c r="Y315" s="91">
        <v>6</v>
      </c>
      <c r="Z315" s="91"/>
      <c r="AA315" s="91">
        <v>2</v>
      </c>
      <c r="AB315" s="91">
        <v>1</v>
      </c>
      <c r="AC315" s="91">
        <v>5</v>
      </c>
      <c r="AD315" s="91"/>
      <c r="AE315" s="91"/>
      <c r="AF315" s="91"/>
      <c r="AG315" s="91"/>
      <c r="AH315" s="91">
        <v>1</v>
      </c>
      <c r="AI315" s="91"/>
      <c r="AJ315" s="91">
        <v>3</v>
      </c>
      <c r="AK315" s="91">
        <v>3</v>
      </c>
      <c r="AL315" s="91">
        <v>1</v>
      </c>
      <c r="AM315" s="91"/>
      <c r="AN315" s="91">
        <v>5</v>
      </c>
      <c r="AO315" s="91">
        <v>1</v>
      </c>
      <c r="AP315" s="91">
        <v>1</v>
      </c>
      <c r="AQ315" s="91"/>
      <c r="AR315" s="91"/>
      <c r="AS315" s="91">
        <v>3</v>
      </c>
      <c r="AT315" s="91"/>
      <c r="AU315" s="91"/>
      <c r="AV315" s="91"/>
      <c r="AW315" s="91"/>
      <c r="AX315" s="91"/>
      <c r="AY315" s="91"/>
      <c r="AZ315" s="91"/>
      <c r="BA315" s="91">
        <v>2</v>
      </c>
      <c r="BB315" s="91"/>
      <c r="BC315" s="91"/>
    </row>
    <row r="316" spans="1:55" x14ac:dyDescent="0.25">
      <c r="A316" s="91" t="s">
        <v>340</v>
      </c>
      <c r="B316" s="129">
        <f t="shared" si="6"/>
        <v>315</v>
      </c>
      <c r="C316" s="91">
        <v>3</v>
      </c>
      <c r="D316" s="91">
        <v>9</v>
      </c>
      <c r="E316" s="91">
        <v>5</v>
      </c>
      <c r="F316" s="91">
        <v>2</v>
      </c>
      <c r="G316" s="91">
        <v>6</v>
      </c>
      <c r="H316" s="91">
        <v>3</v>
      </c>
      <c r="I316" s="91">
        <v>10</v>
      </c>
      <c r="J316" s="91">
        <v>9</v>
      </c>
      <c r="K316" s="91">
        <v>5</v>
      </c>
      <c r="L316" s="91">
        <v>9</v>
      </c>
      <c r="M316" s="91">
        <v>4</v>
      </c>
      <c r="N316" s="91">
        <v>5</v>
      </c>
      <c r="O316" s="91">
        <v>1</v>
      </c>
      <c r="P316" s="91">
        <v>18</v>
      </c>
      <c r="Q316" s="91">
        <v>6</v>
      </c>
      <c r="R316" s="91">
        <v>7</v>
      </c>
      <c r="S316" s="91">
        <v>14</v>
      </c>
      <c r="T316" s="91"/>
      <c r="U316" s="91">
        <v>13</v>
      </c>
      <c r="V316" s="91">
        <v>6</v>
      </c>
      <c r="W316" s="91">
        <v>5</v>
      </c>
      <c r="X316" s="91">
        <v>10</v>
      </c>
      <c r="Y316" s="91">
        <v>4</v>
      </c>
      <c r="Z316" s="91">
        <v>2</v>
      </c>
      <c r="AA316" s="91">
        <v>6</v>
      </c>
      <c r="AB316" s="91">
        <v>6</v>
      </c>
      <c r="AC316" s="91"/>
      <c r="AD316" s="91">
        <v>6</v>
      </c>
      <c r="AE316" s="91">
        <v>4</v>
      </c>
      <c r="AF316" s="91">
        <v>6</v>
      </c>
      <c r="AG316" s="91">
        <v>12</v>
      </c>
      <c r="AH316" s="91">
        <v>6</v>
      </c>
      <c r="AI316" s="91">
        <v>8</v>
      </c>
      <c r="AJ316" s="91">
        <v>6</v>
      </c>
      <c r="AK316" s="91">
        <v>4</v>
      </c>
      <c r="AL316" s="91">
        <v>8</v>
      </c>
      <c r="AM316" s="91"/>
      <c r="AN316" s="91">
        <v>2</v>
      </c>
      <c r="AO316" s="91">
        <v>17</v>
      </c>
      <c r="AP316" s="91">
        <v>3</v>
      </c>
      <c r="AQ316" s="91">
        <v>8</v>
      </c>
      <c r="AR316" s="91">
        <v>11</v>
      </c>
      <c r="AS316" s="91">
        <v>4</v>
      </c>
      <c r="AT316" s="91"/>
      <c r="AU316" s="91">
        <v>3</v>
      </c>
      <c r="AV316" s="91">
        <v>6</v>
      </c>
      <c r="AW316" s="91">
        <v>3</v>
      </c>
      <c r="AX316" s="91">
        <v>9</v>
      </c>
      <c r="AY316" s="91">
        <v>12</v>
      </c>
      <c r="AZ316" s="91">
        <v>6</v>
      </c>
      <c r="BA316" s="91"/>
      <c r="BB316" s="91">
        <v>3</v>
      </c>
      <c r="BC316" s="91"/>
    </row>
    <row r="317" spans="1:55" x14ac:dyDescent="0.25">
      <c r="A317" s="91" t="s">
        <v>280</v>
      </c>
      <c r="B317" s="129">
        <f t="shared" si="6"/>
        <v>151</v>
      </c>
      <c r="C317" s="91">
        <v>5</v>
      </c>
      <c r="D317" s="91">
        <v>3</v>
      </c>
      <c r="E317" s="91">
        <v>3</v>
      </c>
      <c r="F317" s="91">
        <v>10</v>
      </c>
      <c r="G317" s="91">
        <v>11</v>
      </c>
      <c r="H317" s="91">
        <v>2</v>
      </c>
      <c r="I317" s="91">
        <v>2</v>
      </c>
      <c r="J317" s="91">
        <v>5</v>
      </c>
      <c r="K317" s="91">
        <v>3</v>
      </c>
      <c r="L317" s="91">
        <v>10</v>
      </c>
      <c r="M317" s="91">
        <v>3</v>
      </c>
      <c r="N317" s="91">
        <v>5</v>
      </c>
      <c r="O317" s="91">
        <v>6</v>
      </c>
      <c r="P317" s="91">
        <v>9</v>
      </c>
      <c r="Q317" s="91">
        <v>2</v>
      </c>
      <c r="R317" s="91">
        <v>3</v>
      </c>
      <c r="S317" s="91">
        <v>4</v>
      </c>
      <c r="T317" s="91"/>
      <c r="U317" s="91">
        <v>2</v>
      </c>
      <c r="V317" s="91">
        <v>1</v>
      </c>
      <c r="W317" s="91">
        <v>2</v>
      </c>
      <c r="X317" s="91">
        <v>5</v>
      </c>
      <c r="Y317" s="91">
        <v>2</v>
      </c>
      <c r="Z317" s="91"/>
      <c r="AA317" s="91"/>
      <c r="AB317" s="91">
        <v>1</v>
      </c>
      <c r="AC317" s="91">
        <v>7</v>
      </c>
      <c r="AD317" s="91">
        <v>2</v>
      </c>
      <c r="AE317" s="91">
        <v>1</v>
      </c>
      <c r="AF317" s="91">
        <v>2</v>
      </c>
      <c r="AG317" s="91">
        <v>2</v>
      </c>
      <c r="AH317" s="91">
        <v>4</v>
      </c>
      <c r="AI317" s="91">
        <v>1</v>
      </c>
      <c r="AJ317" s="91">
        <v>3</v>
      </c>
      <c r="AK317" s="91">
        <v>2</v>
      </c>
      <c r="AL317" s="91">
        <v>7</v>
      </c>
      <c r="AM317" s="91">
        <v>1</v>
      </c>
      <c r="AN317" s="91">
        <v>2</v>
      </c>
      <c r="AO317" s="91"/>
      <c r="AP317" s="91"/>
      <c r="AQ317" s="91">
        <v>1</v>
      </c>
      <c r="AR317" s="91">
        <v>3</v>
      </c>
      <c r="AS317" s="91">
        <v>2</v>
      </c>
      <c r="AT317" s="91"/>
      <c r="AU317" s="91">
        <v>5</v>
      </c>
      <c r="AV317" s="91"/>
      <c r="AW317" s="91"/>
      <c r="AX317" s="91">
        <v>4</v>
      </c>
      <c r="AY317" s="91">
        <v>1</v>
      </c>
      <c r="AZ317" s="91"/>
      <c r="BA317" s="91"/>
      <c r="BB317" s="91">
        <v>2</v>
      </c>
      <c r="BC317" s="91"/>
    </row>
    <row r="318" spans="1:55" x14ac:dyDescent="0.25">
      <c r="A318" s="91" t="s">
        <v>260</v>
      </c>
      <c r="B318" s="129">
        <f t="shared" si="6"/>
        <v>202</v>
      </c>
      <c r="C318" s="91">
        <v>2</v>
      </c>
      <c r="D318" s="91">
        <v>11</v>
      </c>
      <c r="E318" s="91">
        <v>1</v>
      </c>
      <c r="F318" s="91">
        <v>1</v>
      </c>
      <c r="G318" s="91">
        <v>9</v>
      </c>
      <c r="H318" s="91">
        <v>5</v>
      </c>
      <c r="I318" s="91">
        <v>5</v>
      </c>
      <c r="J318" s="91">
        <v>11</v>
      </c>
      <c r="K318" s="91">
        <v>1</v>
      </c>
      <c r="L318" s="91">
        <v>7</v>
      </c>
      <c r="M318" s="91"/>
      <c r="N318" s="91">
        <v>9</v>
      </c>
      <c r="O318" s="91">
        <v>9</v>
      </c>
      <c r="P318" s="91">
        <v>1</v>
      </c>
      <c r="Q318" s="91">
        <v>3</v>
      </c>
      <c r="R318" s="91">
        <v>7</v>
      </c>
      <c r="S318" s="91">
        <v>12</v>
      </c>
      <c r="T318" s="91">
        <v>2</v>
      </c>
      <c r="U318" s="91">
        <v>3</v>
      </c>
      <c r="V318" s="91"/>
      <c r="W318" s="91">
        <v>5</v>
      </c>
      <c r="X318" s="91">
        <v>4</v>
      </c>
      <c r="Y318" s="91">
        <v>5</v>
      </c>
      <c r="Z318" s="91">
        <v>6</v>
      </c>
      <c r="AA318" s="91">
        <v>9</v>
      </c>
      <c r="AB318" s="91"/>
      <c r="AC318" s="91">
        <v>8</v>
      </c>
      <c r="AD318" s="91">
        <v>3</v>
      </c>
      <c r="AE318" s="91">
        <v>3</v>
      </c>
      <c r="AF318" s="91">
        <v>1</v>
      </c>
      <c r="AG318" s="91">
        <v>1</v>
      </c>
      <c r="AH318" s="91">
        <v>4</v>
      </c>
      <c r="AI318" s="91">
        <v>2</v>
      </c>
      <c r="AJ318" s="91"/>
      <c r="AK318" s="91"/>
      <c r="AL318" s="91"/>
      <c r="AM318" s="91">
        <v>1</v>
      </c>
      <c r="AN318" s="91">
        <v>2</v>
      </c>
      <c r="AO318" s="91">
        <v>7</v>
      </c>
      <c r="AP318" s="91">
        <v>9</v>
      </c>
      <c r="AQ318" s="91">
        <v>3</v>
      </c>
      <c r="AR318" s="91">
        <v>3</v>
      </c>
      <c r="AS318" s="91"/>
      <c r="AT318" s="91"/>
      <c r="AU318" s="91"/>
      <c r="AV318" s="91">
        <v>3</v>
      </c>
      <c r="AW318" s="91">
        <v>5</v>
      </c>
      <c r="AX318" s="91">
        <v>6</v>
      </c>
      <c r="AY318" s="91">
        <v>2</v>
      </c>
      <c r="AZ318" s="91">
        <v>1</v>
      </c>
      <c r="BA318" s="91">
        <v>2</v>
      </c>
      <c r="BB318" s="91">
        <v>8</v>
      </c>
      <c r="BC318" s="91"/>
    </row>
    <row r="319" spans="1:55" x14ac:dyDescent="0.25">
      <c r="A319" s="91" t="s">
        <v>431</v>
      </c>
      <c r="B319" s="129">
        <f t="shared" si="6"/>
        <v>342</v>
      </c>
      <c r="C319" s="91">
        <v>9</v>
      </c>
      <c r="D319" s="91">
        <v>17</v>
      </c>
      <c r="E319" s="91">
        <v>5</v>
      </c>
      <c r="F319" s="91">
        <v>19</v>
      </c>
      <c r="G319" s="91">
        <v>8</v>
      </c>
      <c r="H319" s="91"/>
      <c r="I319" s="91">
        <v>15</v>
      </c>
      <c r="J319" s="91">
        <v>11</v>
      </c>
      <c r="K319" s="91">
        <v>1</v>
      </c>
      <c r="L319" s="91">
        <v>3</v>
      </c>
      <c r="M319" s="91">
        <v>6</v>
      </c>
      <c r="N319" s="91">
        <v>21</v>
      </c>
      <c r="O319" s="91">
        <v>2</v>
      </c>
      <c r="P319" s="91">
        <v>1</v>
      </c>
      <c r="Q319" s="91">
        <v>10</v>
      </c>
      <c r="R319" s="91">
        <v>10</v>
      </c>
      <c r="S319" s="91">
        <v>7</v>
      </c>
      <c r="T319" s="91"/>
      <c r="U319" s="91">
        <v>5</v>
      </c>
      <c r="V319" s="91">
        <v>3</v>
      </c>
      <c r="W319" s="91">
        <v>3</v>
      </c>
      <c r="X319" s="91">
        <v>10</v>
      </c>
      <c r="Y319" s="91">
        <v>11</v>
      </c>
      <c r="Z319" s="91"/>
      <c r="AA319" s="91">
        <v>6</v>
      </c>
      <c r="AB319" s="91">
        <v>5</v>
      </c>
      <c r="AC319" s="91">
        <v>2</v>
      </c>
      <c r="AD319" s="91">
        <v>6</v>
      </c>
      <c r="AE319" s="91">
        <v>6</v>
      </c>
      <c r="AF319" s="91">
        <v>2</v>
      </c>
      <c r="AG319" s="91">
        <v>8</v>
      </c>
      <c r="AH319" s="91">
        <v>10</v>
      </c>
      <c r="AI319" s="91">
        <v>13</v>
      </c>
      <c r="AJ319" s="91">
        <v>7</v>
      </c>
      <c r="AK319" s="91">
        <v>4</v>
      </c>
      <c r="AL319" s="91">
        <v>3</v>
      </c>
      <c r="AM319" s="91">
        <v>5</v>
      </c>
      <c r="AN319" s="91">
        <v>3</v>
      </c>
      <c r="AO319" s="91">
        <v>8</v>
      </c>
      <c r="AP319" s="91">
        <v>4</v>
      </c>
      <c r="AQ319" s="91">
        <v>10</v>
      </c>
      <c r="AR319" s="91">
        <v>3</v>
      </c>
      <c r="AS319" s="91">
        <v>4</v>
      </c>
      <c r="AT319" s="91"/>
      <c r="AU319" s="91">
        <v>2</v>
      </c>
      <c r="AV319" s="91">
        <v>2</v>
      </c>
      <c r="AW319" s="91">
        <v>11</v>
      </c>
      <c r="AX319" s="91">
        <v>11</v>
      </c>
      <c r="AY319" s="91">
        <v>3</v>
      </c>
      <c r="AZ319" s="91">
        <v>18</v>
      </c>
      <c r="BA319" s="91">
        <v>2</v>
      </c>
      <c r="BB319" s="91">
        <v>7</v>
      </c>
      <c r="BC319" s="91"/>
    </row>
    <row r="320" spans="1:55" x14ac:dyDescent="0.25">
      <c r="A320" s="91" t="s">
        <v>325</v>
      </c>
      <c r="B320" s="129">
        <f t="shared" si="6"/>
        <v>215</v>
      </c>
      <c r="C320" s="91">
        <v>10</v>
      </c>
      <c r="D320" s="91">
        <v>1</v>
      </c>
      <c r="E320" s="91">
        <v>2</v>
      </c>
      <c r="F320" s="91">
        <v>6</v>
      </c>
      <c r="G320" s="91">
        <v>10</v>
      </c>
      <c r="H320" s="91"/>
      <c r="I320" s="91">
        <v>6</v>
      </c>
      <c r="J320" s="91">
        <v>8</v>
      </c>
      <c r="K320" s="91">
        <v>2</v>
      </c>
      <c r="L320" s="91">
        <v>1</v>
      </c>
      <c r="M320" s="91"/>
      <c r="N320" s="91">
        <v>3</v>
      </c>
      <c r="O320" s="91">
        <v>6</v>
      </c>
      <c r="P320" s="91">
        <v>4</v>
      </c>
      <c r="Q320" s="91">
        <v>8</v>
      </c>
      <c r="R320" s="91">
        <v>2</v>
      </c>
      <c r="S320" s="91">
        <v>5</v>
      </c>
      <c r="T320" s="91">
        <v>4</v>
      </c>
      <c r="U320" s="91">
        <v>7</v>
      </c>
      <c r="V320" s="91">
        <v>4</v>
      </c>
      <c r="W320" s="91">
        <v>6</v>
      </c>
      <c r="X320" s="91">
        <v>2</v>
      </c>
      <c r="Y320" s="91">
        <v>12</v>
      </c>
      <c r="Z320" s="91"/>
      <c r="AA320" s="91"/>
      <c r="AB320" s="91">
        <v>2</v>
      </c>
      <c r="AC320" s="91">
        <v>1</v>
      </c>
      <c r="AD320" s="91">
        <v>4</v>
      </c>
      <c r="AE320" s="91">
        <v>3</v>
      </c>
      <c r="AF320" s="91">
        <v>1</v>
      </c>
      <c r="AG320" s="91">
        <v>7</v>
      </c>
      <c r="AH320" s="91">
        <v>1</v>
      </c>
      <c r="AI320" s="91">
        <v>13</v>
      </c>
      <c r="AJ320" s="91">
        <v>15</v>
      </c>
      <c r="AK320" s="91">
        <v>2</v>
      </c>
      <c r="AL320" s="91">
        <v>2</v>
      </c>
      <c r="AM320" s="91">
        <v>2</v>
      </c>
      <c r="AN320" s="91">
        <v>1</v>
      </c>
      <c r="AO320" s="91">
        <v>3</v>
      </c>
      <c r="AP320" s="91">
        <v>10</v>
      </c>
      <c r="AQ320" s="91">
        <v>5</v>
      </c>
      <c r="AR320" s="91">
        <v>3</v>
      </c>
      <c r="AS320" s="91"/>
      <c r="AT320" s="91"/>
      <c r="AU320" s="91">
        <v>9</v>
      </c>
      <c r="AV320" s="91">
        <v>4</v>
      </c>
      <c r="AW320" s="91">
        <v>4</v>
      </c>
      <c r="AX320" s="91">
        <v>6</v>
      </c>
      <c r="AY320" s="91">
        <v>2</v>
      </c>
      <c r="AZ320" s="91">
        <v>5</v>
      </c>
      <c r="BA320" s="91"/>
      <c r="BB320" s="91">
        <v>1</v>
      </c>
      <c r="BC320" s="91"/>
    </row>
    <row r="321" spans="1:55" x14ac:dyDescent="0.25">
      <c r="A321" s="91" t="s">
        <v>349</v>
      </c>
      <c r="B321" s="129">
        <f t="shared" si="6"/>
        <v>21</v>
      </c>
      <c r="C321" s="91"/>
      <c r="D321" s="91">
        <v>1</v>
      </c>
      <c r="E321" s="91">
        <v>2</v>
      </c>
      <c r="F321" s="91">
        <v>2</v>
      </c>
      <c r="G321" s="91"/>
      <c r="H321" s="91"/>
      <c r="I321" s="91">
        <v>2</v>
      </c>
      <c r="J321" s="91">
        <v>3</v>
      </c>
      <c r="K321" s="91"/>
      <c r="L321" s="91"/>
      <c r="M321" s="91"/>
      <c r="N321" s="91"/>
      <c r="O321" s="91"/>
      <c r="P321" s="91">
        <v>3</v>
      </c>
      <c r="Q321" s="91"/>
      <c r="R321" s="91"/>
      <c r="S321" s="91">
        <v>2</v>
      </c>
      <c r="T321" s="91"/>
      <c r="U321" s="91"/>
      <c r="V321" s="91"/>
      <c r="W321" s="91">
        <v>1</v>
      </c>
      <c r="X321" s="91"/>
      <c r="Y321" s="91"/>
      <c r="Z321" s="91"/>
      <c r="AA321" s="91"/>
      <c r="AB321" s="91"/>
      <c r="AC321" s="91">
        <v>1</v>
      </c>
      <c r="AD321" s="91"/>
      <c r="AE321" s="91"/>
      <c r="AF321" s="91">
        <v>3</v>
      </c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>
        <v>1</v>
      </c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</row>
    <row r="322" spans="1:55" x14ac:dyDescent="0.25">
      <c r="A322" s="91" t="s">
        <v>375</v>
      </c>
      <c r="B322" s="129">
        <f t="shared" si="6"/>
        <v>84</v>
      </c>
      <c r="C322" s="91"/>
      <c r="D322" s="91"/>
      <c r="E322" s="91">
        <v>6</v>
      </c>
      <c r="F322" s="91">
        <v>2</v>
      </c>
      <c r="G322" s="91">
        <v>2</v>
      </c>
      <c r="H322" s="91"/>
      <c r="I322" s="91">
        <v>11</v>
      </c>
      <c r="J322" s="91">
        <v>1</v>
      </c>
      <c r="K322" s="91">
        <v>1</v>
      </c>
      <c r="L322" s="91">
        <v>2</v>
      </c>
      <c r="M322" s="91">
        <v>1</v>
      </c>
      <c r="N322" s="91">
        <v>4</v>
      </c>
      <c r="O322" s="91"/>
      <c r="P322" s="91">
        <v>1</v>
      </c>
      <c r="Q322" s="91">
        <v>7</v>
      </c>
      <c r="R322" s="91"/>
      <c r="S322" s="91">
        <v>5</v>
      </c>
      <c r="T322" s="91"/>
      <c r="U322" s="91">
        <v>1</v>
      </c>
      <c r="V322" s="91"/>
      <c r="W322" s="91">
        <v>1</v>
      </c>
      <c r="X322" s="91">
        <v>2</v>
      </c>
      <c r="Y322" s="91">
        <v>1</v>
      </c>
      <c r="Z322" s="91">
        <v>3</v>
      </c>
      <c r="AA322" s="91">
        <v>1</v>
      </c>
      <c r="AB322" s="91"/>
      <c r="AC322" s="91">
        <v>2</v>
      </c>
      <c r="AD322" s="91">
        <v>1</v>
      </c>
      <c r="AE322" s="91"/>
      <c r="AF322" s="91">
        <v>1</v>
      </c>
      <c r="AG322" s="91"/>
      <c r="AH322" s="91">
        <v>1</v>
      </c>
      <c r="AI322" s="91">
        <v>2</v>
      </c>
      <c r="AJ322" s="91">
        <v>3</v>
      </c>
      <c r="AK322" s="91">
        <v>6</v>
      </c>
      <c r="AL322" s="91"/>
      <c r="AM322" s="91"/>
      <c r="AN322" s="91">
        <v>2</v>
      </c>
      <c r="AO322" s="91">
        <v>2</v>
      </c>
      <c r="AP322" s="91"/>
      <c r="AQ322" s="91">
        <v>1</v>
      </c>
      <c r="AR322" s="91">
        <v>3</v>
      </c>
      <c r="AS322" s="91">
        <v>1</v>
      </c>
      <c r="AT322" s="91"/>
      <c r="AU322" s="91">
        <v>1</v>
      </c>
      <c r="AV322" s="91"/>
      <c r="AW322" s="91">
        <v>3</v>
      </c>
      <c r="AX322" s="91"/>
      <c r="AY322" s="91"/>
      <c r="AZ322" s="91"/>
      <c r="BA322" s="91">
        <v>1</v>
      </c>
      <c r="BB322" s="91">
        <v>2</v>
      </c>
      <c r="BC322" s="91"/>
    </row>
    <row r="323" spans="1:55" x14ac:dyDescent="0.25">
      <c r="A323" s="91" t="s">
        <v>169</v>
      </c>
      <c r="B323" s="129">
        <f t="shared" si="6"/>
        <v>58</v>
      </c>
      <c r="C323" s="91">
        <v>1</v>
      </c>
      <c r="D323" s="91"/>
      <c r="E323" s="91">
        <v>2</v>
      </c>
      <c r="F323" s="91"/>
      <c r="G323" s="91">
        <v>1</v>
      </c>
      <c r="H323" s="91"/>
      <c r="I323" s="91">
        <v>5</v>
      </c>
      <c r="J323" s="91">
        <v>2</v>
      </c>
      <c r="K323" s="91">
        <v>1</v>
      </c>
      <c r="L323" s="91"/>
      <c r="M323" s="91"/>
      <c r="N323" s="91">
        <v>3</v>
      </c>
      <c r="O323" s="91">
        <v>1</v>
      </c>
      <c r="P323" s="91"/>
      <c r="Q323" s="91">
        <v>2</v>
      </c>
      <c r="R323" s="91"/>
      <c r="S323" s="91">
        <v>6</v>
      </c>
      <c r="T323" s="91">
        <v>1</v>
      </c>
      <c r="U323" s="91">
        <v>3</v>
      </c>
      <c r="V323" s="91"/>
      <c r="W323" s="91">
        <v>2</v>
      </c>
      <c r="X323" s="91"/>
      <c r="Y323" s="91">
        <v>7</v>
      </c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>
        <v>2</v>
      </c>
      <c r="AK323" s="91"/>
      <c r="AL323" s="91">
        <v>2</v>
      </c>
      <c r="AM323" s="91"/>
      <c r="AN323" s="91">
        <v>6</v>
      </c>
      <c r="AO323" s="91">
        <v>5</v>
      </c>
      <c r="AP323" s="91"/>
      <c r="AQ323" s="91"/>
      <c r="AR323" s="91"/>
      <c r="AS323" s="91"/>
      <c r="AT323" s="91"/>
      <c r="AU323" s="91"/>
      <c r="AV323" s="91">
        <v>1</v>
      </c>
      <c r="AW323" s="91">
        <v>2</v>
      </c>
      <c r="AX323" s="91"/>
      <c r="AY323" s="91"/>
      <c r="AZ323" s="91"/>
      <c r="BA323" s="91">
        <v>1</v>
      </c>
      <c r="BB323" s="91">
        <v>2</v>
      </c>
      <c r="BC323" s="91"/>
    </row>
    <row r="324" spans="1:55" x14ac:dyDescent="0.25">
      <c r="A324" s="91" t="s">
        <v>309</v>
      </c>
      <c r="B324" s="129">
        <f t="shared" si="6"/>
        <v>107</v>
      </c>
      <c r="C324" s="91">
        <v>2</v>
      </c>
      <c r="D324" s="91">
        <v>2</v>
      </c>
      <c r="E324" s="91">
        <v>5</v>
      </c>
      <c r="F324" s="91"/>
      <c r="G324" s="91">
        <v>6</v>
      </c>
      <c r="H324" s="91"/>
      <c r="I324" s="91">
        <v>4</v>
      </c>
      <c r="J324" s="91">
        <v>5</v>
      </c>
      <c r="K324" s="91"/>
      <c r="L324" s="91">
        <v>7</v>
      </c>
      <c r="M324" s="91"/>
      <c r="N324" s="91">
        <v>3</v>
      </c>
      <c r="O324" s="91">
        <v>5</v>
      </c>
      <c r="P324" s="91">
        <v>3</v>
      </c>
      <c r="Q324" s="91"/>
      <c r="R324" s="91">
        <v>1</v>
      </c>
      <c r="S324" s="91"/>
      <c r="T324" s="91"/>
      <c r="U324" s="91">
        <v>1</v>
      </c>
      <c r="V324" s="91">
        <v>1</v>
      </c>
      <c r="W324" s="91">
        <v>1</v>
      </c>
      <c r="X324" s="91"/>
      <c r="Y324" s="91">
        <v>2</v>
      </c>
      <c r="Z324" s="91">
        <v>3</v>
      </c>
      <c r="AA324" s="91">
        <v>1</v>
      </c>
      <c r="AB324" s="91">
        <v>4</v>
      </c>
      <c r="AC324" s="91"/>
      <c r="AD324" s="91">
        <v>1</v>
      </c>
      <c r="AE324" s="91">
        <v>1</v>
      </c>
      <c r="AF324" s="91">
        <v>1</v>
      </c>
      <c r="AG324" s="91">
        <v>3</v>
      </c>
      <c r="AH324" s="91"/>
      <c r="AI324" s="91">
        <v>1</v>
      </c>
      <c r="AJ324" s="91">
        <v>1</v>
      </c>
      <c r="AK324" s="91">
        <v>1</v>
      </c>
      <c r="AL324" s="91"/>
      <c r="AM324" s="91">
        <v>7</v>
      </c>
      <c r="AN324" s="91">
        <v>1</v>
      </c>
      <c r="AO324" s="91">
        <v>13</v>
      </c>
      <c r="AP324" s="91"/>
      <c r="AQ324" s="91">
        <v>2</v>
      </c>
      <c r="AR324" s="91">
        <v>1</v>
      </c>
      <c r="AS324" s="91"/>
      <c r="AT324" s="91"/>
      <c r="AU324" s="91">
        <v>1</v>
      </c>
      <c r="AV324" s="91">
        <v>4</v>
      </c>
      <c r="AW324" s="91">
        <v>1</v>
      </c>
      <c r="AX324" s="91">
        <v>6</v>
      </c>
      <c r="AY324" s="91">
        <v>3</v>
      </c>
      <c r="AZ324" s="91"/>
      <c r="BA324" s="91">
        <v>2</v>
      </c>
      <c r="BB324" s="91">
        <v>1</v>
      </c>
      <c r="BC324" s="91"/>
    </row>
    <row r="325" spans="1:55" x14ac:dyDescent="0.25">
      <c r="A325" s="91" t="s">
        <v>305</v>
      </c>
      <c r="B325" s="129">
        <f t="shared" si="6"/>
        <v>98</v>
      </c>
      <c r="C325" s="91">
        <v>3</v>
      </c>
      <c r="D325" s="91">
        <v>1</v>
      </c>
      <c r="E325" s="91">
        <v>1</v>
      </c>
      <c r="F325" s="91">
        <v>8</v>
      </c>
      <c r="G325" s="91">
        <v>7</v>
      </c>
      <c r="H325" s="91"/>
      <c r="I325" s="91"/>
      <c r="J325" s="91"/>
      <c r="K325" s="91">
        <v>2</v>
      </c>
      <c r="L325" s="91">
        <v>3</v>
      </c>
      <c r="M325" s="91">
        <v>3</v>
      </c>
      <c r="N325" s="91">
        <v>11</v>
      </c>
      <c r="O325" s="91">
        <v>2</v>
      </c>
      <c r="P325" s="91"/>
      <c r="Q325" s="91">
        <v>3</v>
      </c>
      <c r="R325" s="91"/>
      <c r="S325" s="91">
        <v>3</v>
      </c>
      <c r="T325" s="91">
        <v>3</v>
      </c>
      <c r="U325" s="91"/>
      <c r="V325" s="91">
        <v>2</v>
      </c>
      <c r="W325" s="91">
        <v>3</v>
      </c>
      <c r="X325" s="91"/>
      <c r="Y325" s="91">
        <v>1</v>
      </c>
      <c r="Z325" s="91"/>
      <c r="AA325" s="91"/>
      <c r="AB325" s="91">
        <v>2</v>
      </c>
      <c r="AC325" s="91"/>
      <c r="AD325" s="91">
        <v>9</v>
      </c>
      <c r="AE325" s="91">
        <v>1</v>
      </c>
      <c r="AF325" s="91"/>
      <c r="AG325" s="91"/>
      <c r="AH325" s="91">
        <v>6</v>
      </c>
      <c r="AI325" s="91"/>
      <c r="AJ325" s="91">
        <v>1</v>
      </c>
      <c r="AK325" s="91">
        <v>1</v>
      </c>
      <c r="AL325" s="91">
        <v>1</v>
      </c>
      <c r="AM325" s="91">
        <v>2</v>
      </c>
      <c r="AN325" s="91"/>
      <c r="AO325" s="91">
        <v>2</v>
      </c>
      <c r="AP325" s="91">
        <v>4</v>
      </c>
      <c r="AQ325" s="91">
        <v>3</v>
      </c>
      <c r="AR325" s="91">
        <v>4</v>
      </c>
      <c r="AS325" s="91"/>
      <c r="AT325" s="91"/>
      <c r="AU325" s="91"/>
      <c r="AV325" s="91"/>
      <c r="AW325" s="91"/>
      <c r="AX325" s="91">
        <v>1</v>
      </c>
      <c r="AY325" s="91">
        <v>3</v>
      </c>
      <c r="AZ325" s="91">
        <v>2</v>
      </c>
      <c r="BA325" s="91"/>
      <c r="BB325" s="91"/>
      <c r="BC325" s="91"/>
    </row>
    <row r="326" spans="1:55" x14ac:dyDescent="0.25">
      <c r="A326" s="91" t="s">
        <v>212</v>
      </c>
      <c r="B326" s="129">
        <f t="shared" si="6"/>
        <v>163</v>
      </c>
      <c r="C326" s="91">
        <v>3</v>
      </c>
      <c r="D326" s="91"/>
      <c r="E326" s="91"/>
      <c r="F326" s="91">
        <v>4</v>
      </c>
      <c r="G326" s="91">
        <v>5</v>
      </c>
      <c r="H326" s="91"/>
      <c r="I326" s="91">
        <v>7</v>
      </c>
      <c r="J326" s="91">
        <v>6</v>
      </c>
      <c r="K326" s="91">
        <v>3</v>
      </c>
      <c r="L326" s="91">
        <v>1</v>
      </c>
      <c r="M326" s="91">
        <v>11</v>
      </c>
      <c r="N326" s="91">
        <v>18</v>
      </c>
      <c r="O326" s="91">
        <v>3</v>
      </c>
      <c r="P326" s="91">
        <v>7</v>
      </c>
      <c r="Q326" s="91">
        <v>5</v>
      </c>
      <c r="R326" s="91">
        <v>2</v>
      </c>
      <c r="S326" s="91">
        <v>3</v>
      </c>
      <c r="T326" s="91"/>
      <c r="U326" s="91">
        <v>1</v>
      </c>
      <c r="V326" s="91">
        <v>3</v>
      </c>
      <c r="W326" s="91">
        <v>6</v>
      </c>
      <c r="X326" s="91">
        <v>1</v>
      </c>
      <c r="Y326" s="91">
        <v>4</v>
      </c>
      <c r="Z326" s="91"/>
      <c r="AA326" s="91">
        <v>8</v>
      </c>
      <c r="AB326" s="91"/>
      <c r="AC326" s="91">
        <v>2</v>
      </c>
      <c r="AD326" s="91">
        <v>5</v>
      </c>
      <c r="AE326" s="91">
        <v>1</v>
      </c>
      <c r="AF326" s="91">
        <v>1</v>
      </c>
      <c r="AG326" s="91"/>
      <c r="AH326" s="91">
        <v>1</v>
      </c>
      <c r="AI326" s="91">
        <v>3</v>
      </c>
      <c r="AJ326" s="91">
        <v>1</v>
      </c>
      <c r="AK326" s="91"/>
      <c r="AL326" s="91"/>
      <c r="AM326" s="91">
        <v>1</v>
      </c>
      <c r="AN326" s="91"/>
      <c r="AO326" s="91">
        <v>3</v>
      </c>
      <c r="AP326" s="91">
        <v>2</v>
      </c>
      <c r="AQ326" s="91"/>
      <c r="AR326" s="91">
        <v>2</v>
      </c>
      <c r="AS326" s="91">
        <v>7</v>
      </c>
      <c r="AT326" s="91"/>
      <c r="AU326" s="91"/>
      <c r="AV326" s="91">
        <v>1</v>
      </c>
      <c r="AW326" s="91">
        <v>4</v>
      </c>
      <c r="AX326" s="91"/>
      <c r="AY326" s="91"/>
      <c r="AZ326" s="91"/>
      <c r="BA326" s="91">
        <v>9</v>
      </c>
      <c r="BB326" s="91">
        <v>19</v>
      </c>
      <c r="BC326" s="91"/>
    </row>
    <row r="327" spans="1:55" x14ac:dyDescent="0.25">
      <c r="A327" s="91" t="s">
        <v>434</v>
      </c>
      <c r="B327" s="129">
        <f t="shared" si="6"/>
        <v>71</v>
      </c>
      <c r="C327" s="91"/>
      <c r="D327" s="91"/>
      <c r="E327" s="91">
        <v>6</v>
      </c>
      <c r="F327" s="91">
        <v>5</v>
      </c>
      <c r="G327" s="91">
        <v>8</v>
      </c>
      <c r="H327" s="91"/>
      <c r="I327" s="91">
        <v>3</v>
      </c>
      <c r="J327" s="91">
        <v>1</v>
      </c>
      <c r="K327" s="91">
        <v>1</v>
      </c>
      <c r="L327" s="91">
        <v>6</v>
      </c>
      <c r="M327" s="91"/>
      <c r="N327" s="91">
        <v>1</v>
      </c>
      <c r="O327" s="91"/>
      <c r="P327" s="91"/>
      <c r="Q327" s="91">
        <v>4</v>
      </c>
      <c r="R327" s="91">
        <v>2</v>
      </c>
      <c r="S327" s="91">
        <v>2</v>
      </c>
      <c r="T327" s="91"/>
      <c r="U327" s="91"/>
      <c r="V327" s="91"/>
      <c r="W327" s="91">
        <v>2</v>
      </c>
      <c r="X327" s="91">
        <v>2</v>
      </c>
      <c r="Y327" s="91"/>
      <c r="Z327" s="91">
        <v>2</v>
      </c>
      <c r="AA327" s="91">
        <v>5</v>
      </c>
      <c r="AB327" s="91"/>
      <c r="AC327" s="91"/>
      <c r="AD327" s="91">
        <v>1</v>
      </c>
      <c r="AE327" s="91">
        <v>2</v>
      </c>
      <c r="AF327" s="91"/>
      <c r="AG327" s="91"/>
      <c r="AH327" s="91">
        <v>1</v>
      </c>
      <c r="AI327" s="91">
        <v>1</v>
      </c>
      <c r="AJ327" s="91"/>
      <c r="AK327" s="91">
        <v>4</v>
      </c>
      <c r="AL327" s="91">
        <v>1</v>
      </c>
      <c r="AM327" s="91"/>
      <c r="AN327" s="91"/>
      <c r="AO327" s="91"/>
      <c r="AP327" s="91"/>
      <c r="AQ327" s="91">
        <v>3</v>
      </c>
      <c r="AR327" s="91"/>
      <c r="AS327" s="91"/>
      <c r="AT327" s="91"/>
      <c r="AU327" s="91">
        <v>3</v>
      </c>
      <c r="AV327" s="91">
        <v>2</v>
      </c>
      <c r="AW327" s="91"/>
      <c r="AX327" s="91">
        <v>1</v>
      </c>
      <c r="AY327" s="91">
        <v>1</v>
      </c>
      <c r="AZ327" s="91"/>
      <c r="BA327" s="91"/>
      <c r="BB327" s="91">
        <v>1</v>
      </c>
      <c r="BC327" s="91"/>
    </row>
    <row r="328" spans="1:55" x14ac:dyDescent="0.25">
      <c r="A328" s="91" t="s">
        <v>418</v>
      </c>
      <c r="B328" s="129">
        <f t="shared" ref="B328:B391" si="7">SUM(C328:BC328)</f>
        <v>94</v>
      </c>
      <c r="C328" s="91"/>
      <c r="D328" s="91">
        <v>3</v>
      </c>
      <c r="E328" s="91"/>
      <c r="F328" s="91">
        <v>10</v>
      </c>
      <c r="G328" s="91"/>
      <c r="H328" s="91"/>
      <c r="I328" s="91">
        <v>3</v>
      </c>
      <c r="J328" s="91"/>
      <c r="K328" s="91">
        <v>3</v>
      </c>
      <c r="L328" s="91">
        <v>1</v>
      </c>
      <c r="M328" s="91">
        <v>4</v>
      </c>
      <c r="N328" s="91">
        <v>1</v>
      </c>
      <c r="O328" s="91"/>
      <c r="P328" s="91"/>
      <c r="Q328" s="91">
        <v>3</v>
      </c>
      <c r="R328" s="91"/>
      <c r="S328" s="91">
        <v>1</v>
      </c>
      <c r="T328" s="91"/>
      <c r="U328" s="91"/>
      <c r="V328" s="91">
        <v>1</v>
      </c>
      <c r="W328" s="91">
        <v>8</v>
      </c>
      <c r="X328" s="91">
        <v>4</v>
      </c>
      <c r="Y328" s="91">
        <v>4</v>
      </c>
      <c r="Z328" s="91">
        <v>1</v>
      </c>
      <c r="AA328" s="91">
        <v>5</v>
      </c>
      <c r="AB328" s="91">
        <v>3</v>
      </c>
      <c r="AC328" s="91"/>
      <c r="AD328" s="91"/>
      <c r="AE328" s="91">
        <v>2</v>
      </c>
      <c r="AF328" s="91"/>
      <c r="AG328" s="91">
        <v>1</v>
      </c>
      <c r="AH328" s="91">
        <v>2</v>
      </c>
      <c r="AI328" s="91"/>
      <c r="AJ328" s="91">
        <v>2</v>
      </c>
      <c r="AK328" s="91"/>
      <c r="AL328" s="91">
        <v>9</v>
      </c>
      <c r="AM328" s="91">
        <v>5</v>
      </c>
      <c r="AN328" s="91"/>
      <c r="AO328" s="91"/>
      <c r="AP328" s="91"/>
      <c r="AQ328" s="91"/>
      <c r="AR328" s="91"/>
      <c r="AS328" s="91">
        <v>1</v>
      </c>
      <c r="AT328" s="91"/>
      <c r="AU328" s="91">
        <v>1</v>
      </c>
      <c r="AV328" s="91"/>
      <c r="AW328" s="91">
        <v>2</v>
      </c>
      <c r="AX328" s="91">
        <v>7</v>
      </c>
      <c r="AY328" s="91"/>
      <c r="AZ328" s="91">
        <v>5</v>
      </c>
      <c r="BA328" s="91"/>
      <c r="BB328" s="91">
        <v>2</v>
      </c>
      <c r="BC328" s="91"/>
    </row>
    <row r="329" spans="1:55" x14ac:dyDescent="0.25">
      <c r="A329" s="91" t="s">
        <v>382</v>
      </c>
      <c r="B329" s="129">
        <f t="shared" si="7"/>
        <v>138</v>
      </c>
      <c r="C329" s="91">
        <v>1</v>
      </c>
      <c r="D329" s="91">
        <v>4</v>
      </c>
      <c r="E329" s="91">
        <v>1</v>
      </c>
      <c r="F329" s="91">
        <v>3</v>
      </c>
      <c r="G329" s="91">
        <v>2</v>
      </c>
      <c r="H329" s="91"/>
      <c r="I329" s="91"/>
      <c r="J329" s="91">
        <v>3</v>
      </c>
      <c r="K329" s="91">
        <v>6</v>
      </c>
      <c r="L329" s="91">
        <v>2</v>
      </c>
      <c r="M329" s="91">
        <v>3</v>
      </c>
      <c r="N329" s="91">
        <v>12</v>
      </c>
      <c r="O329" s="91">
        <v>2</v>
      </c>
      <c r="P329" s="91">
        <v>2</v>
      </c>
      <c r="Q329" s="91"/>
      <c r="R329" s="91">
        <v>1</v>
      </c>
      <c r="S329" s="91">
        <v>3</v>
      </c>
      <c r="T329" s="91"/>
      <c r="U329" s="91">
        <v>1</v>
      </c>
      <c r="V329" s="91">
        <v>2</v>
      </c>
      <c r="W329" s="91">
        <v>9</v>
      </c>
      <c r="X329" s="91">
        <v>2</v>
      </c>
      <c r="Y329" s="91">
        <v>2</v>
      </c>
      <c r="Z329" s="91">
        <v>2</v>
      </c>
      <c r="AA329" s="91"/>
      <c r="AB329" s="91">
        <v>2</v>
      </c>
      <c r="AC329" s="91">
        <v>3</v>
      </c>
      <c r="AD329" s="91">
        <v>1</v>
      </c>
      <c r="AE329" s="91">
        <v>2</v>
      </c>
      <c r="AF329" s="91">
        <v>6</v>
      </c>
      <c r="AG329" s="91">
        <v>1</v>
      </c>
      <c r="AH329" s="91">
        <v>5</v>
      </c>
      <c r="AI329" s="91">
        <v>4</v>
      </c>
      <c r="AJ329" s="91">
        <v>3</v>
      </c>
      <c r="AK329" s="91">
        <v>2</v>
      </c>
      <c r="AL329" s="91">
        <v>1</v>
      </c>
      <c r="AM329" s="91">
        <v>4</v>
      </c>
      <c r="AN329" s="91">
        <v>1</v>
      </c>
      <c r="AO329" s="91">
        <v>2</v>
      </c>
      <c r="AP329" s="91">
        <v>6</v>
      </c>
      <c r="AQ329" s="91">
        <v>9</v>
      </c>
      <c r="AR329" s="91"/>
      <c r="AS329" s="91"/>
      <c r="AT329" s="91"/>
      <c r="AU329" s="91">
        <v>2</v>
      </c>
      <c r="AV329" s="91">
        <v>5</v>
      </c>
      <c r="AW329" s="91">
        <v>1</v>
      </c>
      <c r="AX329" s="91">
        <v>7</v>
      </c>
      <c r="AY329" s="91">
        <v>1</v>
      </c>
      <c r="AZ329" s="91">
        <v>2</v>
      </c>
      <c r="BA329" s="91">
        <v>2</v>
      </c>
      <c r="BB329" s="91">
        <v>3</v>
      </c>
      <c r="BC329" s="91"/>
    </row>
    <row r="330" spans="1:55" x14ac:dyDescent="0.25">
      <c r="A330" s="91" t="s">
        <v>176</v>
      </c>
      <c r="B330" s="129">
        <f t="shared" si="7"/>
        <v>92</v>
      </c>
      <c r="C330" s="91">
        <v>1</v>
      </c>
      <c r="D330" s="91"/>
      <c r="E330" s="91">
        <v>1</v>
      </c>
      <c r="F330" s="91">
        <v>3</v>
      </c>
      <c r="G330" s="91"/>
      <c r="H330" s="91"/>
      <c r="I330" s="91"/>
      <c r="J330" s="91">
        <v>2</v>
      </c>
      <c r="K330" s="91"/>
      <c r="L330" s="91">
        <v>1</v>
      </c>
      <c r="M330" s="91">
        <v>6</v>
      </c>
      <c r="N330" s="91">
        <v>2</v>
      </c>
      <c r="O330" s="91"/>
      <c r="P330" s="91">
        <v>1</v>
      </c>
      <c r="Q330" s="91">
        <v>1</v>
      </c>
      <c r="R330" s="91"/>
      <c r="S330" s="91">
        <v>2</v>
      </c>
      <c r="T330" s="91">
        <v>3</v>
      </c>
      <c r="U330" s="91">
        <v>1</v>
      </c>
      <c r="V330" s="91"/>
      <c r="W330" s="91">
        <v>4</v>
      </c>
      <c r="X330" s="91">
        <v>2</v>
      </c>
      <c r="Y330" s="91">
        <v>2</v>
      </c>
      <c r="Z330" s="91"/>
      <c r="AA330" s="91">
        <v>11</v>
      </c>
      <c r="AB330" s="91">
        <v>3</v>
      </c>
      <c r="AC330" s="91">
        <v>3</v>
      </c>
      <c r="AD330" s="91">
        <v>1</v>
      </c>
      <c r="AE330" s="91"/>
      <c r="AF330" s="91"/>
      <c r="AG330" s="91">
        <v>1</v>
      </c>
      <c r="AH330" s="91"/>
      <c r="AI330" s="91"/>
      <c r="AJ330" s="91"/>
      <c r="AK330" s="91">
        <v>1</v>
      </c>
      <c r="AL330" s="91"/>
      <c r="AM330" s="91">
        <v>8</v>
      </c>
      <c r="AN330" s="91">
        <v>1</v>
      </c>
      <c r="AO330" s="91">
        <v>2</v>
      </c>
      <c r="AP330" s="91">
        <v>3</v>
      </c>
      <c r="AQ330" s="91"/>
      <c r="AR330" s="91"/>
      <c r="AS330" s="91">
        <v>4</v>
      </c>
      <c r="AT330" s="91"/>
      <c r="AU330" s="91">
        <v>1</v>
      </c>
      <c r="AV330" s="91">
        <v>6</v>
      </c>
      <c r="AW330" s="91"/>
      <c r="AX330" s="91">
        <v>1</v>
      </c>
      <c r="AY330" s="91">
        <v>2</v>
      </c>
      <c r="AZ330" s="91"/>
      <c r="BA330" s="91">
        <v>4</v>
      </c>
      <c r="BB330" s="91">
        <v>8</v>
      </c>
      <c r="BC330" s="91"/>
    </row>
    <row r="331" spans="1:55" x14ac:dyDescent="0.25">
      <c r="A331" s="91" t="s">
        <v>211</v>
      </c>
      <c r="B331" s="129">
        <f t="shared" si="7"/>
        <v>6</v>
      </c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>
        <v>6</v>
      </c>
      <c r="BB331" s="91"/>
      <c r="BC331" s="91"/>
    </row>
    <row r="332" spans="1:55" x14ac:dyDescent="0.25">
      <c r="A332" s="91" t="s">
        <v>551</v>
      </c>
      <c r="B332" s="129">
        <f t="shared" si="7"/>
        <v>52</v>
      </c>
      <c r="C332" s="91"/>
      <c r="D332" s="91">
        <v>1</v>
      </c>
      <c r="E332" s="91">
        <v>5</v>
      </c>
      <c r="F332" s="91">
        <v>4</v>
      </c>
      <c r="G332" s="91">
        <v>2</v>
      </c>
      <c r="H332" s="91"/>
      <c r="I332" s="91"/>
      <c r="J332" s="91">
        <v>4</v>
      </c>
      <c r="K332" s="91"/>
      <c r="L332" s="91"/>
      <c r="M332" s="91"/>
      <c r="N332" s="91">
        <v>1</v>
      </c>
      <c r="O332" s="91"/>
      <c r="P332" s="91">
        <v>1</v>
      </c>
      <c r="Q332" s="91">
        <v>2</v>
      </c>
      <c r="R332" s="91">
        <v>5</v>
      </c>
      <c r="S332" s="91"/>
      <c r="T332" s="91"/>
      <c r="U332" s="91">
        <v>2</v>
      </c>
      <c r="V332" s="91"/>
      <c r="W332" s="91">
        <v>5</v>
      </c>
      <c r="X332" s="91">
        <v>1</v>
      </c>
      <c r="Y332" s="91"/>
      <c r="Z332" s="91">
        <v>1</v>
      </c>
      <c r="AA332" s="91"/>
      <c r="AB332" s="91"/>
      <c r="AC332" s="91">
        <v>1</v>
      </c>
      <c r="AD332" s="91">
        <v>2</v>
      </c>
      <c r="AE332" s="91">
        <v>1</v>
      </c>
      <c r="AF332" s="91">
        <v>1</v>
      </c>
      <c r="AG332" s="91">
        <v>1</v>
      </c>
      <c r="AH332" s="91">
        <v>1</v>
      </c>
      <c r="AI332" s="91"/>
      <c r="AJ332" s="91">
        <v>1</v>
      </c>
      <c r="AK332" s="91"/>
      <c r="AL332" s="91"/>
      <c r="AM332" s="91">
        <v>1</v>
      </c>
      <c r="AN332" s="91"/>
      <c r="AO332" s="91"/>
      <c r="AP332" s="91">
        <v>1</v>
      </c>
      <c r="AQ332" s="91"/>
      <c r="AR332" s="91">
        <v>1</v>
      </c>
      <c r="AS332" s="91"/>
      <c r="AT332" s="91"/>
      <c r="AU332" s="91">
        <v>1</v>
      </c>
      <c r="AV332" s="91"/>
      <c r="AW332" s="91">
        <v>1</v>
      </c>
      <c r="AX332" s="91">
        <v>1</v>
      </c>
      <c r="AY332" s="91">
        <v>1</v>
      </c>
      <c r="AZ332" s="91"/>
      <c r="BA332" s="91"/>
      <c r="BB332" s="91">
        <v>3</v>
      </c>
      <c r="BC332" s="91"/>
    </row>
    <row r="333" spans="1:55" x14ac:dyDescent="0.25">
      <c r="A333" s="91" t="s">
        <v>337</v>
      </c>
      <c r="B333" s="129">
        <f t="shared" si="7"/>
        <v>35</v>
      </c>
      <c r="C333" s="91"/>
      <c r="D333" s="91"/>
      <c r="E333" s="91">
        <v>1</v>
      </c>
      <c r="F333" s="91">
        <v>1</v>
      </c>
      <c r="G333" s="91">
        <v>5</v>
      </c>
      <c r="H333" s="91"/>
      <c r="I333" s="91">
        <v>1</v>
      </c>
      <c r="J333" s="91">
        <v>3</v>
      </c>
      <c r="K333" s="91"/>
      <c r="L333" s="91"/>
      <c r="M333" s="91"/>
      <c r="N333" s="91"/>
      <c r="O333" s="91"/>
      <c r="P333" s="91">
        <v>1</v>
      </c>
      <c r="Q333" s="91">
        <v>1</v>
      </c>
      <c r="R333" s="91">
        <v>2</v>
      </c>
      <c r="S333" s="91">
        <v>8</v>
      </c>
      <c r="T333" s="91"/>
      <c r="U333" s="91">
        <v>1</v>
      </c>
      <c r="V333" s="91"/>
      <c r="W333" s="91">
        <v>3</v>
      </c>
      <c r="X333" s="91">
        <v>2</v>
      </c>
      <c r="Y333" s="91"/>
      <c r="Z333" s="91"/>
      <c r="AA333" s="91"/>
      <c r="AB333" s="91"/>
      <c r="AC333" s="91">
        <v>1</v>
      </c>
      <c r="AD333" s="91">
        <v>1</v>
      </c>
      <c r="AE333" s="91"/>
      <c r="AF333" s="91">
        <v>2</v>
      </c>
      <c r="AG333" s="91"/>
      <c r="AH333" s="91"/>
      <c r="AI333" s="91"/>
      <c r="AJ333" s="91"/>
      <c r="AK333" s="91">
        <v>1</v>
      </c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>
        <v>1</v>
      </c>
      <c r="BC333" s="91"/>
    </row>
    <row r="334" spans="1:55" x14ac:dyDescent="0.25">
      <c r="A334" s="91" t="s">
        <v>926</v>
      </c>
      <c r="B334" s="129">
        <f t="shared" si="7"/>
        <v>38</v>
      </c>
      <c r="C334" s="91">
        <v>4</v>
      </c>
      <c r="D334" s="91"/>
      <c r="E334" s="91">
        <v>1</v>
      </c>
      <c r="F334" s="91"/>
      <c r="G334" s="91">
        <v>2</v>
      </c>
      <c r="H334" s="91"/>
      <c r="I334" s="91">
        <v>1</v>
      </c>
      <c r="J334" s="91"/>
      <c r="K334" s="91"/>
      <c r="L334" s="91"/>
      <c r="M334" s="91">
        <v>2</v>
      </c>
      <c r="N334" s="91">
        <v>2</v>
      </c>
      <c r="O334" s="91">
        <v>5</v>
      </c>
      <c r="P334" s="91"/>
      <c r="Q334" s="91"/>
      <c r="R334" s="91"/>
      <c r="S334" s="91">
        <v>1</v>
      </c>
      <c r="T334" s="91"/>
      <c r="U334" s="91"/>
      <c r="V334" s="91"/>
      <c r="W334" s="91">
        <v>2</v>
      </c>
      <c r="X334" s="91">
        <v>2</v>
      </c>
      <c r="Y334" s="91">
        <v>4</v>
      </c>
      <c r="Z334" s="91"/>
      <c r="AA334" s="91"/>
      <c r="AB334" s="91"/>
      <c r="AC334" s="91"/>
      <c r="AD334" s="91">
        <v>4</v>
      </c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>
        <v>4</v>
      </c>
      <c r="AX334" s="91"/>
      <c r="AY334" s="91"/>
      <c r="AZ334" s="91"/>
      <c r="BA334" s="91"/>
      <c r="BB334" s="91">
        <v>4</v>
      </c>
      <c r="BC334" s="91"/>
    </row>
    <row r="335" spans="1:55" x14ac:dyDescent="0.25">
      <c r="A335" s="91" t="s">
        <v>856</v>
      </c>
      <c r="B335" s="129">
        <f t="shared" si="7"/>
        <v>53</v>
      </c>
      <c r="C335" s="91">
        <v>2</v>
      </c>
      <c r="D335" s="91">
        <v>1</v>
      </c>
      <c r="E335" s="91"/>
      <c r="F335" s="91"/>
      <c r="G335" s="91"/>
      <c r="H335" s="91"/>
      <c r="I335" s="91">
        <v>2</v>
      </c>
      <c r="J335" s="91">
        <v>3</v>
      </c>
      <c r="K335" s="91"/>
      <c r="L335" s="91"/>
      <c r="M335" s="91">
        <v>1</v>
      </c>
      <c r="N335" s="91">
        <v>2</v>
      </c>
      <c r="O335" s="91"/>
      <c r="P335" s="91">
        <v>1</v>
      </c>
      <c r="Q335" s="91"/>
      <c r="R335" s="91">
        <v>1</v>
      </c>
      <c r="S335" s="91">
        <v>3</v>
      </c>
      <c r="T335" s="91"/>
      <c r="U335" s="91">
        <v>1</v>
      </c>
      <c r="V335" s="91">
        <v>1</v>
      </c>
      <c r="W335" s="91"/>
      <c r="X335" s="91">
        <v>1</v>
      </c>
      <c r="Y335" s="91">
        <v>1</v>
      </c>
      <c r="Z335" s="91"/>
      <c r="AA335" s="91">
        <v>3</v>
      </c>
      <c r="AB335" s="91">
        <v>5</v>
      </c>
      <c r="AC335" s="91"/>
      <c r="AD335" s="91">
        <v>2</v>
      </c>
      <c r="AE335" s="91"/>
      <c r="AF335" s="91"/>
      <c r="AG335" s="91">
        <v>1</v>
      </c>
      <c r="AH335" s="91"/>
      <c r="AI335" s="91">
        <v>1</v>
      </c>
      <c r="AJ335" s="91">
        <v>2</v>
      </c>
      <c r="AK335" s="91"/>
      <c r="AL335" s="91">
        <v>3</v>
      </c>
      <c r="AM335" s="91">
        <v>4</v>
      </c>
      <c r="AN335" s="91"/>
      <c r="AO335" s="91">
        <v>1</v>
      </c>
      <c r="AP335" s="91">
        <v>1</v>
      </c>
      <c r="AQ335" s="91">
        <v>6</v>
      </c>
      <c r="AR335" s="91"/>
      <c r="AS335" s="91">
        <v>1</v>
      </c>
      <c r="AT335" s="91"/>
      <c r="AU335" s="91">
        <v>2</v>
      </c>
      <c r="AV335" s="91"/>
      <c r="AW335" s="91">
        <v>1</v>
      </c>
      <c r="AX335" s="91"/>
      <c r="AY335" s="91"/>
      <c r="AZ335" s="91"/>
      <c r="BA335" s="91"/>
      <c r="BB335" s="91"/>
      <c r="BC335" s="91"/>
    </row>
    <row r="336" spans="1:55" x14ac:dyDescent="0.25">
      <c r="A336" s="91" t="s">
        <v>323</v>
      </c>
      <c r="B336" s="129">
        <f t="shared" si="7"/>
        <v>21</v>
      </c>
      <c r="C336" s="91"/>
      <c r="D336" s="91"/>
      <c r="E336" s="91"/>
      <c r="F336" s="91"/>
      <c r="G336" s="91"/>
      <c r="H336" s="91"/>
      <c r="I336" s="91"/>
      <c r="J336" s="91">
        <v>2</v>
      </c>
      <c r="K336" s="91">
        <v>2</v>
      </c>
      <c r="L336" s="91"/>
      <c r="M336" s="91"/>
      <c r="N336" s="91"/>
      <c r="O336" s="91"/>
      <c r="P336" s="91"/>
      <c r="Q336" s="91"/>
      <c r="R336" s="91"/>
      <c r="S336" s="91">
        <v>2</v>
      </c>
      <c r="T336" s="91"/>
      <c r="U336" s="91"/>
      <c r="V336" s="91"/>
      <c r="W336" s="91"/>
      <c r="X336" s="91"/>
      <c r="Y336" s="91"/>
      <c r="Z336" s="91"/>
      <c r="AA336" s="91"/>
      <c r="AB336" s="91">
        <v>1</v>
      </c>
      <c r="AC336" s="91">
        <v>3</v>
      </c>
      <c r="AD336" s="91"/>
      <c r="AE336" s="91">
        <v>1</v>
      </c>
      <c r="AF336" s="91"/>
      <c r="AG336" s="91"/>
      <c r="AH336" s="91"/>
      <c r="AI336" s="91">
        <v>1</v>
      </c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>
        <v>3</v>
      </c>
      <c r="AW336" s="91"/>
      <c r="AX336" s="91"/>
      <c r="AY336" s="91"/>
      <c r="AZ336" s="91"/>
      <c r="BA336" s="91">
        <v>2</v>
      </c>
      <c r="BB336" s="91">
        <v>4</v>
      </c>
      <c r="BC336" s="91"/>
    </row>
    <row r="337" spans="1:55" x14ac:dyDescent="0.25">
      <c r="A337" s="91" t="s">
        <v>148</v>
      </c>
      <c r="B337" s="129">
        <f t="shared" si="7"/>
        <v>32</v>
      </c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>
        <v>1</v>
      </c>
      <c r="P337" s="91"/>
      <c r="Q337" s="91"/>
      <c r="R337" s="91"/>
      <c r="S337" s="91"/>
      <c r="T337" s="91"/>
      <c r="U337" s="91"/>
      <c r="V337" s="91"/>
      <c r="W337" s="91"/>
      <c r="X337" s="91"/>
      <c r="Y337" s="91">
        <v>1</v>
      </c>
      <c r="Z337" s="91"/>
      <c r="AA337" s="91"/>
      <c r="AB337" s="91"/>
      <c r="AC337" s="91">
        <v>1</v>
      </c>
      <c r="AD337" s="91"/>
      <c r="AE337" s="91"/>
      <c r="AF337" s="91"/>
      <c r="AG337" s="91"/>
      <c r="AH337" s="91"/>
      <c r="AI337" s="91"/>
      <c r="AJ337" s="91">
        <v>3</v>
      </c>
      <c r="AK337" s="91"/>
      <c r="AL337" s="91"/>
      <c r="AM337" s="91"/>
      <c r="AN337" s="91"/>
      <c r="AO337" s="91"/>
      <c r="AP337" s="91"/>
      <c r="AQ337" s="91"/>
      <c r="AR337" s="91">
        <v>1</v>
      </c>
      <c r="AS337" s="91"/>
      <c r="AT337" s="91"/>
      <c r="AU337" s="91"/>
      <c r="AV337" s="91"/>
      <c r="AW337" s="91">
        <v>1</v>
      </c>
      <c r="AX337" s="91"/>
      <c r="AY337" s="91"/>
      <c r="AZ337" s="91"/>
      <c r="BA337" s="91">
        <v>9</v>
      </c>
      <c r="BB337" s="91">
        <v>15</v>
      </c>
      <c r="BC337" s="91"/>
    </row>
    <row r="338" spans="1:55" x14ac:dyDescent="0.25">
      <c r="A338" s="91" t="s">
        <v>490</v>
      </c>
      <c r="B338" s="129">
        <f t="shared" si="7"/>
        <v>40</v>
      </c>
      <c r="C338" s="91"/>
      <c r="D338" s="91"/>
      <c r="E338" s="91">
        <v>3</v>
      </c>
      <c r="F338" s="91"/>
      <c r="G338" s="91">
        <v>6</v>
      </c>
      <c r="H338" s="91">
        <v>2</v>
      </c>
      <c r="I338" s="91">
        <v>2</v>
      </c>
      <c r="J338" s="91">
        <v>3</v>
      </c>
      <c r="K338" s="91"/>
      <c r="L338" s="91"/>
      <c r="M338" s="91">
        <v>3</v>
      </c>
      <c r="N338" s="91"/>
      <c r="O338" s="91">
        <v>1</v>
      </c>
      <c r="P338" s="91">
        <v>1</v>
      </c>
      <c r="Q338" s="91"/>
      <c r="R338" s="91"/>
      <c r="S338" s="91">
        <v>4</v>
      </c>
      <c r="T338" s="91">
        <v>1</v>
      </c>
      <c r="U338" s="91"/>
      <c r="V338" s="91"/>
      <c r="W338" s="91">
        <v>1</v>
      </c>
      <c r="X338" s="91">
        <v>1</v>
      </c>
      <c r="Y338" s="91"/>
      <c r="Z338" s="91"/>
      <c r="AA338" s="91"/>
      <c r="AB338" s="91"/>
      <c r="AC338" s="91"/>
      <c r="AD338" s="91"/>
      <c r="AE338" s="91">
        <v>2</v>
      </c>
      <c r="AF338" s="91"/>
      <c r="AG338" s="91"/>
      <c r="AH338" s="91">
        <v>1</v>
      </c>
      <c r="AI338" s="91"/>
      <c r="AJ338" s="91">
        <v>2</v>
      </c>
      <c r="AK338" s="91"/>
      <c r="AL338" s="91"/>
      <c r="AM338" s="91"/>
      <c r="AN338" s="91">
        <v>1</v>
      </c>
      <c r="AO338" s="91">
        <v>2</v>
      </c>
      <c r="AP338" s="91"/>
      <c r="AQ338" s="91"/>
      <c r="AR338" s="91"/>
      <c r="AS338" s="91"/>
      <c r="AT338" s="91"/>
      <c r="AU338" s="91"/>
      <c r="AV338" s="91"/>
      <c r="AW338" s="91">
        <v>2</v>
      </c>
      <c r="AX338" s="91"/>
      <c r="AY338" s="91">
        <v>2</v>
      </c>
      <c r="AZ338" s="91"/>
      <c r="BA338" s="91"/>
      <c r="BB338" s="91"/>
      <c r="BC338" s="91"/>
    </row>
    <row r="339" spans="1:55" x14ac:dyDescent="0.25">
      <c r="A339" s="91" t="s">
        <v>207</v>
      </c>
      <c r="B339" s="129">
        <f t="shared" si="7"/>
        <v>0</v>
      </c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</row>
    <row r="340" spans="1:55" x14ac:dyDescent="0.25">
      <c r="A340" s="91" t="s">
        <v>464</v>
      </c>
      <c r="B340" s="129">
        <f t="shared" si="7"/>
        <v>12</v>
      </c>
      <c r="C340" s="91">
        <v>1</v>
      </c>
      <c r="D340" s="91"/>
      <c r="E340" s="91">
        <v>1</v>
      </c>
      <c r="F340" s="91"/>
      <c r="G340" s="91">
        <v>1</v>
      </c>
      <c r="H340" s="91"/>
      <c r="I340" s="91"/>
      <c r="J340" s="91">
        <v>2</v>
      </c>
      <c r="K340" s="91"/>
      <c r="L340" s="91"/>
      <c r="M340" s="91"/>
      <c r="N340" s="91"/>
      <c r="O340" s="91"/>
      <c r="P340" s="91"/>
      <c r="Q340" s="91"/>
      <c r="R340" s="91">
        <v>1</v>
      </c>
      <c r="S340" s="91">
        <v>1</v>
      </c>
      <c r="T340" s="91"/>
      <c r="U340" s="91"/>
      <c r="V340" s="91"/>
      <c r="W340" s="91"/>
      <c r="X340" s="91"/>
      <c r="Y340" s="91"/>
      <c r="Z340" s="91">
        <v>1</v>
      </c>
      <c r="AA340" s="91">
        <v>1</v>
      </c>
      <c r="AB340" s="91">
        <v>1</v>
      </c>
      <c r="AC340" s="91"/>
      <c r="AD340" s="91"/>
      <c r="AE340" s="91">
        <v>1</v>
      </c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>
        <v>1</v>
      </c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</row>
    <row r="341" spans="1:55" x14ac:dyDescent="0.25">
      <c r="A341" s="91" t="s">
        <v>546</v>
      </c>
      <c r="B341" s="129">
        <f t="shared" si="7"/>
        <v>125</v>
      </c>
      <c r="C341" s="91"/>
      <c r="D341" s="91"/>
      <c r="E341" s="91">
        <v>8</v>
      </c>
      <c r="F341" s="91">
        <v>12</v>
      </c>
      <c r="G341" s="91"/>
      <c r="H341" s="91"/>
      <c r="I341" s="91"/>
      <c r="J341" s="91">
        <v>1</v>
      </c>
      <c r="K341" s="91">
        <v>4</v>
      </c>
      <c r="L341" s="91"/>
      <c r="M341" s="91"/>
      <c r="N341" s="91">
        <v>14</v>
      </c>
      <c r="O341" s="91">
        <v>1</v>
      </c>
      <c r="P341" s="91">
        <v>1</v>
      </c>
      <c r="Q341" s="91"/>
      <c r="R341" s="91">
        <v>1</v>
      </c>
      <c r="S341" s="91">
        <v>9</v>
      </c>
      <c r="T341" s="91"/>
      <c r="U341" s="91">
        <v>1</v>
      </c>
      <c r="V341" s="91"/>
      <c r="W341" s="91">
        <v>6</v>
      </c>
      <c r="X341" s="91">
        <v>1</v>
      </c>
      <c r="Y341" s="91"/>
      <c r="Z341" s="91"/>
      <c r="AA341" s="91"/>
      <c r="AB341" s="91">
        <v>1</v>
      </c>
      <c r="AC341" s="91"/>
      <c r="AD341" s="91">
        <v>1</v>
      </c>
      <c r="AE341" s="91">
        <v>7</v>
      </c>
      <c r="AF341" s="91">
        <v>2</v>
      </c>
      <c r="AG341" s="91">
        <v>1</v>
      </c>
      <c r="AH341" s="91">
        <v>4</v>
      </c>
      <c r="AI341" s="91">
        <v>3</v>
      </c>
      <c r="AJ341" s="91">
        <v>12</v>
      </c>
      <c r="AK341" s="91">
        <v>3</v>
      </c>
      <c r="AL341" s="91"/>
      <c r="AM341" s="91"/>
      <c r="AN341" s="91"/>
      <c r="AO341" s="91">
        <v>6</v>
      </c>
      <c r="AP341" s="91">
        <v>1</v>
      </c>
      <c r="AQ341" s="91"/>
      <c r="AR341" s="91">
        <v>7</v>
      </c>
      <c r="AS341" s="91">
        <v>1</v>
      </c>
      <c r="AT341" s="91"/>
      <c r="AU341" s="91">
        <v>7</v>
      </c>
      <c r="AV341" s="91"/>
      <c r="AW341" s="91"/>
      <c r="AX341" s="91">
        <v>6</v>
      </c>
      <c r="AY341" s="91"/>
      <c r="AZ341" s="91">
        <v>4</v>
      </c>
      <c r="BA341" s="91"/>
      <c r="BB341" s="91"/>
      <c r="BC341" s="91"/>
    </row>
    <row r="342" spans="1:55" x14ac:dyDescent="0.25">
      <c r="A342" s="91" t="s">
        <v>547</v>
      </c>
      <c r="B342" s="129">
        <f t="shared" si="7"/>
        <v>143</v>
      </c>
      <c r="C342" s="91"/>
      <c r="D342" s="91"/>
      <c r="E342" s="91">
        <v>5</v>
      </c>
      <c r="F342" s="91">
        <v>7</v>
      </c>
      <c r="G342" s="91">
        <v>4</v>
      </c>
      <c r="H342" s="91"/>
      <c r="I342" s="91">
        <v>2</v>
      </c>
      <c r="J342" s="91">
        <v>2</v>
      </c>
      <c r="K342" s="91">
        <v>8</v>
      </c>
      <c r="L342" s="91"/>
      <c r="M342" s="91">
        <v>4</v>
      </c>
      <c r="N342" s="91">
        <v>10</v>
      </c>
      <c r="O342" s="91">
        <v>1</v>
      </c>
      <c r="P342" s="91">
        <v>2</v>
      </c>
      <c r="Q342" s="91">
        <v>4</v>
      </c>
      <c r="R342" s="91">
        <v>1</v>
      </c>
      <c r="S342" s="91">
        <v>2</v>
      </c>
      <c r="T342" s="91">
        <v>2</v>
      </c>
      <c r="U342" s="91"/>
      <c r="V342" s="91"/>
      <c r="W342" s="91">
        <v>4</v>
      </c>
      <c r="X342" s="91">
        <v>2</v>
      </c>
      <c r="Y342" s="91">
        <v>4</v>
      </c>
      <c r="Z342" s="91"/>
      <c r="AA342" s="91">
        <v>1</v>
      </c>
      <c r="AB342" s="91">
        <v>2</v>
      </c>
      <c r="AC342" s="91">
        <v>1</v>
      </c>
      <c r="AD342" s="91">
        <v>1</v>
      </c>
      <c r="AE342" s="91">
        <v>1</v>
      </c>
      <c r="AF342" s="91"/>
      <c r="AG342" s="91">
        <v>3</v>
      </c>
      <c r="AH342" s="91">
        <v>2</v>
      </c>
      <c r="AI342" s="91">
        <v>6</v>
      </c>
      <c r="AJ342" s="91">
        <v>10</v>
      </c>
      <c r="AK342" s="91">
        <v>4</v>
      </c>
      <c r="AL342" s="91"/>
      <c r="AM342" s="91"/>
      <c r="AN342" s="91">
        <v>1</v>
      </c>
      <c r="AO342" s="91">
        <v>9</v>
      </c>
      <c r="AP342" s="91">
        <v>1</v>
      </c>
      <c r="AQ342" s="91">
        <v>3</v>
      </c>
      <c r="AR342" s="91">
        <v>10</v>
      </c>
      <c r="AS342" s="91"/>
      <c r="AT342" s="91"/>
      <c r="AU342" s="91">
        <v>8</v>
      </c>
      <c r="AV342" s="91">
        <v>2</v>
      </c>
      <c r="AW342" s="91"/>
      <c r="AX342" s="91">
        <v>8</v>
      </c>
      <c r="AY342" s="91"/>
      <c r="AZ342" s="91">
        <v>6</v>
      </c>
      <c r="BA342" s="91"/>
      <c r="BB342" s="91"/>
      <c r="BC342" s="91"/>
    </row>
    <row r="343" spans="1:55" x14ac:dyDescent="0.25">
      <c r="A343" s="91" t="s">
        <v>210</v>
      </c>
      <c r="B343" s="129">
        <f t="shared" si="7"/>
        <v>50</v>
      </c>
      <c r="C343" s="91"/>
      <c r="D343" s="91"/>
      <c r="E343" s="91">
        <v>1</v>
      </c>
      <c r="F343" s="91">
        <v>3</v>
      </c>
      <c r="G343" s="91">
        <v>3</v>
      </c>
      <c r="H343" s="91"/>
      <c r="I343" s="91">
        <v>1</v>
      </c>
      <c r="J343" s="91">
        <v>7</v>
      </c>
      <c r="K343" s="91"/>
      <c r="L343" s="91"/>
      <c r="M343" s="91"/>
      <c r="N343" s="91"/>
      <c r="O343" s="91"/>
      <c r="P343" s="91"/>
      <c r="Q343" s="91"/>
      <c r="R343" s="91">
        <v>4</v>
      </c>
      <c r="S343" s="91">
        <v>2</v>
      </c>
      <c r="T343" s="91"/>
      <c r="U343" s="91">
        <v>5</v>
      </c>
      <c r="V343" s="91"/>
      <c r="W343" s="91">
        <v>5</v>
      </c>
      <c r="X343" s="91">
        <v>1</v>
      </c>
      <c r="Y343" s="91"/>
      <c r="Z343" s="91">
        <v>2</v>
      </c>
      <c r="AA343" s="91"/>
      <c r="AB343" s="91"/>
      <c r="AC343" s="91"/>
      <c r="AD343" s="91">
        <v>5</v>
      </c>
      <c r="AE343" s="91"/>
      <c r="AF343" s="91">
        <v>1</v>
      </c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>
        <v>4</v>
      </c>
      <c r="BB343" s="91">
        <v>6</v>
      </c>
      <c r="BC343" s="91"/>
    </row>
    <row r="344" spans="1:55" x14ac:dyDescent="0.25">
      <c r="A344" s="91" t="s">
        <v>232</v>
      </c>
      <c r="B344" s="129">
        <f t="shared" si="7"/>
        <v>47</v>
      </c>
      <c r="C344" s="91"/>
      <c r="D344" s="91"/>
      <c r="E344" s="91">
        <v>1</v>
      </c>
      <c r="F344" s="91">
        <v>1</v>
      </c>
      <c r="G344" s="91">
        <v>1</v>
      </c>
      <c r="H344" s="91"/>
      <c r="I344" s="91"/>
      <c r="J344" s="91">
        <v>1</v>
      </c>
      <c r="K344" s="91"/>
      <c r="L344" s="91"/>
      <c r="M344" s="91"/>
      <c r="N344" s="91"/>
      <c r="O344" s="91"/>
      <c r="P344" s="91"/>
      <c r="Q344" s="91"/>
      <c r="R344" s="91"/>
      <c r="S344" s="91">
        <v>1</v>
      </c>
      <c r="T344" s="91"/>
      <c r="U344" s="91">
        <v>2</v>
      </c>
      <c r="V344" s="91"/>
      <c r="W344" s="91">
        <v>2</v>
      </c>
      <c r="X344" s="91">
        <v>2</v>
      </c>
      <c r="Y344" s="91"/>
      <c r="Z344" s="91"/>
      <c r="AA344" s="91"/>
      <c r="AB344" s="91"/>
      <c r="AC344" s="91"/>
      <c r="AD344" s="91">
        <v>2</v>
      </c>
      <c r="AE344" s="91"/>
      <c r="AF344" s="91">
        <v>1</v>
      </c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>
        <v>2</v>
      </c>
      <c r="BB344" s="91">
        <v>31</v>
      </c>
      <c r="BC344" s="91"/>
    </row>
    <row r="345" spans="1:55" x14ac:dyDescent="0.25">
      <c r="A345" s="91" t="s">
        <v>526</v>
      </c>
      <c r="B345" s="129">
        <f t="shared" si="7"/>
        <v>98</v>
      </c>
      <c r="C345" s="91"/>
      <c r="D345" s="91">
        <v>4</v>
      </c>
      <c r="E345" s="91">
        <v>1</v>
      </c>
      <c r="F345" s="91">
        <v>6</v>
      </c>
      <c r="G345" s="91"/>
      <c r="H345" s="91"/>
      <c r="I345" s="91">
        <v>1</v>
      </c>
      <c r="J345" s="91"/>
      <c r="K345" s="91"/>
      <c r="L345" s="91"/>
      <c r="M345" s="91">
        <v>2</v>
      </c>
      <c r="N345" s="91"/>
      <c r="O345" s="91">
        <v>1</v>
      </c>
      <c r="P345" s="91">
        <v>1</v>
      </c>
      <c r="Q345" s="91">
        <v>1</v>
      </c>
      <c r="R345" s="91">
        <v>3</v>
      </c>
      <c r="S345" s="91">
        <v>1</v>
      </c>
      <c r="T345" s="91"/>
      <c r="U345" s="91">
        <v>1</v>
      </c>
      <c r="V345" s="91"/>
      <c r="W345" s="91"/>
      <c r="X345" s="91">
        <v>3</v>
      </c>
      <c r="Y345" s="91">
        <v>1</v>
      </c>
      <c r="Z345" s="91">
        <v>2</v>
      </c>
      <c r="AA345" s="91">
        <v>2</v>
      </c>
      <c r="AB345" s="91">
        <v>6</v>
      </c>
      <c r="AC345" s="91"/>
      <c r="AD345" s="91"/>
      <c r="AE345" s="91">
        <v>2</v>
      </c>
      <c r="AF345" s="91">
        <v>1</v>
      </c>
      <c r="AG345" s="91"/>
      <c r="AH345" s="91">
        <v>1</v>
      </c>
      <c r="AI345" s="91"/>
      <c r="AJ345" s="91">
        <v>1</v>
      </c>
      <c r="AK345" s="91"/>
      <c r="AL345" s="91"/>
      <c r="AM345" s="91">
        <v>1</v>
      </c>
      <c r="AN345" s="91">
        <v>1</v>
      </c>
      <c r="AO345" s="91">
        <v>1</v>
      </c>
      <c r="AP345" s="91"/>
      <c r="AQ345" s="91"/>
      <c r="AR345" s="91"/>
      <c r="AS345" s="91">
        <v>1</v>
      </c>
      <c r="AT345" s="91"/>
      <c r="AU345" s="91"/>
      <c r="AV345" s="91">
        <v>1</v>
      </c>
      <c r="AW345" s="91"/>
      <c r="AX345" s="91"/>
      <c r="AY345" s="91"/>
      <c r="AZ345" s="91"/>
      <c r="BA345" s="91"/>
      <c r="BB345" s="91">
        <v>52</v>
      </c>
      <c r="BC345" s="91"/>
    </row>
    <row r="346" spans="1:55" x14ac:dyDescent="0.25">
      <c r="A346" s="91" t="s">
        <v>854</v>
      </c>
      <c r="B346" s="129">
        <f t="shared" si="7"/>
        <v>12</v>
      </c>
      <c r="C346" s="91"/>
      <c r="D346" s="91"/>
      <c r="E346" s="91"/>
      <c r="F346" s="91">
        <v>1</v>
      </c>
      <c r="G346" s="91"/>
      <c r="H346" s="91"/>
      <c r="I346" s="91"/>
      <c r="J346" s="91"/>
      <c r="K346" s="91"/>
      <c r="L346" s="91"/>
      <c r="M346" s="91"/>
      <c r="N346" s="91"/>
      <c r="O346" s="91">
        <v>2</v>
      </c>
      <c r="P346" s="91"/>
      <c r="Q346" s="91"/>
      <c r="R346" s="91"/>
      <c r="S346" s="91">
        <v>1</v>
      </c>
      <c r="T346" s="91"/>
      <c r="U346" s="91"/>
      <c r="V346" s="91"/>
      <c r="W346" s="91"/>
      <c r="X346" s="91"/>
      <c r="Y346" s="91"/>
      <c r="Z346" s="91"/>
      <c r="AA346" s="91"/>
      <c r="AB346" s="91">
        <v>1</v>
      </c>
      <c r="AC346" s="91"/>
      <c r="AD346" s="91">
        <v>1</v>
      </c>
      <c r="AE346" s="91"/>
      <c r="AF346" s="91"/>
      <c r="AG346" s="91"/>
      <c r="AH346" s="91"/>
      <c r="AI346" s="91"/>
      <c r="AJ346" s="91">
        <v>1</v>
      </c>
      <c r="AK346" s="91"/>
      <c r="AL346" s="91">
        <v>1</v>
      </c>
      <c r="AM346" s="91"/>
      <c r="AN346" s="91">
        <v>1</v>
      </c>
      <c r="AO346" s="91"/>
      <c r="AP346" s="91"/>
      <c r="AQ346" s="91"/>
      <c r="AR346" s="91"/>
      <c r="AS346" s="91">
        <v>1</v>
      </c>
      <c r="AT346" s="91"/>
      <c r="AU346" s="91"/>
      <c r="AV346" s="91"/>
      <c r="AW346" s="91"/>
      <c r="AX346" s="91"/>
      <c r="AY346" s="91"/>
      <c r="AZ346" s="91">
        <v>2</v>
      </c>
      <c r="BA346" s="91"/>
      <c r="BB346" s="91"/>
      <c r="BC346" s="91"/>
    </row>
    <row r="347" spans="1:55" x14ac:dyDescent="0.25">
      <c r="A347" s="91" t="s">
        <v>373</v>
      </c>
      <c r="B347" s="129">
        <f t="shared" si="7"/>
        <v>15</v>
      </c>
      <c r="C347" s="91"/>
      <c r="D347" s="91"/>
      <c r="E347" s="91"/>
      <c r="F347" s="91">
        <v>1</v>
      </c>
      <c r="G347" s="91">
        <v>1</v>
      </c>
      <c r="H347" s="91"/>
      <c r="I347" s="91"/>
      <c r="J347" s="91">
        <v>1</v>
      </c>
      <c r="K347" s="91"/>
      <c r="L347" s="91"/>
      <c r="M347" s="91"/>
      <c r="N347" s="91">
        <v>1</v>
      </c>
      <c r="O347" s="91"/>
      <c r="P347" s="91"/>
      <c r="Q347" s="91"/>
      <c r="R347" s="91"/>
      <c r="S347" s="91">
        <v>1</v>
      </c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>
        <v>1</v>
      </c>
      <c r="AF347" s="91"/>
      <c r="AG347" s="91"/>
      <c r="AH347" s="91"/>
      <c r="AI347" s="91"/>
      <c r="AJ347" s="91"/>
      <c r="AK347" s="91"/>
      <c r="AL347" s="91">
        <v>1</v>
      </c>
      <c r="AM347" s="91"/>
      <c r="AN347" s="91">
        <v>1</v>
      </c>
      <c r="AO347" s="91"/>
      <c r="AP347" s="91"/>
      <c r="AQ347" s="91"/>
      <c r="AR347" s="91"/>
      <c r="AS347" s="91"/>
      <c r="AT347" s="91"/>
      <c r="AU347" s="91"/>
      <c r="AV347" s="91"/>
      <c r="AW347" s="91">
        <v>2</v>
      </c>
      <c r="AX347" s="91"/>
      <c r="AY347" s="91"/>
      <c r="AZ347" s="91"/>
      <c r="BA347" s="91"/>
      <c r="BB347" s="91">
        <v>5</v>
      </c>
      <c r="BC347" s="91"/>
    </row>
    <row r="348" spans="1:55" x14ac:dyDescent="0.25">
      <c r="A348" s="91" t="s">
        <v>396</v>
      </c>
      <c r="B348" s="129">
        <f t="shared" si="7"/>
        <v>105</v>
      </c>
      <c r="C348" s="91">
        <v>8</v>
      </c>
      <c r="D348" s="91"/>
      <c r="E348" s="91">
        <v>10</v>
      </c>
      <c r="F348" s="91">
        <v>3</v>
      </c>
      <c r="G348" s="91">
        <v>5</v>
      </c>
      <c r="H348" s="91"/>
      <c r="I348" s="91">
        <v>2</v>
      </c>
      <c r="J348" s="91">
        <v>1</v>
      </c>
      <c r="K348" s="91"/>
      <c r="L348" s="91"/>
      <c r="M348" s="91"/>
      <c r="N348" s="91">
        <v>2</v>
      </c>
      <c r="O348" s="91">
        <v>2</v>
      </c>
      <c r="P348" s="91"/>
      <c r="Q348" s="91"/>
      <c r="R348" s="91"/>
      <c r="S348" s="91">
        <v>13</v>
      </c>
      <c r="T348" s="91">
        <v>1</v>
      </c>
      <c r="U348" s="91">
        <v>3</v>
      </c>
      <c r="V348" s="91"/>
      <c r="W348" s="91">
        <v>1</v>
      </c>
      <c r="X348" s="91">
        <v>3</v>
      </c>
      <c r="Y348" s="91">
        <v>2</v>
      </c>
      <c r="Z348" s="91"/>
      <c r="AA348" s="91">
        <v>1</v>
      </c>
      <c r="AB348" s="91"/>
      <c r="AC348" s="91"/>
      <c r="AD348" s="91"/>
      <c r="AE348" s="91">
        <v>2</v>
      </c>
      <c r="AF348" s="91"/>
      <c r="AG348" s="91"/>
      <c r="AH348" s="91"/>
      <c r="AI348" s="91"/>
      <c r="AJ348" s="91">
        <v>1</v>
      </c>
      <c r="AK348" s="91"/>
      <c r="AL348" s="91"/>
      <c r="AM348" s="91"/>
      <c r="AN348" s="91">
        <v>8</v>
      </c>
      <c r="AO348" s="91">
        <v>4</v>
      </c>
      <c r="AP348" s="91"/>
      <c r="AQ348" s="91">
        <v>8</v>
      </c>
      <c r="AR348" s="91">
        <v>15</v>
      </c>
      <c r="AS348" s="91">
        <v>2</v>
      </c>
      <c r="AT348" s="91"/>
      <c r="AU348" s="91"/>
      <c r="AV348" s="91">
        <v>3</v>
      </c>
      <c r="AW348" s="91">
        <v>5</v>
      </c>
      <c r="AX348" s="91"/>
      <c r="AY348" s="91"/>
      <c r="AZ348" s="91"/>
      <c r="BA348" s="91"/>
      <c r="BB348" s="91"/>
      <c r="BC348" s="91"/>
    </row>
    <row r="349" spans="1:55" x14ac:dyDescent="0.25">
      <c r="A349" s="91" t="s">
        <v>116</v>
      </c>
      <c r="B349" s="129">
        <f t="shared" si="7"/>
        <v>69</v>
      </c>
      <c r="C349" s="91"/>
      <c r="D349" s="91"/>
      <c r="E349" s="91">
        <v>1</v>
      </c>
      <c r="F349" s="91"/>
      <c r="G349" s="91">
        <v>1</v>
      </c>
      <c r="H349" s="91"/>
      <c r="I349" s="91"/>
      <c r="J349" s="91">
        <v>2</v>
      </c>
      <c r="K349" s="91">
        <v>8</v>
      </c>
      <c r="L349" s="91"/>
      <c r="M349" s="91">
        <v>1</v>
      </c>
      <c r="N349" s="91">
        <v>9</v>
      </c>
      <c r="O349" s="91"/>
      <c r="P349" s="91"/>
      <c r="Q349" s="91"/>
      <c r="R349" s="91"/>
      <c r="S349" s="91"/>
      <c r="T349" s="91"/>
      <c r="U349" s="91"/>
      <c r="V349" s="91"/>
      <c r="W349" s="91">
        <v>5</v>
      </c>
      <c r="X349" s="91"/>
      <c r="Y349" s="91">
        <v>9</v>
      </c>
      <c r="Z349" s="91"/>
      <c r="AA349" s="91"/>
      <c r="AB349" s="91"/>
      <c r="AC349" s="91">
        <v>4</v>
      </c>
      <c r="AD349" s="91">
        <v>9</v>
      </c>
      <c r="AE349" s="91"/>
      <c r="AF349" s="91"/>
      <c r="AG349" s="91"/>
      <c r="AH349" s="91"/>
      <c r="AI349" s="91">
        <v>3</v>
      </c>
      <c r="AJ349" s="91"/>
      <c r="AK349" s="91">
        <v>4</v>
      </c>
      <c r="AL349" s="91">
        <v>7</v>
      </c>
      <c r="AM349" s="91"/>
      <c r="AN349" s="91">
        <v>4</v>
      </c>
      <c r="AO349" s="91"/>
      <c r="AP349" s="91"/>
      <c r="AQ349" s="91"/>
      <c r="AR349" s="91"/>
      <c r="AS349" s="91"/>
      <c r="AT349" s="91"/>
      <c r="AU349" s="91"/>
      <c r="AV349" s="91"/>
      <c r="AW349" s="91">
        <v>1</v>
      </c>
      <c r="AX349" s="91"/>
      <c r="AY349" s="91"/>
      <c r="AZ349" s="91"/>
      <c r="BA349" s="91">
        <v>1</v>
      </c>
      <c r="BB349" s="91"/>
      <c r="BC349" s="91"/>
    </row>
    <row r="350" spans="1:55" x14ac:dyDescent="0.25">
      <c r="A350" s="91" t="s">
        <v>81</v>
      </c>
      <c r="B350" s="129">
        <f t="shared" si="7"/>
        <v>143</v>
      </c>
      <c r="C350" s="91">
        <v>5</v>
      </c>
      <c r="D350" s="91">
        <v>10</v>
      </c>
      <c r="E350" s="91">
        <v>3</v>
      </c>
      <c r="F350" s="91">
        <v>9</v>
      </c>
      <c r="G350" s="91">
        <v>10</v>
      </c>
      <c r="H350" s="91"/>
      <c r="I350" s="91">
        <v>13</v>
      </c>
      <c r="J350" s="91">
        <v>2</v>
      </c>
      <c r="K350" s="91"/>
      <c r="L350" s="91">
        <v>1</v>
      </c>
      <c r="M350" s="91"/>
      <c r="N350" s="91">
        <v>5</v>
      </c>
      <c r="O350" s="91">
        <v>2</v>
      </c>
      <c r="P350" s="91"/>
      <c r="Q350" s="91"/>
      <c r="R350" s="91">
        <v>1</v>
      </c>
      <c r="S350" s="91"/>
      <c r="T350" s="91">
        <v>10</v>
      </c>
      <c r="U350" s="91">
        <v>2</v>
      </c>
      <c r="V350" s="91"/>
      <c r="W350" s="91"/>
      <c r="X350" s="91"/>
      <c r="Y350" s="91">
        <v>7</v>
      </c>
      <c r="Z350" s="91"/>
      <c r="AA350" s="91"/>
      <c r="AB350" s="91"/>
      <c r="AC350" s="91"/>
      <c r="AD350" s="91">
        <v>3</v>
      </c>
      <c r="AE350" s="91"/>
      <c r="AF350" s="91"/>
      <c r="AG350" s="91"/>
      <c r="AH350" s="91">
        <v>5</v>
      </c>
      <c r="AI350" s="91">
        <v>7</v>
      </c>
      <c r="AJ350" s="91">
        <v>8</v>
      </c>
      <c r="AK350" s="91"/>
      <c r="AL350" s="91"/>
      <c r="AM350" s="91"/>
      <c r="AN350" s="91"/>
      <c r="AO350" s="91">
        <v>10</v>
      </c>
      <c r="AP350" s="91"/>
      <c r="AQ350" s="91"/>
      <c r="AR350" s="91">
        <v>1</v>
      </c>
      <c r="AS350" s="91">
        <v>2</v>
      </c>
      <c r="AT350" s="91"/>
      <c r="AU350" s="91"/>
      <c r="AV350" s="91">
        <v>8</v>
      </c>
      <c r="AW350" s="91">
        <v>3</v>
      </c>
      <c r="AX350" s="91"/>
      <c r="AY350" s="91"/>
      <c r="AZ350" s="91"/>
      <c r="BA350" s="91">
        <v>10</v>
      </c>
      <c r="BB350" s="91">
        <v>6</v>
      </c>
      <c r="BC350" s="91"/>
    </row>
    <row r="351" spans="1:55" x14ac:dyDescent="0.25">
      <c r="A351" s="91" t="s">
        <v>392</v>
      </c>
      <c r="B351" s="129">
        <f t="shared" si="7"/>
        <v>121</v>
      </c>
      <c r="C351" s="91">
        <v>1</v>
      </c>
      <c r="D351" s="91">
        <v>6</v>
      </c>
      <c r="E351" s="91">
        <v>8</v>
      </c>
      <c r="F351" s="91">
        <v>2</v>
      </c>
      <c r="G351" s="91">
        <v>8</v>
      </c>
      <c r="H351" s="91"/>
      <c r="I351" s="91">
        <v>8</v>
      </c>
      <c r="J351" s="91">
        <v>4</v>
      </c>
      <c r="K351" s="91"/>
      <c r="L351" s="91"/>
      <c r="M351" s="91">
        <v>2</v>
      </c>
      <c r="N351" s="91">
        <v>2</v>
      </c>
      <c r="O351" s="91">
        <v>3</v>
      </c>
      <c r="P351" s="91"/>
      <c r="Q351" s="91"/>
      <c r="R351" s="91">
        <v>4</v>
      </c>
      <c r="S351" s="91">
        <v>19</v>
      </c>
      <c r="T351" s="91">
        <v>1</v>
      </c>
      <c r="U351" s="91">
        <v>1</v>
      </c>
      <c r="V351" s="91"/>
      <c r="W351" s="91">
        <v>3</v>
      </c>
      <c r="X351" s="91">
        <v>11</v>
      </c>
      <c r="Y351" s="91"/>
      <c r="Z351" s="91"/>
      <c r="AA351" s="91"/>
      <c r="AB351" s="91"/>
      <c r="AC351" s="91">
        <v>2</v>
      </c>
      <c r="AD351" s="91"/>
      <c r="AE351" s="91"/>
      <c r="AF351" s="91"/>
      <c r="AG351" s="91"/>
      <c r="AH351" s="91"/>
      <c r="AI351" s="91"/>
      <c r="AJ351" s="91">
        <v>3</v>
      </c>
      <c r="AK351" s="91">
        <v>1</v>
      </c>
      <c r="AL351" s="91">
        <v>6</v>
      </c>
      <c r="AM351" s="91"/>
      <c r="AN351" s="91">
        <v>2</v>
      </c>
      <c r="AO351" s="91"/>
      <c r="AP351" s="91">
        <v>1</v>
      </c>
      <c r="AQ351" s="91"/>
      <c r="AR351" s="91">
        <v>1</v>
      </c>
      <c r="AS351" s="91"/>
      <c r="AT351" s="91"/>
      <c r="AU351" s="91"/>
      <c r="AV351" s="91"/>
      <c r="AW351" s="91"/>
      <c r="AX351" s="91"/>
      <c r="AY351" s="91">
        <v>2</v>
      </c>
      <c r="AZ351" s="91">
        <v>1</v>
      </c>
      <c r="BA351" s="91"/>
      <c r="BB351" s="91">
        <v>19</v>
      </c>
      <c r="BC351" s="91"/>
    </row>
    <row r="352" spans="1:55" x14ac:dyDescent="0.25">
      <c r="A352" s="91" t="s">
        <v>437</v>
      </c>
      <c r="B352" s="129">
        <f t="shared" si="7"/>
        <v>0</v>
      </c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</row>
    <row r="353" spans="1:55" x14ac:dyDescent="0.25">
      <c r="A353" s="91" t="s">
        <v>89</v>
      </c>
      <c r="B353" s="129">
        <f t="shared" si="7"/>
        <v>90</v>
      </c>
      <c r="C353" s="91"/>
      <c r="D353" s="91">
        <v>5</v>
      </c>
      <c r="E353" s="91"/>
      <c r="F353" s="91">
        <v>4</v>
      </c>
      <c r="G353" s="91">
        <v>2</v>
      </c>
      <c r="H353" s="91"/>
      <c r="I353" s="91">
        <v>11</v>
      </c>
      <c r="J353" s="91">
        <v>1</v>
      </c>
      <c r="K353" s="91"/>
      <c r="L353" s="91">
        <v>1</v>
      </c>
      <c r="M353" s="91"/>
      <c r="N353" s="91">
        <v>6</v>
      </c>
      <c r="O353" s="91">
        <v>2</v>
      </c>
      <c r="P353" s="91">
        <v>4</v>
      </c>
      <c r="Q353" s="91">
        <v>1</v>
      </c>
      <c r="R353" s="91">
        <v>3</v>
      </c>
      <c r="S353" s="91"/>
      <c r="T353" s="91"/>
      <c r="U353" s="91"/>
      <c r="V353" s="91"/>
      <c r="W353" s="91">
        <v>3</v>
      </c>
      <c r="X353" s="91">
        <v>1</v>
      </c>
      <c r="Y353" s="91">
        <v>10</v>
      </c>
      <c r="Z353" s="91"/>
      <c r="AA353" s="91"/>
      <c r="AB353" s="91"/>
      <c r="AC353" s="91">
        <v>4</v>
      </c>
      <c r="AD353" s="91"/>
      <c r="AE353" s="91"/>
      <c r="AF353" s="91"/>
      <c r="AG353" s="91"/>
      <c r="AH353" s="91"/>
      <c r="AI353" s="91"/>
      <c r="AJ353" s="91">
        <v>1</v>
      </c>
      <c r="AK353" s="91"/>
      <c r="AL353" s="91"/>
      <c r="AM353" s="91"/>
      <c r="AN353" s="91">
        <v>2</v>
      </c>
      <c r="AO353" s="91">
        <v>1</v>
      </c>
      <c r="AP353" s="91"/>
      <c r="AQ353" s="91"/>
      <c r="AR353" s="91">
        <v>1</v>
      </c>
      <c r="AS353" s="91">
        <v>1</v>
      </c>
      <c r="AT353" s="91"/>
      <c r="AU353" s="91"/>
      <c r="AV353" s="91">
        <v>3</v>
      </c>
      <c r="AW353" s="91">
        <v>6</v>
      </c>
      <c r="AX353" s="91"/>
      <c r="AY353" s="91"/>
      <c r="AZ353" s="91"/>
      <c r="BA353" s="91">
        <v>7</v>
      </c>
      <c r="BB353" s="91">
        <v>10</v>
      </c>
      <c r="BC353" s="91"/>
    </row>
    <row r="354" spans="1:55" x14ac:dyDescent="0.25">
      <c r="A354" s="91" t="s">
        <v>304</v>
      </c>
      <c r="B354" s="129">
        <f t="shared" si="7"/>
        <v>16</v>
      </c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>
        <v>2</v>
      </c>
      <c r="BB354" s="91">
        <v>14</v>
      </c>
      <c r="BC354" s="91"/>
    </row>
    <row r="355" spans="1:55" x14ac:dyDescent="0.25">
      <c r="A355" s="91" t="s">
        <v>199</v>
      </c>
      <c r="B355" s="129">
        <f t="shared" si="7"/>
        <v>33</v>
      </c>
      <c r="C355" s="91"/>
      <c r="D355" s="91"/>
      <c r="E355" s="91">
        <v>1</v>
      </c>
      <c r="F355" s="91">
        <v>4</v>
      </c>
      <c r="G355" s="91">
        <v>1</v>
      </c>
      <c r="H355" s="91"/>
      <c r="I355" s="91">
        <v>4</v>
      </c>
      <c r="J355" s="91"/>
      <c r="K355" s="91"/>
      <c r="L355" s="91"/>
      <c r="M355" s="91"/>
      <c r="N355" s="91">
        <v>2</v>
      </c>
      <c r="O355" s="91"/>
      <c r="P355" s="91"/>
      <c r="Q355" s="91"/>
      <c r="R355" s="91"/>
      <c r="S355" s="91"/>
      <c r="T355" s="91"/>
      <c r="U355" s="91"/>
      <c r="V355" s="91"/>
      <c r="W355" s="91">
        <v>1</v>
      </c>
      <c r="X355" s="91">
        <v>4</v>
      </c>
      <c r="Y355" s="91"/>
      <c r="Z355" s="91">
        <v>1</v>
      </c>
      <c r="AA355" s="91"/>
      <c r="AB355" s="91"/>
      <c r="AC355" s="91"/>
      <c r="AD355" s="91"/>
      <c r="AE355" s="91"/>
      <c r="AF355" s="91"/>
      <c r="AG355" s="91"/>
      <c r="AH355" s="91"/>
      <c r="AI355" s="91">
        <v>2</v>
      </c>
      <c r="AJ355" s="91">
        <v>1</v>
      </c>
      <c r="AK355" s="91"/>
      <c r="AL355" s="91"/>
      <c r="AM355" s="91"/>
      <c r="AN355" s="91"/>
      <c r="AO355" s="91"/>
      <c r="AP355" s="91"/>
      <c r="AQ355" s="91">
        <v>4</v>
      </c>
      <c r="AR355" s="91">
        <v>2</v>
      </c>
      <c r="AS355" s="91"/>
      <c r="AT355" s="91"/>
      <c r="AU355" s="91"/>
      <c r="AV355" s="91"/>
      <c r="AW355" s="91">
        <v>6</v>
      </c>
      <c r="AX355" s="91"/>
      <c r="AY355" s="91"/>
      <c r="AZ355" s="91"/>
      <c r="BA355" s="91"/>
      <c r="BB355" s="91"/>
      <c r="BC355" s="91"/>
    </row>
    <row r="356" spans="1:55" x14ac:dyDescent="0.25">
      <c r="A356" s="91" t="s">
        <v>229</v>
      </c>
      <c r="B356" s="129">
        <f t="shared" si="7"/>
        <v>15</v>
      </c>
      <c r="C356" s="91"/>
      <c r="D356" s="91"/>
      <c r="E356" s="91"/>
      <c r="F356" s="91"/>
      <c r="G356" s="91">
        <v>7</v>
      </c>
      <c r="H356" s="91"/>
      <c r="I356" s="91">
        <v>2</v>
      </c>
      <c r="J356" s="91">
        <v>1</v>
      </c>
      <c r="K356" s="91"/>
      <c r="L356" s="91"/>
      <c r="M356" s="91"/>
      <c r="N356" s="91">
        <v>3</v>
      </c>
      <c r="O356" s="91"/>
      <c r="P356" s="91"/>
      <c r="Q356" s="91"/>
      <c r="R356" s="91">
        <v>1</v>
      </c>
      <c r="S356" s="91"/>
      <c r="T356" s="91"/>
      <c r="U356" s="91"/>
      <c r="V356" s="91"/>
      <c r="W356" s="91"/>
      <c r="X356" s="91">
        <v>1</v>
      </c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</row>
    <row r="357" spans="1:55" x14ac:dyDescent="0.25">
      <c r="A357" s="91" t="s">
        <v>226</v>
      </c>
      <c r="B357" s="129">
        <f t="shared" si="7"/>
        <v>61</v>
      </c>
      <c r="C357" s="91"/>
      <c r="D357" s="91"/>
      <c r="E357" s="91">
        <v>3</v>
      </c>
      <c r="F357" s="91">
        <v>2</v>
      </c>
      <c r="G357" s="91">
        <v>16</v>
      </c>
      <c r="H357" s="91"/>
      <c r="I357" s="91">
        <v>8</v>
      </c>
      <c r="J357" s="91"/>
      <c r="K357" s="91"/>
      <c r="L357" s="91"/>
      <c r="M357" s="91"/>
      <c r="N357" s="91">
        <v>4</v>
      </c>
      <c r="O357" s="91"/>
      <c r="P357" s="91"/>
      <c r="Q357" s="91"/>
      <c r="R357" s="91"/>
      <c r="S357" s="91">
        <v>3</v>
      </c>
      <c r="T357" s="91"/>
      <c r="U357" s="91"/>
      <c r="V357" s="91"/>
      <c r="W357" s="91">
        <v>2</v>
      </c>
      <c r="X357" s="91">
        <v>1</v>
      </c>
      <c r="Y357" s="91">
        <v>2</v>
      </c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>
        <v>4</v>
      </c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>
        <v>16</v>
      </c>
      <c r="BC357" s="91"/>
    </row>
    <row r="358" spans="1:55" x14ac:dyDescent="0.25">
      <c r="A358" s="91" t="s">
        <v>448</v>
      </c>
      <c r="B358" s="129">
        <f t="shared" si="7"/>
        <v>59</v>
      </c>
      <c r="C358" s="91"/>
      <c r="D358" s="91">
        <v>1</v>
      </c>
      <c r="E358" s="91">
        <v>1</v>
      </c>
      <c r="F358" s="91">
        <v>3</v>
      </c>
      <c r="G358" s="91">
        <v>3</v>
      </c>
      <c r="H358" s="91"/>
      <c r="I358" s="91">
        <v>5</v>
      </c>
      <c r="J358" s="91"/>
      <c r="K358" s="91"/>
      <c r="L358" s="91"/>
      <c r="M358" s="91">
        <v>3</v>
      </c>
      <c r="N358" s="91">
        <v>1</v>
      </c>
      <c r="O358" s="91"/>
      <c r="P358" s="91"/>
      <c r="Q358" s="91">
        <v>1</v>
      </c>
      <c r="R358" s="91"/>
      <c r="S358" s="91">
        <v>5</v>
      </c>
      <c r="T358" s="91"/>
      <c r="U358" s="91">
        <v>1</v>
      </c>
      <c r="V358" s="91"/>
      <c r="W358" s="91">
        <v>1</v>
      </c>
      <c r="X358" s="91"/>
      <c r="Y358" s="91">
        <v>1</v>
      </c>
      <c r="Z358" s="91">
        <v>1</v>
      </c>
      <c r="AA358" s="91"/>
      <c r="AB358" s="91"/>
      <c r="AC358" s="91"/>
      <c r="AD358" s="91">
        <v>3</v>
      </c>
      <c r="AE358" s="91">
        <v>3</v>
      </c>
      <c r="AF358" s="91"/>
      <c r="AG358" s="91"/>
      <c r="AH358" s="91"/>
      <c r="AI358" s="91">
        <v>1</v>
      </c>
      <c r="AJ358" s="91"/>
      <c r="AK358" s="91">
        <v>1</v>
      </c>
      <c r="AL358" s="91"/>
      <c r="AM358" s="91"/>
      <c r="AN358" s="91">
        <v>1</v>
      </c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>
        <v>23</v>
      </c>
      <c r="BC358" s="91"/>
    </row>
    <row r="359" spans="1:55" x14ac:dyDescent="0.25">
      <c r="A359" s="91" t="s">
        <v>927</v>
      </c>
      <c r="B359" s="129">
        <f t="shared" si="7"/>
        <v>80</v>
      </c>
      <c r="C359" s="91"/>
      <c r="D359" s="91"/>
      <c r="E359" s="91">
        <v>4</v>
      </c>
      <c r="F359" s="91">
        <v>2</v>
      </c>
      <c r="G359" s="91">
        <v>7</v>
      </c>
      <c r="H359" s="91"/>
      <c r="I359" s="91"/>
      <c r="J359" s="91">
        <v>1</v>
      </c>
      <c r="K359" s="91">
        <v>1</v>
      </c>
      <c r="L359" s="91"/>
      <c r="M359" s="91"/>
      <c r="N359" s="91">
        <v>18</v>
      </c>
      <c r="O359" s="91">
        <v>1</v>
      </c>
      <c r="P359" s="91"/>
      <c r="Q359" s="91">
        <v>1</v>
      </c>
      <c r="R359" s="91">
        <v>1</v>
      </c>
      <c r="S359" s="91">
        <v>3</v>
      </c>
      <c r="T359" s="91"/>
      <c r="U359" s="91"/>
      <c r="V359" s="91"/>
      <c r="W359" s="91">
        <v>3</v>
      </c>
      <c r="X359" s="91">
        <v>2</v>
      </c>
      <c r="Y359" s="91">
        <v>1</v>
      </c>
      <c r="Z359" s="91"/>
      <c r="AA359" s="91">
        <v>2</v>
      </c>
      <c r="AB359" s="91"/>
      <c r="AC359" s="91"/>
      <c r="AD359" s="91">
        <v>2</v>
      </c>
      <c r="AE359" s="91">
        <v>2</v>
      </c>
      <c r="AF359" s="91"/>
      <c r="AG359" s="91"/>
      <c r="AH359" s="91">
        <v>3</v>
      </c>
      <c r="AI359" s="91">
        <v>3</v>
      </c>
      <c r="AJ359" s="91">
        <v>1</v>
      </c>
      <c r="AK359" s="91">
        <v>4</v>
      </c>
      <c r="AL359" s="91"/>
      <c r="AM359" s="91">
        <v>3</v>
      </c>
      <c r="AN359" s="91">
        <v>4</v>
      </c>
      <c r="AO359" s="91">
        <v>5</v>
      </c>
      <c r="AP359" s="91"/>
      <c r="AQ359" s="91"/>
      <c r="AR359" s="91"/>
      <c r="AS359" s="91">
        <v>1</v>
      </c>
      <c r="AT359" s="91"/>
      <c r="AU359" s="91"/>
      <c r="AV359" s="91"/>
      <c r="AW359" s="91"/>
      <c r="AX359" s="91">
        <v>3</v>
      </c>
      <c r="AY359" s="91"/>
      <c r="AZ359" s="91">
        <v>2</v>
      </c>
      <c r="BA359" s="91"/>
      <c r="BB359" s="91"/>
      <c r="BC359" s="91"/>
    </row>
    <row r="360" spans="1:55" x14ac:dyDescent="0.25">
      <c r="A360" s="91" t="s">
        <v>413</v>
      </c>
      <c r="B360" s="129">
        <f t="shared" si="7"/>
        <v>4</v>
      </c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>
        <v>1</v>
      </c>
      <c r="BB360" s="91">
        <v>3</v>
      </c>
      <c r="BC360" s="91"/>
    </row>
    <row r="361" spans="1:55" x14ac:dyDescent="0.25">
      <c r="A361" s="91" t="s">
        <v>91</v>
      </c>
      <c r="B361" s="129">
        <f t="shared" si="7"/>
        <v>0</v>
      </c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</row>
    <row r="362" spans="1:55" x14ac:dyDescent="0.25">
      <c r="A362" s="91" t="s">
        <v>572</v>
      </c>
      <c r="B362" s="129">
        <f t="shared" si="7"/>
        <v>2</v>
      </c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>
        <v>1</v>
      </c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>
        <v>1</v>
      </c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</row>
    <row r="363" spans="1:55" x14ac:dyDescent="0.25">
      <c r="A363" s="91" t="s">
        <v>508</v>
      </c>
      <c r="B363" s="129">
        <f t="shared" si="7"/>
        <v>18</v>
      </c>
      <c r="C363" s="91"/>
      <c r="D363" s="91"/>
      <c r="E363" s="91">
        <v>1</v>
      </c>
      <c r="F363" s="91">
        <v>2</v>
      </c>
      <c r="G363" s="91">
        <v>2</v>
      </c>
      <c r="H363" s="91"/>
      <c r="I363" s="91"/>
      <c r="J363" s="91"/>
      <c r="K363" s="91"/>
      <c r="L363" s="91"/>
      <c r="M363" s="91"/>
      <c r="N363" s="91"/>
      <c r="O363" s="91">
        <v>3</v>
      </c>
      <c r="P363" s="91"/>
      <c r="Q363" s="91"/>
      <c r="R363" s="91">
        <v>1</v>
      </c>
      <c r="S363" s="91"/>
      <c r="T363" s="91"/>
      <c r="U363" s="91"/>
      <c r="V363" s="91"/>
      <c r="W363" s="91">
        <v>1</v>
      </c>
      <c r="X363" s="91">
        <v>1</v>
      </c>
      <c r="Y363" s="91">
        <v>1</v>
      </c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>
        <v>1</v>
      </c>
      <c r="AK363" s="91">
        <v>1</v>
      </c>
      <c r="AL363" s="91"/>
      <c r="AM363" s="91"/>
      <c r="AN363" s="91"/>
      <c r="AO363" s="91">
        <v>1</v>
      </c>
      <c r="AP363" s="91"/>
      <c r="AQ363" s="91"/>
      <c r="AR363" s="91">
        <v>1</v>
      </c>
      <c r="AS363" s="91"/>
      <c r="AT363" s="91"/>
      <c r="AU363" s="91"/>
      <c r="AV363" s="91"/>
      <c r="AW363" s="91"/>
      <c r="AX363" s="91">
        <v>2</v>
      </c>
      <c r="AY363" s="91"/>
      <c r="AZ363" s="91"/>
      <c r="BA363" s="91"/>
      <c r="BB363" s="91"/>
      <c r="BC363" s="91"/>
    </row>
    <row r="364" spans="1:55" x14ac:dyDescent="0.25">
      <c r="A364" s="91" t="s">
        <v>560</v>
      </c>
      <c r="B364" s="129">
        <f t="shared" si="7"/>
        <v>13</v>
      </c>
      <c r="C364" s="91"/>
      <c r="D364" s="91"/>
      <c r="E364" s="91">
        <v>1</v>
      </c>
      <c r="F364" s="91">
        <v>1</v>
      </c>
      <c r="G364" s="91">
        <v>2</v>
      </c>
      <c r="H364" s="91"/>
      <c r="I364" s="91">
        <v>1</v>
      </c>
      <c r="J364" s="91"/>
      <c r="K364" s="91">
        <v>1</v>
      </c>
      <c r="L364" s="91"/>
      <c r="M364" s="91"/>
      <c r="N364" s="91"/>
      <c r="O364" s="91"/>
      <c r="P364" s="91"/>
      <c r="Q364" s="91"/>
      <c r="R364" s="91">
        <v>1</v>
      </c>
      <c r="S364" s="91">
        <v>2</v>
      </c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>
        <v>1</v>
      </c>
      <c r="AK364" s="91">
        <v>1</v>
      </c>
      <c r="AL364" s="91"/>
      <c r="AM364" s="91"/>
      <c r="AN364" s="91"/>
      <c r="AO364" s="91"/>
      <c r="AP364" s="91"/>
      <c r="AQ364" s="91"/>
      <c r="AR364" s="91">
        <v>1</v>
      </c>
      <c r="AS364" s="91"/>
      <c r="AT364" s="91"/>
      <c r="AU364" s="91"/>
      <c r="AV364" s="91"/>
      <c r="AW364" s="91"/>
      <c r="AX364" s="91"/>
      <c r="AY364" s="91">
        <v>1</v>
      </c>
      <c r="AZ364" s="91"/>
      <c r="BA364" s="91"/>
      <c r="BB364" s="91"/>
      <c r="BC364" s="91"/>
    </row>
    <row r="365" spans="1:55" x14ac:dyDescent="0.25">
      <c r="A365" s="91" t="s">
        <v>598</v>
      </c>
      <c r="B365" s="129">
        <f t="shared" si="7"/>
        <v>39</v>
      </c>
      <c r="C365" s="91"/>
      <c r="D365" s="91"/>
      <c r="E365" s="91">
        <v>2</v>
      </c>
      <c r="F365" s="91">
        <v>8</v>
      </c>
      <c r="G365" s="91">
        <v>2</v>
      </c>
      <c r="H365" s="91"/>
      <c r="I365" s="91">
        <v>1</v>
      </c>
      <c r="J365" s="91">
        <v>2</v>
      </c>
      <c r="K365" s="91">
        <v>1</v>
      </c>
      <c r="L365" s="91"/>
      <c r="M365" s="91"/>
      <c r="N365" s="91">
        <v>1</v>
      </c>
      <c r="O365" s="91">
        <v>2</v>
      </c>
      <c r="P365" s="91"/>
      <c r="Q365" s="91">
        <v>1</v>
      </c>
      <c r="R365" s="91">
        <v>1</v>
      </c>
      <c r="S365" s="91">
        <v>2</v>
      </c>
      <c r="T365" s="91"/>
      <c r="U365" s="91"/>
      <c r="V365" s="91"/>
      <c r="W365" s="91"/>
      <c r="X365" s="91">
        <v>3</v>
      </c>
      <c r="Y365" s="91">
        <v>1</v>
      </c>
      <c r="Z365" s="91"/>
      <c r="AA365" s="91"/>
      <c r="AB365" s="91"/>
      <c r="AC365" s="91"/>
      <c r="AD365" s="91">
        <v>1</v>
      </c>
      <c r="AE365" s="91">
        <v>1</v>
      </c>
      <c r="AF365" s="91"/>
      <c r="AG365" s="91">
        <v>1</v>
      </c>
      <c r="AH365" s="91"/>
      <c r="AI365" s="91"/>
      <c r="AJ365" s="91">
        <v>4</v>
      </c>
      <c r="AK365" s="91"/>
      <c r="AL365" s="91"/>
      <c r="AM365" s="91"/>
      <c r="AN365" s="91"/>
      <c r="AO365" s="91">
        <v>1</v>
      </c>
      <c r="AP365" s="91"/>
      <c r="AQ365" s="91"/>
      <c r="AR365" s="91"/>
      <c r="AS365" s="91"/>
      <c r="AT365" s="91"/>
      <c r="AU365" s="91"/>
      <c r="AV365" s="91"/>
      <c r="AW365" s="91"/>
      <c r="AX365" s="91">
        <v>1</v>
      </c>
      <c r="AY365" s="91">
        <v>2</v>
      </c>
      <c r="AZ365" s="91">
        <v>1</v>
      </c>
      <c r="BA365" s="91"/>
      <c r="BB365" s="91"/>
      <c r="BC365" s="91"/>
    </row>
    <row r="366" spans="1:55" x14ac:dyDescent="0.25">
      <c r="A366" s="91" t="s">
        <v>853</v>
      </c>
      <c r="B366" s="129">
        <f t="shared" si="7"/>
        <v>18</v>
      </c>
      <c r="C366" s="91">
        <v>2</v>
      </c>
      <c r="D366" s="91"/>
      <c r="E366" s="91">
        <v>1</v>
      </c>
      <c r="F366" s="91"/>
      <c r="G366" s="91">
        <v>1</v>
      </c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>
        <v>3</v>
      </c>
      <c r="T366" s="91"/>
      <c r="U366" s="91"/>
      <c r="V366" s="91"/>
      <c r="W366" s="91">
        <v>1</v>
      </c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>
        <v>2</v>
      </c>
      <c r="AK366" s="91"/>
      <c r="AL366" s="91"/>
      <c r="AM366" s="91"/>
      <c r="AN366" s="91"/>
      <c r="AO366" s="91"/>
      <c r="AP366" s="91"/>
      <c r="AQ366" s="91">
        <v>6</v>
      </c>
      <c r="AR366" s="91"/>
      <c r="AS366" s="91">
        <v>2</v>
      </c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</row>
    <row r="367" spans="1:55" x14ac:dyDescent="0.25">
      <c r="A367" s="91" t="s">
        <v>549</v>
      </c>
      <c r="B367" s="129">
        <f t="shared" si="7"/>
        <v>9</v>
      </c>
      <c r="C367" s="91"/>
      <c r="D367" s="91"/>
      <c r="E367" s="91">
        <v>1</v>
      </c>
      <c r="F367" s="91"/>
      <c r="G367" s="91"/>
      <c r="H367" s="91"/>
      <c r="I367" s="91"/>
      <c r="J367" s="91"/>
      <c r="K367" s="91">
        <v>1</v>
      </c>
      <c r="L367" s="91"/>
      <c r="M367" s="91"/>
      <c r="N367" s="91">
        <v>1</v>
      </c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>
        <v>2</v>
      </c>
      <c r="Z367" s="91"/>
      <c r="AA367" s="91"/>
      <c r="AB367" s="91"/>
      <c r="AC367" s="91">
        <v>1</v>
      </c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>
        <v>1</v>
      </c>
      <c r="AO367" s="91"/>
      <c r="AP367" s="91"/>
      <c r="AQ367" s="91"/>
      <c r="AR367" s="91">
        <v>1</v>
      </c>
      <c r="AS367" s="91"/>
      <c r="AT367" s="91"/>
      <c r="AU367" s="91"/>
      <c r="AV367" s="91"/>
      <c r="AW367" s="91"/>
      <c r="AX367" s="91"/>
      <c r="AY367" s="91">
        <v>1</v>
      </c>
      <c r="AZ367" s="91"/>
      <c r="BA367" s="91"/>
      <c r="BB367" s="91"/>
      <c r="BC367" s="91"/>
    </row>
    <row r="368" spans="1:55" x14ac:dyDescent="0.25">
      <c r="A368" s="91" t="s">
        <v>471</v>
      </c>
      <c r="B368" s="129">
        <f t="shared" si="7"/>
        <v>36</v>
      </c>
      <c r="C368" s="91"/>
      <c r="D368" s="91"/>
      <c r="E368" s="91">
        <v>1</v>
      </c>
      <c r="F368" s="91">
        <v>3</v>
      </c>
      <c r="G368" s="91"/>
      <c r="H368" s="91"/>
      <c r="I368" s="91"/>
      <c r="J368" s="91">
        <v>1</v>
      </c>
      <c r="K368" s="91"/>
      <c r="L368" s="91"/>
      <c r="M368" s="91"/>
      <c r="N368" s="91">
        <v>5</v>
      </c>
      <c r="O368" s="91">
        <v>1</v>
      </c>
      <c r="P368" s="91"/>
      <c r="Q368" s="91"/>
      <c r="R368" s="91">
        <v>3</v>
      </c>
      <c r="S368" s="91"/>
      <c r="T368" s="91"/>
      <c r="U368" s="91"/>
      <c r="V368" s="91"/>
      <c r="W368" s="91">
        <v>3</v>
      </c>
      <c r="X368" s="91"/>
      <c r="Y368" s="91"/>
      <c r="Z368" s="91"/>
      <c r="AA368" s="91"/>
      <c r="AB368" s="91"/>
      <c r="AC368" s="91"/>
      <c r="AD368" s="91"/>
      <c r="AE368" s="91"/>
      <c r="AF368" s="91"/>
      <c r="AG368" s="91">
        <v>1</v>
      </c>
      <c r="AH368" s="91">
        <v>1</v>
      </c>
      <c r="AI368" s="91">
        <v>1</v>
      </c>
      <c r="AJ368" s="91">
        <v>4</v>
      </c>
      <c r="AK368" s="91"/>
      <c r="AL368" s="91"/>
      <c r="AM368" s="91"/>
      <c r="AN368" s="91">
        <v>2</v>
      </c>
      <c r="AO368" s="91"/>
      <c r="AP368" s="91"/>
      <c r="AQ368" s="91"/>
      <c r="AR368" s="91">
        <v>5</v>
      </c>
      <c r="AS368" s="91"/>
      <c r="AT368" s="91"/>
      <c r="AU368" s="91"/>
      <c r="AV368" s="91"/>
      <c r="AW368" s="91"/>
      <c r="AX368" s="91">
        <v>3</v>
      </c>
      <c r="AY368" s="91">
        <v>2</v>
      </c>
      <c r="AZ368" s="91"/>
      <c r="BA368" s="91"/>
      <c r="BB368" s="91"/>
      <c r="BC368" s="91"/>
    </row>
    <row r="369" spans="1:55" x14ac:dyDescent="0.25">
      <c r="A369" s="91" t="s">
        <v>556</v>
      </c>
      <c r="B369" s="129">
        <f t="shared" si="7"/>
        <v>45</v>
      </c>
      <c r="C369" s="91"/>
      <c r="D369" s="91"/>
      <c r="E369" s="91">
        <v>2</v>
      </c>
      <c r="F369" s="91">
        <v>4</v>
      </c>
      <c r="G369" s="91">
        <v>2</v>
      </c>
      <c r="H369" s="91"/>
      <c r="I369" s="91">
        <v>1</v>
      </c>
      <c r="J369" s="91"/>
      <c r="K369" s="91">
        <v>1</v>
      </c>
      <c r="L369" s="91"/>
      <c r="M369" s="91"/>
      <c r="N369" s="91">
        <v>4</v>
      </c>
      <c r="O369" s="91">
        <v>1</v>
      </c>
      <c r="P369" s="91"/>
      <c r="Q369" s="91"/>
      <c r="R369" s="91">
        <v>5</v>
      </c>
      <c r="S369" s="91"/>
      <c r="T369" s="91"/>
      <c r="U369" s="91"/>
      <c r="V369" s="91"/>
      <c r="W369" s="91">
        <v>3</v>
      </c>
      <c r="X369" s="91">
        <v>2</v>
      </c>
      <c r="Y369" s="91">
        <v>1</v>
      </c>
      <c r="Z369" s="91"/>
      <c r="AA369" s="91"/>
      <c r="AB369" s="91"/>
      <c r="AC369" s="91"/>
      <c r="AD369" s="91">
        <v>5</v>
      </c>
      <c r="AE369" s="91"/>
      <c r="AF369" s="91"/>
      <c r="AG369" s="91">
        <v>1</v>
      </c>
      <c r="AH369" s="91">
        <v>1</v>
      </c>
      <c r="AI369" s="91">
        <v>1</v>
      </c>
      <c r="AJ369" s="91">
        <v>3</v>
      </c>
      <c r="AK369" s="91"/>
      <c r="AL369" s="91"/>
      <c r="AM369" s="91"/>
      <c r="AN369" s="91"/>
      <c r="AO369" s="91">
        <v>2</v>
      </c>
      <c r="AP369" s="91"/>
      <c r="AQ369" s="91"/>
      <c r="AR369" s="91">
        <v>1</v>
      </c>
      <c r="AS369" s="91"/>
      <c r="AT369" s="91"/>
      <c r="AU369" s="91"/>
      <c r="AV369" s="91"/>
      <c r="AW369" s="91">
        <v>1</v>
      </c>
      <c r="AX369" s="91">
        <v>1</v>
      </c>
      <c r="AY369" s="91">
        <v>3</v>
      </c>
      <c r="AZ369" s="91"/>
      <c r="BA369" s="91"/>
      <c r="BB369" s="91"/>
      <c r="BC369" s="91"/>
    </row>
    <row r="370" spans="1:55" x14ac:dyDescent="0.25">
      <c r="A370" s="91" t="s">
        <v>548</v>
      </c>
      <c r="B370" s="129">
        <f t="shared" si="7"/>
        <v>16</v>
      </c>
      <c r="C370" s="91"/>
      <c r="D370" s="91"/>
      <c r="E370" s="91"/>
      <c r="F370" s="91"/>
      <c r="G370" s="91">
        <v>3</v>
      </c>
      <c r="H370" s="91"/>
      <c r="I370" s="91"/>
      <c r="J370" s="91"/>
      <c r="K370" s="91">
        <v>1</v>
      </c>
      <c r="L370" s="91"/>
      <c r="M370" s="91"/>
      <c r="N370" s="91">
        <v>1</v>
      </c>
      <c r="O370" s="91">
        <v>1</v>
      </c>
      <c r="P370" s="91"/>
      <c r="Q370" s="91"/>
      <c r="R370" s="91"/>
      <c r="S370" s="91"/>
      <c r="T370" s="91"/>
      <c r="U370" s="91"/>
      <c r="V370" s="91"/>
      <c r="W370" s="91"/>
      <c r="X370" s="91">
        <v>1</v>
      </c>
      <c r="Y370" s="91">
        <v>1</v>
      </c>
      <c r="Z370" s="91"/>
      <c r="AA370" s="91"/>
      <c r="AB370" s="91"/>
      <c r="AC370" s="91">
        <v>1</v>
      </c>
      <c r="AD370" s="91">
        <v>1</v>
      </c>
      <c r="AE370" s="91"/>
      <c r="AF370" s="91"/>
      <c r="AG370" s="91"/>
      <c r="AH370" s="91"/>
      <c r="AI370" s="91"/>
      <c r="AJ370" s="91">
        <v>1</v>
      </c>
      <c r="AK370" s="91"/>
      <c r="AL370" s="91"/>
      <c r="AM370" s="91"/>
      <c r="AN370" s="91">
        <v>2</v>
      </c>
      <c r="AO370" s="91"/>
      <c r="AP370" s="91"/>
      <c r="AQ370" s="91"/>
      <c r="AR370" s="91"/>
      <c r="AS370" s="91"/>
      <c r="AT370" s="91"/>
      <c r="AU370" s="91"/>
      <c r="AV370" s="91"/>
      <c r="AW370" s="91"/>
      <c r="AX370" s="91">
        <v>1</v>
      </c>
      <c r="AY370" s="91"/>
      <c r="AZ370" s="91">
        <v>2</v>
      </c>
      <c r="BA370" s="91"/>
      <c r="BB370" s="91"/>
      <c r="BC370" s="91"/>
    </row>
    <row r="371" spans="1:55" x14ac:dyDescent="0.25">
      <c r="A371" s="91" t="s">
        <v>493</v>
      </c>
      <c r="B371" s="129">
        <f t="shared" si="7"/>
        <v>9</v>
      </c>
      <c r="C371" s="91"/>
      <c r="D371" s="91"/>
      <c r="E371" s="91">
        <v>1</v>
      </c>
      <c r="F371" s="91"/>
      <c r="G371" s="91"/>
      <c r="H371" s="91"/>
      <c r="I371" s="91">
        <v>1</v>
      </c>
      <c r="J371" s="91"/>
      <c r="K371" s="91">
        <v>1</v>
      </c>
      <c r="L371" s="91"/>
      <c r="M371" s="91"/>
      <c r="N371" s="91">
        <v>1</v>
      </c>
      <c r="O371" s="91"/>
      <c r="P371" s="91"/>
      <c r="Q371" s="91"/>
      <c r="R371" s="91"/>
      <c r="S371" s="91">
        <v>2</v>
      </c>
      <c r="T371" s="91"/>
      <c r="U371" s="91"/>
      <c r="V371" s="91"/>
      <c r="W371" s="91"/>
      <c r="X371" s="91"/>
      <c r="Y371" s="91">
        <v>1</v>
      </c>
      <c r="Z371" s="91"/>
      <c r="AA371" s="91"/>
      <c r="AB371" s="91"/>
      <c r="AC371" s="91">
        <v>1</v>
      </c>
      <c r="AD371" s="91"/>
      <c r="AE371" s="91">
        <v>1</v>
      </c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</row>
    <row r="372" spans="1:55" x14ac:dyDescent="0.25">
      <c r="A372" s="91" t="s">
        <v>571</v>
      </c>
      <c r="B372" s="129">
        <f t="shared" si="7"/>
        <v>20</v>
      </c>
      <c r="C372" s="91"/>
      <c r="D372" s="91"/>
      <c r="E372" s="91">
        <v>1</v>
      </c>
      <c r="F372" s="91"/>
      <c r="G372" s="91">
        <v>2</v>
      </c>
      <c r="H372" s="91"/>
      <c r="I372" s="91"/>
      <c r="J372" s="91"/>
      <c r="K372" s="91"/>
      <c r="L372" s="91"/>
      <c r="M372" s="91"/>
      <c r="N372" s="91">
        <v>2</v>
      </c>
      <c r="O372" s="91">
        <v>1</v>
      </c>
      <c r="P372" s="91"/>
      <c r="Q372" s="91"/>
      <c r="R372" s="91">
        <v>1</v>
      </c>
      <c r="S372" s="91"/>
      <c r="T372" s="91"/>
      <c r="U372" s="91"/>
      <c r="V372" s="91"/>
      <c r="W372" s="91">
        <v>2</v>
      </c>
      <c r="X372" s="91"/>
      <c r="Y372" s="91"/>
      <c r="Z372" s="91"/>
      <c r="AA372" s="91"/>
      <c r="AB372" s="91">
        <v>2</v>
      </c>
      <c r="AC372" s="91"/>
      <c r="AD372" s="91"/>
      <c r="AE372" s="91">
        <v>1</v>
      </c>
      <c r="AF372" s="91"/>
      <c r="AG372" s="91"/>
      <c r="AH372" s="91"/>
      <c r="AI372" s="91"/>
      <c r="AJ372" s="91">
        <v>1</v>
      </c>
      <c r="AK372" s="91"/>
      <c r="AL372" s="91"/>
      <c r="AM372" s="91"/>
      <c r="AN372" s="91">
        <v>1</v>
      </c>
      <c r="AO372" s="91"/>
      <c r="AP372" s="91"/>
      <c r="AQ372" s="91"/>
      <c r="AR372" s="91"/>
      <c r="AS372" s="91"/>
      <c r="AT372" s="91"/>
      <c r="AU372" s="91"/>
      <c r="AV372" s="91"/>
      <c r="AW372" s="91">
        <v>3</v>
      </c>
      <c r="AX372" s="91">
        <v>1</v>
      </c>
      <c r="AY372" s="91">
        <v>2</v>
      </c>
      <c r="AZ372" s="91"/>
      <c r="BA372" s="91"/>
      <c r="BB372" s="91"/>
      <c r="BC372" s="91"/>
    </row>
    <row r="373" spans="1:55" x14ac:dyDescent="0.25">
      <c r="A373" s="91" t="s">
        <v>275</v>
      </c>
      <c r="B373" s="129">
        <f t="shared" si="7"/>
        <v>19</v>
      </c>
      <c r="C373" s="91"/>
      <c r="D373" s="91"/>
      <c r="E373" s="91"/>
      <c r="F373" s="91">
        <v>2</v>
      </c>
      <c r="G373" s="91"/>
      <c r="H373" s="91"/>
      <c r="I373" s="91"/>
      <c r="J373" s="91"/>
      <c r="K373" s="91"/>
      <c r="L373" s="91"/>
      <c r="M373" s="91"/>
      <c r="N373" s="91">
        <v>2</v>
      </c>
      <c r="O373" s="91"/>
      <c r="P373" s="91"/>
      <c r="Q373" s="91"/>
      <c r="R373" s="91">
        <v>1</v>
      </c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>
        <v>1</v>
      </c>
      <c r="AK373" s="91">
        <v>2</v>
      </c>
      <c r="AL373" s="91"/>
      <c r="AM373" s="91"/>
      <c r="AN373" s="91">
        <v>1</v>
      </c>
      <c r="AO373" s="91"/>
      <c r="AP373" s="91"/>
      <c r="AQ373" s="91">
        <v>1</v>
      </c>
      <c r="AR373" s="91"/>
      <c r="AS373" s="91"/>
      <c r="AT373" s="91"/>
      <c r="AU373" s="91"/>
      <c r="AV373" s="91"/>
      <c r="AW373" s="91"/>
      <c r="AX373" s="91"/>
      <c r="AY373" s="91"/>
      <c r="AZ373" s="91"/>
      <c r="BA373" s="91">
        <v>2</v>
      </c>
      <c r="BB373" s="91">
        <v>7</v>
      </c>
      <c r="BC373" s="91"/>
    </row>
    <row r="374" spans="1:55" x14ac:dyDescent="0.25">
      <c r="A374" s="91" t="s">
        <v>597</v>
      </c>
      <c r="B374" s="129">
        <f t="shared" si="7"/>
        <v>46</v>
      </c>
      <c r="C374" s="91"/>
      <c r="D374" s="91"/>
      <c r="E374" s="91">
        <v>3</v>
      </c>
      <c r="F374" s="91">
        <v>2</v>
      </c>
      <c r="G374" s="91">
        <v>5</v>
      </c>
      <c r="H374" s="91"/>
      <c r="I374" s="91"/>
      <c r="J374" s="91">
        <v>1</v>
      </c>
      <c r="K374" s="91">
        <v>5</v>
      </c>
      <c r="L374" s="91"/>
      <c r="M374" s="91"/>
      <c r="N374" s="91">
        <v>1</v>
      </c>
      <c r="O374" s="91">
        <v>1</v>
      </c>
      <c r="P374" s="91"/>
      <c r="Q374" s="91">
        <v>1</v>
      </c>
      <c r="R374" s="91">
        <v>2</v>
      </c>
      <c r="S374" s="91">
        <v>10</v>
      </c>
      <c r="T374" s="91"/>
      <c r="U374" s="91"/>
      <c r="V374" s="91"/>
      <c r="W374" s="91"/>
      <c r="X374" s="91">
        <v>1</v>
      </c>
      <c r="Y374" s="91">
        <v>1</v>
      </c>
      <c r="Z374" s="91"/>
      <c r="AA374" s="91">
        <v>1</v>
      </c>
      <c r="AB374" s="91"/>
      <c r="AC374" s="91">
        <v>1</v>
      </c>
      <c r="AD374" s="91">
        <v>2</v>
      </c>
      <c r="AE374" s="91"/>
      <c r="AF374" s="91"/>
      <c r="AG374" s="91"/>
      <c r="AH374" s="91"/>
      <c r="AI374" s="91">
        <v>1</v>
      </c>
      <c r="AJ374" s="91">
        <v>3</v>
      </c>
      <c r="AK374" s="91"/>
      <c r="AL374" s="91"/>
      <c r="AM374" s="91"/>
      <c r="AN374" s="91"/>
      <c r="AO374" s="91">
        <v>2</v>
      </c>
      <c r="AP374" s="91"/>
      <c r="AQ374" s="91"/>
      <c r="AR374" s="91">
        <v>2</v>
      </c>
      <c r="AS374" s="91"/>
      <c r="AT374" s="91"/>
      <c r="AU374" s="91"/>
      <c r="AV374" s="91"/>
      <c r="AW374" s="91"/>
      <c r="AX374" s="91">
        <v>1</v>
      </c>
      <c r="AY374" s="91"/>
      <c r="AZ374" s="91"/>
      <c r="BA374" s="91"/>
      <c r="BB374" s="91"/>
      <c r="BC374" s="91"/>
    </row>
    <row r="375" spans="1:55" x14ac:dyDescent="0.25">
      <c r="A375" s="91" t="s">
        <v>300</v>
      </c>
      <c r="B375" s="129">
        <f t="shared" si="7"/>
        <v>7</v>
      </c>
      <c r="C375" s="91">
        <v>1</v>
      </c>
      <c r="D375" s="91"/>
      <c r="E375" s="91"/>
      <c r="F375" s="91">
        <v>1</v>
      </c>
      <c r="G375" s="91"/>
      <c r="H375" s="91"/>
      <c r="I375" s="91">
        <v>1</v>
      </c>
      <c r="J375" s="91"/>
      <c r="K375" s="91"/>
      <c r="L375" s="91"/>
      <c r="M375" s="91"/>
      <c r="N375" s="91"/>
      <c r="O375" s="91">
        <v>1</v>
      </c>
      <c r="P375" s="91"/>
      <c r="Q375" s="91"/>
      <c r="R375" s="91"/>
      <c r="S375" s="91">
        <v>1</v>
      </c>
      <c r="T375" s="91"/>
      <c r="U375" s="91"/>
      <c r="V375" s="91"/>
      <c r="W375" s="91">
        <v>1</v>
      </c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>
        <v>1</v>
      </c>
      <c r="AX375" s="91"/>
      <c r="AY375" s="91"/>
      <c r="AZ375" s="91"/>
      <c r="BA375" s="91"/>
      <c r="BB375" s="91"/>
      <c r="BC375" s="91"/>
    </row>
    <row r="376" spans="1:55" x14ac:dyDescent="0.25">
      <c r="A376" s="91" t="s">
        <v>539</v>
      </c>
      <c r="B376" s="129">
        <f t="shared" si="7"/>
        <v>8</v>
      </c>
      <c r="C376" s="91"/>
      <c r="D376" s="91"/>
      <c r="E376" s="91"/>
      <c r="F376" s="91"/>
      <c r="G376" s="91"/>
      <c r="H376" s="91"/>
      <c r="I376" s="91"/>
      <c r="J376" s="91">
        <v>1</v>
      </c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>
        <v>1</v>
      </c>
      <c r="AE376" s="91"/>
      <c r="AF376" s="91"/>
      <c r="AG376" s="91"/>
      <c r="AH376" s="91"/>
      <c r="AI376" s="91"/>
      <c r="AJ376" s="91">
        <v>1</v>
      </c>
      <c r="AK376" s="91">
        <v>1</v>
      </c>
      <c r="AL376" s="91"/>
      <c r="AM376" s="91"/>
      <c r="AN376" s="91">
        <v>1</v>
      </c>
      <c r="AO376" s="91"/>
      <c r="AP376" s="91"/>
      <c r="AQ376" s="91"/>
      <c r="AR376" s="91"/>
      <c r="AS376" s="91"/>
      <c r="AT376" s="91"/>
      <c r="AU376" s="91"/>
      <c r="AV376" s="91"/>
      <c r="AW376" s="91"/>
      <c r="AX376" s="91">
        <v>1</v>
      </c>
      <c r="AY376" s="91">
        <v>1</v>
      </c>
      <c r="AZ376" s="91">
        <v>1</v>
      </c>
      <c r="BA376" s="91"/>
      <c r="BB376" s="91"/>
      <c r="BC376" s="91"/>
    </row>
    <row r="377" spans="1:55" x14ac:dyDescent="0.25">
      <c r="A377" s="91" t="s">
        <v>580</v>
      </c>
      <c r="B377" s="129">
        <f t="shared" si="7"/>
        <v>59</v>
      </c>
      <c r="C377" s="91"/>
      <c r="D377" s="91"/>
      <c r="E377" s="91">
        <v>4</v>
      </c>
      <c r="F377" s="91">
        <v>1</v>
      </c>
      <c r="G377" s="91">
        <v>4</v>
      </c>
      <c r="H377" s="91"/>
      <c r="I377" s="91"/>
      <c r="J377" s="91"/>
      <c r="K377" s="91"/>
      <c r="L377" s="91"/>
      <c r="M377" s="91"/>
      <c r="N377" s="91">
        <v>4</v>
      </c>
      <c r="O377" s="91">
        <v>5</v>
      </c>
      <c r="P377" s="91"/>
      <c r="Q377" s="91"/>
      <c r="R377" s="91">
        <v>6</v>
      </c>
      <c r="S377" s="91">
        <v>4</v>
      </c>
      <c r="T377" s="91"/>
      <c r="U377" s="91"/>
      <c r="V377" s="91"/>
      <c r="W377" s="91"/>
      <c r="X377" s="91">
        <v>1</v>
      </c>
      <c r="Y377" s="91"/>
      <c r="Z377" s="91"/>
      <c r="AA377" s="91">
        <v>1</v>
      </c>
      <c r="AB377" s="91"/>
      <c r="AC377" s="91">
        <v>4</v>
      </c>
      <c r="AD377" s="91">
        <v>1</v>
      </c>
      <c r="AE377" s="91">
        <v>4</v>
      </c>
      <c r="AF377" s="91"/>
      <c r="AG377" s="91">
        <v>1</v>
      </c>
      <c r="AH377" s="91"/>
      <c r="AI377" s="91"/>
      <c r="AJ377" s="91"/>
      <c r="AK377" s="91">
        <v>1</v>
      </c>
      <c r="AL377" s="91"/>
      <c r="AM377" s="91"/>
      <c r="AN377" s="91">
        <v>1</v>
      </c>
      <c r="AO377" s="91">
        <v>8</v>
      </c>
      <c r="AP377" s="91"/>
      <c r="AQ377" s="91"/>
      <c r="AR377" s="91">
        <v>1</v>
      </c>
      <c r="AS377" s="91"/>
      <c r="AT377" s="91"/>
      <c r="AU377" s="91"/>
      <c r="AV377" s="91"/>
      <c r="AW377" s="91">
        <v>4</v>
      </c>
      <c r="AX377" s="91">
        <v>2</v>
      </c>
      <c r="AY377" s="91">
        <v>1</v>
      </c>
      <c r="AZ377" s="91">
        <v>1</v>
      </c>
      <c r="BA377" s="91"/>
      <c r="BB377" s="91"/>
      <c r="BC377" s="91"/>
    </row>
    <row r="378" spans="1:55" x14ac:dyDescent="0.25">
      <c r="A378" s="91" t="s">
        <v>520</v>
      </c>
      <c r="B378" s="129">
        <f t="shared" si="7"/>
        <v>11</v>
      </c>
      <c r="C378" s="91"/>
      <c r="D378" s="91"/>
      <c r="E378" s="91">
        <v>2</v>
      </c>
      <c r="F378" s="91"/>
      <c r="G378" s="91"/>
      <c r="H378" s="91"/>
      <c r="I378" s="91"/>
      <c r="J378" s="91">
        <v>1</v>
      </c>
      <c r="K378" s="91"/>
      <c r="L378" s="91"/>
      <c r="M378" s="91"/>
      <c r="N378" s="91"/>
      <c r="O378" s="91">
        <v>1</v>
      </c>
      <c r="P378" s="91"/>
      <c r="Q378" s="91">
        <v>1</v>
      </c>
      <c r="R378" s="91">
        <v>1</v>
      </c>
      <c r="S378" s="91"/>
      <c r="T378" s="91"/>
      <c r="U378" s="91"/>
      <c r="V378" s="91"/>
      <c r="W378" s="91"/>
      <c r="X378" s="91"/>
      <c r="Y378" s="91">
        <v>2</v>
      </c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>
        <v>1</v>
      </c>
      <c r="AL378" s="91"/>
      <c r="AM378" s="91"/>
      <c r="AN378" s="91">
        <v>1</v>
      </c>
      <c r="AO378" s="91"/>
      <c r="AP378" s="91"/>
      <c r="AQ378" s="91"/>
      <c r="AR378" s="91"/>
      <c r="AS378" s="91"/>
      <c r="AT378" s="91"/>
      <c r="AU378" s="91"/>
      <c r="AV378" s="91"/>
      <c r="AW378" s="91"/>
      <c r="AX378" s="91">
        <v>1</v>
      </c>
      <c r="AY378" s="91"/>
      <c r="AZ378" s="91"/>
      <c r="BA378" s="91"/>
      <c r="BB378" s="91"/>
      <c r="BC378" s="91"/>
    </row>
    <row r="379" spans="1:55" x14ac:dyDescent="0.25">
      <c r="A379" s="91" t="s">
        <v>521</v>
      </c>
      <c r="B379" s="129">
        <f t="shared" si="7"/>
        <v>29</v>
      </c>
      <c r="C379" s="91"/>
      <c r="D379" s="91"/>
      <c r="E379" s="91">
        <v>3</v>
      </c>
      <c r="F379" s="91"/>
      <c r="G379" s="91">
        <v>2</v>
      </c>
      <c r="H379" s="91"/>
      <c r="I379" s="91">
        <v>2</v>
      </c>
      <c r="J379" s="91">
        <v>1</v>
      </c>
      <c r="K379" s="91">
        <v>1</v>
      </c>
      <c r="L379" s="91"/>
      <c r="M379" s="91"/>
      <c r="N379" s="91">
        <v>5</v>
      </c>
      <c r="O379" s="91">
        <v>1</v>
      </c>
      <c r="P379" s="91"/>
      <c r="Q379" s="91">
        <v>3</v>
      </c>
      <c r="R379" s="91">
        <v>1</v>
      </c>
      <c r="S379" s="91"/>
      <c r="T379" s="91"/>
      <c r="U379" s="91"/>
      <c r="V379" s="91"/>
      <c r="W379" s="91">
        <v>1</v>
      </c>
      <c r="X379" s="91"/>
      <c r="Y379" s="91">
        <v>3</v>
      </c>
      <c r="Z379" s="91"/>
      <c r="AA379" s="91"/>
      <c r="AB379" s="91"/>
      <c r="AC379" s="91"/>
      <c r="AD379" s="91">
        <v>1</v>
      </c>
      <c r="AE379" s="91">
        <v>1</v>
      </c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>
        <v>1</v>
      </c>
      <c r="AS379" s="91"/>
      <c r="AT379" s="91"/>
      <c r="AU379" s="91"/>
      <c r="AV379" s="91"/>
      <c r="AW379" s="91"/>
      <c r="AX379" s="91">
        <v>2</v>
      </c>
      <c r="AY379" s="91"/>
      <c r="AZ379" s="91">
        <v>1</v>
      </c>
      <c r="BA379" s="91"/>
      <c r="BB379" s="91"/>
      <c r="BC379" s="91"/>
    </row>
    <row r="380" spans="1:55" x14ac:dyDescent="0.25">
      <c r="A380" s="91" t="s">
        <v>398</v>
      </c>
      <c r="B380" s="129">
        <f t="shared" si="7"/>
        <v>87</v>
      </c>
      <c r="C380" s="91">
        <v>1</v>
      </c>
      <c r="D380" s="91">
        <v>4</v>
      </c>
      <c r="E380" s="91">
        <v>3</v>
      </c>
      <c r="F380" s="91">
        <v>7</v>
      </c>
      <c r="G380" s="91"/>
      <c r="H380" s="91">
        <v>9</v>
      </c>
      <c r="I380" s="91">
        <v>1</v>
      </c>
      <c r="J380" s="91">
        <v>3</v>
      </c>
      <c r="K380" s="91"/>
      <c r="L380" s="91"/>
      <c r="M380" s="91">
        <v>6</v>
      </c>
      <c r="N380" s="91">
        <v>1</v>
      </c>
      <c r="O380" s="91"/>
      <c r="P380" s="91"/>
      <c r="Q380" s="91"/>
      <c r="R380" s="91">
        <v>1</v>
      </c>
      <c r="S380" s="91">
        <v>4</v>
      </c>
      <c r="T380" s="91"/>
      <c r="U380" s="91">
        <v>6</v>
      </c>
      <c r="V380" s="91"/>
      <c r="W380" s="91">
        <v>5</v>
      </c>
      <c r="X380" s="91">
        <v>5</v>
      </c>
      <c r="Y380" s="91">
        <v>9</v>
      </c>
      <c r="Z380" s="91"/>
      <c r="AA380" s="91"/>
      <c r="AB380" s="91">
        <v>2</v>
      </c>
      <c r="AC380" s="91"/>
      <c r="AD380" s="91"/>
      <c r="AE380" s="91"/>
      <c r="AF380" s="91"/>
      <c r="AG380" s="91"/>
      <c r="AH380" s="91">
        <v>2</v>
      </c>
      <c r="AI380" s="91"/>
      <c r="AJ380" s="91">
        <v>6</v>
      </c>
      <c r="AK380" s="91"/>
      <c r="AL380" s="91"/>
      <c r="AM380" s="91"/>
      <c r="AN380" s="91"/>
      <c r="AO380" s="91">
        <v>9</v>
      </c>
      <c r="AP380" s="91"/>
      <c r="AQ380" s="91"/>
      <c r="AR380" s="91"/>
      <c r="AS380" s="91"/>
      <c r="AT380" s="91"/>
      <c r="AU380" s="91"/>
      <c r="AV380" s="91"/>
      <c r="AW380" s="91">
        <v>1</v>
      </c>
      <c r="AX380" s="91"/>
      <c r="AY380" s="91">
        <v>2</v>
      </c>
      <c r="AZ380" s="91"/>
      <c r="BA380" s="91"/>
      <c r="BB380" s="91"/>
      <c r="BC380" s="91"/>
    </row>
    <row r="381" spans="1:55" x14ac:dyDescent="0.25">
      <c r="A381" s="91" t="s">
        <v>570</v>
      </c>
      <c r="B381" s="129">
        <f t="shared" si="7"/>
        <v>71</v>
      </c>
      <c r="C381" s="91"/>
      <c r="D381" s="91"/>
      <c r="E381" s="91"/>
      <c r="F381" s="91">
        <v>4</v>
      </c>
      <c r="G381" s="91">
        <v>8</v>
      </c>
      <c r="H381" s="91"/>
      <c r="I381" s="91">
        <v>2</v>
      </c>
      <c r="J381" s="91"/>
      <c r="K381" s="91">
        <v>3</v>
      </c>
      <c r="L381" s="91"/>
      <c r="M381" s="91"/>
      <c r="N381" s="91">
        <v>4</v>
      </c>
      <c r="O381" s="91">
        <v>3</v>
      </c>
      <c r="P381" s="91"/>
      <c r="Q381" s="91">
        <v>12</v>
      </c>
      <c r="R381" s="91">
        <v>7</v>
      </c>
      <c r="S381" s="91">
        <v>3</v>
      </c>
      <c r="T381" s="91"/>
      <c r="U381" s="91"/>
      <c r="V381" s="91"/>
      <c r="W381" s="91"/>
      <c r="X381" s="91"/>
      <c r="Y381" s="91">
        <v>3</v>
      </c>
      <c r="Z381" s="91"/>
      <c r="AA381" s="91"/>
      <c r="AB381" s="91"/>
      <c r="AC381" s="91">
        <v>2</v>
      </c>
      <c r="AD381" s="91">
        <v>1</v>
      </c>
      <c r="AE381" s="91">
        <v>1</v>
      </c>
      <c r="AF381" s="91"/>
      <c r="AG381" s="91">
        <v>1</v>
      </c>
      <c r="AH381" s="91">
        <v>4</v>
      </c>
      <c r="AI381" s="91">
        <v>4</v>
      </c>
      <c r="AJ381" s="91">
        <v>1</v>
      </c>
      <c r="AK381" s="91">
        <v>1</v>
      </c>
      <c r="AL381" s="91"/>
      <c r="AM381" s="91"/>
      <c r="AN381" s="91">
        <v>1</v>
      </c>
      <c r="AO381" s="91"/>
      <c r="AP381" s="91"/>
      <c r="AQ381" s="91"/>
      <c r="AR381" s="91"/>
      <c r="AS381" s="91"/>
      <c r="AT381" s="91"/>
      <c r="AU381" s="91"/>
      <c r="AV381" s="91"/>
      <c r="AW381" s="91">
        <v>4</v>
      </c>
      <c r="AX381" s="91">
        <v>1</v>
      </c>
      <c r="AY381" s="91"/>
      <c r="AZ381" s="91">
        <v>1</v>
      </c>
      <c r="BA381" s="91"/>
      <c r="BB381" s="91"/>
      <c r="BC381" s="91"/>
    </row>
    <row r="382" spans="1:55" x14ac:dyDescent="0.25">
      <c r="A382" s="91" t="s">
        <v>180</v>
      </c>
      <c r="B382" s="129">
        <f t="shared" si="7"/>
        <v>19</v>
      </c>
      <c r="C382" s="91">
        <v>1</v>
      </c>
      <c r="D382" s="91"/>
      <c r="E382" s="91"/>
      <c r="F382" s="91"/>
      <c r="G382" s="91"/>
      <c r="H382" s="91"/>
      <c r="I382" s="91">
        <v>3</v>
      </c>
      <c r="J382" s="91"/>
      <c r="K382" s="91"/>
      <c r="L382" s="91"/>
      <c r="M382" s="91"/>
      <c r="N382" s="91">
        <v>4</v>
      </c>
      <c r="O382" s="91"/>
      <c r="P382" s="91"/>
      <c r="Q382" s="91">
        <v>1</v>
      </c>
      <c r="R382" s="91"/>
      <c r="S382" s="91"/>
      <c r="T382" s="91">
        <v>3</v>
      </c>
      <c r="U382" s="91"/>
      <c r="V382" s="91"/>
      <c r="W382" s="91"/>
      <c r="X382" s="91"/>
      <c r="Y382" s="91">
        <v>1</v>
      </c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>
        <v>3</v>
      </c>
      <c r="AP382" s="91"/>
      <c r="AQ382" s="91"/>
      <c r="AR382" s="91"/>
      <c r="AS382" s="91"/>
      <c r="AT382" s="91"/>
      <c r="AU382" s="91"/>
      <c r="AV382" s="91">
        <v>2</v>
      </c>
      <c r="AW382" s="91">
        <v>1</v>
      </c>
      <c r="AX382" s="91"/>
      <c r="AY382" s="91"/>
      <c r="AZ382" s="91"/>
      <c r="BA382" s="91"/>
      <c r="BB382" s="91"/>
      <c r="BC382" s="91"/>
    </row>
    <row r="383" spans="1:55" x14ac:dyDescent="0.25">
      <c r="A383" s="91" t="s">
        <v>341</v>
      </c>
      <c r="B383" s="129">
        <f t="shared" si="7"/>
        <v>159</v>
      </c>
      <c r="C383" s="91">
        <v>4</v>
      </c>
      <c r="D383" s="91">
        <v>4</v>
      </c>
      <c r="E383" s="91">
        <v>1</v>
      </c>
      <c r="F383" s="91">
        <v>3</v>
      </c>
      <c r="G383" s="91">
        <v>12</v>
      </c>
      <c r="H383" s="91">
        <v>4</v>
      </c>
      <c r="I383" s="91">
        <v>3</v>
      </c>
      <c r="J383" s="91">
        <v>8</v>
      </c>
      <c r="K383" s="91">
        <v>4</v>
      </c>
      <c r="L383" s="91">
        <v>7</v>
      </c>
      <c r="M383" s="91">
        <v>2</v>
      </c>
      <c r="N383" s="91">
        <v>3</v>
      </c>
      <c r="O383" s="91">
        <v>7</v>
      </c>
      <c r="P383" s="91">
        <v>17</v>
      </c>
      <c r="Q383" s="91"/>
      <c r="R383" s="91"/>
      <c r="S383" s="91">
        <v>16</v>
      </c>
      <c r="T383" s="91"/>
      <c r="U383" s="91">
        <v>14</v>
      </c>
      <c r="V383" s="91"/>
      <c r="W383" s="91">
        <v>1</v>
      </c>
      <c r="X383" s="91">
        <v>12</v>
      </c>
      <c r="Y383" s="91">
        <v>7</v>
      </c>
      <c r="Z383" s="91"/>
      <c r="AA383" s="91"/>
      <c r="AB383" s="91"/>
      <c r="AC383" s="91"/>
      <c r="AD383" s="91"/>
      <c r="AE383" s="91"/>
      <c r="AF383" s="91">
        <v>2</v>
      </c>
      <c r="AG383" s="91"/>
      <c r="AH383" s="91">
        <v>3</v>
      </c>
      <c r="AI383" s="91"/>
      <c r="AJ383" s="91">
        <v>1</v>
      </c>
      <c r="AK383" s="91"/>
      <c r="AL383" s="91"/>
      <c r="AM383" s="91"/>
      <c r="AN383" s="91"/>
      <c r="AO383" s="91">
        <v>12</v>
      </c>
      <c r="AP383" s="91"/>
      <c r="AQ383" s="91"/>
      <c r="AR383" s="91">
        <v>5</v>
      </c>
      <c r="AS383" s="91"/>
      <c r="AT383" s="91"/>
      <c r="AU383" s="91"/>
      <c r="AV383" s="91"/>
      <c r="AW383" s="91">
        <v>6</v>
      </c>
      <c r="AX383" s="91"/>
      <c r="AY383" s="91"/>
      <c r="AZ383" s="91"/>
      <c r="BA383" s="91"/>
      <c r="BB383" s="91">
        <v>1</v>
      </c>
      <c r="BC383" s="91"/>
    </row>
    <row r="384" spans="1:55" x14ac:dyDescent="0.25">
      <c r="A384" s="91" t="s">
        <v>517</v>
      </c>
      <c r="B384" s="129">
        <f t="shared" si="7"/>
        <v>46</v>
      </c>
      <c r="C384" s="91"/>
      <c r="D384" s="91"/>
      <c r="E384" s="91">
        <v>3</v>
      </c>
      <c r="F384" s="91">
        <v>4</v>
      </c>
      <c r="G384" s="91">
        <v>2</v>
      </c>
      <c r="H384" s="91"/>
      <c r="I384" s="91">
        <v>1</v>
      </c>
      <c r="J384" s="91"/>
      <c r="K384" s="91">
        <v>3</v>
      </c>
      <c r="L384" s="91"/>
      <c r="M384" s="91"/>
      <c r="N384" s="91">
        <v>2</v>
      </c>
      <c r="O384" s="91">
        <v>4</v>
      </c>
      <c r="P384" s="91"/>
      <c r="Q384" s="91">
        <v>4</v>
      </c>
      <c r="R384" s="91">
        <v>4</v>
      </c>
      <c r="S384" s="91">
        <v>1</v>
      </c>
      <c r="T384" s="91"/>
      <c r="U384" s="91"/>
      <c r="V384" s="91"/>
      <c r="W384" s="91">
        <v>2</v>
      </c>
      <c r="X384" s="91">
        <v>1</v>
      </c>
      <c r="Y384" s="91"/>
      <c r="Z384" s="91"/>
      <c r="AA384" s="91"/>
      <c r="AB384" s="91"/>
      <c r="AC384" s="91">
        <v>6</v>
      </c>
      <c r="AD384" s="91">
        <v>2</v>
      </c>
      <c r="AE384" s="91"/>
      <c r="AF384" s="91"/>
      <c r="AG384" s="91"/>
      <c r="AH384" s="91"/>
      <c r="AI384" s="91">
        <v>1</v>
      </c>
      <c r="AJ384" s="91">
        <v>1</v>
      </c>
      <c r="AK384" s="91"/>
      <c r="AL384" s="91"/>
      <c r="AM384" s="91"/>
      <c r="AN384" s="91">
        <v>1</v>
      </c>
      <c r="AO384" s="91">
        <v>1</v>
      </c>
      <c r="AP384" s="91"/>
      <c r="AQ384" s="91"/>
      <c r="AR384" s="91">
        <v>1</v>
      </c>
      <c r="AS384" s="91"/>
      <c r="AT384" s="91"/>
      <c r="AU384" s="91"/>
      <c r="AV384" s="91"/>
      <c r="AW384" s="91"/>
      <c r="AX384" s="91">
        <v>1</v>
      </c>
      <c r="AY384" s="91"/>
      <c r="AZ384" s="91">
        <v>1</v>
      </c>
      <c r="BA384" s="91"/>
      <c r="BB384" s="91"/>
      <c r="BC384" s="91"/>
    </row>
    <row r="385" spans="1:55" x14ac:dyDescent="0.25">
      <c r="A385" s="91" t="s">
        <v>504</v>
      </c>
      <c r="B385" s="129">
        <f t="shared" si="7"/>
        <v>13</v>
      </c>
      <c r="C385" s="91"/>
      <c r="D385" s="91"/>
      <c r="E385" s="91"/>
      <c r="F385" s="91"/>
      <c r="G385" s="91"/>
      <c r="H385" s="91"/>
      <c r="I385" s="91">
        <v>1</v>
      </c>
      <c r="J385" s="91">
        <v>1</v>
      </c>
      <c r="K385" s="91">
        <v>1</v>
      </c>
      <c r="L385" s="91"/>
      <c r="M385" s="91"/>
      <c r="N385" s="91">
        <v>1</v>
      </c>
      <c r="O385" s="91"/>
      <c r="P385" s="91"/>
      <c r="Q385" s="91"/>
      <c r="R385" s="91">
        <v>1</v>
      </c>
      <c r="S385" s="91">
        <v>1</v>
      </c>
      <c r="T385" s="91"/>
      <c r="U385" s="91"/>
      <c r="V385" s="91"/>
      <c r="W385" s="91"/>
      <c r="X385" s="91"/>
      <c r="Y385" s="91">
        <v>2</v>
      </c>
      <c r="Z385" s="91"/>
      <c r="AA385" s="91"/>
      <c r="AB385" s="91">
        <v>1</v>
      </c>
      <c r="AC385" s="91">
        <v>1</v>
      </c>
      <c r="AD385" s="91"/>
      <c r="AE385" s="91"/>
      <c r="AF385" s="91"/>
      <c r="AG385" s="91"/>
      <c r="AH385" s="91"/>
      <c r="AI385" s="91">
        <v>1</v>
      </c>
      <c r="AJ385" s="91"/>
      <c r="AK385" s="91">
        <v>1</v>
      </c>
      <c r="AL385" s="91"/>
      <c r="AM385" s="91"/>
      <c r="AN385" s="91">
        <v>1</v>
      </c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</row>
    <row r="386" spans="1:55" x14ac:dyDescent="0.25">
      <c r="A386" s="91" t="s">
        <v>561</v>
      </c>
      <c r="B386" s="129">
        <f t="shared" si="7"/>
        <v>11</v>
      </c>
      <c r="C386" s="91"/>
      <c r="D386" s="91"/>
      <c r="E386" s="91"/>
      <c r="F386" s="91"/>
      <c r="G386" s="91"/>
      <c r="H386" s="91"/>
      <c r="I386" s="91"/>
      <c r="J386" s="91">
        <v>1</v>
      </c>
      <c r="K386" s="91"/>
      <c r="L386" s="91"/>
      <c r="M386" s="91"/>
      <c r="N386" s="91"/>
      <c r="O386" s="91"/>
      <c r="P386" s="91"/>
      <c r="Q386" s="91"/>
      <c r="R386" s="91">
        <v>1</v>
      </c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>
        <v>1</v>
      </c>
      <c r="AF386" s="91"/>
      <c r="AG386" s="91">
        <v>1</v>
      </c>
      <c r="AH386" s="91"/>
      <c r="AI386" s="91"/>
      <c r="AJ386" s="91"/>
      <c r="AK386" s="91"/>
      <c r="AL386" s="91"/>
      <c r="AM386" s="91"/>
      <c r="AN386" s="91">
        <v>2</v>
      </c>
      <c r="AO386" s="91">
        <v>1</v>
      </c>
      <c r="AP386" s="91"/>
      <c r="AQ386" s="91"/>
      <c r="AR386" s="91"/>
      <c r="AS386" s="91"/>
      <c r="AT386" s="91"/>
      <c r="AU386" s="91"/>
      <c r="AV386" s="91"/>
      <c r="AW386" s="91"/>
      <c r="AX386" s="91"/>
      <c r="AY386" s="91">
        <v>1</v>
      </c>
      <c r="AZ386" s="91"/>
      <c r="BA386" s="91">
        <v>3</v>
      </c>
      <c r="BB386" s="91"/>
      <c r="BC386" s="91"/>
    </row>
    <row r="387" spans="1:55" x14ac:dyDescent="0.25">
      <c r="A387" s="91" t="s">
        <v>538</v>
      </c>
      <c r="B387" s="129">
        <f t="shared" si="7"/>
        <v>22</v>
      </c>
      <c r="C387" s="91"/>
      <c r="D387" s="91"/>
      <c r="E387" s="91">
        <v>1</v>
      </c>
      <c r="F387" s="91">
        <v>1</v>
      </c>
      <c r="G387" s="91">
        <v>4</v>
      </c>
      <c r="H387" s="91"/>
      <c r="I387" s="91"/>
      <c r="J387" s="91"/>
      <c r="K387" s="91"/>
      <c r="L387" s="91"/>
      <c r="M387" s="91"/>
      <c r="N387" s="91"/>
      <c r="O387" s="91">
        <v>2</v>
      </c>
      <c r="P387" s="91"/>
      <c r="Q387" s="91">
        <v>3</v>
      </c>
      <c r="R387" s="91"/>
      <c r="S387" s="91">
        <v>2</v>
      </c>
      <c r="T387" s="91"/>
      <c r="U387" s="91"/>
      <c r="V387" s="91"/>
      <c r="W387" s="91"/>
      <c r="X387" s="91"/>
      <c r="Y387" s="91">
        <v>1</v>
      </c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>
        <v>1</v>
      </c>
      <c r="AK387" s="91">
        <v>3</v>
      </c>
      <c r="AL387" s="91"/>
      <c r="AM387" s="91"/>
      <c r="AN387" s="91">
        <v>2</v>
      </c>
      <c r="AO387" s="91">
        <v>1</v>
      </c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>
        <v>1</v>
      </c>
      <c r="BA387" s="91"/>
      <c r="BB387" s="91"/>
      <c r="BC387" s="91"/>
    </row>
    <row r="388" spans="1:55" x14ac:dyDescent="0.25">
      <c r="A388" s="91" t="s">
        <v>338</v>
      </c>
      <c r="B388" s="129">
        <f t="shared" si="7"/>
        <v>23</v>
      </c>
      <c r="C388" s="91">
        <v>1</v>
      </c>
      <c r="D388" s="91"/>
      <c r="E388" s="91">
        <v>2</v>
      </c>
      <c r="F388" s="91">
        <v>2</v>
      </c>
      <c r="G388" s="91"/>
      <c r="H388" s="91"/>
      <c r="I388" s="91"/>
      <c r="J388" s="91">
        <v>2</v>
      </c>
      <c r="K388" s="91">
        <v>1</v>
      </c>
      <c r="L388" s="91"/>
      <c r="M388" s="91"/>
      <c r="N388" s="91">
        <v>1</v>
      </c>
      <c r="O388" s="91">
        <v>1</v>
      </c>
      <c r="P388" s="91"/>
      <c r="Q388" s="91"/>
      <c r="R388" s="91">
        <v>1</v>
      </c>
      <c r="S388" s="91"/>
      <c r="T388" s="91"/>
      <c r="U388" s="91"/>
      <c r="V388" s="91"/>
      <c r="W388" s="91"/>
      <c r="X388" s="91">
        <v>1</v>
      </c>
      <c r="Y388" s="91">
        <v>1</v>
      </c>
      <c r="Z388" s="91"/>
      <c r="AA388" s="91"/>
      <c r="AB388" s="91"/>
      <c r="AC388" s="91">
        <v>1</v>
      </c>
      <c r="AD388" s="91"/>
      <c r="AE388" s="91">
        <v>1</v>
      </c>
      <c r="AF388" s="91">
        <v>1</v>
      </c>
      <c r="AG388" s="91"/>
      <c r="AH388" s="91"/>
      <c r="AI388" s="91"/>
      <c r="AJ388" s="91">
        <v>1</v>
      </c>
      <c r="AK388" s="91"/>
      <c r="AL388" s="91"/>
      <c r="AM388" s="91"/>
      <c r="AN388" s="91">
        <v>2</v>
      </c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>
        <v>3</v>
      </c>
      <c r="BB388" s="91">
        <v>1</v>
      </c>
      <c r="BC388" s="91"/>
    </row>
    <row r="389" spans="1:55" x14ac:dyDescent="0.25">
      <c r="A389" s="91" t="s">
        <v>428</v>
      </c>
      <c r="B389" s="129">
        <f t="shared" si="7"/>
        <v>95</v>
      </c>
      <c r="C389" s="91"/>
      <c r="D389" s="91"/>
      <c r="E389" s="91">
        <v>1</v>
      </c>
      <c r="F389" s="91">
        <v>8</v>
      </c>
      <c r="G389" s="91">
        <v>19</v>
      </c>
      <c r="H389" s="91"/>
      <c r="I389" s="91">
        <v>2</v>
      </c>
      <c r="J389" s="91">
        <v>9</v>
      </c>
      <c r="K389" s="91">
        <v>4</v>
      </c>
      <c r="L389" s="91"/>
      <c r="M389" s="91"/>
      <c r="N389" s="91">
        <v>11</v>
      </c>
      <c r="O389" s="91">
        <v>2</v>
      </c>
      <c r="P389" s="91"/>
      <c r="Q389" s="91">
        <v>2</v>
      </c>
      <c r="R389" s="91">
        <v>3</v>
      </c>
      <c r="S389" s="91">
        <v>1</v>
      </c>
      <c r="T389" s="91"/>
      <c r="U389" s="91"/>
      <c r="V389" s="91"/>
      <c r="W389" s="91">
        <v>3</v>
      </c>
      <c r="X389" s="91">
        <v>1</v>
      </c>
      <c r="Y389" s="91">
        <v>4</v>
      </c>
      <c r="Z389" s="91"/>
      <c r="AA389" s="91"/>
      <c r="AB389" s="91"/>
      <c r="AC389" s="91">
        <v>1</v>
      </c>
      <c r="AD389" s="91">
        <v>2</v>
      </c>
      <c r="AE389" s="91">
        <v>4</v>
      </c>
      <c r="AF389" s="91"/>
      <c r="AG389" s="91">
        <v>3</v>
      </c>
      <c r="AH389" s="91">
        <v>2</v>
      </c>
      <c r="AI389" s="91"/>
      <c r="AJ389" s="91">
        <v>1</v>
      </c>
      <c r="AK389" s="91">
        <v>3</v>
      </c>
      <c r="AL389" s="91"/>
      <c r="AM389" s="91"/>
      <c r="AN389" s="91">
        <v>1</v>
      </c>
      <c r="AO389" s="91">
        <v>1</v>
      </c>
      <c r="AP389" s="91"/>
      <c r="AQ389" s="91"/>
      <c r="AR389" s="91">
        <v>2</v>
      </c>
      <c r="AS389" s="91"/>
      <c r="AT389" s="91"/>
      <c r="AU389" s="91"/>
      <c r="AV389" s="91"/>
      <c r="AW389" s="91">
        <v>2</v>
      </c>
      <c r="AX389" s="91">
        <v>3</v>
      </c>
      <c r="AY389" s="91"/>
      <c r="AZ389" s="91"/>
      <c r="BA389" s="91"/>
      <c r="BB389" s="91"/>
      <c r="BC389" s="91"/>
    </row>
    <row r="390" spans="1:55" x14ac:dyDescent="0.25">
      <c r="A390" s="91" t="s">
        <v>408</v>
      </c>
      <c r="B390" s="129">
        <f t="shared" si="7"/>
        <v>11</v>
      </c>
      <c r="C390" s="91"/>
      <c r="D390" s="91"/>
      <c r="E390" s="91"/>
      <c r="F390" s="91"/>
      <c r="G390" s="91">
        <v>5</v>
      </c>
      <c r="H390" s="91"/>
      <c r="I390" s="91">
        <v>1</v>
      </c>
      <c r="J390" s="91"/>
      <c r="K390" s="91"/>
      <c r="L390" s="91"/>
      <c r="M390" s="91"/>
      <c r="N390" s="91">
        <v>1</v>
      </c>
      <c r="O390" s="91">
        <v>1</v>
      </c>
      <c r="P390" s="91"/>
      <c r="Q390" s="91"/>
      <c r="R390" s="91"/>
      <c r="S390" s="91"/>
      <c r="T390" s="91"/>
      <c r="U390" s="91"/>
      <c r="V390" s="91"/>
      <c r="W390" s="91"/>
      <c r="X390" s="91">
        <v>1</v>
      </c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>
        <v>2</v>
      </c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</row>
    <row r="391" spans="1:55" x14ac:dyDescent="0.25">
      <c r="A391" s="91" t="s">
        <v>339</v>
      </c>
      <c r="B391" s="129">
        <f t="shared" si="7"/>
        <v>8</v>
      </c>
      <c r="C391" s="91"/>
      <c r="D391" s="91"/>
      <c r="E391" s="91">
        <v>2</v>
      </c>
      <c r="F391" s="91"/>
      <c r="G391" s="91"/>
      <c r="H391" s="91"/>
      <c r="I391" s="91">
        <v>1</v>
      </c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>
        <v>1</v>
      </c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>
        <v>1</v>
      </c>
      <c r="AO391" s="91"/>
      <c r="AP391" s="91"/>
      <c r="AQ391" s="91"/>
      <c r="AR391" s="91">
        <v>1</v>
      </c>
      <c r="AS391" s="91"/>
      <c r="AT391" s="91"/>
      <c r="AU391" s="91"/>
      <c r="AV391" s="91"/>
      <c r="AW391" s="91"/>
      <c r="AX391" s="91">
        <v>1</v>
      </c>
      <c r="AY391" s="91"/>
      <c r="AZ391" s="91">
        <v>1</v>
      </c>
      <c r="BA391" s="91"/>
      <c r="BB391" s="91"/>
      <c r="BC391" s="91"/>
    </row>
    <row r="392" spans="1:55" x14ac:dyDescent="0.25">
      <c r="A392" s="91" t="s">
        <v>577</v>
      </c>
      <c r="B392" s="129">
        <f t="shared" ref="B392:B455" si="8">SUM(C392:BC392)</f>
        <v>53</v>
      </c>
      <c r="C392" s="91"/>
      <c r="D392" s="91"/>
      <c r="E392" s="91">
        <v>3</v>
      </c>
      <c r="F392" s="91">
        <v>1</v>
      </c>
      <c r="G392" s="91">
        <v>6</v>
      </c>
      <c r="H392" s="91"/>
      <c r="I392" s="91"/>
      <c r="J392" s="91">
        <v>3</v>
      </c>
      <c r="K392" s="91">
        <v>2</v>
      </c>
      <c r="L392" s="91"/>
      <c r="M392" s="91"/>
      <c r="N392" s="91">
        <v>5</v>
      </c>
      <c r="O392" s="91">
        <v>3</v>
      </c>
      <c r="P392" s="91"/>
      <c r="Q392" s="91"/>
      <c r="R392" s="91">
        <v>3</v>
      </c>
      <c r="S392" s="91">
        <v>3</v>
      </c>
      <c r="T392" s="91"/>
      <c r="U392" s="91"/>
      <c r="V392" s="91"/>
      <c r="W392" s="91"/>
      <c r="X392" s="91">
        <v>2</v>
      </c>
      <c r="Y392" s="91"/>
      <c r="Z392" s="91"/>
      <c r="AA392" s="91"/>
      <c r="AB392" s="91"/>
      <c r="AC392" s="91"/>
      <c r="AD392" s="91">
        <v>5</v>
      </c>
      <c r="AE392" s="91">
        <v>3</v>
      </c>
      <c r="AF392" s="91"/>
      <c r="AG392" s="91"/>
      <c r="AH392" s="91"/>
      <c r="AI392" s="91"/>
      <c r="AJ392" s="91">
        <v>2</v>
      </c>
      <c r="AK392" s="91"/>
      <c r="AL392" s="91"/>
      <c r="AM392" s="91"/>
      <c r="AN392" s="91">
        <v>3</v>
      </c>
      <c r="AO392" s="91">
        <v>3</v>
      </c>
      <c r="AP392" s="91"/>
      <c r="AQ392" s="91"/>
      <c r="AR392" s="91">
        <v>1</v>
      </c>
      <c r="AS392" s="91"/>
      <c r="AT392" s="91"/>
      <c r="AU392" s="91"/>
      <c r="AV392" s="91"/>
      <c r="AW392" s="91"/>
      <c r="AX392" s="91">
        <v>2</v>
      </c>
      <c r="AY392" s="91">
        <v>2</v>
      </c>
      <c r="AZ392" s="91">
        <v>1</v>
      </c>
      <c r="BA392" s="91"/>
      <c r="BB392" s="91"/>
      <c r="BC392" s="91"/>
    </row>
    <row r="393" spans="1:55" x14ac:dyDescent="0.25">
      <c r="A393" s="91" t="s">
        <v>374</v>
      </c>
      <c r="B393" s="129">
        <f t="shared" si="8"/>
        <v>34</v>
      </c>
      <c r="C393" s="91">
        <v>1</v>
      </c>
      <c r="D393" s="91"/>
      <c r="E393" s="91">
        <v>1</v>
      </c>
      <c r="F393" s="91"/>
      <c r="G393" s="91"/>
      <c r="H393" s="91"/>
      <c r="I393" s="91">
        <v>3</v>
      </c>
      <c r="J393" s="91"/>
      <c r="K393" s="91"/>
      <c r="L393" s="91"/>
      <c r="M393" s="91"/>
      <c r="N393" s="91"/>
      <c r="O393" s="91"/>
      <c r="P393" s="91"/>
      <c r="Q393" s="91"/>
      <c r="R393" s="91">
        <v>7</v>
      </c>
      <c r="S393" s="91">
        <v>2</v>
      </c>
      <c r="T393" s="91"/>
      <c r="U393" s="91"/>
      <c r="V393" s="91"/>
      <c r="W393" s="91">
        <v>1</v>
      </c>
      <c r="X393" s="91"/>
      <c r="Y393" s="91">
        <v>5</v>
      </c>
      <c r="Z393" s="91"/>
      <c r="AA393" s="91">
        <v>4</v>
      </c>
      <c r="AB393" s="91"/>
      <c r="AC393" s="91">
        <v>2</v>
      </c>
      <c r="AD393" s="91"/>
      <c r="AE393" s="91">
        <v>1</v>
      </c>
      <c r="AF393" s="91"/>
      <c r="AG393" s="91"/>
      <c r="AH393" s="91"/>
      <c r="AI393" s="91"/>
      <c r="AJ393" s="91"/>
      <c r="AK393" s="91"/>
      <c r="AL393" s="91"/>
      <c r="AM393" s="91"/>
      <c r="AN393" s="91">
        <v>1</v>
      </c>
      <c r="AO393" s="91"/>
      <c r="AP393" s="91"/>
      <c r="AQ393" s="91"/>
      <c r="AR393" s="91">
        <v>1</v>
      </c>
      <c r="AS393" s="91"/>
      <c r="AT393" s="91"/>
      <c r="AU393" s="91">
        <v>2</v>
      </c>
      <c r="AV393" s="91">
        <v>1</v>
      </c>
      <c r="AW393" s="91"/>
      <c r="AX393" s="91"/>
      <c r="AY393" s="91"/>
      <c r="AZ393" s="91"/>
      <c r="BA393" s="91"/>
      <c r="BB393" s="91">
        <v>2</v>
      </c>
      <c r="BC393" s="91"/>
    </row>
    <row r="394" spans="1:55" x14ac:dyDescent="0.25">
      <c r="A394" s="91" t="s">
        <v>487</v>
      </c>
      <c r="B394" s="129">
        <f t="shared" si="8"/>
        <v>27</v>
      </c>
      <c r="C394" s="91"/>
      <c r="D394" s="91"/>
      <c r="E394" s="91">
        <v>2</v>
      </c>
      <c r="F394" s="91"/>
      <c r="G394" s="91">
        <v>4</v>
      </c>
      <c r="H394" s="91"/>
      <c r="I394" s="91">
        <v>1</v>
      </c>
      <c r="J394" s="91"/>
      <c r="K394" s="91"/>
      <c r="L394" s="91"/>
      <c r="M394" s="91"/>
      <c r="N394" s="91">
        <v>8</v>
      </c>
      <c r="O394" s="91"/>
      <c r="P394" s="91"/>
      <c r="Q394" s="91">
        <v>2</v>
      </c>
      <c r="R394" s="91">
        <v>1</v>
      </c>
      <c r="S394" s="91">
        <v>1</v>
      </c>
      <c r="T394" s="91"/>
      <c r="U394" s="91"/>
      <c r="V394" s="91"/>
      <c r="W394" s="91"/>
      <c r="X394" s="91"/>
      <c r="Y394" s="91">
        <v>1</v>
      </c>
      <c r="Z394" s="91"/>
      <c r="AA394" s="91"/>
      <c r="AB394" s="91"/>
      <c r="AC394" s="91">
        <v>1</v>
      </c>
      <c r="AD394" s="91">
        <v>4</v>
      </c>
      <c r="AE394" s="91"/>
      <c r="AF394" s="91"/>
      <c r="AG394" s="91"/>
      <c r="AH394" s="91"/>
      <c r="AI394" s="91"/>
      <c r="AJ394" s="91"/>
      <c r="AK394" s="91"/>
      <c r="AL394" s="91"/>
      <c r="AM394" s="91"/>
      <c r="AN394" s="91">
        <v>1</v>
      </c>
      <c r="AO394" s="91"/>
      <c r="AP394" s="91"/>
      <c r="AQ394" s="91"/>
      <c r="AR394" s="91"/>
      <c r="AS394" s="91"/>
      <c r="AT394" s="91"/>
      <c r="AU394" s="91"/>
      <c r="AV394" s="91"/>
      <c r="AW394" s="91">
        <v>1</v>
      </c>
      <c r="AX394" s="91"/>
      <c r="AY394" s="91"/>
      <c r="AZ394" s="91"/>
      <c r="BA394" s="91"/>
      <c r="BB394" s="91"/>
      <c r="BC394" s="91"/>
    </row>
    <row r="395" spans="1:55" x14ac:dyDescent="0.25">
      <c r="A395" s="91" t="s">
        <v>568</v>
      </c>
      <c r="B395" s="129">
        <f t="shared" si="8"/>
        <v>68</v>
      </c>
      <c r="C395" s="91">
        <v>1</v>
      </c>
      <c r="D395" s="91">
        <v>2</v>
      </c>
      <c r="E395" s="91">
        <v>1</v>
      </c>
      <c r="F395" s="91"/>
      <c r="G395" s="91"/>
      <c r="H395" s="91"/>
      <c r="I395" s="91"/>
      <c r="J395" s="91">
        <v>2</v>
      </c>
      <c r="K395" s="91">
        <v>1</v>
      </c>
      <c r="L395" s="91">
        <v>2</v>
      </c>
      <c r="M395" s="91">
        <v>1</v>
      </c>
      <c r="N395" s="91">
        <v>2</v>
      </c>
      <c r="O395" s="91">
        <v>4</v>
      </c>
      <c r="P395" s="91">
        <v>1</v>
      </c>
      <c r="Q395" s="91">
        <v>1</v>
      </c>
      <c r="R395" s="91">
        <v>1</v>
      </c>
      <c r="S395" s="91">
        <v>2</v>
      </c>
      <c r="T395" s="91"/>
      <c r="U395" s="91"/>
      <c r="V395" s="91"/>
      <c r="W395" s="91">
        <v>3</v>
      </c>
      <c r="X395" s="91">
        <v>3</v>
      </c>
      <c r="Y395" s="91"/>
      <c r="Z395" s="91">
        <v>2</v>
      </c>
      <c r="AA395" s="91">
        <v>5</v>
      </c>
      <c r="AB395" s="91">
        <v>3</v>
      </c>
      <c r="AC395" s="91">
        <v>3</v>
      </c>
      <c r="AD395" s="91">
        <v>2</v>
      </c>
      <c r="AE395" s="91">
        <v>1</v>
      </c>
      <c r="AF395" s="91"/>
      <c r="AG395" s="91">
        <v>1</v>
      </c>
      <c r="AH395" s="91"/>
      <c r="AI395" s="91"/>
      <c r="AJ395" s="91">
        <v>12</v>
      </c>
      <c r="AK395" s="91"/>
      <c r="AL395" s="91"/>
      <c r="AM395" s="91">
        <v>2</v>
      </c>
      <c r="AN395" s="91">
        <v>1</v>
      </c>
      <c r="AO395" s="91">
        <v>1</v>
      </c>
      <c r="AP395" s="91"/>
      <c r="AQ395" s="91">
        <v>3</v>
      </c>
      <c r="AR395" s="91"/>
      <c r="AS395" s="91"/>
      <c r="AT395" s="91"/>
      <c r="AU395" s="91"/>
      <c r="AV395" s="91"/>
      <c r="AW395" s="91">
        <v>5</v>
      </c>
      <c r="AX395" s="91"/>
      <c r="AY395" s="91"/>
      <c r="AZ395" s="91"/>
      <c r="BA395" s="91"/>
      <c r="BB395" s="91"/>
      <c r="BC395" s="91"/>
    </row>
    <row r="396" spans="1:55" x14ac:dyDescent="0.25">
      <c r="A396" s="91" t="s">
        <v>491</v>
      </c>
      <c r="B396" s="129">
        <f t="shared" si="8"/>
        <v>47</v>
      </c>
      <c r="C396" s="91"/>
      <c r="D396" s="91"/>
      <c r="E396" s="91"/>
      <c r="F396" s="91">
        <v>7</v>
      </c>
      <c r="G396" s="91">
        <v>1</v>
      </c>
      <c r="H396" s="91"/>
      <c r="I396" s="91">
        <v>4</v>
      </c>
      <c r="J396" s="91">
        <v>1</v>
      </c>
      <c r="K396" s="91">
        <v>1</v>
      </c>
      <c r="L396" s="91"/>
      <c r="M396" s="91"/>
      <c r="N396" s="91">
        <v>2</v>
      </c>
      <c r="O396" s="91">
        <v>2</v>
      </c>
      <c r="P396" s="91"/>
      <c r="Q396" s="91">
        <v>3</v>
      </c>
      <c r="R396" s="91">
        <v>7</v>
      </c>
      <c r="S396" s="91">
        <v>2</v>
      </c>
      <c r="T396" s="91"/>
      <c r="U396" s="91"/>
      <c r="V396" s="91"/>
      <c r="W396" s="91"/>
      <c r="X396" s="91">
        <v>1</v>
      </c>
      <c r="Y396" s="91">
        <v>1</v>
      </c>
      <c r="Z396" s="91"/>
      <c r="AA396" s="91"/>
      <c r="AB396" s="91"/>
      <c r="AC396" s="91">
        <v>4</v>
      </c>
      <c r="AD396" s="91"/>
      <c r="AE396" s="91">
        <v>1</v>
      </c>
      <c r="AF396" s="91"/>
      <c r="AG396" s="91">
        <v>2</v>
      </c>
      <c r="AH396" s="91"/>
      <c r="AI396" s="91"/>
      <c r="AJ396" s="91"/>
      <c r="AK396" s="91"/>
      <c r="AL396" s="91"/>
      <c r="AM396" s="91"/>
      <c r="AN396" s="91"/>
      <c r="AO396" s="91">
        <v>4</v>
      </c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>
        <v>4</v>
      </c>
      <c r="BA396" s="91"/>
      <c r="BB396" s="91"/>
      <c r="BC396" s="91"/>
    </row>
    <row r="397" spans="1:55" x14ac:dyDescent="0.25">
      <c r="A397" s="91" t="s">
        <v>506</v>
      </c>
      <c r="B397" s="129">
        <f t="shared" si="8"/>
        <v>0</v>
      </c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</row>
    <row r="398" spans="1:55" x14ac:dyDescent="0.25">
      <c r="A398" s="91" t="s">
        <v>505</v>
      </c>
      <c r="B398" s="129">
        <f t="shared" si="8"/>
        <v>9</v>
      </c>
      <c r="C398" s="91"/>
      <c r="D398" s="91"/>
      <c r="E398" s="91"/>
      <c r="F398" s="91">
        <v>1</v>
      </c>
      <c r="G398" s="91"/>
      <c r="H398" s="91"/>
      <c r="I398" s="91">
        <v>1</v>
      </c>
      <c r="J398" s="91"/>
      <c r="K398" s="91">
        <v>1</v>
      </c>
      <c r="L398" s="91"/>
      <c r="M398" s="91"/>
      <c r="N398" s="91">
        <v>2</v>
      </c>
      <c r="O398" s="91"/>
      <c r="P398" s="91"/>
      <c r="Q398" s="91"/>
      <c r="R398" s="91"/>
      <c r="S398" s="91"/>
      <c r="T398" s="91"/>
      <c r="U398" s="91"/>
      <c r="V398" s="91"/>
      <c r="W398" s="91">
        <v>1</v>
      </c>
      <c r="X398" s="91"/>
      <c r="Y398" s="91">
        <v>1</v>
      </c>
      <c r="Z398" s="91"/>
      <c r="AA398" s="91"/>
      <c r="AB398" s="91"/>
      <c r="AC398" s="91"/>
      <c r="AD398" s="91">
        <v>1</v>
      </c>
      <c r="AE398" s="91"/>
      <c r="AF398" s="91"/>
      <c r="AG398" s="91"/>
      <c r="AH398" s="91"/>
      <c r="AI398" s="91"/>
      <c r="AJ398" s="91"/>
      <c r="AK398" s="91"/>
      <c r="AL398" s="91"/>
      <c r="AM398" s="91"/>
      <c r="AN398" s="91">
        <v>1</v>
      </c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</row>
    <row r="399" spans="1:55" x14ac:dyDescent="0.25">
      <c r="A399" s="91" t="s">
        <v>530</v>
      </c>
      <c r="B399" s="129">
        <f t="shared" si="8"/>
        <v>0</v>
      </c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</row>
    <row r="400" spans="1:55" x14ac:dyDescent="0.25">
      <c r="A400" s="91" t="s">
        <v>301</v>
      </c>
      <c r="B400" s="129">
        <f t="shared" si="8"/>
        <v>62</v>
      </c>
      <c r="C400" s="91"/>
      <c r="D400" s="91"/>
      <c r="E400" s="91">
        <v>3</v>
      </c>
      <c r="F400" s="91"/>
      <c r="G400" s="91">
        <v>4</v>
      </c>
      <c r="H400" s="91">
        <v>1</v>
      </c>
      <c r="I400" s="91"/>
      <c r="J400" s="91">
        <v>4</v>
      </c>
      <c r="K400" s="91"/>
      <c r="L400" s="91"/>
      <c r="M400" s="91"/>
      <c r="N400" s="91">
        <v>5</v>
      </c>
      <c r="O400" s="91"/>
      <c r="P400" s="91">
        <v>8</v>
      </c>
      <c r="Q400" s="91"/>
      <c r="R400" s="91"/>
      <c r="S400" s="91">
        <v>14</v>
      </c>
      <c r="T400" s="91"/>
      <c r="U400" s="91">
        <v>2</v>
      </c>
      <c r="V400" s="91"/>
      <c r="W400" s="91">
        <v>2</v>
      </c>
      <c r="X400" s="91">
        <v>3</v>
      </c>
      <c r="Y400" s="91"/>
      <c r="Z400" s="91"/>
      <c r="AA400" s="91">
        <v>1</v>
      </c>
      <c r="AB400" s="91"/>
      <c r="AC400" s="91"/>
      <c r="AD400" s="91"/>
      <c r="AE400" s="91"/>
      <c r="AF400" s="91">
        <v>2</v>
      </c>
      <c r="AG400" s="91"/>
      <c r="AH400" s="91">
        <v>9</v>
      </c>
      <c r="AI400" s="91"/>
      <c r="AJ400" s="91"/>
      <c r="AK400" s="91"/>
      <c r="AL400" s="91"/>
      <c r="AM400" s="91"/>
      <c r="AN400" s="91"/>
      <c r="AO400" s="91">
        <v>2</v>
      </c>
      <c r="AP400" s="91"/>
      <c r="AQ400" s="91"/>
      <c r="AR400" s="91"/>
      <c r="AS400" s="91"/>
      <c r="AT400" s="91"/>
      <c r="AU400" s="91"/>
      <c r="AV400" s="91"/>
      <c r="AW400" s="91">
        <v>1</v>
      </c>
      <c r="AX400" s="91"/>
      <c r="AY400" s="91"/>
      <c r="AZ400" s="91"/>
      <c r="BA400" s="91"/>
      <c r="BB400" s="91">
        <v>1</v>
      </c>
      <c r="BC400" s="91"/>
    </row>
    <row r="401" spans="1:55" x14ac:dyDescent="0.25">
      <c r="A401" s="91" t="s">
        <v>367</v>
      </c>
      <c r="B401" s="129">
        <f t="shared" si="8"/>
        <v>13</v>
      </c>
      <c r="C401" s="91"/>
      <c r="D401" s="91"/>
      <c r="E401" s="91"/>
      <c r="F401" s="91"/>
      <c r="G401" s="91">
        <v>2</v>
      </c>
      <c r="H401" s="91"/>
      <c r="I401" s="91"/>
      <c r="J401" s="91">
        <v>2</v>
      </c>
      <c r="K401" s="91"/>
      <c r="L401" s="91"/>
      <c r="M401" s="91"/>
      <c r="N401" s="91"/>
      <c r="O401" s="91"/>
      <c r="P401" s="91"/>
      <c r="Q401" s="91"/>
      <c r="R401" s="91">
        <v>1</v>
      </c>
      <c r="S401" s="91">
        <v>2</v>
      </c>
      <c r="T401" s="91"/>
      <c r="U401" s="91">
        <v>3</v>
      </c>
      <c r="V401" s="91"/>
      <c r="W401" s="91"/>
      <c r="X401" s="91">
        <v>1</v>
      </c>
      <c r="Y401" s="91"/>
      <c r="Z401" s="91"/>
      <c r="AA401" s="91"/>
      <c r="AB401" s="91"/>
      <c r="AC401" s="91"/>
      <c r="AD401" s="91">
        <v>2</v>
      </c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</row>
    <row r="402" spans="1:55" x14ac:dyDescent="0.25">
      <c r="A402" s="91" t="s">
        <v>151</v>
      </c>
      <c r="B402" s="129">
        <f t="shared" si="8"/>
        <v>7</v>
      </c>
      <c r="C402" s="91"/>
      <c r="D402" s="91"/>
      <c r="E402" s="91"/>
      <c r="F402" s="91"/>
      <c r="G402" s="91">
        <v>1</v>
      </c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>
        <v>4</v>
      </c>
      <c r="BB402" s="91">
        <v>2</v>
      </c>
      <c r="BC402" s="91"/>
    </row>
    <row r="403" spans="1:55" x14ac:dyDescent="0.25">
      <c r="A403" s="91" t="s">
        <v>296</v>
      </c>
      <c r="B403" s="129">
        <f t="shared" si="8"/>
        <v>0</v>
      </c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</row>
    <row r="404" spans="1:55" x14ac:dyDescent="0.25">
      <c r="A404" s="91" t="s">
        <v>254</v>
      </c>
      <c r="B404" s="129">
        <f t="shared" si="8"/>
        <v>20</v>
      </c>
      <c r="C404" s="91"/>
      <c r="D404" s="91"/>
      <c r="E404" s="91">
        <v>2</v>
      </c>
      <c r="F404" s="91"/>
      <c r="G404" s="91"/>
      <c r="H404" s="91"/>
      <c r="I404" s="91">
        <v>1</v>
      </c>
      <c r="J404" s="91">
        <v>6</v>
      </c>
      <c r="K404" s="91"/>
      <c r="L404" s="91"/>
      <c r="M404" s="91"/>
      <c r="N404" s="91">
        <v>1</v>
      </c>
      <c r="O404" s="91"/>
      <c r="P404" s="91"/>
      <c r="Q404" s="91"/>
      <c r="R404" s="91"/>
      <c r="S404" s="91"/>
      <c r="T404" s="91"/>
      <c r="U404" s="91"/>
      <c r="V404" s="91"/>
      <c r="W404" s="91">
        <v>2</v>
      </c>
      <c r="X404" s="91"/>
      <c r="Y404" s="91"/>
      <c r="Z404" s="91"/>
      <c r="AA404" s="91"/>
      <c r="AB404" s="91"/>
      <c r="AC404" s="91"/>
      <c r="AD404" s="91"/>
      <c r="AE404" s="91"/>
      <c r="AF404" s="91"/>
      <c r="AG404" s="91">
        <v>2</v>
      </c>
      <c r="AH404" s="91"/>
      <c r="AI404" s="91"/>
      <c r="AJ404" s="91">
        <v>1</v>
      </c>
      <c r="AK404" s="91">
        <v>1</v>
      </c>
      <c r="AL404" s="91"/>
      <c r="AM404" s="91"/>
      <c r="AN404" s="91">
        <v>1</v>
      </c>
      <c r="AO404" s="91"/>
      <c r="AP404" s="91"/>
      <c r="AQ404" s="91"/>
      <c r="AR404" s="91">
        <v>2</v>
      </c>
      <c r="AS404" s="91"/>
      <c r="AT404" s="91"/>
      <c r="AU404" s="91"/>
      <c r="AV404" s="91"/>
      <c r="AW404" s="91">
        <v>1</v>
      </c>
      <c r="AX404" s="91"/>
      <c r="AY404" s="91"/>
      <c r="AZ404" s="91"/>
      <c r="BA404" s="91"/>
      <c r="BB404" s="91"/>
      <c r="BC404" s="91"/>
    </row>
    <row r="405" spans="1:55" x14ac:dyDescent="0.25">
      <c r="A405" s="91" t="s">
        <v>285</v>
      </c>
      <c r="B405" s="129">
        <f t="shared" si="8"/>
        <v>30</v>
      </c>
      <c r="C405" s="91"/>
      <c r="D405" s="91"/>
      <c r="E405" s="91">
        <v>1</v>
      </c>
      <c r="F405" s="91">
        <v>2</v>
      </c>
      <c r="G405" s="91"/>
      <c r="H405" s="91"/>
      <c r="I405" s="91">
        <v>1</v>
      </c>
      <c r="J405" s="91">
        <v>2</v>
      </c>
      <c r="K405" s="91"/>
      <c r="L405" s="91"/>
      <c r="M405" s="91"/>
      <c r="N405" s="91"/>
      <c r="O405" s="91"/>
      <c r="P405" s="91">
        <v>3</v>
      </c>
      <c r="Q405" s="91">
        <v>6</v>
      </c>
      <c r="R405" s="91">
        <v>1</v>
      </c>
      <c r="S405" s="91"/>
      <c r="T405" s="91"/>
      <c r="U405" s="91">
        <v>3</v>
      </c>
      <c r="V405" s="91"/>
      <c r="W405" s="91">
        <v>1</v>
      </c>
      <c r="X405" s="91">
        <v>5</v>
      </c>
      <c r="Y405" s="91"/>
      <c r="Z405" s="91">
        <v>1</v>
      </c>
      <c r="AA405" s="91"/>
      <c r="AB405" s="91"/>
      <c r="AC405" s="91"/>
      <c r="AD405" s="91"/>
      <c r="AE405" s="91"/>
      <c r="AF405" s="91">
        <v>1</v>
      </c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>
        <v>3</v>
      </c>
      <c r="BC405" s="91"/>
    </row>
    <row r="406" spans="1:55" x14ac:dyDescent="0.25">
      <c r="A406" s="91" t="s">
        <v>376</v>
      </c>
      <c r="B406" s="129">
        <f t="shared" si="8"/>
        <v>36</v>
      </c>
      <c r="C406" s="91"/>
      <c r="D406" s="91"/>
      <c r="E406" s="91">
        <v>1</v>
      </c>
      <c r="F406" s="91">
        <v>1</v>
      </c>
      <c r="G406" s="91">
        <v>2</v>
      </c>
      <c r="H406" s="91"/>
      <c r="I406" s="91"/>
      <c r="J406" s="91">
        <v>1</v>
      </c>
      <c r="K406" s="91">
        <v>3</v>
      </c>
      <c r="L406" s="91"/>
      <c r="M406" s="91"/>
      <c r="N406" s="91"/>
      <c r="O406" s="91">
        <v>1</v>
      </c>
      <c r="P406" s="91"/>
      <c r="Q406" s="91"/>
      <c r="R406" s="91">
        <v>1</v>
      </c>
      <c r="S406" s="91"/>
      <c r="T406" s="91"/>
      <c r="U406" s="91"/>
      <c r="V406" s="91"/>
      <c r="W406" s="91">
        <v>1</v>
      </c>
      <c r="X406" s="91"/>
      <c r="Y406" s="91">
        <v>2</v>
      </c>
      <c r="Z406" s="91"/>
      <c r="AA406" s="91"/>
      <c r="AB406" s="91">
        <v>1</v>
      </c>
      <c r="AC406" s="91">
        <v>4</v>
      </c>
      <c r="AD406" s="91"/>
      <c r="AE406" s="91">
        <v>2</v>
      </c>
      <c r="AF406" s="91"/>
      <c r="AG406" s="91">
        <v>2</v>
      </c>
      <c r="AH406" s="91"/>
      <c r="AI406" s="91"/>
      <c r="AJ406" s="91">
        <v>3</v>
      </c>
      <c r="AK406" s="91">
        <v>1</v>
      </c>
      <c r="AL406" s="91"/>
      <c r="AM406" s="91"/>
      <c r="AN406" s="91">
        <v>2</v>
      </c>
      <c r="AO406" s="91"/>
      <c r="AP406" s="91"/>
      <c r="AQ406" s="91"/>
      <c r="AR406" s="91">
        <v>1</v>
      </c>
      <c r="AS406" s="91"/>
      <c r="AT406" s="91"/>
      <c r="AU406" s="91"/>
      <c r="AV406" s="91"/>
      <c r="AW406" s="91"/>
      <c r="AX406" s="91">
        <v>2</v>
      </c>
      <c r="AY406" s="91"/>
      <c r="AZ406" s="91">
        <v>5</v>
      </c>
      <c r="BA406" s="91"/>
      <c r="BB406" s="91"/>
      <c r="BC406" s="91"/>
    </row>
    <row r="407" spans="1:55" x14ac:dyDescent="0.25">
      <c r="A407" s="91" t="s">
        <v>928</v>
      </c>
      <c r="B407" s="129">
        <f t="shared" si="8"/>
        <v>0</v>
      </c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</row>
    <row r="408" spans="1:55" x14ac:dyDescent="0.25">
      <c r="A408" s="91" t="s">
        <v>306</v>
      </c>
      <c r="B408" s="129">
        <f t="shared" si="8"/>
        <v>17</v>
      </c>
      <c r="C408" s="91"/>
      <c r="D408" s="91"/>
      <c r="E408" s="91"/>
      <c r="F408" s="91"/>
      <c r="G408" s="91">
        <v>3</v>
      </c>
      <c r="H408" s="91"/>
      <c r="I408" s="91">
        <v>4</v>
      </c>
      <c r="J408" s="91">
        <v>2</v>
      </c>
      <c r="K408" s="91"/>
      <c r="L408" s="91"/>
      <c r="M408" s="91"/>
      <c r="N408" s="91"/>
      <c r="O408" s="91"/>
      <c r="P408" s="91"/>
      <c r="Q408" s="91">
        <v>1</v>
      </c>
      <c r="R408" s="91">
        <v>1</v>
      </c>
      <c r="S408" s="91">
        <v>2</v>
      </c>
      <c r="T408" s="91"/>
      <c r="U408" s="91">
        <v>2</v>
      </c>
      <c r="V408" s="91"/>
      <c r="W408" s="91"/>
      <c r="X408" s="91"/>
      <c r="Y408" s="91"/>
      <c r="Z408" s="91"/>
      <c r="AA408" s="91"/>
      <c r="AB408" s="91"/>
      <c r="AC408" s="91"/>
      <c r="AD408" s="91">
        <v>1</v>
      </c>
      <c r="AE408" s="91"/>
      <c r="AF408" s="91">
        <v>1</v>
      </c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</row>
    <row r="409" spans="1:55" x14ac:dyDescent="0.25">
      <c r="A409" s="91" t="s">
        <v>929</v>
      </c>
      <c r="B409" s="129">
        <f t="shared" si="8"/>
        <v>68</v>
      </c>
      <c r="C409" s="91">
        <v>1</v>
      </c>
      <c r="D409" s="91"/>
      <c r="E409" s="91"/>
      <c r="F409" s="91">
        <v>1</v>
      </c>
      <c r="G409" s="91">
        <v>1</v>
      </c>
      <c r="H409" s="91"/>
      <c r="I409" s="91">
        <v>5</v>
      </c>
      <c r="J409" s="91">
        <v>2</v>
      </c>
      <c r="K409" s="91">
        <v>1</v>
      </c>
      <c r="L409" s="91">
        <v>1</v>
      </c>
      <c r="M409" s="91"/>
      <c r="N409" s="91"/>
      <c r="O409" s="91">
        <v>5</v>
      </c>
      <c r="P409" s="91">
        <v>4</v>
      </c>
      <c r="Q409" s="91"/>
      <c r="R409" s="91"/>
      <c r="S409" s="91">
        <v>2</v>
      </c>
      <c r="T409" s="91"/>
      <c r="U409" s="91">
        <v>1</v>
      </c>
      <c r="V409" s="91"/>
      <c r="W409" s="91">
        <v>3</v>
      </c>
      <c r="X409" s="91">
        <v>1</v>
      </c>
      <c r="Y409" s="91">
        <v>1</v>
      </c>
      <c r="Z409" s="91"/>
      <c r="AA409" s="91">
        <v>3</v>
      </c>
      <c r="AB409" s="91">
        <v>1</v>
      </c>
      <c r="AC409" s="91">
        <v>1</v>
      </c>
      <c r="AD409" s="91"/>
      <c r="AE409" s="91">
        <v>4</v>
      </c>
      <c r="AF409" s="91">
        <v>2</v>
      </c>
      <c r="AG409" s="91"/>
      <c r="AH409" s="91">
        <v>3</v>
      </c>
      <c r="AI409" s="91">
        <v>3</v>
      </c>
      <c r="AJ409" s="91">
        <v>3</v>
      </c>
      <c r="AK409" s="91"/>
      <c r="AL409" s="91">
        <v>2</v>
      </c>
      <c r="AM409" s="91"/>
      <c r="AN409" s="91">
        <v>1</v>
      </c>
      <c r="AO409" s="91"/>
      <c r="AP409" s="91"/>
      <c r="AQ409" s="91">
        <v>2</v>
      </c>
      <c r="AR409" s="91">
        <v>3</v>
      </c>
      <c r="AS409" s="91"/>
      <c r="AT409" s="91">
        <v>3</v>
      </c>
      <c r="AU409" s="91">
        <v>3</v>
      </c>
      <c r="AV409" s="91"/>
      <c r="AW409" s="91">
        <v>3</v>
      </c>
      <c r="AX409" s="91"/>
      <c r="AY409" s="91"/>
      <c r="AZ409" s="91">
        <v>2</v>
      </c>
      <c r="BA409" s="91"/>
      <c r="BB409" s="91"/>
      <c r="BC409" s="91"/>
    </row>
    <row r="410" spans="1:55" x14ac:dyDescent="0.25">
      <c r="A410" s="91" t="s">
        <v>142</v>
      </c>
      <c r="B410" s="129">
        <f t="shared" si="8"/>
        <v>0</v>
      </c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</row>
    <row r="411" spans="1:55" x14ac:dyDescent="0.25">
      <c r="A411" s="91" t="s">
        <v>930</v>
      </c>
      <c r="B411" s="129">
        <f t="shared" si="8"/>
        <v>62</v>
      </c>
      <c r="C411" s="91">
        <v>3</v>
      </c>
      <c r="D411" s="91">
        <v>2</v>
      </c>
      <c r="E411" s="91">
        <v>3</v>
      </c>
      <c r="F411" s="91">
        <v>3</v>
      </c>
      <c r="G411" s="91">
        <v>2</v>
      </c>
      <c r="H411" s="91"/>
      <c r="I411" s="91">
        <v>2</v>
      </c>
      <c r="J411" s="91"/>
      <c r="K411" s="91"/>
      <c r="L411" s="91"/>
      <c r="M411" s="91"/>
      <c r="N411" s="91">
        <v>1</v>
      </c>
      <c r="O411" s="91">
        <v>1</v>
      </c>
      <c r="P411" s="91">
        <v>1</v>
      </c>
      <c r="Q411" s="91">
        <v>1</v>
      </c>
      <c r="R411" s="91">
        <v>1</v>
      </c>
      <c r="S411" s="91">
        <v>1</v>
      </c>
      <c r="T411" s="91"/>
      <c r="U411" s="91">
        <v>4</v>
      </c>
      <c r="V411" s="91"/>
      <c r="W411" s="91">
        <v>1</v>
      </c>
      <c r="X411" s="91">
        <v>3</v>
      </c>
      <c r="Y411" s="91">
        <v>2</v>
      </c>
      <c r="Z411" s="91">
        <v>2</v>
      </c>
      <c r="AA411" s="91"/>
      <c r="AB411" s="91">
        <v>2</v>
      </c>
      <c r="AC411" s="91"/>
      <c r="AD411" s="91"/>
      <c r="AE411" s="91">
        <v>1</v>
      </c>
      <c r="AF411" s="91">
        <v>3</v>
      </c>
      <c r="AG411" s="91"/>
      <c r="AH411" s="91">
        <v>2</v>
      </c>
      <c r="AI411" s="91"/>
      <c r="AJ411" s="91">
        <v>3</v>
      </c>
      <c r="AK411" s="91"/>
      <c r="AL411" s="91"/>
      <c r="AM411" s="91"/>
      <c r="AN411" s="91">
        <v>2</v>
      </c>
      <c r="AO411" s="91"/>
      <c r="AP411" s="91"/>
      <c r="AQ411" s="91">
        <v>3</v>
      </c>
      <c r="AR411" s="91"/>
      <c r="AS411" s="91">
        <v>1</v>
      </c>
      <c r="AT411" s="91">
        <v>1</v>
      </c>
      <c r="AU411" s="91">
        <v>3</v>
      </c>
      <c r="AV411" s="91">
        <v>2</v>
      </c>
      <c r="AW411" s="91">
        <v>1</v>
      </c>
      <c r="AX411" s="91">
        <v>2</v>
      </c>
      <c r="AY411" s="91"/>
      <c r="AZ411" s="91">
        <v>3</v>
      </c>
      <c r="BA411" s="91"/>
      <c r="BB411" s="91"/>
      <c r="BC411" s="91"/>
    </row>
    <row r="412" spans="1:55" x14ac:dyDescent="0.25">
      <c r="A412" s="91" t="s">
        <v>184</v>
      </c>
      <c r="B412" s="129">
        <f t="shared" si="8"/>
        <v>65</v>
      </c>
      <c r="C412" s="91"/>
      <c r="D412" s="91"/>
      <c r="E412" s="91">
        <v>1</v>
      </c>
      <c r="F412" s="91">
        <v>1</v>
      </c>
      <c r="G412" s="91">
        <v>1</v>
      </c>
      <c r="H412" s="91"/>
      <c r="I412" s="91"/>
      <c r="J412" s="91"/>
      <c r="K412" s="91"/>
      <c r="L412" s="91">
        <v>1</v>
      </c>
      <c r="M412" s="91"/>
      <c r="N412" s="91"/>
      <c r="O412" s="91">
        <v>4</v>
      </c>
      <c r="P412" s="91">
        <v>1</v>
      </c>
      <c r="Q412" s="91"/>
      <c r="R412" s="91">
        <v>4</v>
      </c>
      <c r="S412" s="91">
        <v>5</v>
      </c>
      <c r="T412" s="91"/>
      <c r="U412" s="91"/>
      <c r="V412" s="91">
        <v>1</v>
      </c>
      <c r="W412" s="91">
        <v>1</v>
      </c>
      <c r="X412" s="91"/>
      <c r="Y412" s="91">
        <v>1</v>
      </c>
      <c r="Z412" s="91"/>
      <c r="AA412" s="91">
        <v>1</v>
      </c>
      <c r="AB412" s="91">
        <v>1</v>
      </c>
      <c r="AC412" s="91"/>
      <c r="AD412" s="91"/>
      <c r="AE412" s="91"/>
      <c r="AF412" s="91">
        <v>1</v>
      </c>
      <c r="AG412" s="91">
        <v>4</v>
      </c>
      <c r="AH412" s="91"/>
      <c r="AI412" s="91">
        <v>4</v>
      </c>
      <c r="AJ412" s="91">
        <v>8</v>
      </c>
      <c r="AK412" s="91">
        <v>2</v>
      </c>
      <c r="AL412" s="91">
        <v>1</v>
      </c>
      <c r="AM412" s="91"/>
      <c r="AN412" s="91">
        <v>1</v>
      </c>
      <c r="AO412" s="91">
        <v>2</v>
      </c>
      <c r="AP412" s="91">
        <v>1</v>
      </c>
      <c r="AQ412" s="91">
        <v>2</v>
      </c>
      <c r="AR412" s="91">
        <v>2</v>
      </c>
      <c r="AS412" s="91"/>
      <c r="AT412" s="91"/>
      <c r="AU412" s="91">
        <v>1</v>
      </c>
      <c r="AV412" s="91"/>
      <c r="AW412" s="91">
        <v>2</v>
      </c>
      <c r="AX412" s="91">
        <v>4</v>
      </c>
      <c r="AY412" s="91">
        <v>2</v>
      </c>
      <c r="AZ412" s="91">
        <v>5</v>
      </c>
      <c r="BA412" s="91"/>
      <c r="BB412" s="91"/>
      <c r="BC412" s="91"/>
    </row>
    <row r="413" spans="1:55" x14ac:dyDescent="0.25">
      <c r="A413" s="91" t="s">
        <v>284</v>
      </c>
      <c r="B413" s="129">
        <f t="shared" si="8"/>
        <v>40</v>
      </c>
      <c r="C413" s="91"/>
      <c r="D413" s="91"/>
      <c r="E413" s="91">
        <v>1</v>
      </c>
      <c r="F413" s="91"/>
      <c r="G413" s="91">
        <v>1</v>
      </c>
      <c r="H413" s="91"/>
      <c r="I413" s="91">
        <v>1</v>
      </c>
      <c r="J413" s="91"/>
      <c r="K413" s="91"/>
      <c r="L413" s="91"/>
      <c r="M413" s="91"/>
      <c r="N413" s="91">
        <v>1</v>
      </c>
      <c r="O413" s="91"/>
      <c r="P413" s="91"/>
      <c r="Q413" s="91"/>
      <c r="R413" s="91"/>
      <c r="S413" s="91">
        <v>10</v>
      </c>
      <c r="T413" s="91"/>
      <c r="U413" s="91"/>
      <c r="V413" s="91"/>
      <c r="W413" s="91"/>
      <c r="X413" s="91">
        <v>5</v>
      </c>
      <c r="Y413" s="91"/>
      <c r="Z413" s="91">
        <v>1</v>
      </c>
      <c r="AA413" s="91"/>
      <c r="AB413" s="91">
        <v>1</v>
      </c>
      <c r="AC413" s="91">
        <v>1</v>
      </c>
      <c r="AD413" s="91"/>
      <c r="AE413" s="91"/>
      <c r="AF413" s="91"/>
      <c r="AG413" s="91"/>
      <c r="AH413" s="91"/>
      <c r="AI413" s="91"/>
      <c r="AJ413" s="91">
        <v>4</v>
      </c>
      <c r="AK413" s="91"/>
      <c r="AL413" s="91">
        <v>1</v>
      </c>
      <c r="AM413" s="91"/>
      <c r="AN413" s="91">
        <v>1</v>
      </c>
      <c r="AO413" s="91">
        <v>1</v>
      </c>
      <c r="AP413" s="91"/>
      <c r="AQ413" s="91">
        <v>1</v>
      </c>
      <c r="AR413" s="91"/>
      <c r="AS413" s="91">
        <v>1</v>
      </c>
      <c r="AT413" s="91"/>
      <c r="AU413" s="91">
        <v>1</v>
      </c>
      <c r="AV413" s="91">
        <v>1</v>
      </c>
      <c r="AW413" s="91">
        <v>1</v>
      </c>
      <c r="AX413" s="91"/>
      <c r="AY413" s="91">
        <v>6</v>
      </c>
      <c r="AZ413" s="91"/>
      <c r="BA413" s="91"/>
      <c r="BB413" s="91"/>
      <c r="BC413" s="91"/>
    </row>
    <row r="414" spans="1:55" x14ac:dyDescent="0.25">
      <c r="A414" s="91" t="s">
        <v>579</v>
      </c>
      <c r="B414" s="129">
        <f t="shared" si="8"/>
        <v>0</v>
      </c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</row>
    <row r="415" spans="1:55" x14ac:dyDescent="0.25">
      <c r="A415" s="91" t="s">
        <v>326</v>
      </c>
      <c r="B415" s="129">
        <f t="shared" si="8"/>
        <v>6</v>
      </c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>
        <v>4</v>
      </c>
      <c r="U415" s="91"/>
      <c r="V415" s="91"/>
      <c r="W415" s="91"/>
      <c r="X415" s="91">
        <v>1</v>
      </c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>
        <v>1</v>
      </c>
      <c r="BC415" s="91"/>
    </row>
    <row r="416" spans="1:55" x14ac:dyDescent="0.25">
      <c r="A416" s="91" t="s">
        <v>159</v>
      </c>
      <c r="B416" s="129">
        <f t="shared" si="8"/>
        <v>0</v>
      </c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</row>
    <row r="417" spans="1:55" x14ac:dyDescent="0.25">
      <c r="A417" s="91" t="s">
        <v>131</v>
      </c>
      <c r="B417" s="129">
        <f t="shared" si="8"/>
        <v>0</v>
      </c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</row>
    <row r="418" spans="1:55" x14ac:dyDescent="0.25">
      <c r="A418" s="91" t="s">
        <v>931</v>
      </c>
      <c r="B418" s="129">
        <f t="shared" si="8"/>
        <v>0</v>
      </c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</row>
    <row r="419" spans="1:55" x14ac:dyDescent="0.25">
      <c r="A419" s="91" t="s">
        <v>932</v>
      </c>
      <c r="B419" s="129">
        <f t="shared" si="8"/>
        <v>0</v>
      </c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</row>
    <row r="420" spans="1:55" x14ac:dyDescent="0.25">
      <c r="A420" s="91" t="s">
        <v>933</v>
      </c>
      <c r="B420" s="129">
        <f t="shared" si="8"/>
        <v>48</v>
      </c>
      <c r="C420" s="91"/>
      <c r="D420" s="91"/>
      <c r="E420" s="91">
        <v>6</v>
      </c>
      <c r="F420" s="91">
        <v>1</v>
      </c>
      <c r="G420" s="91">
        <v>4</v>
      </c>
      <c r="H420" s="91"/>
      <c r="I420" s="91">
        <v>3</v>
      </c>
      <c r="J420" s="91"/>
      <c r="K420" s="91"/>
      <c r="L420" s="91"/>
      <c r="M420" s="91"/>
      <c r="N420" s="91">
        <v>3</v>
      </c>
      <c r="O420" s="91">
        <v>1</v>
      </c>
      <c r="P420" s="91">
        <v>1</v>
      </c>
      <c r="Q420" s="91">
        <v>1</v>
      </c>
      <c r="R420" s="91">
        <v>2</v>
      </c>
      <c r="S420" s="91">
        <v>3</v>
      </c>
      <c r="T420" s="91"/>
      <c r="U420" s="91"/>
      <c r="V420" s="91"/>
      <c r="W420" s="91">
        <v>1</v>
      </c>
      <c r="X420" s="91"/>
      <c r="Y420" s="91">
        <v>1</v>
      </c>
      <c r="Z420" s="91">
        <v>3</v>
      </c>
      <c r="AA420" s="91"/>
      <c r="AB420" s="91"/>
      <c r="AC420" s="91"/>
      <c r="AD420" s="91">
        <v>1</v>
      </c>
      <c r="AE420" s="91">
        <v>1</v>
      </c>
      <c r="AF420" s="91"/>
      <c r="AG420" s="91"/>
      <c r="AH420" s="91"/>
      <c r="AI420" s="91">
        <v>1</v>
      </c>
      <c r="AJ420" s="91"/>
      <c r="AK420" s="91">
        <v>2</v>
      </c>
      <c r="AL420" s="91"/>
      <c r="AM420" s="91"/>
      <c r="AN420" s="91">
        <v>3</v>
      </c>
      <c r="AO420" s="91"/>
      <c r="AP420" s="91">
        <v>2</v>
      </c>
      <c r="AQ420" s="91">
        <v>2</v>
      </c>
      <c r="AR420" s="91"/>
      <c r="AS420" s="91"/>
      <c r="AT420" s="91"/>
      <c r="AU420" s="91"/>
      <c r="AV420" s="91"/>
      <c r="AW420" s="91">
        <v>4</v>
      </c>
      <c r="AX420" s="91"/>
      <c r="AY420" s="91"/>
      <c r="AZ420" s="91">
        <v>2</v>
      </c>
      <c r="BA420" s="91"/>
      <c r="BB420" s="91"/>
      <c r="BC420" s="91"/>
    </row>
    <row r="421" spans="1:55" x14ac:dyDescent="0.25">
      <c r="A421" s="91" t="s">
        <v>934</v>
      </c>
      <c r="B421" s="129">
        <f t="shared" si="8"/>
        <v>32</v>
      </c>
      <c r="C421" s="91"/>
      <c r="D421" s="91"/>
      <c r="E421" s="91">
        <v>2</v>
      </c>
      <c r="F421" s="91"/>
      <c r="G421" s="91"/>
      <c r="H421" s="91"/>
      <c r="I421" s="91">
        <v>1</v>
      </c>
      <c r="J421" s="91">
        <v>2</v>
      </c>
      <c r="K421" s="91"/>
      <c r="L421" s="91"/>
      <c r="M421" s="91"/>
      <c r="N421" s="91">
        <v>1</v>
      </c>
      <c r="O421" s="91"/>
      <c r="P421" s="91"/>
      <c r="Q421" s="91"/>
      <c r="R421" s="91"/>
      <c r="S421" s="91"/>
      <c r="T421" s="91"/>
      <c r="U421" s="91">
        <v>1</v>
      </c>
      <c r="V421" s="91"/>
      <c r="W421" s="91"/>
      <c r="X421" s="91">
        <v>1</v>
      </c>
      <c r="Y421" s="91"/>
      <c r="Z421" s="91"/>
      <c r="AA421" s="91"/>
      <c r="AB421" s="91"/>
      <c r="AC421" s="91"/>
      <c r="AD421" s="91"/>
      <c r="AE421" s="91">
        <v>3</v>
      </c>
      <c r="AF421" s="91">
        <v>1</v>
      </c>
      <c r="AG421" s="91">
        <v>1</v>
      </c>
      <c r="AH421" s="91"/>
      <c r="AI421" s="91"/>
      <c r="AJ421" s="91"/>
      <c r="AK421" s="91"/>
      <c r="AL421" s="91"/>
      <c r="AM421" s="91"/>
      <c r="AN421" s="91">
        <v>3</v>
      </c>
      <c r="AO421" s="91">
        <v>2</v>
      </c>
      <c r="AP421" s="91">
        <v>2</v>
      </c>
      <c r="AQ421" s="91">
        <v>1</v>
      </c>
      <c r="AR421" s="91">
        <v>2</v>
      </c>
      <c r="AS421" s="91">
        <v>1</v>
      </c>
      <c r="AT421" s="91">
        <v>3</v>
      </c>
      <c r="AU421" s="91"/>
      <c r="AV421" s="91">
        <v>1</v>
      </c>
      <c r="AW421" s="91">
        <v>1</v>
      </c>
      <c r="AX421" s="91"/>
      <c r="AY421" s="91"/>
      <c r="AZ421" s="91">
        <v>3</v>
      </c>
      <c r="BA421" s="91"/>
      <c r="BB421" s="91"/>
      <c r="BC421" s="91"/>
    </row>
    <row r="422" spans="1:55" x14ac:dyDescent="0.25">
      <c r="A422" s="91" t="s">
        <v>114</v>
      </c>
      <c r="B422" s="129">
        <f t="shared" si="8"/>
        <v>0</v>
      </c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</row>
    <row r="423" spans="1:55" x14ac:dyDescent="0.25">
      <c r="A423" s="91" t="s">
        <v>935</v>
      </c>
      <c r="B423" s="129">
        <f t="shared" si="8"/>
        <v>0</v>
      </c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</row>
    <row r="424" spans="1:55" x14ac:dyDescent="0.25">
      <c r="A424" s="91" t="s">
        <v>936</v>
      </c>
      <c r="B424" s="129">
        <f t="shared" si="8"/>
        <v>0</v>
      </c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</row>
    <row r="425" spans="1:55" x14ac:dyDescent="0.25">
      <c r="A425" s="91" t="s">
        <v>227</v>
      </c>
      <c r="B425" s="129">
        <f t="shared" si="8"/>
        <v>0</v>
      </c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</row>
    <row r="426" spans="1:55" x14ac:dyDescent="0.25">
      <c r="A426" s="91" t="s">
        <v>937</v>
      </c>
      <c r="B426" s="129">
        <f t="shared" si="8"/>
        <v>27</v>
      </c>
      <c r="C426" s="91"/>
      <c r="D426" s="91"/>
      <c r="E426" s="91"/>
      <c r="F426" s="91"/>
      <c r="G426" s="91"/>
      <c r="H426" s="91"/>
      <c r="I426" s="91">
        <v>2</v>
      </c>
      <c r="J426" s="91"/>
      <c r="K426" s="91">
        <v>1</v>
      </c>
      <c r="L426" s="91"/>
      <c r="M426" s="91">
        <v>1</v>
      </c>
      <c r="N426" s="91">
        <v>2</v>
      </c>
      <c r="O426" s="91">
        <v>1</v>
      </c>
      <c r="P426" s="91"/>
      <c r="Q426" s="91">
        <v>1</v>
      </c>
      <c r="R426" s="91">
        <v>1</v>
      </c>
      <c r="S426" s="91"/>
      <c r="T426" s="91"/>
      <c r="U426" s="91"/>
      <c r="V426" s="91"/>
      <c r="W426" s="91"/>
      <c r="X426" s="91"/>
      <c r="Y426" s="91"/>
      <c r="Z426" s="91"/>
      <c r="AA426" s="91">
        <v>3</v>
      </c>
      <c r="AB426" s="91"/>
      <c r="AC426" s="91">
        <v>1</v>
      </c>
      <c r="AD426" s="91"/>
      <c r="AE426" s="91">
        <v>3</v>
      </c>
      <c r="AF426" s="91"/>
      <c r="AG426" s="91"/>
      <c r="AH426" s="91"/>
      <c r="AI426" s="91">
        <v>2</v>
      </c>
      <c r="AJ426" s="91"/>
      <c r="AK426" s="91"/>
      <c r="AL426" s="91"/>
      <c r="AM426" s="91">
        <v>1</v>
      </c>
      <c r="AN426" s="91"/>
      <c r="AO426" s="91">
        <v>1</v>
      </c>
      <c r="AP426" s="91"/>
      <c r="AQ426" s="91">
        <v>2</v>
      </c>
      <c r="AR426" s="91"/>
      <c r="AS426" s="91">
        <v>1</v>
      </c>
      <c r="AT426" s="91">
        <v>1</v>
      </c>
      <c r="AU426" s="91"/>
      <c r="AV426" s="91"/>
      <c r="AW426" s="91"/>
      <c r="AX426" s="91"/>
      <c r="AY426" s="91">
        <v>1</v>
      </c>
      <c r="AZ426" s="91">
        <v>2</v>
      </c>
      <c r="BA426" s="91"/>
      <c r="BB426" s="91"/>
      <c r="BC426" s="91"/>
    </row>
    <row r="427" spans="1:55" x14ac:dyDescent="0.25">
      <c r="A427" s="91" t="s">
        <v>938</v>
      </c>
      <c r="B427" s="129">
        <f t="shared" si="8"/>
        <v>0</v>
      </c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</row>
    <row r="428" spans="1:55" x14ac:dyDescent="0.25">
      <c r="A428" s="91" t="s">
        <v>939</v>
      </c>
      <c r="B428" s="129">
        <f t="shared" si="8"/>
        <v>13</v>
      </c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>
        <v>12</v>
      </c>
      <c r="AK428" s="91"/>
      <c r="AL428" s="91"/>
      <c r="AM428" s="91"/>
      <c r="AN428" s="91"/>
      <c r="AO428" s="91"/>
      <c r="AP428" s="91"/>
      <c r="AQ428" s="91"/>
      <c r="AR428" s="91"/>
      <c r="AS428" s="91">
        <v>1</v>
      </c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</row>
    <row r="429" spans="1:55" x14ac:dyDescent="0.25">
      <c r="A429" s="91" t="s">
        <v>269</v>
      </c>
      <c r="B429" s="129">
        <f t="shared" si="8"/>
        <v>0</v>
      </c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</row>
    <row r="430" spans="1:55" x14ac:dyDescent="0.25">
      <c r="A430" s="91" t="s">
        <v>259</v>
      </c>
      <c r="B430" s="129">
        <f t="shared" si="8"/>
        <v>0</v>
      </c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</row>
    <row r="431" spans="1:55" x14ac:dyDescent="0.25">
      <c r="A431" s="91" t="s">
        <v>321</v>
      </c>
      <c r="B431" s="129">
        <f t="shared" si="8"/>
        <v>0</v>
      </c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</row>
    <row r="432" spans="1:55" x14ac:dyDescent="0.25">
      <c r="A432" s="91" t="s">
        <v>940</v>
      </c>
      <c r="B432" s="129">
        <f t="shared" si="8"/>
        <v>9</v>
      </c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>
        <v>8</v>
      </c>
      <c r="AH432" s="91"/>
      <c r="AI432" s="91"/>
      <c r="AJ432" s="91">
        <v>1</v>
      </c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</row>
    <row r="433" spans="1:55" x14ac:dyDescent="0.25">
      <c r="A433" s="91" t="s">
        <v>941</v>
      </c>
      <c r="B433" s="129">
        <f t="shared" si="8"/>
        <v>0</v>
      </c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</row>
    <row r="434" spans="1:55" x14ac:dyDescent="0.25">
      <c r="A434" s="91" t="s">
        <v>942</v>
      </c>
      <c r="B434" s="129">
        <f t="shared" si="8"/>
        <v>0</v>
      </c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</row>
    <row r="435" spans="1:55" x14ac:dyDescent="0.25">
      <c r="A435" s="91" t="s">
        <v>943</v>
      </c>
      <c r="B435" s="129">
        <f t="shared" si="8"/>
        <v>11</v>
      </c>
      <c r="C435" s="91"/>
      <c r="D435" s="91"/>
      <c r="E435" s="91">
        <v>1</v>
      </c>
      <c r="F435" s="91"/>
      <c r="G435" s="91"/>
      <c r="H435" s="91"/>
      <c r="I435" s="91"/>
      <c r="J435" s="91"/>
      <c r="K435" s="91"/>
      <c r="L435" s="91"/>
      <c r="M435" s="91"/>
      <c r="N435" s="91"/>
      <c r="O435" s="91">
        <v>3</v>
      </c>
      <c r="P435" s="91"/>
      <c r="Q435" s="91"/>
      <c r="R435" s="91"/>
      <c r="S435" s="91"/>
      <c r="T435" s="91"/>
      <c r="U435" s="91"/>
      <c r="V435" s="91">
        <v>1</v>
      </c>
      <c r="W435" s="91"/>
      <c r="X435" s="91"/>
      <c r="Y435" s="91"/>
      <c r="Z435" s="91"/>
      <c r="AA435" s="91"/>
      <c r="AB435" s="91"/>
      <c r="AC435" s="91">
        <v>1</v>
      </c>
      <c r="AD435" s="91"/>
      <c r="AE435" s="91"/>
      <c r="AF435" s="91">
        <v>4</v>
      </c>
      <c r="AG435" s="91"/>
      <c r="AH435" s="91"/>
      <c r="AI435" s="91"/>
      <c r="AJ435" s="91"/>
      <c r="AK435" s="91"/>
      <c r="AL435" s="91"/>
      <c r="AM435" s="91">
        <v>1</v>
      </c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</row>
    <row r="436" spans="1:55" x14ac:dyDescent="0.25">
      <c r="A436" s="91" t="s">
        <v>153</v>
      </c>
      <c r="B436" s="129">
        <f t="shared" si="8"/>
        <v>1</v>
      </c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>
        <v>1</v>
      </c>
      <c r="BC436" s="91"/>
    </row>
    <row r="437" spans="1:55" x14ac:dyDescent="0.25">
      <c r="A437" s="91" t="s">
        <v>944</v>
      </c>
      <c r="B437" s="129">
        <f t="shared" si="8"/>
        <v>0</v>
      </c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</row>
    <row r="438" spans="1:55" x14ac:dyDescent="0.25">
      <c r="A438" s="91" t="s">
        <v>945</v>
      </c>
      <c r="B438" s="129">
        <f t="shared" si="8"/>
        <v>0</v>
      </c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</row>
    <row r="439" spans="1:55" x14ac:dyDescent="0.25">
      <c r="A439" s="91" t="s">
        <v>181</v>
      </c>
      <c r="B439" s="129">
        <f t="shared" si="8"/>
        <v>0</v>
      </c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</row>
    <row r="440" spans="1:55" x14ac:dyDescent="0.25">
      <c r="A440" s="91" t="s">
        <v>147</v>
      </c>
      <c r="B440" s="129">
        <f t="shared" si="8"/>
        <v>0</v>
      </c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</row>
    <row r="441" spans="1:55" x14ac:dyDescent="0.25">
      <c r="A441" s="91" t="s">
        <v>191</v>
      </c>
      <c r="B441" s="129">
        <f t="shared" si="8"/>
        <v>1</v>
      </c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>
        <v>1</v>
      </c>
      <c r="BB441" s="91"/>
      <c r="BC441" s="91"/>
    </row>
    <row r="442" spans="1:55" x14ac:dyDescent="0.25">
      <c r="A442" s="91" t="s">
        <v>156</v>
      </c>
      <c r="B442" s="129">
        <f t="shared" si="8"/>
        <v>0</v>
      </c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</row>
    <row r="443" spans="1:55" x14ac:dyDescent="0.25">
      <c r="A443" s="91" t="s">
        <v>217</v>
      </c>
      <c r="B443" s="129">
        <f t="shared" si="8"/>
        <v>0</v>
      </c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</row>
    <row r="444" spans="1:55" x14ac:dyDescent="0.25">
      <c r="A444" s="91" t="s">
        <v>946</v>
      </c>
      <c r="B444" s="129">
        <f t="shared" si="8"/>
        <v>0</v>
      </c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</row>
    <row r="445" spans="1:55" x14ac:dyDescent="0.25">
      <c r="A445" s="91" t="s">
        <v>297</v>
      </c>
      <c r="B445" s="129">
        <f t="shared" si="8"/>
        <v>7</v>
      </c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>
        <v>2</v>
      </c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>
        <v>1</v>
      </c>
      <c r="BB445" s="91">
        <v>4</v>
      </c>
      <c r="BC445" s="91"/>
    </row>
    <row r="446" spans="1:55" x14ac:dyDescent="0.25">
      <c r="A446" s="91" t="s">
        <v>343</v>
      </c>
      <c r="B446" s="129">
        <f t="shared" si="8"/>
        <v>4</v>
      </c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>
        <v>4</v>
      </c>
      <c r="BC446" s="91"/>
    </row>
    <row r="447" spans="1:55" x14ac:dyDescent="0.25">
      <c r="A447" s="91" t="s">
        <v>356</v>
      </c>
      <c r="B447" s="129">
        <f t="shared" si="8"/>
        <v>5</v>
      </c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>
        <v>5</v>
      </c>
      <c r="BC447" s="91"/>
    </row>
    <row r="448" spans="1:55" x14ac:dyDescent="0.25">
      <c r="A448" s="91" t="s">
        <v>947</v>
      </c>
      <c r="B448" s="129">
        <f t="shared" si="8"/>
        <v>0</v>
      </c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</row>
    <row r="449" spans="1:55" x14ac:dyDescent="0.25">
      <c r="A449" s="91" t="s">
        <v>948</v>
      </c>
      <c r="B449" s="129">
        <f t="shared" si="8"/>
        <v>0</v>
      </c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</row>
    <row r="450" spans="1:55" x14ac:dyDescent="0.25">
      <c r="A450" s="91" t="s">
        <v>357</v>
      </c>
      <c r="B450" s="129">
        <f t="shared" si="8"/>
        <v>0</v>
      </c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</row>
    <row r="451" spans="1:55" x14ac:dyDescent="0.25">
      <c r="A451" s="91" t="s">
        <v>949</v>
      </c>
      <c r="B451" s="129">
        <f t="shared" si="8"/>
        <v>4</v>
      </c>
      <c r="C451" s="91"/>
      <c r="D451" s="91"/>
      <c r="E451" s="91">
        <v>1</v>
      </c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>
        <v>1</v>
      </c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>
        <v>1</v>
      </c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>
        <v>1</v>
      </c>
      <c r="BA451" s="91"/>
      <c r="BB451" s="91"/>
      <c r="BC451" s="91"/>
    </row>
    <row r="452" spans="1:55" x14ac:dyDescent="0.25">
      <c r="A452" s="91" t="s">
        <v>96</v>
      </c>
      <c r="B452" s="129">
        <f t="shared" si="8"/>
        <v>0</v>
      </c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</row>
    <row r="453" spans="1:55" x14ac:dyDescent="0.25">
      <c r="A453" s="91" t="s">
        <v>950</v>
      </c>
      <c r="B453" s="129">
        <f t="shared" si="8"/>
        <v>0</v>
      </c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</row>
    <row r="454" spans="1:55" x14ac:dyDescent="0.25">
      <c r="A454" s="91" t="s">
        <v>951</v>
      </c>
      <c r="B454" s="129">
        <f t="shared" si="8"/>
        <v>1</v>
      </c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>
        <v>1</v>
      </c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</row>
    <row r="455" spans="1:55" x14ac:dyDescent="0.25">
      <c r="A455" s="91" t="s">
        <v>952</v>
      </c>
      <c r="B455" s="129">
        <f t="shared" si="8"/>
        <v>0</v>
      </c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</row>
    <row r="456" spans="1:55" x14ac:dyDescent="0.25">
      <c r="A456" s="91" t="s">
        <v>248</v>
      </c>
      <c r="B456" s="129">
        <f t="shared" ref="B456:B519" si="9">SUM(C456:BC456)</f>
        <v>0</v>
      </c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</row>
    <row r="457" spans="1:55" x14ac:dyDescent="0.25">
      <c r="A457" s="91" t="s">
        <v>953</v>
      </c>
      <c r="B457" s="129">
        <f t="shared" si="9"/>
        <v>0</v>
      </c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</row>
    <row r="458" spans="1:55" x14ac:dyDescent="0.25">
      <c r="A458" s="91" t="s">
        <v>318</v>
      </c>
      <c r="B458" s="129">
        <f t="shared" si="9"/>
        <v>13</v>
      </c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>
        <v>1</v>
      </c>
      <c r="BB458" s="91">
        <v>12</v>
      </c>
      <c r="BC458" s="91"/>
    </row>
    <row r="459" spans="1:55" x14ac:dyDescent="0.25">
      <c r="A459" s="91" t="s">
        <v>954</v>
      </c>
      <c r="B459" s="129">
        <f t="shared" si="9"/>
        <v>8</v>
      </c>
      <c r="C459" s="91"/>
      <c r="D459" s="91"/>
      <c r="E459" s="91">
        <v>1</v>
      </c>
      <c r="F459" s="91"/>
      <c r="G459" s="91">
        <v>3</v>
      </c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>
        <v>2</v>
      </c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>
        <v>1</v>
      </c>
      <c r="AP459" s="91"/>
      <c r="AQ459" s="91"/>
      <c r="AR459" s="91"/>
      <c r="AS459" s="91"/>
      <c r="AT459" s="91"/>
      <c r="AU459" s="91"/>
      <c r="AV459" s="91"/>
      <c r="AW459" s="91"/>
      <c r="AX459" s="91">
        <v>1</v>
      </c>
      <c r="AY459" s="91"/>
      <c r="AZ459" s="91"/>
      <c r="BA459" s="91"/>
      <c r="BB459" s="91"/>
      <c r="BC459" s="91"/>
    </row>
    <row r="460" spans="1:55" x14ac:dyDescent="0.25">
      <c r="A460" s="91" t="s">
        <v>955</v>
      </c>
      <c r="B460" s="129">
        <f t="shared" si="9"/>
        <v>0</v>
      </c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</row>
    <row r="461" spans="1:55" x14ac:dyDescent="0.25">
      <c r="A461" s="91" t="s">
        <v>956</v>
      </c>
      <c r="B461" s="129">
        <f t="shared" si="9"/>
        <v>7</v>
      </c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>
        <v>4</v>
      </c>
      <c r="AK461" s="91"/>
      <c r="AL461" s="91"/>
      <c r="AM461" s="91"/>
      <c r="AN461" s="91"/>
      <c r="AO461" s="91"/>
      <c r="AP461" s="91"/>
      <c r="AQ461" s="91"/>
      <c r="AR461" s="91">
        <v>2</v>
      </c>
      <c r="AS461" s="91"/>
      <c r="AT461" s="91"/>
      <c r="AU461" s="91"/>
      <c r="AV461" s="91"/>
      <c r="AW461" s="91"/>
      <c r="AX461" s="91"/>
      <c r="AY461" s="91"/>
      <c r="AZ461" s="91"/>
      <c r="BA461" s="91"/>
      <c r="BB461" s="91">
        <v>1</v>
      </c>
      <c r="BC461" s="91"/>
    </row>
    <row r="462" spans="1:55" x14ac:dyDescent="0.25">
      <c r="A462" s="91" t="s">
        <v>141</v>
      </c>
      <c r="B462" s="129">
        <f t="shared" si="9"/>
        <v>0</v>
      </c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</row>
    <row r="463" spans="1:55" x14ac:dyDescent="0.25">
      <c r="A463" s="91" t="s">
        <v>150</v>
      </c>
      <c r="B463" s="129">
        <f t="shared" si="9"/>
        <v>9</v>
      </c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>
        <v>3</v>
      </c>
      <c r="BB463" s="91">
        <v>6</v>
      </c>
      <c r="BC463" s="91"/>
    </row>
    <row r="464" spans="1:55" x14ac:dyDescent="0.25">
      <c r="A464" s="91" t="s">
        <v>957</v>
      </c>
      <c r="B464" s="129">
        <f t="shared" si="9"/>
        <v>0</v>
      </c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</row>
    <row r="465" spans="1:55" x14ac:dyDescent="0.25">
      <c r="A465" s="91" t="s">
        <v>958</v>
      </c>
      <c r="B465" s="129">
        <f t="shared" si="9"/>
        <v>0</v>
      </c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</row>
    <row r="466" spans="1:55" x14ac:dyDescent="0.25">
      <c r="A466" s="91" t="s">
        <v>391</v>
      </c>
      <c r="B466" s="129">
        <f t="shared" si="9"/>
        <v>10</v>
      </c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>
        <v>1</v>
      </c>
      <c r="BB466" s="91">
        <v>9</v>
      </c>
      <c r="BC466" s="91"/>
    </row>
    <row r="467" spans="1:55" x14ac:dyDescent="0.25">
      <c r="A467" s="91" t="s">
        <v>247</v>
      </c>
      <c r="B467" s="129">
        <f t="shared" si="9"/>
        <v>0</v>
      </c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</row>
    <row r="468" spans="1:55" x14ac:dyDescent="0.25">
      <c r="A468" s="91" t="s">
        <v>279</v>
      </c>
      <c r="B468" s="129">
        <f t="shared" si="9"/>
        <v>0</v>
      </c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</row>
    <row r="469" spans="1:55" x14ac:dyDescent="0.25">
      <c r="A469" s="91" t="s">
        <v>291</v>
      </c>
      <c r="B469" s="129">
        <f t="shared" si="9"/>
        <v>0</v>
      </c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</row>
    <row r="470" spans="1:55" x14ac:dyDescent="0.25">
      <c r="A470" s="91" t="s">
        <v>959</v>
      </c>
      <c r="B470" s="129">
        <f t="shared" si="9"/>
        <v>0</v>
      </c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</row>
    <row r="471" spans="1:55" x14ac:dyDescent="0.25">
      <c r="A471" s="91" t="s">
        <v>960</v>
      </c>
      <c r="B471" s="129">
        <f t="shared" si="9"/>
        <v>0</v>
      </c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</row>
    <row r="472" spans="1:55" x14ac:dyDescent="0.25">
      <c r="A472" s="91" t="s">
        <v>961</v>
      </c>
      <c r="B472" s="129">
        <f t="shared" si="9"/>
        <v>0</v>
      </c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</row>
    <row r="473" spans="1:55" x14ac:dyDescent="0.25">
      <c r="A473" s="91" t="s">
        <v>962</v>
      </c>
      <c r="B473" s="129">
        <f t="shared" si="9"/>
        <v>4</v>
      </c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>
        <v>3</v>
      </c>
      <c r="AO473" s="91"/>
      <c r="AP473" s="91">
        <v>1</v>
      </c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</row>
    <row r="474" spans="1:55" x14ac:dyDescent="0.25">
      <c r="A474" s="91" t="s">
        <v>963</v>
      </c>
      <c r="B474" s="129">
        <f t="shared" si="9"/>
        <v>0</v>
      </c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</row>
    <row r="475" spans="1:55" x14ac:dyDescent="0.25">
      <c r="A475" s="91" t="s">
        <v>964</v>
      </c>
      <c r="B475" s="129">
        <f t="shared" si="9"/>
        <v>2</v>
      </c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>
        <v>1</v>
      </c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>
        <v>1</v>
      </c>
      <c r="BA475" s="91"/>
      <c r="BB475" s="91"/>
      <c r="BC475" s="91"/>
    </row>
    <row r="476" spans="1:55" x14ac:dyDescent="0.25">
      <c r="A476" s="91" t="s">
        <v>965</v>
      </c>
      <c r="B476" s="129">
        <f t="shared" si="9"/>
        <v>0</v>
      </c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</row>
    <row r="477" spans="1:55" x14ac:dyDescent="0.25">
      <c r="A477" s="91" t="s">
        <v>390</v>
      </c>
      <c r="B477" s="129">
        <f t="shared" si="9"/>
        <v>5</v>
      </c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>
        <v>2</v>
      </c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>
        <v>3</v>
      </c>
      <c r="BC477" s="91"/>
    </row>
    <row r="478" spans="1:55" x14ac:dyDescent="0.25">
      <c r="A478" s="91" t="s">
        <v>966</v>
      </c>
      <c r="B478" s="129">
        <f t="shared" si="9"/>
        <v>0</v>
      </c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</row>
    <row r="479" spans="1:55" x14ac:dyDescent="0.25">
      <c r="A479" s="91" t="s">
        <v>967</v>
      </c>
      <c r="B479" s="129">
        <f t="shared" si="9"/>
        <v>0</v>
      </c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</row>
    <row r="480" spans="1:55" x14ac:dyDescent="0.25">
      <c r="A480" s="91" t="s">
        <v>968</v>
      </c>
      <c r="B480" s="129">
        <f t="shared" si="9"/>
        <v>0</v>
      </c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</row>
    <row r="481" spans="1:55" x14ac:dyDescent="0.25">
      <c r="A481" s="91" t="s">
        <v>969</v>
      </c>
      <c r="B481" s="129">
        <f t="shared" si="9"/>
        <v>0</v>
      </c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</row>
    <row r="482" spans="1:55" x14ac:dyDescent="0.25">
      <c r="A482" s="91" t="s">
        <v>970</v>
      </c>
      <c r="B482" s="129">
        <f t="shared" si="9"/>
        <v>0</v>
      </c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</row>
    <row r="483" spans="1:55" x14ac:dyDescent="0.25">
      <c r="A483" s="91" t="s">
        <v>971</v>
      </c>
      <c r="B483" s="129">
        <f t="shared" si="9"/>
        <v>0</v>
      </c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</row>
    <row r="484" spans="1:55" x14ac:dyDescent="0.25">
      <c r="A484" s="91" t="s">
        <v>972</v>
      </c>
      <c r="B484" s="129">
        <f t="shared" si="9"/>
        <v>2</v>
      </c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>
        <v>2</v>
      </c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</row>
    <row r="485" spans="1:55" x14ac:dyDescent="0.25">
      <c r="A485" s="91" t="s">
        <v>973</v>
      </c>
      <c r="B485" s="129">
        <f t="shared" si="9"/>
        <v>1</v>
      </c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>
        <v>1</v>
      </c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</row>
    <row r="486" spans="1:55" x14ac:dyDescent="0.25">
      <c r="A486" s="91" t="s">
        <v>974</v>
      </c>
      <c r="B486" s="129">
        <f t="shared" si="9"/>
        <v>5</v>
      </c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>
        <v>5</v>
      </c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</row>
    <row r="487" spans="1:55" x14ac:dyDescent="0.25">
      <c r="A487" s="91" t="s">
        <v>975</v>
      </c>
      <c r="B487" s="129">
        <f t="shared" si="9"/>
        <v>1</v>
      </c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>
        <v>1</v>
      </c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</row>
    <row r="488" spans="1:55" x14ac:dyDescent="0.25">
      <c r="A488" s="91" t="s">
        <v>976</v>
      </c>
      <c r="B488" s="129">
        <f t="shared" si="9"/>
        <v>0</v>
      </c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</row>
    <row r="489" spans="1:55" x14ac:dyDescent="0.25">
      <c r="A489" s="91" t="s">
        <v>977</v>
      </c>
      <c r="B489" s="129">
        <f t="shared" si="9"/>
        <v>0</v>
      </c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</row>
    <row r="490" spans="1:55" x14ac:dyDescent="0.25">
      <c r="A490" s="91" t="s">
        <v>978</v>
      </c>
      <c r="B490" s="129">
        <f t="shared" si="9"/>
        <v>0</v>
      </c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</row>
    <row r="491" spans="1:55" x14ac:dyDescent="0.25">
      <c r="A491" s="91" t="s">
        <v>979</v>
      </c>
      <c r="B491" s="129">
        <f t="shared" si="9"/>
        <v>1</v>
      </c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>
        <v>1</v>
      </c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</row>
    <row r="492" spans="1:55" x14ac:dyDescent="0.25">
      <c r="A492" s="91" t="s">
        <v>980</v>
      </c>
      <c r="B492" s="129">
        <f t="shared" si="9"/>
        <v>0</v>
      </c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</row>
    <row r="493" spans="1:55" x14ac:dyDescent="0.25">
      <c r="A493" s="91" t="s">
        <v>308</v>
      </c>
      <c r="B493" s="129">
        <f t="shared" si="9"/>
        <v>6</v>
      </c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>
        <v>1</v>
      </c>
      <c r="BB493" s="91">
        <v>5</v>
      </c>
      <c r="BC493" s="91"/>
    </row>
    <row r="494" spans="1:55" x14ac:dyDescent="0.25">
      <c r="A494" s="91" t="s">
        <v>981</v>
      </c>
      <c r="B494" s="129">
        <f t="shared" si="9"/>
        <v>0</v>
      </c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</row>
    <row r="495" spans="1:55" x14ac:dyDescent="0.25">
      <c r="A495" s="91" t="s">
        <v>982</v>
      </c>
      <c r="B495" s="129">
        <f t="shared" si="9"/>
        <v>0</v>
      </c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</row>
    <row r="496" spans="1:55" x14ac:dyDescent="0.25">
      <c r="A496" s="91" t="s">
        <v>983</v>
      </c>
      <c r="B496" s="129">
        <f t="shared" si="9"/>
        <v>0</v>
      </c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</row>
    <row r="497" spans="1:55" x14ac:dyDescent="0.25">
      <c r="A497" s="91" t="s">
        <v>984</v>
      </c>
      <c r="B497" s="129">
        <f t="shared" si="9"/>
        <v>0</v>
      </c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</row>
    <row r="498" spans="1:55" x14ac:dyDescent="0.25">
      <c r="A498" s="91" t="s">
        <v>985</v>
      </c>
      <c r="B498" s="129">
        <f t="shared" si="9"/>
        <v>4</v>
      </c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>
        <v>4</v>
      </c>
      <c r="AU498" s="91"/>
      <c r="AV498" s="91"/>
      <c r="AW498" s="91"/>
      <c r="AX498" s="91"/>
      <c r="AY498" s="91"/>
      <c r="AZ498" s="91"/>
      <c r="BA498" s="91"/>
      <c r="BB498" s="91"/>
      <c r="BC498" s="91"/>
    </row>
    <row r="499" spans="1:55" x14ac:dyDescent="0.25">
      <c r="A499" s="91" t="s">
        <v>986</v>
      </c>
      <c r="B499" s="129">
        <f t="shared" si="9"/>
        <v>3</v>
      </c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>
        <v>3</v>
      </c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</row>
    <row r="500" spans="1:55" x14ac:dyDescent="0.25">
      <c r="A500" s="91" t="s">
        <v>987</v>
      </c>
      <c r="B500" s="129">
        <f t="shared" si="9"/>
        <v>1</v>
      </c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>
        <v>1</v>
      </c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</row>
    <row r="501" spans="1:55" x14ac:dyDescent="0.25">
      <c r="A501" s="91" t="s">
        <v>988</v>
      </c>
      <c r="B501" s="129">
        <f t="shared" si="9"/>
        <v>1</v>
      </c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>
        <v>1</v>
      </c>
      <c r="AZ501" s="91"/>
      <c r="BA501" s="91"/>
      <c r="BB501" s="91"/>
      <c r="BC501" s="91"/>
    </row>
    <row r="502" spans="1:55" x14ac:dyDescent="0.25">
      <c r="A502" s="91" t="s">
        <v>352</v>
      </c>
      <c r="B502" s="129">
        <f t="shared" si="9"/>
        <v>1</v>
      </c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>
        <v>1</v>
      </c>
      <c r="BC502" s="91"/>
    </row>
    <row r="503" spans="1:55" x14ac:dyDescent="0.25">
      <c r="A503" s="91" t="s">
        <v>989</v>
      </c>
      <c r="B503" s="129">
        <f t="shared" si="9"/>
        <v>0</v>
      </c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</row>
    <row r="504" spans="1:55" x14ac:dyDescent="0.25">
      <c r="A504" s="91" t="s">
        <v>990</v>
      </c>
      <c r="B504" s="129">
        <f t="shared" si="9"/>
        <v>0</v>
      </c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</row>
    <row r="505" spans="1:55" x14ac:dyDescent="0.25">
      <c r="A505" s="91" t="s">
        <v>991</v>
      </c>
      <c r="B505" s="129">
        <f t="shared" si="9"/>
        <v>0</v>
      </c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</row>
    <row r="506" spans="1:55" x14ac:dyDescent="0.25">
      <c r="A506" s="91" t="s">
        <v>992</v>
      </c>
      <c r="B506" s="129">
        <f t="shared" si="9"/>
        <v>0</v>
      </c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</row>
    <row r="507" spans="1:55" x14ac:dyDescent="0.25">
      <c r="A507" s="91" t="s">
        <v>993</v>
      </c>
      <c r="B507" s="129">
        <f t="shared" si="9"/>
        <v>5</v>
      </c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>
        <v>5</v>
      </c>
      <c r="AZ507" s="91"/>
      <c r="BA507" s="91"/>
      <c r="BB507" s="91"/>
      <c r="BC507" s="91"/>
    </row>
    <row r="508" spans="1:55" x14ac:dyDescent="0.25">
      <c r="A508" s="91" t="s">
        <v>994</v>
      </c>
      <c r="B508" s="129">
        <f t="shared" si="9"/>
        <v>4</v>
      </c>
      <c r="C508" s="91"/>
      <c r="D508" s="91"/>
      <c r="E508" s="91"/>
      <c r="F508" s="91"/>
      <c r="G508" s="91"/>
      <c r="H508" s="91">
        <v>4</v>
      </c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</row>
    <row r="509" spans="1:55" x14ac:dyDescent="0.25">
      <c r="A509" s="91" t="s">
        <v>995</v>
      </c>
      <c r="B509" s="129">
        <f t="shared" si="9"/>
        <v>0</v>
      </c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</row>
    <row r="510" spans="1:55" x14ac:dyDescent="0.25">
      <c r="A510" s="91" t="s">
        <v>996</v>
      </c>
      <c r="B510" s="129">
        <f t="shared" si="9"/>
        <v>0</v>
      </c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</row>
    <row r="511" spans="1:55" x14ac:dyDescent="0.25">
      <c r="A511" s="91" t="s">
        <v>997</v>
      </c>
      <c r="B511" s="129">
        <f t="shared" si="9"/>
        <v>0</v>
      </c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</row>
    <row r="512" spans="1:55" x14ac:dyDescent="0.25">
      <c r="A512" s="91" t="s">
        <v>998</v>
      </c>
      <c r="B512" s="129">
        <f t="shared" si="9"/>
        <v>0</v>
      </c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</row>
    <row r="513" spans="1:55" x14ac:dyDescent="0.25">
      <c r="A513" s="91" t="s">
        <v>999</v>
      </c>
      <c r="B513" s="129">
        <f t="shared" si="9"/>
        <v>2</v>
      </c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>
        <v>2</v>
      </c>
      <c r="BA513" s="91"/>
      <c r="BB513" s="91"/>
      <c r="BC513" s="91"/>
    </row>
    <row r="514" spans="1:55" x14ac:dyDescent="0.25">
      <c r="A514" s="91" t="s">
        <v>1000</v>
      </c>
      <c r="B514" s="129">
        <f t="shared" si="9"/>
        <v>0</v>
      </c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</row>
    <row r="515" spans="1:55" x14ac:dyDescent="0.25">
      <c r="A515" s="91" t="s">
        <v>1001</v>
      </c>
      <c r="B515" s="129">
        <f t="shared" si="9"/>
        <v>4</v>
      </c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>
        <v>1</v>
      </c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>
        <v>3</v>
      </c>
      <c r="BA515" s="91"/>
      <c r="BB515" s="91"/>
      <c r="BC515" s="91"/>
    </row>
    <row r="516" spans="1:55" x14ac:dyDescent="0.25">
      <c r="A516" s="91" t="s">
        <v>1002</v>
      </c>
      <c r="B516" s="129">
        <f t="shared" si="9"/>
        <v>0</v>
      </c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</row>
    <row r="517" spans="1:55" x14ac:dyDescent="0.25">
      <c r="A517" s="91" t="s">
        <v>1003</v>
      </c>
      <c r="B517" s="129">
        <f t="shared" si="9"/>
        <v>1</v>
      </c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>
        <v>1</v>
      </c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</row>
    <row r="518" spans="1:55" x14ac:dyDescent="0.25">
      <c r="A518" s="91" t="s">
        <v>1004</v>
      </c>
      <c r="B518" s="129">
        <f t="shared" si="9"/>
        <v>0</v>
      </c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</row>
    <row r="519" spans="1:55" x14ac:dyDescent="0.25">
      <c r="A519" s="91" t="s">
        <v>1005</v>
      </c>
      <c r="B519" s="129">
        <f t="shared" si="9"/>
        <v>0</v>
      </c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</row>
    <row r="520" spans="1:55" x14ac:dyDescent="0.25">
      <c r="A520" s="91" t="s">
        <v>1006</v>
      </c>
      <c r="B520" s="129">
        <f t="shared" ref="B520:B583" si="10">SUM(C520:BC520)</f>
        <v>0</v>
      </c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</row>
    <row r="521" spans="1:55" x14ac:dyDescent="0.25">
      <c r="A521" s="91" t="s">
        <v>1007</v>
      </c>
      <c r="B521" s="129">
        <f t="shared" si="10"/>
        <v>0</v>
      </c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</row>
    <row r="522" spans="1:55" x14ac:dyDescent="0.25">
      <c r="A522" s="91" t="s">
        <v>1008</v>
      </c>
      <c r="B522" s="129">
        <f t="shared" si="10"/>
        <v>0</v>
      </c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</row>
    <row r="523" spans="1:55" x14ac:dyDescent="0.25">
      <c r="A523" s="91" t="s">
        <v>1009</v>
      </c>
      <c r="B523" s="129">
        <f t="shared" si="10"/>
        <v>1</v>
      </c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>
        <v>1</v>
      </c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</row>
    <row r="524" spans="1:55" x14ac:dyDescent="0.25">
      <c r="A524" s="91" t="s">
        <v>1010</v>
      </c>
      <c r="B524" s="129">
        <f t="shared" si="10"/>
        <v>1</v>
      </c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>
        <v>1</v>
      </c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</row>
    <row r="525" spans="1:55" x14ac:dyDescent="0.25">
      <c r="A525" s="91" t="s">
        <v>1011</v>
      </c>
      <c r="B525" s="129">
        <f t="shared" si="10"/>
        <v>0</v>
      </c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</row>
    <row r="526" spans="1:55" x14ac:dyDescent="0.25">
      <c r="A526" s="91" t="s">
        <v>1012</v>
      </c>
      <c r="B526" s="129">
        <f t="shared" si="10"/>
        <v>0</v>
      </c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</row>
    <row r="527" spans="1:55" x14ac:dyDescent="0.25">
      <c r="A527" s="91" t="s">
        <v>1013</v>
      </c>
      <c r="B527" s="129">
        <f t="shared" si="10"/>
        <v>0</v>
      </c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</row>
    <row r="528" spans="1:55" x14ac:dyDescent="0.25">
      <c r="A528" s="91" t="s">
        <v>1014</v>
      </c>
      <c r="B528" s="129">
        <f t="shared" si="10"/>
        <v>0</v>
      </c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</row>
    <row r="529" spans="1:55" x14ac:dyDescent="0.25">
      <c r="A529" s="91" t="s">
        <v>1015</v>
      </c>
      <c r="B529" s="129">
        <f t="shared" si="10"/>
        <v>0</v>
      </c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</row>
    <row r="530" spans="1:55" x14ac:dyDescent="0.25">
      <c r="A530" s="91" t="s">
        <v>1016</v>
      </c>
      <c r="B530" s="129">
        <f t="shared" si="10"/>
        <v>0</v>
      </c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</row>
    <row r="531" spans="1:55" x14ac:dyDescent="0.25">
      <c r="A531" s="91" t="s">
        <v>1017</v>
      </c>
      <c r="B531" s="129">
        <f t="shared" si="10"/>
        <v>0</v>
      </c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</row>
    <row r="532" spans="1:55" x14ac:dyDescent="0.25">
      <c r="A532" s="91" t="s">
        <v>1018</v>
      </c>
      <c r="B532" s="129">
        <f t="shared" si="10"/>
        <v>0</v>
      </c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</row>
    <row r="533" spans="1:55" x14ac:dyDescent="0.25">
      <c r="A533" s="91" t="s">
        <v>1019</v>
      </c>
      <c r="B533" s="129">
        <f t="shared" si="10"/>
        <v>0</v>
      </c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</row>
    <row r="534" spans="1:55" x14ac:dyDescent="0.25">
      <c r="A534" s="91" t="s">
        <v>1020</v>
      </c>
      <c r="B534" s="129">
        <f t="shared" si="10"/>
        <v>0</v>
      </c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</row>
    <row r="535" spans="1:55" x14ac:dyDescent="0.25">
      <c r="A535" s="91" t="s">
        <v>1021</v>
      </c>
      <c r="B535" s="129">
        <f t="shared" si="10"/>
        <v>0</v>
      </c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</row>
    <row r="536" spans="1:55" x14ac:dyDescent="0.25">
      <c r="A536" s="91" t="s">
        <v>1022</v>
      </c>
      <c r="B536" s="129">
        <f t="shared" si="10"/>
        <v>0</v>
      </c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</row>
    <row r="537" spans="1:55" x14ac:dyDescent="0.25">
      <c r="A537" s="91" t="s">
        <v>1023</v>
      </c>
      <c r="B537" s="129">
        <f t="shared" si="10"/>
        <v>0</v>
      </c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</row>
    <row r="538" spans="1:55" x14ac:dyDescent="0.25">
      <c r="A538" s="91" t="s">
        <v>1024</v>
      </c>
      <c r="B538" s="129">
        <f t="shared" si="10"/>
        <v>0</v>
      </c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</row>
    <row r="539" spans="1:55" x14ac:dyDescent="0.25">
      <c r="A539" s="91" t="s">
        <v>1025</v>
      </c>
      <c r="B539" s="129">
        <f t="shared" si="10"/>
        <v>0</v>
      </c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</row>
    <row r="540" spans="1:55" x14ac:dyDescent="0.25">
      <c r="A540" s="91" t="s">
        <v>1026</v>
      </c>
      <c r="B540" s="129">
        <f t="shared" si="10"/>
        <v>1</v>
      </c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>
        <v>1</v>
      </c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</row>
    <row r="541" spans="1:55" x14ac:dyDescent="0.25">
      <c r="A541" s="91" t="s">
        <v>1027</v>
      </c>
      <c r="B541" s="129">
        <f t="shared" si="10"/>
        <v>0</v>
      </c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</row>
    <row r="542" spans="1:55" x14ac:dyDescent="0.25">
      <c r="A542" s="91" t="s">
        <v>1028</v>
      </c>
      <c r="B542" s="129">
        <f t="shared" si="10"/>
        <v>0</v>
      </c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</row>
    <row r="543" spans="1:55" x14ac:dyDescent="0.25">
      <c r="A543" s="91" t="s">
        <v>1029</v>
      </c>
      <c r="B543" s="129">
        <f t="shared" si="10"/>
        <v>3</v>
      </c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>
        <v>3</v>
      </c>
      <c r="AU543" s="91"/>
      <c r="AV543" s="91"/>
      <c r="AW543" s="91"/>
      <c r="AX543" s="91"/>
      <c r="AY543" s="91"/>
      <c r="AZ543" s="91"/>
      <c r="BA543" s="91"/>
      <c r="BB543" s="91"/>
      <c r="BC543" s="91"/>
    </row>
    <row r="544" spans="1:55" x14ac:dyDescent="0.25">
      <c r="A544" s="91" t="s">
        <v>1030</v>
      </c>
      <c r="B544" s="129">
        <f t="shared" si="10"/>
        <v>0</v>
      </c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</row>
    <row r="545" spans="1:55" x14ac:dyDescent="0.25">
      <c r="A545" s="91" t="s">
        <v>1031</v>
      </c>
      <c r="B545" s="129">
        <f t="shared" si="10"/>
        <v>0</v>
      </c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</row>
    <row r="546" spans="1:55" x14ac:dyDescent="0.25">
      <c r="A546" s="91" t="s">
        <v>1032</v>
      </c>
      <c r="B546" s="129">
        <f t="shared" si="10"/>
        <v>0</v>
      </c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</row>
    <row r="547" spans="1:55" x14ac:dyDescent="0.25">
      <c r="A547" s="91" t="s">
        <v>1033</v>
      </c>
      <c r="B547" s="129">
        <f t="shared" si="10"/>
        <v>0</v>
      </c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</row>
    <row r="548" spans="1:55" x14ac:dyDescent="0.25">
      <c r="A548" s="91" t="s">
        <v>1034</v>
      </c>
      <c r="B548" s="129">
        <f t="shared" si="10"/>
        <v>0</v>
      </c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</row>
    <row r="549" spans="1:55" x14ac:dyDescent="0.25">
      <c r="A549" s="91" t="s">
        <v>1035</v>
      </c>
      <c r="B549" s="129">
        <f t="shared" si="10"/>
        <v>1</v>
      </c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>
        <v>1</v>
      </c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</row>
    <row r="550" spans="1:55" x14ac:dyDescent="0.25">
      <c r="A550" s="91" t="s">
        <v>1036</v>
      </c>
      <c r="B550" s="129">
        <f t="shared" si="10"/>
        <v>3</v>
      </c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>
        <v>3</v>
      </c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</row>
    <row r="551" spans="1:55" x14ac:dyDescent="0.25">
      <c r="A551" s="91" t="s">
        <v>1037</v>
      </c>
      <c r="B551" s="129">
        <f t="shared" si="10"/>
        <v>0</v>
      </c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</row>
    <row r="552" spans="1:55" x14ac:dyDescent="0.25">
      <c r="A552" s="91" t="s">
        <v>1038</v>
      </c>
      <c r="B552" s="129">
        <f t="shared" si="10"/>
        <v>0</v>
      </c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</row>
    <row r="553" spans="1:55" x14ac:dyDescent="0.25">
      <c r="A553" s="91" t="s">
        <v>1039</v>
      </c>
      <c r="B553" s="129">
        <f t="shared" si="10"/>
        <v>0</v>
      </c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</row>
    <row r="554" spans="1:55" x14ac:dyDescent="0.25">
      <c r="A554" s="91" t="s">
        <v>1040</v>
      </c>
      <c r="B554" s="129">
        <f t="shared" si="10"/>
        <v>0</v>
      </c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</row>
    <row r="555" spans="1:55" x14ac:dyDescent="0.25">
      <c r="A555" s="91" t="s">
        <v>1041</v>
      </c>
      <c r="B555" s="129">
        <f t="shared" si="10"/>
        <v>8</v>
      </c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>
        <v>6</v>
      </c>
      <c r="BB555" s="91">
        <v>2</v>
      </c>
      <c r="BC555" s="91"/>
    </row>
    <row r="556" spans="1:55" x14ac:dyDescent="0.25">
      <c r="A556" s="91" t="s">
        <v>1042</v>
      </c>
      <c r="B556" s="129">
        <f t="shared" si="10"/>
        <v>0</v>
      </c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</row>
    <row r="557" spans="1:55" x14ac:dyDescent="0.25">
      <c r="A557" s="91" t="s">
        <v>1043</v>
      </c>
      <c r="B557" s="129">
        <f t="shared" si="10"/>
        <v>0</v>
      </c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</row>
    <row r="558" spans="1:55" x14ac:dyDescent="0.25">
      <c r="A558" s="91" t="s">
        <v>1044</v>
      </c>
      <c r="B558" s="129">
        <f t="shared" si="10"/>
        <v>0</v>
      </c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</row>
    <row r="559" spans="1:55" x14ac:dyDescent="0.25">
      <c r="A559" s="91" t="s">
        <v>1045</v>
      </c>
      <c r="B559" s="129">
        <f t="shared" si="10"/>
        <v>0</v>
      </c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</row>
    <row r="560" spans="1:55" x14ac:dyDescent="0.25">
      <c r="A560" s="91" t="s">
        <v>1046</v>
      </c>
      <c r="B560" s="129">
        <f t="shared" si="10"/>
        <v>0</v>
      </c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</row>
    <row r="561" spans="1:55" x14ac:dyDescent="0.25">
      <c r="A561" s="91" t="s">
        <v>1047</v>
      </c>
      <c r="B561" s="129">
        <f t="shared" si="10"/>
        <v>0</v>
      </c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</row>
    <row r="562" spans="1:55" x14ac:dyDescent="0.25">
      <c r="A562" s="91" t="s">
        <v>1048</v>
      </c>
      <c r="B562" s="129">
        <f t="shared" si="10"/>
        <v>0</v>
      </c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</row>
    <row r="563" spans="1:55" x14ac:dyDescent="0.25">
      <c r="A563" s="91" t="s">
        <v>1049</v>
      </c>
      <c r="B563" s="129">
        <f t="shared" si="10"/>
        <v>1</v>
      </c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>
        <v>1</v>
      </c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</row>
    <row r="564" spans="1:55" x14ac:dyDescent="0.25">
      <c r="A564" s="91" t="s">
        <v>1050</v>
      </c>
      <c r="B564" s="129">
        <f t="shared" si="10"/>
        <v>0</v>
      </c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</row>
    <row r="565" spans="1:55" x14ac:dyDescent="0.25">
      <c r="A565" s="91" t="s">
        <v>1051</v>
      </c>
      <c r="B565" s="129">
        <f t="shared" si="10"/>
        <v>0</v>
      </c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</row>
    <row r="566" spans="1:55" x14ac:dyDescent="0.25">
      <c r="A566" s="91" t="s">
        <v>1052</v>
      </c>
      <c r="B566" s="129">
        <f t="shared" si="10"/>
        <v>2</v>
      </c>
      <c r="C566" s="91">
        <v>2</v>
      </c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</row>
    <row r="567" spans="1:55" x14ac:dyDescent="0.25">
      <c r="A567" s="91" t="s">
        <v>1053</v>
      </c>
      <c r="B567" s="129">
        <f t="shared" si="10"/>
        <v>2</v>
      </c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>
        <v>2</v>
      </c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</row>
    <row r="568" spans="1:55" x14ac:dyDescent="0.25">
      <c r="A568" s="91" t="s">
        <v>1054</v>
      </c>
      <c r="B568" s="129">
        <f t="shared" si="10"/>
        <v>0</v>
      </c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</row>
    <row r="569" spans="1:55" x14ac:dyDescent="0.25">
      <c r="A569" s="91" t="s">
        <v>1055</v>
      </c>
      <c r="B569" s="129">
        <f t="shared" si="10"/>
        <v>0</v>
      </c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</row>
    <row r="570" spans="1:55" x14ac:dyDescent="0.25">
      <c r="A570" s="91" t="s">
        <v>1056</v>
      </c>
      <c r="B570" s="129">
        <f t="shared" si="10"/>
        <v>0</v>
      </c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</row>
    <row r="571" spans="1:55" x14ac:dyDescent="0.25">
      <c r="A571" s="91" t="s">
        <v>1057</v>
      </c>
      <c r="B571" s="129">
        <f t="shared" si="10"/>
        <v>1</v>
      </c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>
        <v>1</v>
      </c>
      <c r="AY571" s="91"/>
      <c r="AZ571" s="91"/>
      <c r="BA571" s="91"/>
      <c r="BB571" s="91"/>
      <c r="BC571" s="91"/>
    </row>
    <row r="572" spans="1:55" x14ac:dyDescent="0.25">
      <c r="A572" s="91" t="s">
        <v>1058</v>
      </c>
      <c r="B572" s="129">
        <f t="shared" si="10"/>
        <v>0</v>
      </c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</row>
    <row r="573" spans="1:55" x14ac:dyDescent="0.25">
      <c r="A573" s="91" t="s">
        <v>1059</v>
      </c>
      <c r="B573" s="129">
        <f t="shared" si="10"/>
        <v>0</v>
      </c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</row>
    <row r="574" spans="1:55" x14ac:dyDescent="0.25">
      <c r="A574" s="91" t="s">
        <v>1060</v>
      </c>
      <c r="B574" s="129">
        <f t="shared" si="10"/>
        <v>0</v>
      </c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</row>
    <row r="575" spans="1:55" x14ac:dyDescent="0.25">
      <c r="A575" s="91" t="s">
        <v>1061</v>
      </c>
      <c r="B575" s="129">
        <f t="shared" si="10"/>
        <v>0</v>
      </c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</row>
    <row r="576" spans="1:55" x14ac:dyDescent="0.25">
      <c r="A576" s="91" t="s">
        <v>1062</v>
      </c>
      <c r="B576" s="129">
        <f t="shared" si="10"/>
        <v>0</v>
      </c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</row>
    <row r="577" spans="1:55" x14ac:dyDescent="0.25">
      <c r="A577" s="91" t="s">
        <v>1063</v>
      </c>
      <c r="B577" s="129">
        <f t="shared" si="10"/>
        <v>0</v>
      </c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</row>
    <row r="578" spans="1:55" x14ac:dyDescent="0.25">
      <c r="A578" s="91" t="s">
        <v>1064</v>
      </c>
      <c r="B578" s="129">
        <f t="shared" si="10"/>
        <v>0</v>
      </c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</row>
    <row r="579" spans="1:55" x14ac:dyDescent="0.25">
      <c r="A579" s="91" t="s">
        <v>1065</v>
      </c>
      <c r="B579" s="129">
        <f t="shared" si="10"/>
        <v>0</v>
      </c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</row>
    <row r="580" spans="1:55" x14ac:dyDescent="0.25">
      <c r="A580" s="91" t="s">
        <v>1066</v>
      </c>
      <c r="B580" s="129">
        <f t="shared" si="10"/>
        <v>0</v>
      </c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</row>
    <row r="581" spans="1:55" x14ac:dyDescent="0.25">
      <c r="A581" s="91" t="s">
        <v>1067</v>
      </c>
      <c r="B581" s="129">
        <f t="shared" si="10"/>
        <v>0</v>
      </c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</row>
    <row r="582" spans="1:55" x14ac:dyDescent="0.25">
      <c r="A582" s="91" t="s">
        <v>1068</v>
      </c>
      <c r="B582" s="129">
        <f t="shared" si="10"/>
        <v>0</v>
      </c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</row>
    <row r="583" spans="1:55" x14ac:dyDescent="0.25">
      <c r="A583" s="91" t="s">
        <v>1069</v>
      </c>
      <c r="B583" s="129">
        <f t="shared" si="10"/>
        <v>0</v>
      </c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</row>
    <row r="584" spans="1:55" x14ac:dyDescent="0.25">
      <c r="A584" s="91" t="s">
        <v>1070</v>
      </c>
      <c r="B584" s="129">
        <f t="shared" ref="B584:B647" si="11">SUM(C584:BC584)</f>
        <v>0</v>
      </c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</row>
    <row r="585" spans="1:55" x14ac:dyDescent="0.25">
      <c r="A585" s="91" t="s">
        <v>1071</v>
      </c>
      <c r="B585" s="129">
        <f t="shared" si="11"/>
        <v>1</v>
      </c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>
        <v>1</v>
      </c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</row>
    <row r="586" spans="1:55" x14ac:dyDescent="0.25">
      <c r="A586" s="91" t="s">
        <v>1072</v>
      </c>
      <c r="B586" s="129">
        <f t="shared" si="11"/>
        <v>0</v>
      </c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</row>
    <row r="587" spans="1:55" x14ac:dyDescent="0.25">
      <c r="A587" s="91" t="s">
        <v>1073</v>
      </c>
      <c r="B587" s="129">
        <f t="shared" si="11"/>
        <v>0</v>
      </c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</row>
    <row r="588" spans="1:55" x14ac:dyDescent="0.25">
      <c r="A588" s="91" t="s">
        <v>1074</v>
      </c>
      <c r="B588" s="129">
        <f t="shared" si="11"/>
        <v>0</v>
      </c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</row>
    <row r="589" spans="1:55" x14ac:dyDescent="0.25">
      <c r="A589" s="91" t="s">
        <v>1075</v>
      </c>
      <c r="B589" s="129">
        <f t="shared" si="11"/>
        <v>1</v>
      </c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>
        <v>1</v>
      </c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</row>
    <row r="590" spans="1:55" x14ac:dyDescent="0.25">
      <c r="A590" s="91" t="s">
        <v>1076</v>
      </c>
      <c r="B590" s="129">
        <f t="shared" si="11"/>
        <v>0</v>
      </c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</row>
    <row r="591" spans="1:55" x14ac:dyDescent="0.25">
      <c r="A591" s="91" t="s">
        <v>1077</v>
      </c>
      <c r="B591" s="129">
        <f t="shared" si="11"/>
        <v>2</v>
      </c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>
        <v>2</v>
      </c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</row>
    <row r="592" spans="1:55" x14ac:dyDescent="0.25">
      <c r="A592" s="91" t="s">
        <v>1078</v>
      </c>
      <c r="B592" s="129">
        <f t="shared" si="11"/>
        <v>0</v>
      </c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</row>
    <row r="593" spans="1:55" x14ac:dyDescent="0.25">
      <c r="A593" s="91" t="s">
        <v>1079</v>
      </c>
      <c r="B593" s="129">
        <f t="shared" si="11"/>
        <v>0</v>
      </c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</row>
    <row r="594" spans="1:55" x14ac:dyDescent="0.25">
      <c r="A594" s="91" t="s">
        <v>1080</v>
      </c>
      <c r="B594" s="129">
        <f t="shared" si="11"/>
        <v>0</v>
      </c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</row>
    <row r="595" spans="1:55" x14ac:dyDescent="0.25">
      <c r="A595" s="91" t="s">
        <v>1081</v>
      </c>
      <c r="B595" s="129">
        <f t="shared" si="11"/>
        <v>1</v>
      </c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>
        <v>1</v>
      </c>
      <c r="AU595" s="91"/>
      <c r="AV595" s="91"/>
      <c r="AW595" s="91"/>
      <c r="AX595" s="91"/>
      <c r="AY595" s="91"/>
      <c r="AZ595" s="91"/>
      <c r="BA595" s="91"/>
      <c r="BB595" s="91"/>
      <c r="BC595" s="91"/>
    </row>
    <row r="596" spans="1:55" x14ac:dyDescent="0.25">
      <c r="A596" s="91" t="s">
        <v>1082</v>
      </c>
      <c r="B596" s="129">
        <f t="shared" si="11"/>
        <v>0</v>
      </c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</row>
    <row r="597" spans="1:55" x14ac:dyDescent="0.25">
      <c r="A597" s="91" t="s">
        <v>1083</v>
      </c>
      <c r="B597" s="129">
        <f t="shared" si="11"/>
        <v>1</v>
      </c>
      <c r="C597" s="91"/>
      <c r="D597" s="91"/>
      <c r="E597" s="91"/>
      <c r="F597" s="91"/>
      <c r="G597" s="91"/>
      <c r="H597" s="91"/>
      <c r="I597" s="91">
        <v>1</v>
      </c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</row>
    <row r="598" spans="1:55" x14ac:dyDescent="0.25">
      <c r="A598" s="91" t="s">
        <v>1084</v>
      </c>
      <c r="B598" s="129">
        <f t="shared" si="11"/>
        <v>0</v>
      </c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</row>
    <row r="599" spans="1:55" x14ac:dyDescent="0.25">
      <c r="A599" s="91" t="s">
        <v>1085</v>
      </c>
      <c r="B599" s="129">
        <f t="shared" si="11"/>
        <v>0</v>
      </c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</row>
    <row r="600" spans="1:55" x14ac:dyDescent="0.25">
      <c r="A600" s="91" t="s">
        <v>1086</v>
      </c>
      <c r="B600" s="129">
        <f t="shared" si="11"/>
        <v>0</v>
      </c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</row>
    <row r="601" spans="1:55" x14ac:dyDescent="0.25">
      <c r="A601" s="91" t="s">
        <v>1087</v>
      </c>
      <c r="B601" s="129">
        <f t="shared" si="11"/>
        <v>0</v>
      </c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</row>
    <row r="602" spans="1:55" x14ac:dyDescent="0.25">
      <c r="A602" s="91" t="s">
        <v>1088</v>
      </c>
      <c r="B602" s="129">
        <f t="shared" si="11"/>
        <v>0</v>
      </c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</row>
    <row r="603" spans="1:55" x14ac:dyDescent="0.25">
      <c r="A603" s="91" t="s">
        <v>1089</v>
      </c>
      <c r="B603" s="129">
        <f t="shared" si="11"/>
        <v>0</v>
      </c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</row>
    <row r="604" spans="1:55" x14ac:dyDescent="0.25">
      <c r="A604" s="91" t="s">
        <v>1090</v>
      </c>
      <c r="B604" s="129">
        <f t="shared" si="11"/>
        <v>0</v>
      </c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</row>
    <row r="605" spans="1:55" x14ac:dyDescent="0.25">
      <c r="A605" s="91" t="s">
        <v>1091</v>
      </c>
      <c r="B605" s="129">
        <f t="shared" si="11"/>
        <v>0</v>
      </c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</row>
    <row r="606" spans="1:55" x14ac:dyDescent="0.25">
      <c r="A606" s="91" t="s">
        <v>1092</v>
      </c>
      <c r="B606" s="129">
        <f t="shared" si="11"/>
        <v>0</v>
      </c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</row>
    <row r="607" spans="1:55" x14ac:dyDescent="0.25">
      <c r="A607" s="91" t="s">
        <v>1093</v>
      </c>
      <c r="B607" s="129">
        <f t="shared" si="11"/>
        <v>0</v>
      </c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</row>
    <row r="608" spans="1:55" x14ac:dyDescent="0.25">
      <c r="A608" s="91" t="s">
        <v>1094</v>
      </c>
      <c r="B608" s="129">
        <f t="shared" si="11"/>
        <v>0</v>
      </c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</row>
    <row r="609" spans="1:55" x14ac:dyDescent="0.25">
      <c r="A609" s="91" t="s">
        <v>1095</v>
      </c>
      <c r="B609" s="129">
        <f t="shared" si="11"/>
        <v>0</v>
      </c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</row>
    <row r="610" spans="1:55" x14ac:dyDescent="0.25">
      <c r="A610" s="91" t="s">
        <v>1096</v>
      </c>
      <c r="B610" s="129">
        <f t="shared" si="11"/>
        <v>0</v>
      </c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</row>
    <row r="611" spans="1:55" x14ac:dyDescent="0.25">
      <c r="A611" s="91" t="s">
        <v>1097</v>
      </c>
      <c r="B611" s="129">
        <f t="shared" si="11"/>
        <v>0</v>
      </c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</row>
    <row r="612" spans="1:55" x14ac:dyDescent="0.25">
      <c r="A612" s="91" t="s">
        <v>1098</v>
      </c>
      <c r="B612" s="129">
        <f t="shared" si="11"/>
        <v>0</v>
      </c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</row>
    <row r="613" spans="1:55" x14ac:dyDescent="0.25">
      <c r="A613" s="91" t="s">
        <v>1099</v>
      </c>
      <c r="B613" s="129">
        <f t="shared" si="11"/>
        <v>1</v>
      </c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>
        <v>1</v>
      </c>
      <c r="AU613" s="91"/>
      <c r="AV613" s="91"/>
      <c r="AW613" s="91"/>
      <c r="AX613" s="91"/>
      <c r="AY613" s="91"/>
      <c r="AZ613" s="91"/>
      <c r="BA613" s="91"/>
      <c r="BB613" s="91"/>
      <c r="BC613" s="91"/>
    </row>
    <row r="614" spans="1:55" x14ac:dyDescent="0.25">
      <c r="A614" s="91" t="s">
        <v>1100</v>
      </c>
      <c r="B614" s="129">
        <f t="shared" si="11"/>
        <v>0</v>
      </c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</row>
    <row r="615" spans="1:55" x14ac:dyDescent="0.25">
      <c r="A615" s="91" t="s">
        <v>1101</v>
      </c>
      <c r="B615" s="129">
        <f t="shared" si="11"/>
        <v>0</v>
      </c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</row>
    <row r="616" spans="1:55" x14ac:dyDescent="0.25">
      <c r="A616" s="91" t="s">
        <v>1102</v>
      </c>
      <c r="B616" s="129">
        <f t="shared" si="11"/>
        <v>0</v>
      </c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</row>
    <row r="617" spans="1:55" x14ac:dyDescent="0.25">
      <c r="A617" s="91" t="s">
        <v>1103</v>
      </c>
      <c r="B617" s="129">
        <f t="shared" si="11"/>
        <v>3</v>
      </c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>
        <v>3</v>
      </c>
      <c r="AU617" s="91"/>
      <c r="AV617" s="91"/>
      <c r="AW617" s="91"/>
      <c r="AX617" s="91"/>
      <c r="AY617" s="91"/>
      <c r="AZ617" s="91"/>
      <c r="BA617" s="91"/>
      <c r="BB617" s="91"/>
      <c r="BC617" s="91"/>
    </row>
    <row r="618" spans="1:55" x14ac:dyDescent="0.25">
      <c r="A618" s="91" t="s">
        <v>1104</v>
      </c>
      <c r="B618" s="129">
        <f t="shared" si="11"/>
        <v>1</v>
      </c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>
        <v>1</v>
      </c>
      <c r="AU618" s="91"/>
      <c r="AV618" s="91"/>
      <c r="AW618" s="91"/>
      <c r="AX618" s="91"/>
      <c r="AY618" s="91"/>
      <c r="AZ618" s="91"/>
      <c r="BA618" s="91"/>
      <c r="BB618" s="91"/>
      <c r="BC618" s="91"/>
    </row>
    <row r="619" spans="1:55" x14ac:dyDescent="0.25">
      <c r="A619" s="91" t="s">
        <v>1105</v>
      </c>
      <c r="B619" s="129">
        <f t="shared" si="11"/>
        <v>0</v>
      </c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</row>
    <row r="620" spans="1:55" x14ac:dyDescent="0.25">
      <c r="A620" s="91" t="s">
        <v>1106</v>
      </c>
      <c r="B620" s="129">
        <f t="shared" si="11"/>
        <v>0</v>
      </c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</row>
    <row r="621" spans="1:55" x14ac:dyDescent="0.25">
      <c r="A621" s="91" t="s">
        <v>1107</v>
      </c>
      <c r="B621" s="129">
        <f t="shared" si="11"/>
        <v>0</v>
      </c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</row>
    <row r="622" spans="1:55" x14ac:dyDescent="0.25">
      <c r="A622" s="91" t="s">
        <v>1108</v>
      </c>
      <c r="B622" s="129">
        <f t="shared" si="11"/>
        <v>0</v>
      </c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</row>
    <row r="623" spans="1:55" x14ac:dyDescent="0.25">
      <c r="A623" s="91" t="s">
        <v>1109</v>
      </c>
      <c r="B623" s="129">
        <f t="shared" si="11"/>
        <v>0</v>
      </c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</row>
    <row r="624" spans="1:55" x14ac:dyDescent="0.25">
      <c r="A624" s="91" t="s">
        <v>1110</v>
      </c>
      <c r="B624" s="129">
        <f t="shared" si="11"/>
        <v>0</v>
      </c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</row>
    <row r="625" spans="1:55" x14ac:dyDescent="0.25">
      <c r="A625" s="91" t="s">
        <v>1111</v>
      </c>
      <c r="B625" s="129">
        <f t="shared" si="11"/>
        <v>0</v>
      </c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</row>
    <row r="626" spans="1:55" x14ac:dyDescent="0.25">
      <c r="A626" s="91" t="s">
        <v>1112</v>
      </c>
      <c r="B626" s="129">
        <f t="shared" si="11"/>
        <v>0</v>
      </c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</row>
    <row r="627" spans="1:55" x14ac:dyDescent="0.25">
      <c r="A627" s="91" t="s">
        <v>1113</v>
      </c>
      <c r="B627" s="129">
        <f t="shared" si="11"/>
        <v>1</v>
      </c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>
        <v>1</v>
      </c>
      <c r="AU627" s="91"/>
      <c r="AV627" s="91"/>
      <c r="AW627" s="91"/>
      <c r="AX627" s="91"/>
      <c r="AY627" s="91"/>
      <c r="AZ627" s="91"/>
      <c r="BA627" s="91"/>
      <c r="BB627" s="91"/>
      <c r="BC627" s="91"/>
    </row>
    <row r="628" spans="1:55" x14ac:dyDescent="0.25">
      <c r="A628" s="91" t="s">
        <v>1114</v>
      </c>
      <c r="B628" s="129">
        <f t="shared" si="11"/>
        <v>0</v>
      </c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</row>
    <row r="629" spans="1:55" x14ac:dyDescent="0.25">
      <c r="A629" s="91" t="s">
        <v>1115</v>
      </c>
      <c r="B629" s="129">
        <f t="shared" si="11"/>
        <v>0</v>
      </c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</row>
    <row r="630" spans="1:55" x14ac:dyDescent="0.25">
      <c r="A630" s="91" t="s">
        <v>1116</v>
      </c>
      <c r="B630" s="129">
        <f t="shared" si="11"/>
        <v>0</v>
      </c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</row>
    <row r="631" spans="1:55" x14ac:dyDescent="0.25">
      <c r="A631" s="91" t="s">
        <v>1117</v>
      </c>
      <c r="B631" s="129">
        <f t="shared" si="11"/>
        <v>0</v>
      </c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</row>
    <row r="632" spans="1:55" x14ac:dyDescent="0.25">
      <c r="A632" s="91" t="s">
        <v>1118</v>
      </c>
      <c r="B632" s="129">
        <f t="shared" si="11"/>
        <v>0</v>
      </c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</row>
    <row r="633" spans="1:55" x14ac:dyDescent="0.25">
      <c r="A633" s="91" t="s">
        <v>1119</v>
      </c>
      <c r="B633" s="129">
        <f t="shared" si="11"/>
        <v>0</v>
      </c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</row>
    <row r="634" spans="1:55" x14ac:dyDescent="0.25">
      <c r="A634" s="91" t="s">
        <v>1120</v>
      </c>
      <c r="B634" s="129">
        <f t="shared" si="11"/>
        <v>0</v>
      </c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</row>
    <row r="635" spans="1:55" x14ac:dyDescent="0.25">
      <c r="A635" s="91" t="s">
        <v>1121</v>
      </c>
      <c r="B635" s="129">
        <f t="shared" si="11"/>
        <v>0</v>
      </c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</row>
    <row r="636" spans="1:55" x14ac:dyDescent="0.25">
      <c r="A636" s="91" t="s">
        <v>1122</v>
      </c>
      <c r="B636" s="129">
        <f t="shared" si="11"/>
        <v>0</v>
      </c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</row>
    <row r="637" spans="1:55" x14ac:dyDescent="0.25">
      <c r="A637" s="91" t="s">
        <v>1123</v>
      </c>
      <c r="B637" s="129">
        <f t="shared" si="11"/>
        <v>0</v>
      </c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</row>
    <row r="638" spans="1:55" x14ac:dyDescent="0.25">
      <c r="A638" s="91" t="s">
        <v>1124</v>
      </c>
      <c r="B638" s="129">
        <f t="shared" si="11"/>
        <v>0</v>
      </c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</row>
    <row r="639" spans="1:55" x14ac:dyDescent="0.25">
      <c r="A639" s="91" t="s">
        <v>1125</v>
      </c>
      <c r="B639" s="129">
        <f t="shared" si="11"/>
        <v>0</v>
      </c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</row>
    <row r="640" spans="1:55" x14ac:dyDescent="0.25">
      <c r="A640" s="91" t="s">
        <v>1126</v>
      </c>
      <c r="B640" s="129">
        <f t="shared" si="11"/>
        <v>1</v>
      </c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>
        <v>1</v>
      </c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</row>
    <row r="641" spans="1:55" x14ac:dyDescent="0.25">
      <c r="A641" s="91" t="s">
        <v>1127</v>
      </c>
      <c r="B641" s="129">
        <f t="shared" si="11"/>
        <v>0</v>
      </c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</row>
    <row r="642" spans="1:55" x14ac:dyDescent="0.25">
      <c r="A642" s="91" t="s">
        <v>1128</v>
      </c>
      <c r="B642" s="129">
        <f t="shared" si="11"/>
        <v>0</v>
      </c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</row>
    <row r="643" spans="1:55" x14ac:dyDescent="0.25">
      <c r="A643" s="91" t="s">
        <v>1129</v>
      </c>
      <c r="B643" s="129">
        <f t="shared" si="11"/>
        <v>0</v>
      </c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</row>
    <row r="644" spans="1:55" x14ac:dyDescent="0.25">
      <c r="A644" s="91" t="s">
        <v>1130</v>
      </c>
      <c r="B644" s="129">
        <f t="shared" si="11"/>
        <v>0</v>
      </c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</row>
    <row r="645" spans="1:55" x14ac:dyDescent="0.25">
      <c r="A645" s="91" t="s">
        <v>1131</v>
      </c>
      <c r="B645" s="129">
        <f t="shared" si="11"/>
        <v>0</v>
      </c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</row>
    <row r="646" spans="1:55" x14ac:dyDescent="0.25">
      <c r="A646" s="91" t="s">
        <v>1132</v>
      </c>
      <c r="B646" s="129">
        <f t="shared" si="11"/>
        <v>0</v>
      </c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</row>
    <row r="647" spans="1:55" x14ac:dyDescent="0.25">
      <c r="A647" s="91" t="s">
        <v>1133</v>
      </c>
      <c r="B647" s="129">
        <f t="shared" si="11"/>
        <v>0</v>
      </c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</row>
    <row r="648" spans="1:55" x14ac:dyDescent="0.25">
      <c r="A648" s="91" t="s">
        <v>1134</v>
      </c>
      <c r="B648" s="129">
        <f t="shared" ref="B648:B659" si="12">SUM(C648:BC648)</f>
        <v>0</v>
      </c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</row>
    <row r="649" spans="1:55" x14ac:dyDescent="0.25">
      <c r="A649" s="91" t="s">
        <v>1135</v>
      </c>
      <c r="B649" s="129">
        <f t="shared" si="12"/>
        <v>0</v>
      </c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</row>
    <row r="650" spans="1:55" x14ac:dyDescent="0.25">
      <c r="A650" s="91" t="s">
        <v>1136</v>
      </c>
      <c r="B650" s="129">
        <f t="shared" si="12"/>
        <v>0</v>
      </c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</row>
    <row r="651" spans="1:55" x14ac:dyDescent="0.25">
      <c r="A651" s="91" t="s">
        <v>1137</v>
      </c>
      <c r="B651" s="129">
        <f t="shared" si="12"/>
        <v>0</v>
      </c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</row>
    <row r="652" spans="1:55" x14ac:dyDescent="0.25">
      <c r="A652" s="91" t="s">
        <v>1138</v>
      </c>
      <c r="B652" s="129">
        <f t="shared" si="12"/>
        <v>0</v>
      </c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</row>
    <row r="653" spans="1:55" x14ac:dyDescent="0.25">
      <c r="A653" s="91" t="s">
        <v>1139</v>
      </c>
      <c r="B653" s="129">
        <f t="shared" si="12"/>
        <v>0</v>
      </c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</row>
    <row r="654" spans="1:55" x14ac:dyDescent="0.25">
      <c r="A654" s="91" t="s">
        <v>1140</v>
      </c>
      <c r="B654" s="129">
        <f t="shared" si="12"/>
        <v>0</v>
      </c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</row>
    <row r="655" spans="1:55" x14ac:dyDescent="0.25">
      <c r="A655" s="91" t="s">
        <v>1141</v>
      </c>
      <c r="B655" s="129">
        <f t="shared" si="12"/>
        <v>0</v>
      </c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</row>
    <row r="656" spans="1:55" x14ac:dyDescent="0.25">
      <c r="A656" s="91" t="s">
        <v>1142</v>
      </c>
      <c r="B656" s="129">
        <f t="shared" si="12"/>
        <v>0</v>
      </c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</row>
    <row r="657" spans="1:55" x14ac:dyDescent="0.25">
      <c r="A657" s="91" t="s">
        <v>1143</v>
      </c>
      <c r="B657" s="129">
        <f t="shared" si="12"/>
        <v>0</v>
      </c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</row>
    <row r="658" spans="1:55" x14ac:dyDescent="0.25">
      <c r="A658" s="91" t="s">
        <v>1144</v>
      </c>
      <c r="B658" s="129">
        <f t="shared" si="12"/>
        <v>0</v>
      </c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</row>
    <row r="659" spans="1:55" x14ac:dyDescent="0.25">
      <c r="A659" s="91" t="s">
        <v>1145</v>
      </c>
      <c r="B659" s="129">
        <f t="shared" si="12"/>
        <v>0</v>
      </c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</row>
  </sheetData>
  <autoFilter ref="A7:BC659" xr:uid="{00000000-0009-0000-0000-000006000000}"/>
  <conditionalFormatting sqref="C8:BC659">
    <cfRule type="colorScale" priority="1">
      <colorScale>
        <cfvo type="num" val="0"/>
        <cfvo type="percentile" val="95"/>
        <color rgb="FFFFFFFF"/>
        <color rgb="FF5B9BD5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>
      <pane ySplit="3" topLeftCell="A4" activePane="bottomLeft" state="frozen"/>
      <selection pane="bottomLeft" activeCell="B32" sqref="B32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4" customWidth="1"/>
    <col min="4" max="4" width="10" customWidth="1"/>
    <col min="5" max="6" width="14" customWidth="1"/>
    <col min="7" max="7" width="12" customWidth="1"/>
    <col min="8" max="8" width="16" customWidth="1"/>
    <col min="9" max="10" width="14" customWidth="1"/>
    <col min="11" max="11" width="12" customWidth="1"/>
  </cols>
  <sheetData>
    <row r="1" spans="1:11" ht="18" customHeight="1" x14ac:dyDescent="0.3">
      <c r="A1" s="132" t="s">
        <v>835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3" spans="1:11" ht="28.9" customHeight="1" x14ac:dyDescent="0.25">
      <c r="A3" s="1" t="s">
        <v>6</v>
      </c>
      <c r="B3" s="1" t="s">
        <v>7</v>
      </c>
      <c r="C3" s="1" t="s">
        <v>836</v>
      </c>
      <c r="D3" s="1" t="s">
        <v>837</v>
      </c>
      <c r="E3" s="1" t="s">
        <v>838</v>
      </c>
      <c r="F3" s="1" t="s">
        <v>839</v>
      </c>
      <c r="G3" s="1" t="s">
        <v>712</v>
      </c>
      <c r="H3" s="1" t="s">
        <v>840</v>
      </c>
      <c r="I3" s="1" t="s">
        <v>841</v>
      </c>
      <c r="J3" s="1" t="s">
        <v>842</v>
      </c>
      <c r="K3" s="1" t="s">
        <v>843</v>
      </c>
    </row>
    <row r="4" spans="1:11" x14ac:dyDescent="0.25">
      <c r="A4" s="2" t="s">
        <v>63</v>
      </c>
      <c r="B4" s="2" t="s">
        <v>64</v>
      </c>
      <c r="C4" s="3">
        <v>64</v>
      </c>
      <c r="D4" s="3">
        <v>22</v>
      </c>
      <c r="E4" s="3">
        <v>116452</v>
      </c>
      <c r="F4" s="3">
        <v>9687</v>
      </c>
      <c r="G4" s="4">
        <v>990.6</v>
      </c>
      <c r="H4" s="4">
        <v>147155.79999999999</v>
      </c>
      <c r="I4" s="5">
        <v>0.1023</v>
      </c>
      <c r="J4" s="6">
        <v>8.5070000000000007E-3</v>
      </c>
      <c r="K4" s="7">
        <v>35.799999999999997</v>
      </c>
    </row>
    <row r="5" spans="1:11" x14ac:dyDescent="0.25">
      <c r="A5" s="2" t="s">
        <v>55</v>
      </c>
      <c r="B5" s="2" t="s">
        <v>56</v>
      </c>
      <c r="C5" s="3">
        <v>38</v>
      </c>
      <c r="D5" s="3">
        <v>16</v>
      </c>
      <c r="E5" s="3">
        <v>67577</v>
      </c>
      <c r="F5" s="3">
        <v>7338</v>
      </c>
      <c r="G5" s="4">
        <v>698.43</v>
      </c>
      <c r="H5" s="4">
        <v>76558</v>
      </c>
      <c r="I5" s="5">
        <v>9.5200000000000007E-2</v>
      </c>
      <c r="J5" s="6">
        <v>1.0335E-2</v>
      </c>
      <c r="K5" s="7">
        <v>25.3</v>
      </c>
    </row>
    <row r="6" spans="1:11" x14ac:dyDescent="0.25">
      <c r="A6" s="2" t="s">
        <v>63</v>
      </c>
      <c r="B6" s="2" t="s">
        <v>110</v>
      </c>
      <c r="C6" s="3">
        <v>34</v>
      </c>
      <c r="D6" s="3">
        <v>11</v>
      </c>
      <c r="E6" s="3">
        <v>50669</v>
      </c>
      <c r="F6" s="3">
        <v>1960</v>
      </c>
      <c r="G6" s="4">
        <v>189.74</v>
      </c>
      <c r="H6" s="4">
        <v>29134.2</v>
      </c>
      <c r="I6" s="5">
        <v>9.6799999999999997E-2</v>
      </c>
      <c r="J6" s="6">
        <v>3.7450000000000001E-3</v>
      </c>
      <c r="K6" s="7">
        <v>6.9</v>
      </c>
    </row>
    <row r="7" spans="1:11" x14ac:dyDescent="0.25">
      <c r="A7" s="2" t="s">
        <v>63</v>
      </c>
      <c r="B7" s="2" t="s">
        <v>102</v>
      </c>
      <c r="C7" s="3">
        <v>52</v>
      </c>
      <c r="D7" s="3">
        <v>10</v>
      </c>
      <c r="E7" s="3">
        <v>68765</v>
      </c>
      <c r="F7" s="3">
        <v>2204</v>
      </c>
      <c r="G7" s="4">
        <v>149.88999999999999</v>
      </c>
      <c r="H7" s="4">
        <v>47195.7</v>
      </c>
      <c r="I7" s="5">
        <v>6.8000000000000005E-2</v>
      </c>
      <c r="J7" s="6">
        <v>2.1800000000000001E-3</v>
      </c>
      <c r="K7" s="7">
        <v>5.4</v>
      </c>
    </row>
    <row r="8" spans="1:11" x14ac:dyDescent="0.25">
      <c r="A8" s="2" t="s">
        <v>63</v>
      </c>
      <c r="B8" s="2" t="s">
        <v>84</v>
      </c>
      <c r="C8" s="3">
        <v>29</v>
      </c>
      <c r="D8" s="3">
        <v>11</v>
      </c>
      <c r="E8" s="3">
        <v>31563</v>
      </c>
      <c r="F8" s="3">
        <v>1299</v>
      </c>
      <c r="G8" s="4">
        <v>126.62</v>
      </c>
      <c r="H8" s="4">
        <v>19885.5</v>
      </c>
      <c r="I8" s="5">
        <v>9.7500000000000003E-2</v>
      </c>
      <c r="J8" s="6">
        <v>4.0119999999999999E-3</v>
      </c>
      <c r="K8" s="7">
        <v>4.5999999999999996</v>
      </c>
    </row>
    <row r="9" spans="1:11" x14ac:dyDescent="0.25">
      <c r="A9" s="2" t="s">
        <v>55</v>
      </c>
      <c r="B9" s="2" t="s">
        <v>99</v>
      </c>
      <c r="C9" s="3">
        <v>27</v>
      </c>
      <c r="D9" s="3">
        <v>4</v>
      </c>
      <c r="E9" s="3">
        <v>26994</v>
      </c>
      <c r="F9" s="3">
        <v>1055</v>
      </c>
      <c r="G9" s="4">
        <v>101.66</v>
      </c>
      <c r="H9" s="4">
        <v>11641.8</v>
      </c>
      <c r="I9" s="5">
        <v>9.64E-2</v>
      </c>
      <c r="J9" s="6">
        <v>3.7659999999999998E-3</v>
      </c>
      <c r="K9" s="7">
        <v>3.7</v>
      </c>
    </row>
    <row r="10" spans="1:11" x14ac:dyDescent="0.25">
      <c r="A10" s="2" t="s">
        <v>55</v>
      </c>
      <c r="B10" s="2" t="s">
        <v>255</v>
      </c>
      <c r="C10" s="3">
        <v>44</v>
      </c>
      <c r="D10" s="3">
        <v>10</v>
      </c>
      <c r="E10" s="3">
        <v>38388</v>
      </c>
      <c r="F10" s="3">
        <v>1083</v>
      </c>
      <c r="G10" s="4">
        <v>86.21</v>
      </c>
      <c r="H10" s="4">
        <v>21935.200000000001</v>
      </c>
      <c r="I10" s="5">
        <v>7.9600000000000004E-2</v>
      </c>
      <c r="J10" s="6">
        <v>2.2460000000000002E-3</v>
      </c>
      <c r="K10" s="7">
        <v>3.1</v>
      </c>
    </row>
    <row r="11" spans="1:11" x14ac:dyDescent="0.25">
      <c r="A11" s="2" t="s">
        <v>63</v>
      </c>
      <c r="B11" s="2" t="s">
        <v>171</v>
      </c>
      <c r="C11" s="3">
        <v>21</v>
      </c>
      <c r="D11" s="3">
        <v>9</v>
      </c>
      <c r="E11" s="3">
        <v>17128</v>
      </c>
      <c r="F11" s="3">
        <v>534</v>
      </c>
      <c r="G11" s="4">
        <v>51.96</v>
      </c>
      <c r="H11" s="4">
        <v>9316.4</v>
      </c>
      <c r="I11" s="5">
        <v>9.7299999999999998E-2</v>
      </c>
      <c r="J11" s="6">
        <v>3.0339999999999998E-3</v>
      </c>
      <c r="K11" s="7">
        <v>1.9</v>
      </c>
    </row>
    <row r="12" spans="1:11" x14ac:dyDescent="0.25">
      <c r="A12" s="2" t="s">
        <v>55</v>
      </c>
      <c r="B12" s="2" t="s">
        <v>93</v>
      </c>
      <c r="C12" s="3">
        <v>7</v>
      </c>
      <c r="D12" s="3">
        <v>4</v>
      </c>
      <c r="E12" s="3">
        <v>8390</v>
      </c>
      <c r="F12" s="3">
        <v>523</v>
      </c>
      <c r="G12" s="4">
        <v>49.57</v>
      </c>
      <c r="H12" s="4">
        <v>7615.3</v>
      </c>
      <c r="I12" s="5">
        <v>9.4799999999999995E-2</v>
      </c>
      <c r="J12" s="6">
        <v>5.9080000000000001E-3</v>
      </c>
      <c r="K12" s="7">
        <v>1.8</v>
      </c>
    </row>
    <row r="13" spans="1:11" x14ac:dyDescent="0.25">
      <c r="A13" s="2" t="s">
        <v>844</v>
      </c>
      <c r="B13" s="2" t="s">
        <v>844</v>
      </c>
      <c r="C13" s="3">
        <v>8</v>
      </c>
      <c r="D13" s="3">
        <v>7</v>
      </c>
      <c r="E13" s="3">
        <v>11191</v>
      </c>
      <c r="F13" s="3">
        <v>565</v>
      </c>
      <c r="G13" s="4">
        <v>48.74</v>
      </c>
      <c r="H13" s="4">
        <v>6201.7</v>
      </c>
      <c r="I13" s="5">
        <v>8.6300000000000002E-2</v>
      </c>
      <c r="J13" s="6">
        <v>4.3550000000000004E-3</v>
      </c>
      <c r="K13" s="7">
        <v>1.8</v>
      </c>
    </row>
    <row r="14" spans="1:11" x14ac:dyDescent="0.25">
      <c r="A14" s="2" t="s">
        <v>63</v>
      </c>
      <c r="B14" s="2" t="s">
        <v>105</v>
      </c>
      <c r="C14" s="3">
        <v>4</v>
      </c>
      <c r="D14" s="3">
        <v>1</v>
      </c>
      <c r="E14" s="3">
        <v>3524</v>
      </c>
      <c r="F14" s="3">
        <v>355</v>
      </c>
      <c r="G14" s="4">
        <v>41.51</v>
      </c>
      <c r="H14" s="4">
        <v>4157</v>
      </c>
      <c r="I14" s="5">
        <v>0.1169</v>
      </c>
      <c r="J14" s="6">
        <v>1.1779E-2</v>
      </c>
      <c r="K14" s="7">
        <v>1.5</v>
      </c>
    </row>
    <row r="15" spans="1:11" x14ac:dyDescent="0.25">
      <c r="A15" s="2" t="s">
        <v>55</v>
      </c>
      <c r="B15" s="2" t="s">
        <v>314</v>
      </c>
      <c r="C15" s="3">
        <v>29</v>
      </c>
      <c r="D15" s="3">
        <v>5</v>
      </c>
      <c r="E15" s="3">
        <v>26233</v>
      </c>
      <c r="F15" s="3">
        <v>440</v>
      </c>
      <c r="G15" s="4">
        <v>36.25</v>
      </c>
      <c r="H15" s="4">
        <v>7001.5</v>
      </c>
      <c r="I15" s="5">
        <v>8.2400000000000001E-2</v>
      </c>
      <c r="J15" s="6">
        <v>1.382E-3</v>
      </c>
      <c r="K15" s="7">
        <v>1.3</v>
      </c>
    </row>
    <row r="16" spans="1:11" x14ac:dyDescent="0.25">
      <c r="A16" s="2" t="s">
        <v>138</v>
      </c>
      <c r="B16" s="2" t="s">
        <v>139</v>
      </c>
      <c r="C16" s="3">
        <v>7</v>
      </c>
      <c r="D16" s="3">
        <v>5</v>
      </c>
      <c r="E16" s="3">
        <v>5274</v>
      </c>
      <c r="F16" s="3">
        <v>354</v>
      </c>
      <c r="G16" s="4">
        <v>35.96</v>
      </c>
      <c r="H16" s="4">
        <v>4382.6000000000004</v>
      </c>
      <c r="I16" s="5">
        <v>0.1016</v>
      </c>
      <c r="J16" s="6">
        <v>6.8180000000000003E-3</v>
      </c>
      <c r="K16" s="7">
        <v>1.3</v>
      </c>
    </row>
    <row r="17" spans="1:11" x14ac:dyDescent="0.25">
      <c r="A17" s="2" t="s">
        <v>63</v>
      </c>
      <c r="B17" s="2" t="s">
        <v>263</v>
      </c>
      <c r="C17" s="3">
        <v>17</v>
      </c>
      <c r="D17" s="3">
        <v>7</v>
      </c>
      <c r="E17" s="3">
        <v>19332</v>
      </c>
      <c r="F17" s="3">
        <v>316</v>
      </c>
      <c r="G17" s="4">
        <v>31.1</v>
      </c>
      <c r="H17" s="4">
        <v>6378.2</v>
      </c>
      <c r="I17" s="5">
        <v>9.8400000000000001E-2</v>
      </c>
      <c r="J17" s="6">
        <v>1.609E-3</v>
      </c>
      <c r="K17" s="7">
        <v>1.1000000000000001</v>
      </c>
    </row>
    <row r="18" spans="1:11" x14ac:dyDescent="0.25">
      <c r="A18" s="2" t="s">
        <v>120</v>
      </c>
      <c r="B18" s="2" t="s">
        <v>121</v>
      </c>
      <c r="C18" s="3">
        <v>4</v>
      </c>
      <c r="D18" s="3">
        <v>2</v>
      </c>
      <c r="E18" s="3">
        <v>3468</v>
      </c>
      <c r="F18" s="3">
        <v>233</v>
      </c>
      <c r="G18" s="4">
        <v>25.25</v>
      </c>
      <c r="H18" s="4">
        <v>3110.5</v>
      </c>
      <c r="I18" s="5">
        <v>0.1084</v>
      </c>
      <c r="J18" s="6">
        <v>7.28E-3</v>
      </c>
      <c r="K18" s="7">
        <v>0.9</v>
      </c>
    </row>
    <row r="19" spans="1:11" x14ac:dyDescent="0.25">
      <c r="A19" s="2" t="s">
        <v>63</v>
      </c>
      <c r="B19" s="2" t="s">
        <v>288</v>
      </c>
      <c r="C19" s="3">
        <v>12</v>
      </c>
      <c r="D19" s="3">
        <v>8</v>
      </c>
      <c r="E19" s="3">
        <v>10927</v>
      </c>
      <c r="F19" s="3">
        <v>233</v>
      </c>
      <c r="G19" s="4">
        <v>22.62</v>
      </c>
      <c r="H19" s="4">
        <v>4406.3</v>
      </c>
      <c r="I19" s="5">
        <v>9.7100000000000006E-2</v>
      </c>
      <c r="J19" s="6">
        <v>2.0699999999999998E-3</v>
      </c>
      <c r="K19" s="7">
        <v>0.8</v>
      </c>
    </row>
    <row r="20" spans="1:11" x14ac:dyDescent="0.25">
      <c r="A20" s="2" t="s">
        <v>55</v>
      </c>
      <c r="B20" s="2" t="s">
        <v>302</v>
      </c>
      <c r="C20" s="3">
        <v>16</v>
      </c>
      <c r="D20" s="3">
        <v>9</v>
      </c>
      <c r="E20" s="3">
        <v>10221</v>
      </c>
      <c r="F20" s="3">
        <v>231</v>
      </c>
      <c r="G20" s="4">
        <v>20.82</v>
      </c>
      <c r="H20" s="4">
        <v>3841.7</v>
      </c>
      <c r="I20" s="5">
        <v>9.01E-2</v>
      </c>
      <c r="J20" s="6">
        <v>2.0370000000000002E-3</v>
      </c>
      <c r="K20" s="7">
        <v>0.8</v>
      </c>
    </row>
    <row r="21" spans="1:11" x14ac:dyDescent="0.25">
      <c r="A21" s="2" t="s">
        <v>55</v>
      </c>
      <c r="B21" s="2" t="s">
        <v>329</v>
      </c>
      <c r="C21" s="3">
        <v>8</v>
      </c>
      <c r="D21" s="3">
        <v>5</v>
      </c>
      <c r="E21" s="3">
        <v>6713</v>
      </c>
      <c r="F21" s="3">
        <v>112</v>
      </c>
      <c r="G21" s="4">
        <v>10.74</v>
      </c>
      <c r="H21" s="4">
        <v>2092.1999999999998</v>
      </c>
      <c r="I21" s="5">
        <v>9.5899999999999999E-2</v>
      </c>
      <c r="J21" s="6">
        <v>1.6000000000000001E-3</v>
      </c>
      <c r="K21" s="7">
        <v>0.4</v>
      </c>
    </row>
    <row r="22" spans="1:11" x14ac:dyDescent="0.25">
      <c r="A22" s="2" t="s">
        <v>55</v>
      </c>
      <c r="B22" s="2" t="s">
        <v>182</v>
      </c>
      <c r="C22" s="3">
        <v>2</v>
      </c>
      <c r="D22" s="3">
        <v>1</v>
      </c>
      <c r="E22" s="3">
        <v>800</v>
      </c>
      <c r="F22" s="3">
        <v>92</v>
      </c>
      <c r="G22" s="4">
        <v>10.15</v>
      </c>
      <c r="H22" s="4">
        <v>718</v>
      </c>
      <c r="I22" s="5">
        <v>0.1103</v>
      </c>
      <c r="J22" s="6">
        <v>1.2684000000000001E-2</v>
      </c>
      <c r="K22" s="7">
        <v>0.4</v>
      </c>
    </row>
    <row r="23" spans="1:11" x14ac:dyDescent="0.25">
      <c r="A23" s="2" t="s">
        <v>55</v>
      </c>
      <c r="B23" s="2" t="s">
        <v>509</v>
      </c>
      <c r="C23" s="3">
        <v>13</v>
      </c>
      <c r="D23" s="3">
        <v>4</v>
      </c>
      <c r="E23" s="3">
        <v>8132</v>
      </c>
      <c r="F23" s="3">
        <v>82</v>
      </c>
      <c r="G23" s="4">
        <v>6.84</v>
      </c>
      <c r="H23" s="4">
        <v>1345.5</v>
      </c>
      <c r="I23" s="5">
        <v>8.3400000000000002E-2</v>
      </c>
      <c r="J23" s="6">
        <v>8.4099999999999995E-4</v>
      </c>
      <c r="K23" s="7">
        <v>0.2</v>
      </c>
    </row>
    <row r="24" spans="1:11" x14ac:dyDescent="0.25">
      <c r="A24" s="2" t="s">
        <v>138</v>
      </c>
      <c r="B24" s="2" t="s">
        <v>393</v>
      </c>
      <c r="C24" s="3">
        <v>4</v>
      </c>
      <c r="D24" s="3">
        <v>3</v>
      </c>
      <c r="E24" s="3">
        <v>2835</v>
      </c>
      <c r="F24" s="3">
        <v>70</v>
      </c>
      <c r="G24" s="4">
        <v>5.83</v>
      </c>
      <c r="H24" s="4">
        <v>1248.0999999999999</v>
      </c>
      <c r="I24" s="5">
        <v>8.3299999999999999E-2</v>
      </c>
      <c r="J24" s="6">
        <v>2.0569999999999998E-3</v>
      </c>
      <c r="K24" s="7">
        <v>0.2</v>
      </c>
    </row>
    <row r="25" spans="1:11" x14ac:dyDescent="0.25">
      <c r="A25" s="2" t="s">
        <v>138</v>
      </c>
      <c r="B25" s="2" t="s">
        <v>426</v>
      </c>
      <c r="C25" s="3">
        <v>3</v>
      </c>
      <c r="D25" s="3">
        <v>2</v>
      </c>
      <c r="E25" s="3">
        <v>1312</v>
      </c>
      <c r="F25" s="3">
        <v>40</v>
      </c>
      <c r="G25" s="4">
        <v>3.29</v>
      </c>
      <c r="H25" s="4">
        <v>552.6</v>
      </c>
      <c r="I25" s="5">
        <v>8.2299999999999998E-2</v>
      </c>
      <c r="J25" s="6">
        <v>2.5089999999999999E-3</v>
      </c>
      <c r="K25" s="7">
        <v>0.1</v>
      </c>
    </row>
    <row r="26" spans="1:11" x14ac:dyDescent="0.25">
      <c r="A26" s="2" t="s">
        <v>120</v>
      </c>
      <c r="B26" s="2" t="s">
        <v>470</v>
      </c>
      <c r="C26" s="3">
        <v>4</v>
      </c>
      <c r="D26" s="3">
        <v>1</v>
      </c>
      <c r="E26" s="3">
        <v>1717</v>
      </c>
      <c r="F26" s="3">
        <v>41</v>
      </c>
      <c r="G26" s="4">
        <v>3.18</v>
      </c>
      <c r="H26" s="4">
        <v>884</v>
      </c>
      <c r="I26" s="5">
        <v>7.7499999999999999E-2</v>
      </c>
      <c r="J26" s="6">
        <v>1.851E-3</v>
      </c>
      <c r="K26" s="7">
        <v>0.1</v>
      </c>
    </row>
    <row r="27" spans="1:11" x14ac:dyDescent="0.25">
      <c r="A27" s="2" t="s">
        <v>120</v>
      </c>
      <c r="B27" s="2" t="s">
        <v>519</v>
      </c>
      <c r="C27" s="3">
        <v>4</v>
      </c>
      <c r="D27" s="3">
        <v>2</v>
      </c>
      <c r="E27" s="3">
        <v>1564</v>
      </c>
      <c r="F27" s="3">
        <v>30</v>
      </c>
      <c r="G27" s="4">
        <v>2.88</v>
      </c>
      <c r="H27" s="4">
        <v>378.8</v>
      </c>
      <c r="I27" s="5">
        <v>9.6000000000000002E-2</v>
      </c>
      <c r="J27" s="6">
        <v>1.841E-3</v>
      </c>
      <c r="K27" s="7">
        <v>0.1</v>
      </c>
    </row>
    <row r="28" spans="1:11" x14ac:dyDescent="0.25">
      <c r="A28" s="2" t="s">
        <v>527</v>
      </c>
      <c r="B28" s="2" t="s">
        <v>528</v>
      </c>
      <c r="C28" s="3">
        <v>4</v>
      </c>
      <c r="D28" s="3">
        <v>1</v>
      </c>
      <c r="E28" s="3">
        <v>2250</v>
      </c>
      <c r="F28" s="3">
        <v>12</v>
      </c>
      <c r="G28" s="4">
        <v>2.62</v>
      </c>
      <c r="H28" s="4">
        <v>273.2</v>
      </c>
      <c r="I28" s="5">
        <v>0.21829999999999999</v>
      </c>
      <c r="J28" s="6">
        <v>1.1640000000000001E-3</v>
      </c>
      <c r="K28" s="7">
        <v>0.1</v>
      </c>
    </row>
    <row r="29" spans="1:11" x14ac:dyDescent="0.25">
      <c r="A29" s="2" t="s">
        <v>63</v>
      </c>
      <c r="B29" s="2" t="s">
        <v>540</v>
      </c>
      <c r="C29" s="3">
        <v>3</v>
      </c>
      <c r="D29" s="3">
        <v>1</v>
      </c>
      <c r="E29" s="3">
        <v>2600</v>
      </c>
      <c r="F29" s="3">
        <v>37</v>
      </c>
      <c r="G29" s="4">
        <v>2.1800000000000002</v>
      </c>
      <c r="H29" s="4">
        <v>378.3</v>
      </c>
      <c r="I29" s="5">
        <v>5.8799999999999998E-2</v>
      </c>
      <c r="J29" s="6">
        <v>8.3699999999999996E-4</v>
      </c>
      <c r="K29" s="7">
        <v>0.1</v>
      </c>
    </row>
    <row r="30" spans="1:11" x14ac:dyDescent="0.25">
      <c r="A30" s="2" t="s">
        <v>55</v>
      </c>
      <c r="B30" s="2" t="s">
        <v>442</v>
      </c>
      <c r="C30" s="3">
        <v>2</v>
      </c>
      <c r="D30" s="3">
        <v>1</v>
      </c>
      <c r="E30" s="3">
        <v>1621</v>
      </c>
      <c r="F30" s="3">
        <v>25</v>
      </c>
      <c r="G30" s="4">
        <v>2.12</v>
      </c>
      <c r="H30" s="4">
        <v>288</v>
      </c>
      <c r="I30" s="5">
        <v>8.48E-2</v>
      </c>
      <c r="J30" s="6">
        <v>1.3079999999999999E-3</v>
      </c>
      <c r="K30" s="7">
        <v>0.1</v>
      </c>
    </row>
    <row r="31" spans="1:11" x14ac:dyDescent="0.25">
      <c r="A31" s="2" t="s">
        <v>138</v>
      </c>
      <c r="B31" s="2" t="s">
        <v>502</v>
      </c>
      <c r="C31" s="3">
        <v>2</v>
      </c>
      <c r="D31" s="3">
        <v>1</v>
      </c>
      <c r="E31" s="3">
        <v>776</v>
      </c>
      <c r="F31" s="3">
        <v>20</v>
      </c>
      <c r="G31" s="4">
        <v>1.92</v>
      </c>
      <c r="H31" s="4">
        <v>297.10000000000002</v>
      </c>
      <c r="I31" s="5">
        <v>9.6000000000000002E-2</v>
      </c>
      <c r="J31" s="6">
        <v>2.4740000000000001E-3</v>
      </c>
      <c r="K31" s="7">
        <v>0.1</v>
      </c>
    </row>
    <row r="32" spans="1:11" x14ac:dyDescent="0.25">
      <c r="A32" s="2" t="s">
        <v>138</v>
      </c>
      <c r="B32" s="2" t="s">
        <v>407</v>
      </c>
      <c r="C32" s="3">
        <v>1</v>
      </c>
      <c r="D32" s="3">
        <v>1</v>
      </c>
      <c r="E32" s="3">
        <v>402</v>
      </c>
      <c r="F32" s="3">
        <v>14</v>
      </c>
      <c r="G32" s="4">
        <v>1.76</v>
      </c>
      <c r="H32" s="4">
        <v>218.1</v>
      </c>
      <c r="I32" s="5">
        <v>0.126</v>
      </c>
      <c r="J32" s="6">
        <v>4.3880000000000004E-3</v>
      </c>
      <c r="K32" s="7">
        <v>0.1</v>
      </c>
    </row>
    <row r="33" spans="1:11" x14ac:dyDescent="0.25">
      <c r="A33" s="2" t="s">
        <v>120</v>
      </c>
      <c r="B33" s="2" t="s">
        <v>492</v>
      </c>
      <c r="C33" s="3">
        <v>2</v>
      </c>
      <c r="D33" s="3">
        <v>2</v>
      </c>
      <c r="E33" s="3">
        <v>851</v>
      </c>
      <c r="F33" s="3">
        <v>17</v>
      </c>
      <c r="G33" s="4">
        <v>1.63</v>
      </c>
      <c r="H33" s="4">
        <v>269</v>
      </c>
      <c r="I33" s="5">
        <v>9.6000000000000002E-2</v>
      </c>
      <c r="J33" s="6">
        <v>1.918E-3</v>
      </c>
      <c r="K33" s="7">
        <v>0.1</v>
      </c>
    </row>
    <row r="34" spans="1:11" x14ac:dyDescent="0.25">
      <c r="A34" s="2" t="s">
        <v>120</v>
      </c>
      <c r="B34" s="2" t="s">
        <v>507</v>
      </c>
      <c r="C34" s="3">
        <v>3</v>
      </c>
      <c r="D34" s="3">
        <v>3</v>
      </c>
      <c r="E34" s="3">
        <v>1167</v>
      </c>
      <c r="F34" s="3">
        <v>27</v>
      </c>
      <c r="G34" s="4">
        <v>1.52</v>
      </c>
      <c r="H34" s="4">
        <v>387.5</v>
      </c>
      <c r="I34" s="5">
        <v>5.6099999999999997E-2</v>
      </c>
      <c r="J34" s="6">
        <v>1.299E-3</v>
      </c>
      <c r="K34" s="7">
        <v>0.1</v>
      </c>
    </row>
    <row r="35" spans="1:11" x14ac:dyDescent="0.25">
      <c r="A35" s="2" t="s">
        <v>138</v>
      </c>
      <c r="B35" s="2" t="s">
        <v>569</v>
      </c>
      <c r="C35" s="3">
        <v>2</v>
      </c>
      <c r="D35" s="3">
        <v>1</v>
      </c>
      <c r="E35" s="3">
        <v>836</v>
      </c>
      <c r="F35" s="3">
        <v>8</v>
      </c>
      <c r="G35" s="4">
        <v>0.77</v>
      </c>
      <c r="H35" s="4">
        <v>158.19999999999999</v>
      </c>
      <c r="I35" s="5">
        <v>9.6000000000000002E-2</v>
      </c>
      <c r="J35" s="6">
        <v>9.19E-4</v>
      </c>
      <c r="K35" s="7">
        <v>0</v>
      </c>
    </row>
    <row r="36" spans="1:11" x14ac:dyDescent="0.25">
      <c r="A36" s="2" t="s">
        <v>120</v>
      </c>
      <c r="B36" s="2" t="s">
        <v>576</v>
      </c>
      <c r="C36" s="3">
        <v>3</v>
      </c>
      <c r="D36" s="3">
        <v>3</v>
      </c>
      <c r="E36" s="3">
        <v>1145</v>
      </c>
      <c r="F36" s="3">
        <v>12</v>
      </c>
      <c r="G36" s="4">
        <v>0.65</v>
      </c>
      <c r="H36" s="4">
        <v>200.1</v>
      </c>
      <c r="I36" s="5">
        <v>5.3999999999999999E-2</v>
      </c>
      <c r="J36" s="6">
        <v>5.6599999999999999E-4</v>
      </c>
      <c r="K36" s="7">
        <v>0</v>
      </c>
    </row>
    <row r="37" spans="1:11" x14ac:dyDescent="0.25">
      <c r="A37" s="2" t="s">
        <v>55</v>
      </c>
      <c r="B37" s="2" t="s">
        <v>566</v>
      </c>
      <c r="C37" s="3">
        <v>1</v>
      </c>
      <c r="D37" s="3">
        <v>1</v>
      </c>
      <c r="E37" s="3">
        <v>650</v>
      </c>
      <c r="F37" s="3">
        <v>7</v>
      </c>
      <c r="G37" s="4">
        <v>0.41</v>
      </c>
      <c r="H37" s="4">
        <v>104.2</v>
      </c>
      <c r="I37" s="5">
        <v>5.8900000000000001E-2</v>
      </c>
      <c r="J37" s="6">
        <v>6.3400000000000001E-4</v>
      </c>
      <c r="K37" s="7">
        <v>0</v>
      </c>
    </row>
    <row r="38" spans="1:11" x14ac:dyDescent="0.25">
      <c r="A38" s="2" t="s">
        <v>55</v>
      </c>
      <c r="B38" s="2" t="s">
        <v>845</v>
      </c>
      <c r="C38" s="3">
        <v>4</v>
      </c>
      <c r="D38" s="3">
        <v>1</v>
      </c>
      <c r="E38" s="3">
        <v>320</v>
      </c>
      <c r="F38" s="3">
        <v>0</v>
      </c>
      <c r="G38" s="4">
        <v>0</v>
      </c>
      <c r="H38" s="4">
        <v>0</v>
      </c>
      <c r="I38" s="5">
        <v>0</v>
      </c>
      <c r="J38" s="6">
        <v>0</v>
      </c>
      <c r="K38" s="7">
        <v>0</v>
      </c>
    </row>
    <row r="39" spans="1:11" x14ac:dyDescent="0.25">
      <c r="B39" s="8" t="s">
        <v>5</v>
      </c>
      <c r="E39" s="9">
        <v>551787</v>
      </c>
      <c r="F39" s="9">
        <v>29056</v>
      </c>
      <c r="G39" s="10">
        <v>2765.4</v>
      </c>
      <c r="H39" s="10">
        <v>419710.3</v>
      </c>
      <c r="I39" s="11">
        <v>9.5200000000000007E-2</v>
      </c>
      <c r="J39" s="12">
        <v>5.012E-3</v>
      </c>
      <c r="K39" s="8">
        <v>100</v>
      </c>
    </row>
  </sheetData>
  <autoFilter ref="A3:K38" xr:uid="{00000000-0009-0000-0000-000003000000}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1"/>
  <sheetViews>
    <sheetView workbookViewId="0">
      <pane ySplit="3" topLeftCell="A4" activePane="bottomLeft" state="frozen"/>
      <selection pane="bottomLeft" sqref="A1:K1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8" customWidth="1"/>
    <col min="4" max="4" width="14" customWidth="1"/>
    <col min="5" max="5" width="8" customWidth="1"/>
    <col min="6" max="7" width="14" customWidth="1"/>
    <col min="8" max="8" width="12" customWidth="1"/>
    <col min="9" max="9" width="16" customWidth="1"/>
    <col min="10" max="11" width="12" customWidth="1"/>
  </cols>
  <sheetData>
    <row r="1" spans="1:11" ht="18" customHeight="1" x14ac:dyDescent="0.3">
      <c r="A1" s="132" t="s">
        <v>846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3" spans="1:11" x14ac:dyDescent="0.25">
      <c r="A3" s="1" t="s">
        <v>6</v>
      </c>
      <c r="B3" s="1" t="s">
        <v>7</v>
      </c>
      <c r="C3" s="1" t="s">
        <v>8</v>
      </c>
      <c r="D3" s="1" t="s">
        <v>716</v>
      </c>
      <c r="E3" s="1" t="s">
        <v>847</v>
      </c>
      <c r="F3" s="1" t="s">
        <v>838</v>
      </c>
      <c r="G3" s="1" t="s">
        <v>839</v>
      </c>
      <c r="H3" s="1" t="s">
        <v>712</v>
      </c>
      <c r="I3" s="1" t="s">
        <v>840</v>
      </c>
      <c r="J3" s="1" t="s">
        <v>720</v>
      </c>
      <c r="K3" s="1" t="s">
        <v>721</v>
      </c>
    </row>
    <row r="4" spans="1:11" x14ac:dyDescent="0.25">
      <c r="A4" s="2"/>
      <c r="B4" s="2"/>
      <c r="C4" s="2"/>
      <c r="D4" s="2" t="s">
        <v>848</v>
      </c>
      <c r="E4" s="3">
        <v>1</v>
      </c>
      <c r="F4" s="3">
        <v>786</v>
      </c>
      <c r="G4" s="3">
        <v>99</v>
      </c>
      <c r="H4" s="4">
        <v>10.58</v>
      </c>
      <c r="I4" s="4">
        <v>1139.7</v>
      </c>
      <c r="J4" s="5">
        <v>0.1069</v>
      </c>
      <c r="K4" s="6">
        <v>1.3461000000000001E-2</v>
      </c>
    </row>
    <row r="5" spans="1:11" x14ac:dyDescent="0.25">
      <c r="A5" s="2"/>
      <c r="B5" s="2"/>
      <c r="C5" s="2"/>
      <c r="D5" s="2" t="s">
        <v>849</v>
      </c>
      <c r="E5" s="3">
        <v>1</v>
      </c>
      <c r="F5" s="3">
        <v>666</v>
      </c>
      <c r="G5" s="3">
        <v>56</v>
      </c>
      <c r="H5" s="4">
        <v>5.65</v>
      </c>
      <c r="I5" s="4">
        <v>431.4</v>
      </c>
      <c r="J5" s="5">
        <v>0.1009</v>
      </c>
      <c r="K5" s="6">
        <v>8.4799999999999997E-3</v>
      </c>
    </row>
    <row r="6" spans="1:11" x14ac:dyDescent="0.25">
      <c r="A6" s="2"/>
      <c r="B6" s="2"/>
      <c r="C6" s="2"/>
      <c r="D6" s="2" t="s">
        <v>850</v>
      </c>
      <c r="E6" s="3">
        <v>1</v>
      </c>
      <c r="F6" s="3">
        <v>4539</v>
      </c>
      <c r="G6" s="3">
        <v>259</v>
      </c>
      <c r="H6" s="4">
        <v>24.87</v>
      </c>
      <c r="I6" s="4">
        <v>2556.4</v>
      </c>
      <c r="J6" s="5">
        <v>9.6000000000000002E-2</v>
      </c>
      <c r="K6" s="6">
        <v>5.4790000000000004E-3</v>
      </c>
    </row>
    <row r="7" spans="1:11" x14ac:dyDescent="0.25">
      <c r="A7" s="2"/>
      <c r="B7" s="2"/>
      <c r="C7" s="2"/>
      <c r="D7" s="2" t="s">
        <v>851</v>
      </c>
      <c r="E7" s="3">
        <v>1</v>
      </c>
      <c r="F7" s="3">
        <v>742</v>
      </c>
      <c r="G7" s="3">
        <v>15</v>
      </c>
      <c r="H7" s="4">
        <v>1.44</v>
      </c>
      <c r="I7" s="4">
        <v>339</v>
      </c>
      <c r="J7" s="5">
        <v>9.6000000000000002E-2</v>
      </c>
      <c r="K7" s="6">
        <v>1.941E-3</v>
      </c>
    </row>
    <row r="8" spans="1:11" x14ac:dyDescent="0.25">
      <c r="A8" s="2"/>
      <c r="B8" s="2"/>
      <c r="C8" s="2"/>
      <c r="D8" s="2" t="s">
        <v>852</v>
      </c>
      <c r="E8" s="3">
        <v>1</v>
      </c>
      <c r="F8" s="3">
        <v>728</v>
      </c>
      <c r="G8" s="3">
        <v>0</v>
      </c>
      <c r="H8" s="4">
        <v>0</v>
      </c>
      <c r="I8" s="4">
        <v>0</v>
      </c>
      <c r="J8" s="5">
        <v>0</v>
      </c>
      <c r="K8" s="6">
        <v>0</v>
      </c>
    </row>
    <row r="9" spans="1:11" x14ac:dyDescent="0.25">
      <c r="A9" s="2"/>
      <c r="B9" s="2"/>
      <c r="C9" s="2"/>
      <c r="D9" s="2" t="s">
        <v>592</v>
      </c>
      <c r="E9" s="3">
        <v>1</v>
      </c>
      <c r="F9" s="3">
        <v>1506</v>
      </c>
      <c r="G9" s="3">
        <v>48</v>
      </c>
      <c r="H9" s="4">
        <v>0</v>
      </c>
      <c r="I9" s="4">
        <v>933</v>
      </c>
      <c r="J9" s="5">
        <v>0</v>
      </c>
      <c r="K9" s="6">
        <v>0</v>
      </c>
    </row>
    <row r="10" spans="1:11" x14ac:dyDescent="0.25">
      <c r="A10" s="2"/>
      <c r="B10" s="2"/>
      <c r="C10" s="2"/>
      <c r="D10" s="2" t="s">
        <v>593</v>
      </c>
      <c r="E10" s="3">
        <v>1</v>
      </c>
      <c r="F10" s="3">
        <v>985</v>
      </c>
      <c r="G10" s="3">
        <v>41</v>
      </c>
      <c r="H10" s="4">
        <v>0</v>
      </c>
      <c r="I10" s="4">
        <v>802.2</v>
      </c>
      <c r="J10" s="5">
        <v>0</v>
      </c>
      <c r="K10" s="6">
        <v>0</v>
      </c>
    </row>
    <row r="11" spans="1:11" x14ac:dyDescent="0.25">
      <c r="A11" s="2"/>
      <c r="B11" s="2"/>
      <c r="C11" s="2"/>
      <c r="D11" s="2" t="s">
        <v>192</v>
      </c>
      <c r="E11" s="3">
        <v>1</v>
      </c>
      <c r="F11" s="3">
        <v>1239</v>
      </c>
      <c r="G11" s="3">
        <v>47</v>
      </c>
      <c r="H11" s="4">
        <v>6.2</v>
      </c>
      <c r="I11" s="4">
        <v>0</v>
      </c>
      <c r="J11" s="5">
        <v>0.13189999999999999</v>
      </c>
      <c r="K11" s="6">
        <v>5.0039999999999998E-3</v>
      </c>
    </row>
    <row r="12" spans="1:11" x14ac:dyDescent="0.25">
      <c r="A12" s="2" t="s">
        <v>138</v>
      </c>
      <c r="B12" s="2" t="s">
        <v>407</v>
      </c>
      <c r="C12" s="2" t="s">
        <v>172</v>
      </c>
      <c r="D12" s="2" t="s">
        <v>408</v>
      </c>
      <c r="E12" s="3">
        <v>1</v>
      </c>
      <c r="F12" s="3">
        <v>402</v>
      </c>
      <c r="G12" s="3">
        <v>14</v>
      </c>
      <c r="H12" s="4">
        <v>1.76</v>
      </c>
      <c r="I12" s="4">
        <v>218.1</v>
      </c>
      <c r="J12" s="5">
        <v>0.126</v>
      </c>
      <c r="K12" s="6">
        <v>4.3880000000000004E-3</v>
      </c>
    </row>
    <row r="13" spans="1:11" x14ac:dyDescent="0.25">
      <c r="A13" s="2" t="s">
        <v>138</v>
      </c>
      <c r="B13" s="2" t="s">
        <v>569</v>
      </c>
      <c r="C13" s="2" t="s">
        <v>264</v>
      </c>
      <c r="D13" s="2" t="s">
        <v>570</v>
      </c>
      <c r="E13" s="3">
        <v>1</v>
      </c>
      <c r="F13" s="3">
        <v>416</v>
      </c>
      <c r="G13" s="3">
        <v>4</v>
      </c>
      <c r="H13" s="4">
        <v>0.38</v>
      </c>
      <c r="I13" s="4">
        <v>77.2</v>
      </c>
      <c r="J13" s="5">
        <v>9.6000000000000002E-2</v>
      </c>
      <c r="K13" s="6">
        <v>9.2299999999999999E-4</v>
      </c>
    </row>
    <row r="14" spans="1:11" x14ac:dyDescent="0.25">
      <c r="A14" s="2" t="s">
        <v>138</v>
      </c>
      <c r="B14" s="2" t="s">
        <v>569</v>
      </c>
      <c r="C14" s="2" t="s">
        <v>264</v>
      </c>
      <c r="D14" s="2" t="s">
        <v>571</v>
      </c>
      <c r="E14" s="3">
        <v>1</v>
      </c>
      <c r="F14" s="3">
        <v>420</v>
      </c>
      <c r="G14" s="3">
        <v>4</v>
      </c>
      <c r="H14" s="4">
        <v>0.38</v>
      </c>
      <c r="I14" s="4">
        <v>81</v>
      </c>
      <c r="J14" s="5">
        <v>9.6000000000000002E-2</v>
      </c>
      <c r="K14" s="6">
        <v>9.1399999999999999E-4</v>
      </c>
    </row>
    <row r="15" spans="1:11" x14ac:dyDescent="0.25">
      <c r="A15" s="2" t="s">
        <v>138</v>
      </c>
      <c r="B15" s="2" t="s">
        <v>139</v>
      </c>
      <c r="C15" s="2" t="s">
        <v>122</v>
      </c>
      <c r="D15" s="2" t="s">
        <v>229</v>
      </c>
      <c r="E15" s="3">
        <v>1</v>
      </c>
      <c r="F15" s="3">
        <v>640</v>
      </c>
      <c r="G15" s="3">
        <v>42</v>
      </c>
      <c r="H15" s="4">
        <v>4.91</v>
      </c>
      <c r="I15" s="4">
        <v>468.5</v>
      </c>
      <c r="J15" s="5">
        <v>0.11700000000000001</v>
      </c>
      <c r="K15" s="6">
        <v>7.6779999999999999E-3</v>
      </c>
    </row>
    <row r="16" spans="1:11" x14ac:dyDescent="0.25">
      <c r="A16" s="2" t="s">
        <v>138</v>
      </c>
      <c r="B16" s="2" t="s">
        <v>139</v>
      </c>
      <c r="C16" s="2" t="s">
        <v>122</v>
      </c>
      <c r="D16" s="2" t="s">
        <v>140</v>
      </c>
      <c r="E16" s="3">
        <v>1</v>
      </c>
      <c r="F16" s="3">
        <v>1359</v>
      </c>
      <c r="G16" s="3">
        <v>106</v>
      </c>
      <c r="H16" s="4">
        <v>10.18</v>
      </c>
      <c r="I16" s="4">
        <v>1125.5999999999999</v>
      </c>
      <c r="J16" s="5">
        <v>9.6000000000000002E-2</v>
      </c>
      <c r="K16" s="6">
        <v>7.4879999999999999E-3</v>
      </c>
    </row>
    <row r="17" spans="1:11" x14ac:dyDescent="0.25">
      <c r="A17" s="2" t="s">
        <v>138</v>
      </c>
      <c r="B17" s="2" t="s">
        <v>139</v>
      </c>
      <c r="C17" s="2" t="s">
        <v>122</v>
      </c>
      <c r="D17" s="2" t="s">
        <v>158</v>
      </c>
      <c r="E17" s="3">
        <v>1</v>
      </c>
      <c r="F17" s="3">
        <v>1126</v>
      </c>
      <c r="G17" s="3">
        <v>87</v>
      </c>
      <c r="H17" s="4">
        <v>8.35</v>
      </c>
      <c r="I17" s="4">
        <v>983.5</v>
      </c>
      <c r="J17" s="5">
        <v>9.6000000000000002E-2</v>
      </c>
      <c r="K17" s="6">
        <v>7.417E-3</v>
      </c>
    </row>
    <row r="18" spans="1:11" x14ac:dyDescent="0.25">
      <c r="A18" s="2" t="s">
        <v>138</v>
      </c>
      <c r="B18" s="2" t="s">
        <v>139</v>
      </c>
      <c r="C18" s="2" t="s">
        <v>122</v>
      </c>
      <c r="D18" s="2" t="s">
        <v>376</v>
      </c>
      <c r="E18" s="3">
        <v>1</v>
      </c>
      <c r="F18" s="3">
        <v>536</v>
      </c>
      <c r="G18" s="3">
        <v>22</v>
      </c>
      <c r="H18" s="4">
        <v>2.1800000000000002</v>
      </c>
      <c r="I18" s="4">
        <v>524.6</v>
      </c>
      <c r="J18" s="5">
        <v>9.9199999999999997E-2</v>
      </c>
      <c r="K18" s="6">
        <v>4.071E-3</v>
      </c>
    </row>
    <row r="19" spans="1:11" x14ac:dyDescent="0.25">
      <c r="A19" s="2" t="s">
        <v>138</v>
      </c>
      <c r="B19" s="2" t="s">
        <v>139</v>
      </c>
      <c r="C19" s="2" t="s">
        <v>122</v>
      </c>
      <c r="D19" s="2" t="s">
        <v>339</v>
      </c>
      <c r="E19" s="3">
        <v>1</v>
      </c>
      <c r="F19" s="3">
        <v>498</v>
      </c>
      <c r="G19" s="3">
        <v>27</v>
      </c>
      <c r="H19" s="4">
        <v>2.59</v>
      </c>
      <c r="I19" s="4">
        <v>340.2</v>
      </c>
      <c r="J19" s="5">
        <v>9.6000000000000002E-2</v>
      </c>
      <c r="K19" s="6">
        <v>5.2050000000000004E-3</v>
      </c>
    </row>
    <row r="20" spans="1:11" x14ac:dyDescent="0.25">
      <c r="A20" s="2" t="s">
        <v>138</v>
      </c>
      <c r="B20" s="2" t="s">
        <v>139</v>
      </c>
      <c r="C20" s="2" t="s">
        <v>122</v>
      </c>
      <c r="D20" s="2" t="s">
        <v>227</v>
      </c>
      <c r="E20" s="3">
        <v>1</v>
      </c>
      <c r="F20" s="3">
        <v>616</v>
      </c>
      <c r="G20" s="3">
        <v>41</v>
      </c>
      <c r="H20" s="4">
        <v>4.96</v>
      </c>
      <c r="I20" s="4">
        <v>563.5</v>
      </c>
      <c r="J20" s="5">
        <v>0.121</v>
      </c>
      <c r="K20" s="6">
        <v>8.0520000000000001E-3</v>
      </c>
    </row>
    <row r="21" spans="1:11" x14ac:dyDescent="0.25">
      <c r="A21" s="2" t="s">
        <v>138</v>
      </c>
      <c r="B21" s="2" t="s">
        <v>139</v>
      </c>
      <c r="C21" s="2" t="s">
        <v>57</v>
      </c>
      <c r="D21" s="2" t="s">
        <v>321</v>
      </c>
      <c r="E21" s="3">
        <v>2</v>
      </c>
      <c r="F21" s="3">
        <v>499</v>
      </c>
      <c r="G21" s="3">
        <v>29</v>
      </c>
      <c r="H21" s="4">
        <v>2.78</v>
      </c>
      <c r="I21" s="4">
        <v>376.7</v>
      </c>
      <c r="J21" s="5">
        <v>9.6000000000000002E-2</v>
      </c>
      <c r="K21" s="6">
        <v>5.5789999999999998E-3</v>
      </c>
    </row>
    <row r="22" spans="1:11" x14ac:dyDescent="0.25">
      <c r="A22" s="2" t="s">
        <v>138</v>
      </c>
      <c r="B22" s="2" t="s">
        <v>393</v>
      </c>
      <c r="C22" s="2" t="s">
        <v>122</v>
      </c>
      <c r="D22" s="2" t="s">
        <v>405</v>
      </c>
      <c r="E22" s="3">
        <v>1</v>
      </c>
      <c r="F22" s="3">
        <v>1019</v>
      </c>
      <c r="G22" s="3">
        <v>23</v>
      </c>
      <c r="H22" s="4">
        <v>1.78</v>
      </c>
      <c r="I22" s="4">
        <v>371.9</v>
      </c>
      <c r="J22" s="5">
        <v>7.7499999999999999E-2</v>
      </c>
      <c r="K22" s="6">
        <v>1.75E-3</v>
      </c>
    </row>
    <row r="23" spans="1:11" x14ac:dyDescent="0.25">
      <c r="A23" s="2" t="s">
        <v>138</v>
      </c>
      <c r="B23" s="2" t="s">
        <v>393</v>
      </c>
      <c r="C23" s="2" t="s">
        <v>122</v>
      </c>
      <c r="D23" s="2" t="s">
        <v>394</v>
      </c>
      <c r="E23" s="3">
        <v>1</v>
      </c>
      <c r="F23" s="3">
        <v>978</v>
      </c>
      <c r="G23" s="3">
        <v>25</v>
      </c>
      <c r="H23" s="4">
        <v>1.94</v>
      </c>
      <c r="I23" s="4">
        <v>454.2</v>
      </c>
      <c r="J23" s="5">
        <v>7.7499999999999999E-2</v>
      </c>
      <c r="K23" s="6">
        <v>1.9819999999999998E-3</v>
      </c>
    </row>
    <row r="24" spans="1:11" x14ac:dyDescent="0.25">
      <c r="A24" s="2" t="s">
        <v>138</v>
      </c>
      <c r="B24" s="2" t="s">
        <v>393</v>
      </c>
      <c r="C24" s="2" t="s">
        <v>122</v>
      </c>
      <c r="D24" s="2" t="s">
        <v>491</v>
      </c>
      <c r="E24" s="3">
        <v>1</v>
      </c>
      <c r="F24" s="3">
        <v>412</v>
      </c>
      <c r="G24" s="3">
        <v>11</v>
      </c>
      <c r="H24" s="4">
        <v>1.06</v>
      </c>
      <c r="I24" s="4">
        <v>206</v>
      </c>
      <c r="J24" s="5">
        <v>9.6000000000000002E-2</v>
      </c>
      <c r="K24" s="6">
        <v>2.5630000000000002E-3</v>
      </c>
    </row>
    <row r="25" spans="1:11" x14ac:dyDescent="0.25">
      <c r="A25" s="2" t="s">
        <v>138</v>
      </c>
      <c r="B25" s="2" t="s">
        <v>393</v>
      </c>
      <c r="C25" s="2" t="s">
        <v>122</v>
      </c>
      <c r="D25" s="2" t="s">
        <v>487</v>
      </c>
      <c r="E25" s="3">
        <v>1</v>
      </c>
      <c r="F25" s="3">
        <v>426</v>
      </c>
      <c r="G25" s="3">
        <v>11</v>
      </c>
      <c r="H25" s="4">
        <v>1.06</v>
      </c>
      <c r="I25" s="4">
        <v>216</v>
      </c>
      <c r="J25" s="5">
        <v>9.6000000000000002E-2</v>
      </c>
      <c r="K25" s="6">
        <v>2.4789999999999999E-3</v>
      </c>
    </row>
    <row r="26" spans="1:11" x14ac:dyDescent="0.25">
      <c r="A26" s="2" t="s">
        <v>138</v>
      </c>
      <c r="B26" s="2" t="s">
        <v>426</v>
      </c>
      <c r="C26" s="2" t="s">
        <v>427</v>
      </c>
      <c r="D26" s="2" t="s">
        <v>517</v>
      </c>
      <c r="E26" s="3">
        <v>1</v>
      </c>
      <c r="F26" s="3">
        <v>412</v>
      </c>
      <c r="G26" s="3">
        <v>9</v>
      </c>
      <c r="H26" s="4">
        <v>0.86</v>
      </c>
      <c r="I26" s="4">
        <v>152</v>
      </c>
      <c r="J26" s="5">
        <v>9.6000000000000002E-2</v>
      </c>
      <c r="K26" s="6">
        <v>2.0969999999999999E-3</v>
      </c>
    </row>
    <row r="27" spans="1:11" x14ac:dyDescent="0.25">
      <c r="A27" s="2" t="s">
        <v>138</v>
      </c>
      <c r="B27" s="2" t="s">
        <v>426</v>
      </c>
      <c r="C27" s="2" t="s">
        <v>427</v>
      </c>
      <c r="D27" s="2" t="s">
        <v>538</v>
      </c>
      <c r="E27" s="3">
        <v>1</v>
      </c>
      <c r="F27" s="3">
        <v>400</v>
      </c>
      <c r="G27" s="3">
        <v>8</v>
      </c>
      <c r="H27" s="4">
        <v>0.77</v>
      </c>
      <c r="I27" s="4">
        <v>165.8</v>
      </c>
      <c r="J27" s="5">
        <v>9.6000000000000002E-2</v>
      </c>
      <c r="K27" s="6">
        <v>1.92E-3</v>
      </c>
    </row>
    <row r="28" spans="1:11" x14ac:dyDescent="0.25">
      <c r="A28" s="2" t="s">
        <v>138</v>
      </c>
      <c r="B28" s="2" t="s">
        <v>426</v>
      </c>
      <c r="C28" s="2" t="s">
        <v>427</v>
      </c>
      <c r="D28" s="2" t="s">
        <v>428</v>
      </c>
      <c r="E28" s="3">
        <v>1</v>
      </c>
      <c r="F28" s="3">
        <v>500</v>
      </c>
      <c r="G28" s="3">
        <v>23</v>
      </c>
      <c r="H28" s="4">
        <v>1.66</v>
      </c>
      <c r="I28" s="4">
        <v>234.8</v>
      </c>
      <c r="J28" s="5">
        <v>7.22E-2</v>
      </c>
      <c r="K28" s="6">
        <v>3.32E-3</v>
      </c>
    </row>
    <row r="29" spans="1:11" x14ac:dyDescent="0.25">
      <c r="A29" s="2" t="s">
        <v>138</v>
      </c>
      <c r="B29" s="2" t="s">
        <v>502</v>
      </c>
      <c r="C29" s="2" t="s">
        <v>503</v>
      </c>
      <c r="D29" s="2" t="s">
        <v>504</v>
      </c>
      <c r="E29" s="3">
        <v>1</v>
      </c>
      <c r="F29" s="3">
        <v>389</v>
      </c>
      <c r="G29" s="3">
        <v>10</v>
      </c>
      <c r="H29" s="4">
        <v>0.96</v>
      </c>
      <c r="I29" s="4">
        <v>150.6</v>
      </c>
      <c r="J29" s="5">
        <v>9.6000000000000002E-2</v>
      </c>
      <c r="K29" s="6">
        <v>2.4680000000000001E-3</v>
      </c>
    </row>
    <row r="30" spans="1:11" x14ac:dyDescent="0.25">
      <c r="A30" s="2" t="s">
        <v>138</v>
      </c>
      <c r="B30" s="2" t="s">
        <v>502</v>
      </c>
      <c r="C30" s="2" t="s">
        <v>503</v>
      </c>
      <c r="D30" s="2" t="s">
        <v>505</v>
      </c>
      <c r="E30" s="3">
        <v>1</v>
      </c>
      <c r="F30" s="3">
        <v>387</v>
      </c>
      <c r="G30" s="3">
        <v>10</v>
      </c>
      <c r="H30" s="4">
        <v>0.96</v>
      </c>
      <c r="I30" s="4">
        <v>146.5</v>
      </c>
      <c r="J30" s="5">
        <v>9.6000000000000002E-2</v>
      </c>
      <c r="K30" s="6">
        <v>2.4810000000000001E-3</v>
      </c>
    </row>
    <row r="31" spans="1:11" x14ac:dyDescent="0.25">
      <c r="A31" s="2" t="s">
        <v>120</v>
      </c>
      <c r="B31" s="2" t="s">
        <v>576</v>
      </c>
      <c r="C31" s="2" t="s">
        <v>264</v>
      </c>
      <c r="D31" s="2" t="s">
        <v>580</v>
      </c>
      <c r="E31" s="3">
        <v>1</v>
      </c>
      <c r="F31" s="3">
        <v>348</v>
      </c>
      <c r="G31" s="3">
        <v>3</v>
      </c>
      <c r="H31" s="4">
        <v>0.28999999999999998</v>
      </c>
      <c r="I31" s="4">
        <v>67.400000000000006</v>
      </c>
      <c r="J31" s="5">
        <v>9.6000000000000002E-2</v>
      </c>
      <c r="K31" s="6">
        <v>8.2799999999999996E-4</v>
      </c>
    </row>
    <row r="32" spans="1:11" x14ac:dyDescent="0.25">
      <c r="A32" s="2" t="s">
        <v>120</v>
      </c>
      <c r="B32" s="2" t="s">
        <v>576</v>
      </c>
      <c r="C32" s="2" t="s">
        <v>264</v>
      </c>
      <c r="D32" s="2" t="s">
        <v>597</v>
      </c>
      <c r="E32" s="3">
        <v>1</v>
      </c>
      <c r="F32" s="3">
        <v>371</v>
      </c>
      <c r="G32" s="3">
        <v>4</v>
      </c>
      <c r="H32" s="4">
        <v>0</v>
      </c>
      <c r="I32" s="4">
        <v>59.8</v>
      </c>
      <c r="J32" s="5">
        <v>0</v>
      </c>
      <c r="K32" s="6">
        <v>0</v>
      </c>
    </row>
    <row r="33" spans="1:11" x14ac:dyDescent="0.25">
      <c r="A33" s="2" t="s">
        <v>120</v>
      </c>
      <c r="B33" s="2" t="s">
        <v>576</v>
      </c>
      <c r="C33" s="2" t="s">
        <v>264</v>
      </c>
      <c r="D33" s="2" t="s">
        <v>577</v>
      </c>
      <c r="E33" s="3">
        <v>1</v>
      </c>
      <c r="F33" s="3">
        <v>426</v>
      </c>
      <c r="G33" s="3">
        <v>5</v>
      </c>
      <c r="H33" s="4">
        <v>0.36</v>
      </c>
      <c r="I33" s="4">
        <v>72.900000000000006</v>
      </c>
      <c r="J33" s="5">
        <v>7.1999999999999995E-2</v>
      </c>
      <c r="K33" s="6">
        <v>8.4500000000000005E-4</v>
      </c>
    </row>
    <row r="34" spans="1:11" x14ac:dyDescent="0.25">
      <c r="A34" s="2" t="s">
        <v>120</v>
      </c>
      <c r="B34" s="2" t="s">
        <v>121</v>
      </c>
      <c r="C34" s="2" t="s">
        <v>122</v>
      </c>
      <c r="D34" s="2" t="s">
        <v>259</v>
      </c>
      <c r="E34" s="3">
        <v>1</v>
      </c>
      <c r="F34" s="3">
        <v>531</v>
      </c>
      <c r="G34" s="3">
        <v>36</v>
      </c>
      <c r="H34" s="4">
        <v>3.97</v>
      </c>
      <c r="I34" s="4">
        <v>478</v>
      </c>
      <c r="J34" s="5">
        <v>0.11020000000000001</v>
      </c>
      <c r="K34" s="6">
        <v>7.4710000000000002E-3</v>
      </c>
    </row>
    <row r="35" spans="1:11" x14ac:dyDescent="0.25">
      <c r="A35" s="2" t="s">
        <v>120</v>
      </c>
      <c r="B35" s="2" t="s">
        <v>121</v>
      </c>
      <c r="C35" s="2" t="s">
        <v>122</v>
      </c>
      <c r="D35" s="2" t="s">
        <v>254</v>
      </c>
      <c r="E35" s="3">
        <v>1</v>
      </c>
      <c r="F35" s="3">
        <v>553</v>
      </c>
      <c r="G35" s="3">
        <v>37</v>
      </c>
      <c r="H35" s="4">
        <v>4.08</v>
      </c>
      <c r="I35" s="4">
        <v>552.1</v>
      </c>
      <c r="J35" s="5">
        <v>0.11020000000000001</v>
      </c>
      <c r="K35" s="6">
        <v>7.3730000000000002E-3</v>
      </c>
    </row>
    <row r="36" spans="1:11" x14ac:dyDescent="0.25">
      <c r="A36" s="2" t="s">
        <v>120</v>
      </c>
      <c r="B36" s="2" t="s">
        <v>121</v>
      </c>
      <c r="C36" s="2" t="s">
        <v>122</v>
      </c>
      <c r="D36" s="2" t="s">
        <v>123</v>
      </c>
      <c r="E36" s="3">
        <v>1</v>
      </c>
      <c r="F36" s="3">
        <v>1869</v>
      </c>
      <c r="G36" s="3">
        <v>125</v>
      </c>
      <c r="H36" s="4">
        <v>13.34</v>
      </c>
      <c r="I36" s="4">
        <v>1547.7</v>
      </c>
      <c r="J36" s="5">
        <v>0.1067</v>
      </c>
      <c r="K36" s="6">
        <v>7.1380000000000002E-3</v>
      </c>
    </row>
    <row r="37" spans="1:11" x14ac:dyDescent="0.25">
      <c r="A37" s="2" t="s">
        <v>120</v>
      </c>
      <c r="B37" s="2" t="s">
        <v>121</v>
      </c>
      <c r="C37" s="2" t="s">
        <v>122</v>
      </c>
      <c r="D37" s="2" t="s">
        <v>269</v>
      </c>
      <c r="E37" s="3">
        <v>1</v>
      </c>
      <c r="F37" s="3">
        <v>515</v>
      </c>
      <c r="G37" s="3">
        <v>35</v>
      </c>
      <c r="H37" s="4">
        <v>3.86</v>
      </c>
      <c r="I37" s="4">
        <v>532.70000000000005</v>
      </c>
      <c r="J37" s="5">
        <v>0.1104</v>
      </c>
      <c r="K37" s="6">
        <v>7.5030000000000001E-3</v>
      </c>
    </row>
    <row r="38" spans="1:11" x14ac:dyDescent="0.25">
      <c r="A38" s="2" t="s">
        <v>120</v>
      </c>
      <c r="B38" s="2" t="s">
        <v>470</v>
      </c>
      <c r="C38" s="2" t="s">
        <v>427</v>
      </c>
      <c r="D38" s="2" t="s">
        <v>556</v>
      </c>
      <c r="E38" s="3">
        <v>1</v>
      </c>
      <c r="F38" s="3">
        <v>388</v>
      </c>
      <c r="G38" s="3">
        <v>8</v>
      </c>
      <c r="H38" s="4">
        <v>0.62</v>
      </c>
      <c r="I38" s="4">
        <v>176.1</v>
      </c>
      <c r="J38" s="5">
        <v>7.7499999999999999E-2</v>
      </c>
      <c r="K38" s="6">
        <v>1.598E-3</v>
      </c>
    </row>
    <row r="39" spans="1:11" x14ac:dyDescent="0.25">
      <c r="A39" s="2" t="s">
        <v>120</v>
      </c>
      <c r="B39" s="2" t="s">
        <v>470</v>
      </c>
      <c r="C39" s="2" t="s">
        <v>427</v>
      </c>
      <c r="D39" s="2" t="s">
        <v>548</v>
      </c>
      <c r="E39" s="3">
        <v>1</v>
      </c>
      <c r="F39" s="3">
        <v>463</v>
      </c>
      <c r="G39" s="3">
        <v>9</v>
      </c>
      <c r="H39" s="4">
        <v>0.7</v>
      </c>
      <c r="I39" s="4">
        <v>220.9</v>
      </c>
      <c r="J39" s="5">
        <v>7.7600000000000002E-2</v>
      </c>
      <c r="K39" s="6">
        <v>1.508E-3</v>
      </c>
    </row>
    <row r="40" spans="1:11" x14ac:dyDescent="0.25">
      <c r="A40" s="2" t="s">
        <v>120</v>
      </c>
      <c r="B40" s="2" t="s">
        <v>470</v>
      </c>
      <c r="C40" s="2" t="s">
        <v>427</v>
      </c>
      <c r="D40" s="2" t="s">
        <v>549</v>
      </c>
      <c r="E40" s="3">
        <v>1</v>
      </c>
      <c r="F40" s="3">
        <v>415</v>
      </c>
      <c r="G40" s="3">
        <v>9</v>
      </c>
      <c r="H40" s="4">
        <v>0.7</v>
      </c>
      <c r="I40" s="4">
        <v>203.6</v>
      </c>
      <c r="J40" s="5">
        <v>7.7600000000000002E-2</v>
      </c>
      <c r="K40" s="6">
        <v>1.6819999999999999E-3</v>
      </c>
    </row>
    <row r="41" spans="1:11" x14ac:dyDescent="0.25">
      <c r="A41" s="2" t="s">
        <v>120</v>
      </c>
      <c r="B41" s="2" t="s">
        <v>470</v>
      </c>
      <c r="C41" s="2" t="s">
        <v>427</v>
      </c>
      <c r="D41" s="2" t="s">
        <v>471</v>
      </c>
      <c r="E41" s="3">
        <v>1</v>
      </c>
      <c r="F41" s="3">
        <v>451</v>
      </c>
      <c r="G41" s="3">
        <v>15</v>
      </c>
      <c r="H41" s="4">
        <v>1.1599999999999999</v>
      </c>
      <c r="I41" s="4">
        <v>283.39999999999998</v>
      </c>
      <c r="J41" s="5">
        <v>7.7499999999999999E-2</v>
      </c>
      <c r="K41" s="6">
        <v>2.5790000000000001E-3</v>
      </c>
    </row>
    <row r="42" spans="1:11" x14ac:dyDescent="0.25">
      <c r="A42" s="2" t="s">
        <v>120</v>
      </c>
      <c r="B42" s="2" t="s">
        <v>507</v>
      </c>
      <c r="C42" s="2" t="s">
        <v>427</v>
      </c>
      <c r="D42" s="2" t="s">
        <v>560</v>
      </c>
      <c r="E42" s="3">
        <v>1</v>
      </c>
      <c r="F42" s="3">
        <v>401</v>
      </c>
      <c r="G42" s="3">
        <v>6</v>
      </c>
      <c r="H42" s="4">
        <v>0.57999999999999996</v>
      </c>
      <c r="I42" s="4">
        <v>117.9</v>
      </c>
      <c r="J42" s="5">
        <v>9.6000000000000002E-2</v>
      </c>
      <c r="K42" s="6">
        <v>1.436E-3</v>
      </c>
    </row>
    <row r="43" spans="1:11" x14ac:dyDescent="0.25">
      <c r="A43" s="2" t="s">
        <v>120</v>
      </c>
      <c r="B43" s="2" t="s">
        <v>507</v>
      </c>
      <c r="C43" s="2" t="s">
        <v>427</v>
      </c>
      <c r="D43" s="2" t="s">
        <v>598</v>
      </c>
      <c r="E43" s="3">
        <v>1</v>
      </c>
      <c r="F43" s="3">
        <v>366</v>
      </c>
      <c r="G43" s="3">
        <v>8</v>
      </c>
      <c r="H43" s="4">
        <v>0</v>
      </c>
      <c r="I43" s="4">
        <v>130.4</v>
      </c>
      <c r="J43" s="5">
        <v>0</v>
      </c>
      <c r="K43" s="6">
        <v>0</v>
      </c>
    </row>
    <row r="44" spans="1:11" x14ac:dyDescent="0.25">
      <c r="A44" s="2" t="s">
        <v>120</v>
      </c>
      <c r="B44" s="2" t="s">
        <v>507</v>
      </c>
      <c r="C44" s="2" t="s">
        <v>427</v>
      </c>
      <c r="D44" s="2" t="s">
        <v>508</v>
      </c>
      <c r="E44" s="3">
        <v>1</v>
      </c>
      <c r="F44" s="3">
        <v>400</v>
      </c>
      <c r="G44" s="3">
        <v>13</v>
      </c>
      <c r="H44" s="4">
        <v>0.94</v>
      </c>
      <c r="I44" s="4">
        <v>139.19999999999999</v>
      </c>
      <c r="J44" s="5">
        <v>7.2300000000000003E-2</v>
      </c>
      <c r="K44" s="6">
        <v>2.3500000000000001E-3</v>
      </c>
    </row>
    <row r="45" spans="1:11" x14ac:dyDescent="0.25">
      <c r="A45" s="2" t="s">
        <v>120</v>
      </c>
      <c r="B45" s="2" t="s">
        <v>519</v>
      </c>
      <c r="C45" s="2" t="s">
        <v>503</v>
      </c>
      <c r="D45" s="2" t="s">
        <v>520</v>
      </c>
      <c r="E45" s="3">
        <v>1</v>
      </c>
      <c r="F45" s="3">
        <v>401</v>
      </c>
      <c r="G45" s="3">
        <v>9</v>
      </c>
      <c r="H45" s="4">
        <v>0.86</v>
      </c>
      <c r="I45" s="4">
        <v>94.8</v>
      </c>
      <c r="J45" s="5">
        <v>9.6000000000000002E-2</v>
      </c>
      <c r="K45" s="6">
        <v>2.1549999999999998E-3</v>
      </c>
    </row>
    <row r="46" spans="1:11" x14ac:dyDescent="0.25">
      <c r="A46" s="2" t="s">
        <v>120</v>
      </c>
      <c r="B46" s="2" t="s">
        <v>519</v>
      </c>
      <c r="C46" s="2" t="s">
        <v>503</v>
      </c>
      <c r="D46" s="2" t="s">
        <v>539</v>
      </c>
      <c r="E46" s="3">
        <v>1</v>
      </c>
      <c r="F46" s="3">
        <v>352</v>
      </c>
      <c r="G46" s="3">
        <v>8</v>
      </c>
      <c r="H46" s="4">
        <v>0.77</v>
      </c>
      <c r="I46" s="4">
        <v>119.2</v>
      </c>
      <c r="J46" s="5">
        <v>9.6000000000000002E-2</v>
      </c>
      <c r="K46" s="6">
        <v>2.1819999999999999E-3</v>
      </c>
    </row>
    <row r="47" spans="1:11" x14ac:dyDescent="0.25">
      <c r="A47" s="2" t="s">
        <v>120</v>
      </c>
      <c r="B47" s="2" t="s">
        <v>519</v>
      </c>
      <c r="C47" s="2" t="s">
        <v>503</v>
      </c>
      <c r="D47" s="2" t="s">
        <v>572</v>
      </c>
      <c r="E47" s="3">
        <v>1</v>
      </c>
      <c r="F47" s="3">
        <v>410</v>
      </c>
      <c r="G47" s="3">
        <v>4</v>
      </c>
      <c r="H47" s="4">
        <v>0.38</v>
      </c>
      <c r="I47" s="4">
        <v>71</v>
      </c>
      <c r="J47" s="5">
        <v>9.6000000000000002E-2</v>
      </c>
      <c r="K47" s="6">
        <v>9.3700000000000001E-4</v>
      </c>
    </row>
    <row r="48" spans="1:11" x14ac:dyDescent="0.25">
      <c r="A48" s="2" t="s">
        <v>120</v>
      </c>
      <c r="B48" s="2" t="s">
        <v>519</v>
      </c>
      <c r="C48" s="2" t="s">
        <v>503</v>
      </c>
      <c r="D48" s="2" t="s">
        <v>521</v>
      </c>
      <c r="E48" s="3">
        <v>1</v>
      </c>
      <c r="F48" s="3">
        <v>401</v>
      </c>
      <c r="G48" s="3">
        <v>9</v>
      </c>
      <c r="H48" s="4">
        <v>0.86</v>
      </c>
      <c r="I48" s="4">
        <v>93.8</v>
      </c>
      <c r="J48" s="5">
        <v>9.6000000000000002E-2</v>
      </c>
      <c r="K48" s="6">
        <v>2.1549999999999998E-3</v>
      </c>
    </row>
    <row r="49" spans="1:11" x14ac:dyDescent="0.25">
      <c r="A49" s="2" t="s">
        <v>120</v>
      </c>
      <c r="B49" s="2" t="s">
        <v>492</v>
      </c>
      <c r="C49" s="2" t="s">
        <v>427</v>
      </c>
      <c r="D49" s="2" t="s">
        <v>561</v>
      </c>
      <c r="E49" s="3">
        <v>1</v>
      </c>
      <c r="F49" s="3">
        <v>390</v>
      </c>
      <c r="G49" s="3">
        <v>6</v>
      </c>
      <c r="H49" s="4">
        <v>0.57999999999999996</v>
      </c>
      <c r="I49" s="4">
        <v>124</v>
      </c>
      <c r="J49" s="5">
        <v>9.6000000000000002E-2</v>
      </c>
      <c r="K49" s="6">
        <v>1.477E-3</v>
      </c>
    </row>
    <row r="50" spans="1:11" x14ac:dyDescent="0.25">
      <c r="A50" s="2" t="s">
        <v>120</v>
      </c>
      <c r="B50" s="2" t="s">
        <v>492</v>
      </c>
      <c r="C50" s="2" t="s">
        <v>427</v>
      </c>
      <c r="D50" s="2" t="s">
        <v>493</v>
      </c>
      <c r="E50" s="3">
        <v>1</v>
      </c>
      <c r="F50" s="3">
        <v>461</v>
      </c>
      <c r="G50" s="3">
        <v>11</v>
      </c>
      <c r="H50" s="4">
        <v>1.06</v>
      </c>
      <c r="I50" s="4">
        <v>145</v>
      </c>
      <c r="J50" s="5">
        <v>9.6000000000000002E-2</v>
      </c>
      <c r="K50" s="6">
        <v>2.2910000000000001E-3</v>
      </c>
    </row>
    <row r="51" spans="1:11" x14ac:dyDescent="0.25">
      <c r="A51" s="2" t="s">
        <v>63</v>
      </c>
      <c r="B51" s="2" t="s">
        <v>105</v>
      </c>
      <c r="C51" s="2" t="s">
        <v>178</v>
      </c>
      <c r="D51" s="2" t="s">
        <v>186</v>
      </c>
      <c r="E51" s="3">
        <v>1</v>
      </c>
      <c r="F51" s="3">
        <v>602</v>
      </c>
      <c r="G51" s="3">
        <v>61</v>
      </c>
      <c r="H51" s="4">
        <v>6.45</v>
      </c>
      <c r="I51" s="4">
        <v>630.9</v>
      </c>
      <c r="J51" s="5">
        <v>0.10580000000000001</v>
      </c>
      <c r="K51" s="6">
        <v>1.0718E-2</v>
      </c>
    </row>
    <row r="52" spans="1:11" x14ac:dyDescent="0.25">
      <c r="A52" s="2" t="s">
        <v>63</v>
      </c>
      <c r="B52" s="2" t="s">
        <v>105</v>
      </c>
      <c r="C52" s="2" t="s">
        <v>106</v>
      </c>
      <c r="D52" s="2" t="s">
        <v>107</v>
      </c>
      <c r="E52" s="3">
        <v>1</v>
      </c>
      <c r="F52" s="3">
        <v>1206</v>
      </c>
      <c r="G52" s="3">
        <v>121</v>
      </c>
      <c r="H52" s="4">
        <v>14.64</v>
      </c>
      <c r="I52" s="4">
        <v>1511.2</v>
      </c>
      <c r="J52" s="5">
        <v>0.121</v>
      </c>
      <c r="K52" s="6">
        <v>1.2137999999999999E-2</v>
      </c>
    </row>
    <row r="53" spans="1:11" x14ac:dyDescent="0.25">
      <c r="A53" s="2" t="s">
        <v>63</v>
      </c>
      <c r="B53" s="2" t="s">
        <v>105</v>
      </c>
      <c r="C53" s="2" t="s">
        <v>115</v>
      </c>
      <c r="D53" s="2" t="s">
        <v>116</v>
      </c>
      <c r="E53" s="3">
        <v>1</v>
      </c>
      <c r="F53" s="3">
        <v>1114</v>
      </c>
      <c r="G53" s="3">
        <v>112</v>
      </c>
      <c r="H53" s="4">
        <v>13.52</v>
      </c>
      <c r="I53" s="4">
        <v>1394.8</v>
      </c>
      <c r="J53" s="5">
        <v>0.1207</v>
      </c>
      <c r="K53" s="6">
        <v>1.214E-2</v>
      </c>
    </row>
    <row r="54" spans="1:11" x14ac:dyDescent="0.25">
      <c r="A54" s="2" t="s">
        <v>63</v>
      </c>
      <c r="B54" s="2" t="s">
        <v>105</v>
      </c>
      <c r="C54" s="2" t="s">
        <v>178</v>
      </c>
      <c r="D54" s="2" t="s">
        <v>179</v>
      </c>
      <c r="E54" s="3">
        <v>1</v>
      </c>
      <c r="F54" s="3">
        <v>602</v>
      </c>
      <c r="G54" s="3">
        <v>61</v>
      </c>
      <c r="H54" s="4">
        <v>6.89</v>
      </c>
      <c r="I54" s="4">
        <v>620.1</v>
      </c>
      <c r="J54" s="5">
        <v>0.113</v>
      </c>
      <c r="K54" s="6">
        <v>1.1452E-2</v>
      </c>
    </row>
    <row r="55" spans="1:11" x14ac:dyDescent="0.25">
      <c r="A55" s="2" t="s">
        <v>63</v>
      </c>
      <c r="B55" s="2" t="s">
        <v>171</v>
      </c>
      <c r="C55" s="2" t="s">
        <v>363</v>
      </c>
      <c r="D55" s="2" t="s">
        <v>478</v>
      </c>
      <c r="E55" s="3">
        <v>1</v>
      </c>
      <c r="F55" s="3">
        <v>794</v>
      </c>
      <c r="G55" s="3">
        <v>12</v>
      </c>
      <c r="H55" s="4">
        <v>1.1499999999999999</v>
      </c>
      <c r="I55" s="4">
        <v>218.4</v>
      </c>
      <c r="J55" s="5">
        <v>9.5799999999999996E-2</v>
      </c>
      <c r="K55" s="6">
        <v>1.4480000000000001E-3</v>
      </c>
    </row>
    <row r="56" spans="1:11" x14ac:dyDescent="0.25">
      <c r="A56" s="2" t="s">
        <v>63</v>
      </c>
      <c r="B56" s="2" t="s">
        <v>171</v>
      </c>
      <c r="C56" s="2" t="s">
        <v>363</v>
      </c>
      <c r="D56" s="2" t="s">
        <v>412</v>
      </c>
      <c r="E56" s="3">
        <v>1</v>
      </c>
      <c r="F56" s="3">
        <v>714</v>
      </c>
      <c r="G56" s="3">
        <v>18</v>
      </c>
      <c r="H56" s="4">
        <v>1.73</v>
      </c>
      <c r="I56" s="4">
        <v>375</v>
      </c>
      <c r="J56" s="5">
        <v>9.6100000000000005E-2</v>
      </c>
      <c r="K56" s="6">
        <v>2.4229999999999998E-3</v>
      </c>
    </row>
    <row r="57" spans="1:11" x14ac:dyDescent="0.25">
      <c r="A57" s="2" t="s">
        <v>63</v>
      </c>
      <c r="B57" s="2" t="s">
        <v>171</v>
      </c>
      <c r="C57" s="2" t="s">
        <v>363</v>
      </c>
      <c r="D57" s="2" t="s">
        <v>372</v>
      </c>
      <c r="E57" s="3">
        <v>1</v>
      </c>
      <c r="F57" s="3">
        <v>806</v>
      </c>
      <c r="G57" s="3">
        <v>23</v>
      </c>
      <c r="H57" s="4">
        <v>2.21</v>
      </c>
      <c r="I57" s="4">
        <v>498.5</v>
      </c>
      <c r="J57" s="5">
        <v>9.6100000000000005E-2</v>
      </c>
      <c r="K57" s="6">
        <v>2.7420000000000001E-3</v>
      </c>
    </row>
    <row r="58" spans="1:11" x14ac:dyDescent="0.25">
      <c r="A58" s="2" t="s">
        <v>63</v>
      </c>
      <c r="B58" s="2" t="s">
        <v>171</v>
      </c>
      <c r="C58" s="2" t="s">
        <v>363</v>
      </c>
      <c r="D58" s="2" t="s">
        <v>421</v>
      </c>
      <c r="E58" s="3">
        <v>1</v>
      </c>
      <c r="F58" s="3">
        <v>826</v>
      </c>
      <c r="G58" s="3">
        <v>23</v>
      </c>
      <c r="H58" s="4">
        <v>1.72</v>
      </c>
      <c r="I58" s="4">
        <v>373.1</v>
      </c>
      <c r="J58" s="5">
        <v>7.46E-2</v>
      </c>
      <c r="K58" s="6">
        <v>2.0769999999999999E-3</v>
      </c>
    </row>
    <row r="59" spans="1:11" x14ac:dyDescent="0.25">
      <c r="A59" s="2" t="s">
        <v>63</v>
      </c>
      <c r="B59" s="2" t="s">
        <v>171</v>
      </c>
      <c r="C59" s="2" t="s">
        <v>363</v>
      </c>
      <c r="D59" s="2" t="s">
        <v>522</v>
      </c>
      <c r="E59" s="3">
        <v>1</v>
      </c>
      <c r="F59" s="3">
        <v>677</v>
      </c>
      <c r="G59" s="3">
        <v>9</v>
      </c>
      <c r="H59" s="4">
        <v>0.86</v>
      </c>
      <c r="I59" s="4">
        <v>144.4</v>
      </c>
      <c r="J59" s="5">
        <v>9.5600000000000004E-2</v>
      </c>
      <c r="K59" s="6">
        <v>1.2700000000000001E-3</v>
      </c>
    </row>
    <row r="60" spans="1:11" x14ac:dyDescent="0.25">
      <c r="A60" s="2" t="s">
        <v>63</v>
      </c>
      <c r="B60" s="2" t="s">
        <v>171</v>
      </c>
      <c r="C60" s="2" t="s">
        <v>363</v>
      </c>
      <c r="D60" s="2" t="s">
        <v>523</v>
      </c>
      <c r="E60" s="3">
        <v>1</v>
      </c>
      <c r="F60" s="3">
        <v>680</v>
      </c>
      <c r="G60" s="3">
        <v>9</v>
      </c>
      <c r="H60" s="4">
        <v>0.86</v>
      </c>
      <c r="I60" s="4">
        <v>179</v>
      </c>
      <c r="J60" s="5">
        <v>9.5600000000000004E-2</v>
      </c>
      <c r="K60" s="6">
        <v>1.2650000000000001E-3</v>
      </c>
    </row>
    <row r="61" spans="1:11" x14ac:dyDescent="0.25">
      <c r="A61" s="2" t="s">
        <v>63</v>
      </c>
      <c r="B61" s="2" t="s">
        <v>171</v>
      </c>
      <c r="C61" s="2" t="s">
        <v>363</v>
      </c>
      <c r="D61" s="2" t="s">
        <v>415</v>
      </c>
      <c r="E61" s="3">
        <v>1</v>
      </c>
      <c r="F61" s="3">
        <v>690</v>
      </c>
      <c r="G61" s="3">
        <v>18</v>
      </c>
      <c r="H61" s="4">
        <v>1.73</v>
      </c>
      <c r="I61" s="4">
        <v>215.9</v>
      </c>
      <c r="J61" s="5">
        <v>9.6000000000000002E-2</v>
      </c>
      <c r="K61" s="6">
        <v>2.5040000000000001E-3</v>
      </c>
    </row>
    <row r="62" spans="1:11" x14ac:dyDescent="0.25">
      <c r="A62" s="2" t="s">
        <v>63</v>
      </c>
      <c r="B62" s="2" t="s">
        <v>171</v>
      </c>
      <c r="C62" s="2" t="s">
        <v>363</v>
      </c>
      <c r="D62" s="2" t="s">
        <v>364</v>
      </c>
      <c r="E62" s="3">
        <v>1</v>
      </c>
      <c r="F62" s="3">
        <v>724</v>
      </c>
      <c r="G62" s="3">
        <v>24</v>
      </c>
      <c r="H62" s="4">
        <v>2.2999999999999998</v>
      </c>
      <c r="I62" s="4">
        <v>353.6</v>
      </c>
      <c r="J62" s="5">
        <v>9.6000000000000002E-2</v>
      </c>
      <c r="K62" s="6">
        <v>3.1819999999999999E-3</v>
      </c>
    </row>
    <row r="63" spans="1:11" x14ac:dyDescent="0.25">
      <c r="A63" s="2" t="s">
        <v>63</v>
      </c>
      <c r="B63" s="2" t="s">
        <v>171</v>
      </c>
      <c r="C63" s="2" t="s">
        <v>363</v>
      </c>
      <c r="D63" s="2" t="s">
        <v>441</v>
      </c>
      <c r="E63" s="3">
        <v>1</v>
      </c>
      <c r="F63" s="3">
        <v>686</v>
      </c>
      <c r="G63" s="3">
        <v>16</v>
      </c>
      <c r="H63" s="4">
        <v>1.54</v>
      </c>
      <c r="I63" s="4">
        <v>360.8</v>
      </c>
      <c r="J63" s="5">
        <v>9.6299999999999997E-2</v>
      </c>
      <c r="K63" s="6">
        <v>2.245E-3</v>
      </c>
    </row>
    <row r="64" spans="1:11" x14ac:dyDescent="0.25">
      <c r="A64" s="2" t="s">
        <v>63</v>
      </c>
      <c r="B64" s="2" t="s">
        <v>171</v>
      </c>
      <c r="C64" s="2" t="s">
        <v>363</v>
      </c>
      <c r="D64" s="2" t="s">
        <v>430</v>
      </c>
      <c r="E64" s="3">
        <v>1</v>
      </c>
      <c r="F64" s="3">
        <v>759</v>
      </c>
      <c r="G64" s="3">
        <v>16</v>
      </c>
      <c r="H64" s="4">
        <v>1.64</v>
      </c>
      <c r="I64" s="4">
        <v>266.89999999999998</v>
      </c>
      <c r="J64" s="5">
        <v>0.10249999999999999</v>
      </c>
      <c r="K64" s="6">
        <v>2.1610000000000002E-3</v>
      </c>
    </row>
    <row r="65" spans="1:11" x14ac:dyDescent="0.25">
      <c r="A65" s="2" t="s">
        <v>63</v>
      </c>
      <c r="B65" s="2" t="s">
        <v>171</v>
      </c>
      <c r="C65" s="2" t="s">
        <v>363</v>
      </c>
      <c r="D65" s="2" t="s">
        <v>479</v>
      </c>
      <c r="E65" s="3">
        <v>1</v>
      </c>
      <c r="F65" s="3">
        <v>572</v>
      </c>
      <c r="G65" s="3">
        <v>11</v>
      </c>
      <c r="H65" s="4">
        <v>1.1299999999999999</v>
      </c>
      <c r="I65" s="4">
        <v>191.8</v>
      </c>
      <c r="J65" s="5">
        <v>0.1027</v>
      </c>
      <c r="K65" s="6">
        <v>1.9759999999999999E-3</v>
      </c>
    </row>
    <row r="66" spans="1:11" x14ac:dyDescent="0.25">
      <c r="A66" s="2" t="s">
        <v>63</v>
      </c>
      <c r="B66" s="2" t="s">
        <v>171</v>
      </c>
      <c r="C66" s="2" t="s">
        <v>363</v>
      </c>
      <c r="D66" s="2" t="s">
        <v>435</v>
      </c>
      <c r="E66" s="3">
        <v>1</v>
      </c>
      <c r="F66" s="3">
        <v>847</v>
      </c>
      <c r="G66" s="3">
        <v>17</v>
      </c>
      <c r="H66" s="4">
        <v>1.63</v>
      </c>
      <c r="I66" s="4">
        <v>271.10000000000002</v>
      </c>
      <c r="J66" s="5">
        <v>9.5899999999999999E-2</v>
      </c>
      <c r="K66" s="6">
        <v>1.9239999999999999E-3</v>
      </c>
    </row>
    <row r="67" spans="1:11" x14ac:dyDescent="0.25">
      <c r="A67" s="2" t="s">
        <v>63</v>
      </c>
      <c r="B67" s="2" t="s">
        <v>171</v>
      </c>
      <c r="C67" s="2" t="s">
        <v>363</v>
      </c>
      <c r="D67" s="2" t="s">
        <v>489</v>
      </c>
      <c r="E67" s="3">
        <v>1</v>
      </c>
      <c r="F67" s="3">
        <v>647</v>
      </c>
      <c r="G67" s="3">
        <v>11</v>
      </c>
      <c r="H67" s="4">
        <v>1.06</v>
      </c>
      <c r="I67" s="4">
        <v>226.7</v>
      </c>
      <c r="J67" s="5">
        <v>9.6000000000000002E-2</v>
      </c>
      <c r="K67" s="6">
        <v>1.632E-3</v>
      </c>
    </row>
    <row r="68" spans="1:11" x14ac:dyDescent="0.25">
      <c r="A68" s="2" t="s">
        <v>63</v>
      </c>
      <c r="B68" s="2" t="s">
        <v>171</v>
      </c>
      <c r="C68" s="2" t="s">
        <v>172</v>
      </c>
      <c r="D68" s="2" t="s">
        <v>173</v>
      </c>
      <c r="E68" s="3">
        <v>1</v>
      </c>
      <c r="F68" s="3">
        <v>2436</v>
      </c>
      <c r="G68" s="3">
        <v>74</v>
      </c>
      <c r="H68" s="4">
        <v>7.1</v>
      </c>
      <c r="I68" s="4">
        <v>1535.6</v>
      </c>
      <c r="J68" s="5">
        <v>9.5899999999999999E-2</v>
      </c>
      <c r="K68" s="6">
        <v>2.9150000000000001E-3</v>
      </c>
    </row>
    <row r="69" spans="1:11" x14ac:dyDescent="0.25">
      <c r="A69" s="2" t="s">
        <v>63</v>
      </c>
      <c r="B69" s="2" t="s">
        <v>171</v>
      </c>
      <c r="C69" s="2" t="s">
        <v>172</v>
      </c>
      <c r="D69" s="2" t="s">
        <v>218</v>
      </c>
      <c r="E69" s="3">
        <v>1</v>
      </c>
      <c r="F69" s="3">
        <v>971</v>
      </c>
      <c r="G69" s="3">
        <v>49</v>
      </c>
      <c r="H69" s="4">
        <v>5.12</v>
      </c>
      <c r="I69" s="4">
        <v>853.2</v>
      </c>
      <c r="J69" s="5">
        <v>0.10440000000000001</v>
      </c>
      <c r="K69" s="6">
        <v>5.2690000000000002E-3</v>
      </c>
    </row>
    <row r="70" spans="1:11" x14ac:dyDescent="0.25">
      <c r="A70" s="2" t="s">
        <v>63</v>
      </c>
      <c r="B70" s="2" t="s">
        <v>171</v>
      </c>
      <c r="C70" s="2" t="s">
        <v>172</v>
      </c>
      <c r="D70" s="2" t="s">
        <v>199</v>
      </c>
      <c r="E70" s="3">
        <v>2</v>
      </c>
      <c r="F70" s="3">
        <v>839</v>
      </c>
      <c r="G70" s="3">
        <v>56</v>
      </c>
      <c r="H70" s="4">
        <v>5.85</v>
      </c>
      <c r="I70" s="4">
        <v>931.3</v>
      </c>
      <c r="J70" s="5">
        <v>0.1045</v>
      </c>
      <c r="K70" s="6">
        <v>6.9740000000000002E-3</v>
      </c>
    </row>
    <row r="71" spans="1:11" x14ac:dyDescent="0.25">
      <c r="A71" s="2" t="s">
        <v>63</v>
      </c>
      <c r="B71" s="2" t="s">
        <v>171</v>
      </c>
      <c r="C71" s="2" t="s">
        <v>363</v>
      </c>
      <c r="D71" s="2" t="s">
        <v>373</v>
      </c>
      <c r="E71" s="3">
        <v>1</v>
      </c>
      <c r="F71" s="3">
        <v>647</v>
      </c>
      <c r="G71" s="3">
        <v>23</v>
      </c>
      <c r="H71" s="4">
        <v>2.21</v>
      </c>
      <c r="I71" s="4">
        <v>443.6</v>
      </c>
      <c r="J71" s="5">
        <v>9.6100000000000005E-2</v>
      </c>
      <c r="K71" s="6">
        <v>3.4160000000000002E-3</v>
      </c>
    </row>
    <row r="72" spans="1:11" x14ac:dyDescent="0.25">
      <c r="A72" s="2" t="s">
        <v>63</v>
      </c>
      <c r="B72" s="2" t="s">
        <v>171</v>
      </c>
      <c r="C72" s="2" t="s">
        <v>363</v>
      </c>
      <c r="D72" s="2" t="s">
        <v>456</v>
      </c>
      <c r="E72" s="3">
        <v>1</v>
      </c>
      <c r="F72" s="3">
        <v>709</v>
      </c>
      <c r="G72" s="3">
        <v>15</v>
      </c>
      <c r="H72" s="4">
        <v>1.44</v>
      </c>
      <c r="I72" s="4">
        <v>263.2</v>
      </c>
      <c r="J72" s="5">
        <v>9.6000000000000002E-2</v>
      </c>
      <c r="K72" s="6">
        <v>2.0309999999999998E-3</v>
      </c>
    </row>
    <row r="73" spans="1:11" x14ac:dyDescent="0.25">
      <c r="A73" s="2" t="s">
        <v>63</v>
      </c>
      <c r="B73" s="2" t="s">
        <v>171</v>
      </c>
      <c r="C73" s="2" t="s">
        <v>363</v>
      </c>
      <c r="D73" s="2" t="s">
        <v>387</v>
      </c>
      <c r="E73" s="3">
        <v>1</v>
      </c>
      <c r="F73" s="3">
        <v>765</v>
      </c>
      <c r="G73" s="3">
        <v>20</v>
      </c>
      <c r="H73" s="4">
        <v>2.0499999999999998</v>
      </c>
      <c r="I73" s="4">
        <v>360.6</v>
      </c>
      <c r="J73" s="5">
        <v>0.10249999999999999</v>
      </c>
      <c r="K73" s="6">
        <v>2.6800000000000001E-3</v>
      </c>
    </row>
    <row r="74" spans="1:11" x14ac:dyDescent="0.25">
      <c r="A74" s="2" t="s">
        <v>63</v>
      </c>
      <c r="B74" s="2" t="s">
        <v>171</v>
      </c>
      <c r="C74" s="2" t="s">
        <v>172</v>
      </c>
      <c r="D74" s="2" t="s">
        <v>274</v>
      </c>
      <c r="E74" s="3">
        <v>1</v>
      </c>
      <c r="F74" s="3">
        <v>713</v>
      </c>
      <c r="G74" s="3">
        <v>38</v>
      </c>
      <c r="H74" s="4">
        <v>3.65</v>
      </c>
      <c r="I74" s="4">
        <v>563.29999999999995</v>
      </c>
      <c r="J74" s="5">
        <v>9.6000000000000002E-2</v>
      </c>
      <c r="K74" s="6">
        <v>5.1159999999999999E-3</v>
      </c>
    </row>
    <row r="75" spans="1:11" x14ac:dyDescent="0.25">
      <c r="A75" s="2" t="s">
        <v>63</v>
      </c>
      <c r="B75" s="2" t="s">
        <v>171</v>
      </c>
      <c r="C75" s="2" t="s">
        <v>172</v>
      </c>
      <c r="D75" s="2" t="s">
        <v>226</v>
      </c>
      <c r="E75" s="3">
        <v>1</v>
      </c>
      <c r="F75" s="3">
        <v>626</v>
      </c>
      <c r="G75" s="3">
        <v>52</v>
      </c>
      <c r="H75" s="4">
        <v>4.99</v>
      </c>
      <c r="I75" s="4">
        <v>690.4</v>
      </c>
      <c r="J75" s="5">
        <v>9.6000000000000002E-2</v>
      </c>
      <c r="K75" s="6">
        <v>7.9710000000000007E-3</v>
      </c>
    </row>
    <row r="76" spans="1:11" x14ac:dyDescent="0.25">
      <c r="A76" s="2" t="s">
        <v>63</v>
      </c>
      <c r="B76" s="2" t="s">
        <v>263</v>
      </c>
      <c r="C76" s="2" t="s">
        <v>264</v>
      </c>
      <c r="D76" s="2" t="s">
        <v>360</v>
      </c>
      <c r="E76" s="3">
        <v>1</v>
      </c>
      <c r="F76" s="3">
        <v>1763</v>
      </c>
      <c r="G76" s="3">
        <v>23</v>
      </c>
      <c r="H76" s="4">
        <v>2.36</v>
      </c>
      <c r="I76" s="4">
        <v>490.7</v>
      </c>
      <c r="J76" s="5">
        <v>0.1026</v>
      </c>
      <c r="K76" s="6">
        <v>1.3389999999999999E-3</v>
      </c>
    </row>
    <row r="77" spans="1:11" x14ac:dyDescent="0.25">
      <c r="A77" s="2" t="s">
        <v>63</v>
      </c>
      <c r="B77" s="2" t="s">
        <v>263</v>
      </c>
      <c r="C77" s="2" t="s">
        <v>264</v>
      </c>
      <c r="D77" s="2" t="s">
        <v>265</v>
      </c>
      <c r="E77" s="3">
        <v>1</v>
      </c>
      <c r="F77" s="3">
        <v>2775</v>
      </c>
      <c r="G77" s="3">
        <v>41</v>
      </c>
      <c r="H77" s="4">
        <v>3.94</v>
      </c>
      <c r="I77" s="4">
        <v>910.5</v>
      </c>
      <c r="J77" s="5">
        <v>9.6000000000000002E-2</v>
      </c>
      <c r="K77" s="6">
        <v>1.418E-3</v>
      </c>
    </row>
    <row r="78" spans="1:11" x14ac:dyDescent="0.25">
      <c r="A78" s="2" t="s">
        <v>63</v>
      </c>
      <c r="B78" s="2" t="s">
        <v>263</v>
      </c>
      <c r="C78" s="2" t="s">
        <v>264</v>
      </c>
      <c r="D78" s="2" t="s">
        <v>411</v>
      </c>
      <c r="E78" s="3">
        <v>1</v>
      </c>
      <c r="F78" s="3">
        <v>756</v>
      </c>
      <c r="G78" s="3">
        <v>17</v>
      </c>
      <c r="H78" s="4">
        <v>1.74</v>
      </c>
      <c r="I78" s="4">
        <v>350.4</v>
      </c>
      <c r="J78" s="5">
        <v>0.1024</v>
      </c>
      <c r="K78" s="6">
        <v>2.3019999999999998E-3</v>
      </c>
    </row>
    <row r="79" spans="1:11" x14ac:dyDescent="0.25">
      <c r="A79" s="2" t="s">
        <v>63</v>
      </c>
      <c r="B79" s="2" t="s">
        <v>263</v>
      </c>
      <c r="C79" s="2" t="s">
        <v>264</v>
      </c>
      <c r="D79" s="2" t="s">
        <v>268</v>
      </c>
      <c r="E79" s="3">
        <v>1</v>
      </c>
      <c r="F79" s="3">
        <v>1704</v>
      </c>
      <c r="G79" s="3">
        <v>38</v>
      </c>
      <c r="H79" s="4">
        <v>3.9</v>
      </c>
      <c r="I79" s="4">
        <v>831.7</v>
      </c>
      <c r="J79" s="5">
        <v>0.1026</v>
      </c>
      <c r="K79" s="6">
        <v>2.2889999999999998E-3</v>
      </c>
    </row>
    <row r="80" spans="1:11" x14ac:dyDescent="0.25">
      <c r="A80" s="2" t="s">
        <v>63</v>
      </c>
      <c r="B80" s="2" t="s">
        <v>263</v>
      </c>
      <c r="C80" s="2" t="s">
        <v>264</v>
      </c>
      <c r="D80" s="2" t="s">
        <v>466</v>
      </c>
      <c r="E80" s="3">
        <v>1</v>
      </c>
      <c r="F80" s="3">
        <v>917</v>
      </c>
      <c r="G80" s="3">
        <v>13</v>
      </c>
      <c r="H80" s="4">
        <v>1.25</v>
      </c>
      <c r="I80" s="4">
        <v>298.10000000000002</v>
      </c>
      <c r="J80" s="5">
        <v>9.6000000000000002E-2</v>
      </c>
      <c r="K80" s="6">
        <v>1.361E-3</v>
      </c>
    </row>
    <row r="81" spans="1:11" x14ac:dyDescent="0.25">
      <c r="A81" s="2" t="s">
        <v>63</v>
      </c>
      <c r="B81" s="2" t="s">
        <v>263</v>
      </c>
      <c r="C81" s="2" t="s">
        <v>264</v>
      </c>
      <c r="D81" s="2" t="s">
        <v>467</v>
      </c>
      <c r="E81" s="3">
        <v>1</v>
      </c>
      <c r="F81" s="3">
        <v>871</v>
      </c>
      <c r="G81" s="3">
        <v>13</v>
      </c>
      <c r="H81" s="4">
        <v>1.25</v>
      </c>
      <c r="I81" s="4">
        <v>277.5</v>
      </c>
      <c r="J81" s="5">
        <v>9.6000000000000002E-2</v>
      </c>
      <c r="K81" s="6">
        <v>1.433E-3</v>
      </c>
    </row>
    <row r="82" spans="1:11" x14ac:dyDescent="0.25">
      <c r="A82" s="2" t="s">
        <v>63</v>
      </c>
      <c r="B82" s="2" t="s">
        <v>263</v>
      </c>
      <c r="C82" s="2" t="s">
        <v>264</v>
      </c>
      <c r="D82" s="2" t="s">
        <v>455</v>
      </c>
      <c r="E82" s="3">
        <v>1</v>
      </c>
      <c r="F82" s="3">
        <v>758</v>
      </c>
      <c r="G82" s="3">
        <v>15</v>
      </c>
      <c r="H82" s="4">
        <v>1.44</v>
      </c>
      <c r="I82" s="4">
        <v>211.4</v>
      </c>
      <c r="J82" s="5">
        <v>9.6000000000000002E-2</v>
      </c>
      <c r="K82" s="6">
        <v>1.9E-3</v>
      </c>
    </row>
    <row r="83" spans="1:11" x14ac:dyDescent="0.25">
      <c r="A83" s="2" t="s">
        <v>63</v>
      </c>
      <c r="B83" s="2" t="s">
        <v>263</v>
      </c>
      <c r="C83" s="2" t="s">
        <v>264</v>
      </c>
      <c r="D83" s="2" t="s">
        <v>385</v>
      </c>
      <c r="E83" s="3">
        <v>1</v>
      </c>
      <c r="F83" s="3">
        <v>1622</v>
      </c>
      <c r="G83" s="3">
        <v>22</v>
      </c>
      <c r="H83" s="4">
        <v>2.11</v>
      </c>
      <c r="I83" s="4">
        <v>245.2</v>
      </c>
      <c r="J83" s="5">
        <v>9.6000000000000002E-2</v>
      </c>
      <c r="K83" s="6">
        <v>1.302E-3</v>
      </c>
    </row>
    <row r="84" spans="1:11" x14ac:dyDescent="0.25">
      <c r="A84" s="2" t="s">
        <v>63</v>
      </c>
      <c r="B84" s="2" t="s">
        <v>263</v>
      </c>
      <c r="C84" s="2" t="s">
        <v>264</v>
      </c>
      <c r="D84" s="2" t="s">
        <v>332</v>
      </c>
      <c r="E84" s="3">
        <v>1</v>
      </c>
      <c r="F84" s="3">
        <v>1462</v>
      </c>
      <c r="G84" s="3">
        <v>28</v>
      </c>
      <c r="H84" s="4">
        <v>2.69</v>
      </c>
      <c r="I84" s="4">
        <v>512.9</v>
      </c>
      <c r="J84" s="5">
        <v>9.6000000000000002E-2</v>
      </c>
      <c r="K84" s="6">
        <v>1.8389999999999999E-3</v>
      </c>
    </row>
    <row r="85" spans="1:11" x14ac:dyDescent="0.25">
      <c r="A85" s="2" t="s">
        <v>63</v>
      </c>
      <c r="B85" s="2" t="s">
        <v>263</v>
      </c>
      <c r="C85" s="2" t="s">
        <v>264</v>
      </c>
      <c r="D85" s="2" t="s">
        <v>501</v>
      </c>
      <c r="E85" s="3">
        <v>1</v>
      </c>
      <c r="F85" s="3">
        <v>704</v>
      </c>
      <c r="G85" s="3">
        <v>10</v>
      </c>
      <c r="H85" s="4">
        <v>0.96</v>
      </c>
      <c r="I85" s="4">
        <v>230.9</v>
      </c>
      <c r="J85" s="5">
        <v>9.6000000000000002E-2</v>
      </c>
      <c r="K85" s="6">
        <v>1.364E-3</v>
      </c>
    </row>
    <row r="86" spans="1:11" x14ac:dyDescent="0.25">
      <c r="A86" s="2" t="s">
        <v>63</v>
      </c>
      <c r="B86" s="2" t="s">
        <v>263</v>
      </c>
      <c r="C86" s="2" t="s">
        <v>264</v>
      </c>
      <c r="D86" s="2" t="s">
        <v>499</v>
      </c>
      <c r="E86" s="3">
        <v>1</v>
      </c>
      <c r="F86" s="3">
        <v>763</v>
      </c>
      <c r="G86" s="3">
        <v>10</v>
      </c>
      <c r="H86" s="4">
        <v>0.96</v>
      </c>
      <c r="I86" s="4">
        <v>224.4</v>
      </c>
      <c r="J86" s="5">
        <v>9.6000000000000002E-2</v>
      </c>
      <c r="K86" s="6">
        <v>1.258E-3</v>
      </c>
    </row>
    <row r="87" spans="1:11" x14ac:dyDescent="0.25">
      <c r="A87" s="2" t="s">
        <v>63</v>
      </c>
      <c r="B87" s="2" t="s">
        <v>263</v>
      </c>
      <c r="C87" s="2" t="s">
        <v>264</v>
      </c>
      <c r="D87" s="2" t="s">
        <v>495</v>
      </c>
      <c r="E87" s="3">
        <v>1</v>
      </c>
      <c r="F87" s="3">
        <v>715</v>
      </c>
      <c r="G87" s="3">
        <v>10</v>
      </c>
      <c r="H87" s="4">
        <v>1.03</v>
      </c>
      <c r="I87" s="4">
        <v>206.8</v>
      </c>
      <c r="J87" s="5">
        <v>0.10299999999999999</v>
      </c>
      <c r="K87" s="6">
        <v>1.441E-3</v>
      </c>
    </row>
    <row r="88" spans="1:11" x14ac:dyDescent="0.25">
      <c r="A88" s="2" t="s">
        <v>63</v>
      </c>
      <c r="B88" s="2" t="s">
        <v>263</v>
      </c>
      <c r="C88" s="2" t="s">
        <v>264</v>
      </c>
      <c r="D88" s="2" t="s">
        <v>400</v>
      </c>
      <c r="E88" s="3">
        <v>1</v>
      </c>
      <c r="F88" s="3">
        <v>697</v>
      </c>
      <c r="G88" s="3">
        <v>18</v>
      </c>
      <c r="H88" s="4">
        <v>1.85</v>
      </c>
      <c r="I88" s="4">
        <v>401.3</v>
      </c>
      <c r="J88" s="5">
        <v>0.1028</v>
      </c>
      <c r="K88" s="6">
        <v>2.6540000000000001E-3</v>
      </c>
    </row>
    <row r="89" spans="1:11" x14ac:dyDescent="0.25">
      <c r="A89" s="2" t="s">
        <v>63</v>
      </c>
      <c r="B89" s="2" t="s">
        <v>263</v>
      </c>
      <c r="C89" s="2" t="s">
        <v>264</v>
      </c>
      <c r="D89" s="2" t="s">
        <v>361</v>
      </c>
      <c r="E89" s="3">
        <v>1</v>
      </c>
      <c r="F89" s="3">
        <v>1602</v>
      </c>
      <c r="G89" s="3">
        <v>24</v>
      </c>
      <c r="H89" s="4">
        <v>2.2999999999999998</v>
      </c>
      <c r="I89" s="4">
        <v>523.4</v>
      </c>
      <c r="J89" s="5">
        <v>9.6000000000000002E-2</v>
      </c>
      <c r="K89" s="6">
        <v>1.438E-3</v>
      </c>
    </row>
    <row r="90" spans="1:11" x14ac:dyDescent="0.25">
      <c r="A90" s="2" t="s">
        <v>63</v>
      </c>
      <c r="B90" s="2" t="s">
        <v>263</v>
      </c>
      <c r="C90" s="2" t="s">
        <v>264</v>
      </c>
      <c r="D90" s="2" t="s">
        <v>488</v>
      </c>
      <c r="E90" s="3">
        <v>1</v>
      </c>
      <c r="F90" s="3">
        <v>770</v>
      </c>
      <c r="G90" s="3">
        <v>11</v>
      </c>
      <c r="H90" s="4">
        <v>1.06</v>
      </c>
      <c r="I90" s="4">
        <v>231.3</v>
      </c>
      <c r="J90" s="5">
        <v>9.6000000000000002E-2</v>
      </c>
      <c r="K90" s="6">
        <v>1.371E-3</v>
      </c>
    </row>
    <row r="91" spans="1:11" x14ac:dyDescent="0.25">
      <c r="A91" s="2" t="s">
        <v>63</v>
      </c>
      <c r="B91" s="2" t="s">
        <v>263</v>
      </c>
      <c r="C91" s="2" t="s">
        <v>264</v>
      </c>
      <c r="D91" s="2" t="s">
        <v>457</v>
      </c>
      <c r="E91" s="3">
        <v>1</v>
      </c>
      <c r="F91" s="3">
        <v>732</v>
      </c>
      <c r="G91" s="3">
        <v>14</v>
      </c>
      <c r="H91" s="4">
        <v>1.34</v>
      </c>
      <c r="I91" s="4">
        <v>230.9</v>
      </c>
      <c r="J91" s="5">
        <v>9.6000000000000002E-2</v>
      </c>
      <c r="K91" s="6">
        <v>1.836E-3</v>
      </c>
    </row>
    <row r="92" spans="1:11" x14ac:dyDescent="0.25">
      <c r="A92" s="2" t="s">
        <v>63</v>
      </c>
      <c r="B92" s="2" t="s">
        <v>263</v>
      </c>
      <c r="C92" s="2" t="s">
        <v>264</v>
      </c>
      <c r="D92" s="2" t="s">
        <v>513</v>
      </c>
      <c r="E92" s="3">
        <v>1</v>
      </c>
      <c r="F92" s="3">
        <v>721</v>
      </c>
      <c r="G92" s="3">
        <v>9</v>
      </c>
      <c r="H92" s="4">
        <v>0.92</v>
      </c>
      <c r="I92" s="4">
        <v>200.8</v>
      </c>
      <c r="J92" s="5">
        <v>0.1022</v>
      </c>
      <c r="K92" s="6">
        <v>1.276E-3</v>
      </c>
    </row>
    <row r="93" spans="1:11" x14ac:dyDescent="0.25">
      <c r="A93" s="2" t="s">
        <v>63</v>
      </c>
      <c r="B93" s="2" t="s">
        <v>64</v>
      </c>
      <c r="C93" s="2" t="s">
        <v>66</v>
      </c>
      <c r="D93" s="2" t="s">
        <v>75</v>
      </c>
      <c r="E93" s="3">
        <v>1</v>
      </c>
      <c r="F93" s="3">
        <v>4804</v>
      </c>
      <c r="G93" s="3">
        <v>322</v>
      </c>
      <c r="H93" s="4">
        <v>30.91</v>
      </c>
      <c r="I93" s="4">
        <v>5465.5</v>
      </c>
      <c r="J93" s="5">
        <v>9.6000000000000002E-2</v>
      </c>
      <c r="K93" s="6">
        <v>6.4349999999999997E-3</v>
      </c>
    </row>
    <row r="94" spans="1:11" x14ac:dyDescent="0.25">
      <c r="A94" s="2" t="s">
        <v>63</v>
      </c>
      <c r="B94" s="2" t="s">
        <v>64</v>
      </c>
      <c r="C94" s="2" t="s">
        <v>66</v>
      </c>
      <c r="D94" s="2" t="s">
        <v>205</v>
      </c>
      <c r="E94" s="3">
        <v>1</v>
      </c>
      <c r="F94" s="3">
        <v>815</v>
      </c>
      <c r="G94" s="3">
        <v>58</v>
      </c>
      <c r="H94" s="4">
        <v>5.57</v>
      </c>
      <c r="I94" s="4">
        <v>819</v>
      </c>
      <c r="J94" s="5">
        <v>9.6000000000000002E-2</v>
      </c>
      <c r="K94" s="6">
        <v>6.8339999999999998E-3</v>
      </c>
    </row>
    <row r="95" spans="1:11" x14ac:dyDescent="0.25">
      <c r="A95" s="2" t="s">
        <v>63</v>
      </c>
      <c r="B95" s="2" t="s">
        <v>64</v>
      </c>
      <c r="C95" s="2" t="s">
        <v>66</v>
      </c>
      <c r="D95" s="2" t="s">
        <v>208</v>
      </c>
      <c r="E95" s="3">
        <v>1</v>
      </c>
      <c r="F95" s="3">
        <v>1137</v>
      </c>
      <c r="G95" s="3">
        <v>58</v>
      </c>
      <c r="H95" s="4">
        <v>5.57</v>
      </c>
      <c r="I95" s="4">
        <v>1411.2</v>
      </c>
      <c r="J95" s="5">
        <v>9.6000000000000002E-2</v>
      </c>
      <c r="K95" s="6">
        <v>4.8970000000000003E-3</v>
      </c>
    </row>
    <row r="96" spans="1:11" x14ac:dyDescent="0.25">
      <c r="A96" s="2" t="s">
        <v>63</v>
      </c>
      <c r="B96" s="2" t="s">
        <v>64</v>
      </c>
      <c r="C96" s="2" t="s">
        <v>66</v>
      </c>
      <c r="D96" s="2" t="s">
        <v>144</v>
      </c>
      <c r="E96" s="3">
        <v>1</v>
      </c>
      <c r="F96" s="3">
        <v>1196</v>
      </c>
      <c r="G96" s="3">
        <v>100</v>
      </c>
      <c r="H96" s="4">
        <v>9.6</v>
      </c>
      <c r="I96" s="4">
        <v>1519</v>
      </c>
      <c r="J96" s="5">
        <v>9.6000000000000002E-2</v>
      </c>
      <c r="K96" s="6">
        <v>8.0269999999999994E-3</v>
      </c>
    </row>
    <row r="97" spans="1:11" x14ac:dyDescent="0.25">
      <c r="A97" s="2" t="s">
        <v>63</v>
      </c>
      <c r="B97" s="2" t="s">
        <v>64</v>
      </c>
      <c r="C97" s="2" t="s">
        <v>66</v>
      </c>
      <c r="D97" s="2" t="s">
        <v>129</v>
      </c>
      <c r="E97" s="3">
        <v>1</v>
      </c>
      <c r="F97" s="3">
        <v>1491</v>
      </c>
      <c r="G97" s="3">
        <v>125</v>
      </c>
      <c r="H97" s="4">
        <v>12</v>
      </c>
      <c r="I97" s="4">
        <v>1983.3</v>
      </c>
      <c r="J97" s="5">
        <v>9.6000000000000002E-2</v>
      </c>
      <c r="K97" s="6">
        <v>8.0479999999999996E-3</v>
      </c>
    </row>
    <row r="98" spans="1:11" x14ac:dyDescent="0.25">
      <c r="A98" s="2" t="s">
        <v>63</v>
      </c>
      <c r="B98" s="2" t="s">
        <v>64</v>
      </c>
      <c r="C98" s="2" t="s">
        <v>66</v>
      </c>
      <c r="D98" s="2" t="s">
        <v>187</v>
      </c>
      <c r="E98" s="3">
        <v>1</v>
      </c>
      <c r="F98" s="3">
        <v>791</v>
      </c>
      <c r="G98" s="3">
        <v>67</v>
      </c>
      <c r="H98" s="4">
        <v>6.43</v>
      </c>
      <c r="I98" s="4">
        <v>1047.9000000000001</v>
      </c>
      <c r="J98" s="5">
        <v>9.6000000000000002E-2</v>
      </c>
      <c r="K98" s="6">
        <v>8.1290000000000008E-3</v>
      </c>
    </row>
    <row r="99" spans="1:11" x14ac:dyDescent="0.25">
      <c r="A99" s="2" t="s">
        <v>63</v>
      </c>
      <c r="B99" s="2" t="s">
        <v>64</v>
      </c>
      <c r="C99" s="2" t="s">
        <v>66</v>
      </c>
      <c r="D99" s="2" t="s">
        <v>98</v>
      </c>
      <c r="E99" s="3">
        <v>1</v>
      </c>
      <c r="F99" s="3">
        <v>2089</v>
      </c>
      <c r="G99" s="3">
        <v>162</v>
      </c>
      <c r="H99" s="4">
        <v>15.55</v>
      </c>
      <c r="I99" s="4">
        <v>2573.1</v>
      </c>
      <c r="J99" s="5">
        <v>9.6000000000000002E-2</v>
      </c>
      <c r="K99" s="6">
        <v>7.4440000000000001E-3</v>
      </c>
    </row>
    <row r="100" spans="1:11" x14ac:dyDescent="0.25">
      <c r="A100" s="2" t="s">
        <v>63</v>
      </c>
      <c r="B100" s="2" t="s">
        <v>64</v>
      </c>
      <c r="C100" s="2" t="s">
        <v>66</v>
      </c>
      <c r="D100" s="2" t="s">
        <v>209</v>
      </c>
      <c r="E100" s="3">
        <v>1</v>
      </c>
      <c r="F100" s="3">
        <v>1057</v>
      </c>
      <c r="G100" s="3">
        <v>53</v>
      </c>
      <c r="H100" s="4">
        <v>5.53</v>
      </c>
      <c r="I100" s="4">
        <v>1339.3</v>
      </c>
      <c r="J100" s="5">
        <v>0.10440000000000001</v>
      </c>
      <c r="K100" s="6">
        <v>5.2350000000000001E-3</v>
      </c>
    </row>
    <row r="101" spans="1:11" x14ac:dyDescent="0.25">
      <c r="A101" s="2" t="s">
        <v>63</v>
      </c>
      <c r="B101" s="2" t="s">
        <v>64</v>
      </c>
      <c r="C101" s="2" t="s">
        <v>66</v>
      </c>
      <c r="D101" s="2" t="s">
        <v>176</v>
      </c>
      <c r="E101" s="3">
        <v>1</v>
      </c>
      <c r="F101" s="3">
        <v>894</v>
      </c>
      <c r="G101" s="3">
        <v>69</v>
      </c>
      <c r="H101" s="4">
        <v>6.96</v>
      </c>
      <c r="I101" s="4">
        <v>984.5</v>
      </c>
      <c r="J101" s="5">
        <v>0.1009</v>
      </c>
      <c r="K101" s="6">
        <v>7.7840000000000001E-3</v>
      </c>
    </row>
    <row r="102" spans="1:11" x14ac:dyDescent="0.25">
      <c r="A102" s="2" t="s">
        <v>63</v>
      </c>
      <c r="B102" s="2" t="s">
        <v>64</v>
      </c>
      <c r="C102" s="2" t="s">
        <v>66</v>
      </c>
      <c r="D102" s="2" t="s">
        <v>152</v>
      </c>
      <c r="E102" s="3">
        <v>1</v>
      </c>
      <c r="F102" s="3">
        <v>1785</v>
      </c>
      <c r="G102" s="3">
        <v>90</v>
      </c>
      <c r="H102" s="4">
        <v>8.64</v>
      </c>
      <c r="I102" s="4">
        <v>2064.8000000000002</v>
      </c>
      <c r="J102" s="5">
        <v>9.6000000000000002E-2</v>
      </c>
      <c r="K102" s="6">
        <v>4.8399999999999997E-3</v>
      </c>
    </row>
    <row r="103" spans="1:11" x14ac:dyDescent="0.25">
      <c r="A103" s="2" t="s">
        <v>63</v>
      </c>
      <c r="B103" s="2" t="s">
        <v>64</v>
      </c>
      <c r="C103" s="2" t="s">
        <v>66</v>
      </c>
      <c r="D103" s="2" t="s">
        <v>241</v>
      </c>
      <c r="E103" s="3">
        <v>1</v>
      </c>
      <c r="F103" s="3">
        <v>633</v>
      </c>
      <c r="G103" s="3">
        <v>47</v>
      </c>
      <c r="H103" s="4">
        <v>4.51</v>
      </c>
      <c r="I103" s="4">
        <v>783.3</v>
      </c>
      <c r="J103" s="5">
        <v>9.6000000000000002E-2</v>
      </c>
      <c r="K103" s="6">
        <v>7.1250000000000003E-3</v>
      </c>
    </row>
    <row r="104" spans="1:11" x14ac:dyDescent="0.25">
      <c r="A104" s="2" t="s">
        <v>63</v>
      </c>
      <c r="B104" s="2" t="s">
        <v>64</v>
      </c>
      <c r="C104" s="2" t="s">
        <v>66</v>
      </c>
      <c r="D104" s="2" t="s">
        <v>219</v>
      </c>
      <c r="E104" s="3">
        <v>1</v>
      </c>
      <c r="F104" s="3">
        <v>874</v>
      </c>
      <c r="G104" s="3">
        <v>46</v>
      </c>
      <c r="H104" s="4">
        <v>5.0999999999999996</v>
      </c>
      <c r="I104" s="4">
        <v>1302.9000000000001</v>
      </c>
      <c r="J104" s="5">
        <v>0.1109</v>
      </c>
      <c r="K104" s="6">
        <v>5.836E-3</v>
      </c>
    </row>
    <row r="105" spans="1:11" x14ac:dyDescent="0.25">
      <c r="A105" s="2" t="s">
        <v>63</v>
      </c>
      <c r="B105" s="2" t="s">
        <v>64</v>
      </c>
      <c r="C105" s="2" t="s">
        <v>66</v>
      </c>
      <c r="D105" s="2" t="s">
        <v>148</v>
      </c>
      <c r="E105" s="3">
        <v>1</v>
      </c>
      <c r="F105" s="3">
        <v>758</v>
      </c>
      <c r="G105" s="3">
        <v>95</v>
      </c>
      <c r="H105" s="4">
        <v>9.1199999999999992</v>
      </c>
      <c r="I105" s="4">
        <v>959.5</v>
      </c>
      <c r="J105" s="5">
        <v>9.6000000000000002E-2</v>
      </c>
      <c r="K105" s="6">
        <v>1.2031999999999999E-2</v>
      </c>
    </row>
    <row r="106" spans="1:11" x14ac:dyDescent="0.25">
      <c r="A106" s="2" t="s">
        <v>63</v>
      </c>
      <c r="B106" s="2" t="s">
        <v>64</v>
      </c>
      <c r="C106" s="2" t="s">
        <v>66</v>
      </c>
      <c r="D106" s="2" t="s">
        <v>167</v>
      </c>
      <c r="E106" s="3">
        <v>1</v>
      </c>
      <c r="F106" s="3">
        <v>801</v>
      </c>
      <c r="G106" s="3">
        <v>81</v>
      </c>
      <c r="H106" s="4">
        <v>7.78</v>
      </c>
      <c r="I106" s="4">
        <v>931.3</v>
      </c>
      <c r="J106" s="5">
        <v>9.6000000000000002E-2</v>
      </c>
      <c r="K106" s="6">
        <v>9.7129999999999994E-3</v>
      </c>
    </row>
    <row r="107" spans="1:11" x14ac:dyDescent="0.25">
      <c r="A107" s="2" t="s">
        <v>63</v>
      </c>
      <c r="B107" s="2" t="s">
        <v>64</v>
      </c>
      <c r="C107" s="2" t="s">
        <v>66</v>
      </c>
      <c r="D107" s="2" t="s">
        <v>137</v>
      </c>
      <c r="E107" s="3">
        <v>1</v>
      </c>
      <c r="F107" s="3">
        <v>1810</v>
      </c>
      <c r="G107" s="3">
        <v>107</v>
      </c>
      <c r="H107" s="4">
        <v>10.28</v>
      </c>
      <c r="I107" s="4">
        <v>1411.3</v>
      </c>
      <c r="J107" s="5">
        <v>9.6100000000000005E-2</v>
      </c>
      <c r="K107" s="6">
        <v>5.6800000000000002E-3</v>
      </c>
    </row>
    <row r="108" spans="1:11" x14ac:dyDescent="0.25">
      <c r="A108" s="2" t="s">
        <v>63</v>
      </c>
      <c r="B108" s="2" t="s">
        <v>64</v>
      </c>
      <c r="C108" s="2" t="s">
        <v>66</v>
      </c>
      <c r="D108" s="2" t="s">
        <v>67</v>
      </c>
      <c r="E108" s="3">
        <v>1</v>
      </c>
      <c r="F108" s="3">
        <v>6643</v>
      </c>
      <c r="G108" s="3">
        <v>666</v>
      </c>
      <c r="H108" s="4">
        <v>68.33</v>
      </c>
      <c r="I108" s="4">
        <v>11847.8</v>
      </c>
      <c r="J108" s="5">
        <v>0.1026</v>
      </c>
      <c r="K108" s="6">
        <v>1.0286E-2</v>
      </c>
    </row>
    <row r="109" spans="1:11" x14ac:dyDescent="0.25">
      <c r="A109" s="2" t="s">
        <v>63</v>
      </c>
      <c r="B109" s="2" t="s">
        <v>64</v>
      </c>
      <c r="C109" s="2" t="s">
        <v>66</v>
      </c>
      <c r="D109" s="2" t="s">
        <v>136</v>
      </c>
      <c r="E109" s="3">
        <v>1</v>
      </c>
      <c r="F109" s="3">
        <v>1731</v>
      </c>
      <c r="G109" s="3">
        <v>90</v>
      </c>
      <c r="H109" s="4">
        <v>10.89</v>
      </c>
      <c r="I109" s="4">
        <v>2369.6999999999998</v>
      </c>
      <c r="J109" s="5">
        <v>0.121</v>
      </c>
      <c r="K109" s="6">
        <v>6.2890000000000003E-3</v>
      </c>
    </row>
    <row r="110" spans="1:11" x14ac:dyDescent="0.25">
      <c r="A110" s="2" t="s">
        <v>63</v>
      </c>
      <c r="B110" s="2" t="s">
        <v>64</v>
      </c>
      <c r="C110" s="2" t="s">
        <v>71</v>
      </c>
      <c r="D110" s="2" t="s">
        <v>72</v>
      </c>
      <c r="E110" s="3">
        <v>1</v>
      </c>
      <c r="F110" s="3">
        <v>3746</v>
      </c>
      <c r="G110" s="3">
        <v>375</v>
      </c>
      <c r="H110" s="4">
        <v>43.5</v>
      </c>
      <c r="I110" s="4">
        <v>7612.5</v>
      </c>
      <c r="J110" s="5">
        <v>0.11600000000000001</v>
      </c>
      <c r="K110" s="6">
        <v>1.1612000000000001E-2</v>
      </c>
    </row>
    <row r="111" spans="1:11" x14ac:dyDescent="0.25">
      <c r="A111" s="2" t="s">
        <v>63</v>
      </c>
      <c r="B111" s="2" t="s">
        <v>64</v>
      </c>
      <c r="C111" s="2" t="s">
        <v>66</v>
      </c>
      <c r="D111" s="2" t="s">
        <v>170</v>
      </c>
      <c r="E111" s="3">
        <v>1</v>
      </c>
      <c r="F111" s="3">
        <v>781</v>
      </c>
      <c r="G111" s="3">
        <v>65</v>
      </c>
      <c r="H111" s="4">
        <v>7.11</v>
      </c>
      <c r="I111" s="4">
        <v>1190.5999999999999</v>
      </c>
      <c r="J111" s="5">
        <v>0.1094</v>
      </c>
      <c r="K111" s="6">
        <v>9.1090000000000008E-3</v>
      </c>
    </row>
    <row r="112" spans="1:11" x14ac:dyDescent="0.25">
      <c r="A112" s="2" t="s">
        <v>63</v>
      </c>
      <c r="B112" s="2" t="s">
        <v>64</v>
      </c>
      <c r="C112" s="2" t="s">
        <v>66</v>
      </c>
      <c r="D112" s="2" t="s">
        <v>76</v>
      </c>
      <c r="E112" s="3">
        <v>1</v>
      </c>
      <c r="F112" s="3">
        <v>4034</v>
      </c>
      <c r="G112" s="3">
        <v>271</v>
      </c>
      <c r="H112" s="4">
        <v>29.42</v>
      </c>
      <c r="I112" s="4">
        <v>5488.4</v>
      </c>
      <c r="J112" s="5">
        <v>0.1086</v>
      </c>
      <c r="K112" s="6">
        <v>7.2940000000000001E-3</v>
      </c>
    </row>
    <row r="113" spans="1:11" x14ac:dyDescent="0.25">
      <c r="A113" s="2" t="s">
        <v>63</v>
      </c>
      <c r="B113" s="2" t="s">
        <v>64</v>
      </c>
      <c r="C113" s="2" t="s">
        <v>66</v>
      </c>
      <c r="D113" s="2" t="s">
        <v>90</v>
      </c>
      <c r="E113" s="3">
        <v>1</v>
      </c>
      <c r="F113" s="3">
        <v>1608</v>
      </c>
      <c r="G113" s="3">
        <v>161</v>
      </c>
      <c r="H113" s="4">
        <v>17.62</v>
      </c>
      <c r="I113" s="4">
        <v>2658.1</v>
      </c>
      <c r="J113" s="5">
        <v>0.1094</v>
      </c>
      <c r="K113" s="6">
        <v>1.0958000000000001E-2</v>
      </c>
    </row>
    <row r="114" spans="1:11" x14ac:dyDescent="0.25">
      <c r="A114" s="2" t="s">
        <v>63</v>
      </c>
      <c r="B114" s="2" t="s">
        <v>64</v>
      </c>
      <c r="C114" s="2" t="s">
        <v>57</v>
      </c>
      <c r="D114" s="2" t="s">
        <v>154</v>
      </c>
      <c r="E114" s="3">
        <v>1</v>
      </c>
      <c r="F114" s="3">
        <v>776</v>
      </c>
      <c r="G114" s="3">
        <v>77</v>
      </c>
      <c r="H114" s="4">
        <v>8.49</v>
      </c>
      <c r="I114" s="4">
        <v>1059.5999999999999</v>
      </c>
      <c r="J114" s="5">
        <v>0.1103</v>
      </c>
      <c r="K114" s="6">
        <v>1.0940999999999999E-2</v>
      </c>
    </row>
    <row r="115" spans="1:11" x14ac:dyDescent="0.25">
      <c r="A115" s="2" t="s">
        <v>63</v>
      </c>
      <c r="B115" s="2" t="s">
        <v>64</v>
      </c>
      <c r="C115" s="2" t="s">
        <v>66</v>
      </c>
      <c r="D115" s="2" t="s">
        <v>211</v>
      </c>
      <c r="E115" s="3">
        <v>1</v>
      </c>
      <c r="F115" s="3">
        <v>746</v>
      </c>
      <c r="G115" s="3">
        <v>50</v>
      </c>
      <c r="H115" s="4">
        <v>5.4</v>
      </c>
      <c r="I115" s="4">
        <v>990.9</v>
      </c>
      <c r="J115" s="5">
        <v>0.108</v>
      </c>
      <c r="K115" s="6">
        <v>7.2389999999999998E-3</v>
      </c>
    </row>
    <row r="116" spans="1:11" x14ac:dyDescent="0.25">
      <c r="A116" s="2" t="s">
        <v>63</v>
      </c>
      <c r="B116" s="2" t="s">
        <v>64</v>
      </c>
      <c r="C116" s="2" t="s">
        <v>66</v>
      </c>
      <c r="D116" s="2" t="s">
        <v>204</v>
      </c>
      <c r="E116" s="3">
        <v>1</v>
      </c>
      <c r="F116" s="3">
        <v>777</v>
      </c>
      <c r="G116" s="3">
        <v>51</v>
      </c>
      <c r="H116" s="4">
        <v>5.58</v>
      </c>
      <c r="I116" s="4">
        <v>796.4</v>
      </c>
      <c r="J116" s="5">
        <v>0.1094</v>
      </c>
      <c r="K116" s="6">
        <v>7.1830000000000001E-3</v>
      </c>
    </row>
    <row r="117" spans="1:11" x14ac:dyDescent="0.25">
      <c r="A117" s="2" t="s">
        <v>63</v>
      </c>
      <c r="B117" s="2" t="s">
        <v>64</v>
      </c>
      <c r="C117" s="2" t="s">
        <v>66</v>
      </c>
      <c r="D117" s="2" t="s">
        <v>212</v>
      </c>
      <c r="E117" s="3">
        <v>1</v>
      </c>
      <c r="F117" s="3">
        <v>716</v>
      </c>
      <c r="G117" s="3">
        <v>56</v>
      </c>
      <c r="H117" s="4">
        <v>5.38</v>
      </c>
      <c r="I117" s="4">
        <v>817.4</v>
      </c>
      <c r="J117" s="5">
        <v>9.6100000000000005E-2</v>
      </c>
      <c r="K117" s="6">
        <v>7.5139999999999998E-3</v>
      </c>
    </row>
    <row r="118" spans="1:11" x14ac:dyDescent="0.25">
      <c r="A118" s="2" t="s">
        <v>63</v>
      </c>
      <c r="B118" s="2" t="s">
        <v>64</v>
      </c>
      <c r="C118" s="2" t="s">
        <v>66</v>
      </c>
      <c r="D118" s="2" t="s">
        <v>117</v>
      </c>
      <c r="E118" s="3">
        <v>1</v>
      </c>
      <c r="F118" s="3">
        <v>1873</v>
      </c>
      <c r="G118" s="3">
        <v>124</v>
      </c>
      <c r="H118" s="4">
        <v>13.39</v>
      </c>
      <c r="I118" s="4">
        <v>2099.3000000000002</v>
      </c>
      <c r="J118" s="5">
        <v>0.108</v>
      </c>
      <c r="K118" s="6">
        <v>7.1500000000000001E-3</v>
      </c>
    </row>
    <row r="119" spans="1:11" x14ac:dyDescent="0.25">
      <c r="A119" s="2" t="s">
        <v>63</v>
      </c>
      <c r="B119" s="2" t="s">
        <v>64</v>
      </c>
      <c r="C119" s="2" t="s">
        <v>66</v>
      </c>
      <c r="D119" s="2" t="s">
        <v>127</v>
      </c>
      <c r="E119" s="3">
        <v>3</v>
      </c>
      <c r="F119" s="3">
        <v>2447</v>
      </c>
      <c r="G119" s="3">
        <v>128</v>
      </c>
      <c r="H119" s="4">
        <v>12.29</v>
      </c>
      <c r="I119" s="4">
        <v>1961.3</v>
      </c>
      <c r="J119" s="5">
        <v>9.6000000000000002E-2</v>
      </c>
      <c r="K119" s="6">
        <v>5.0220000000000004E-3</v>
      </c>
    </row>
    <row r="120" spans="1:11" x14ac:dyDescent="0.25">
      <c r="A120" s="2" t="s">
        <v>63</v>
      </c>
      <c r="B120" s="2" t="s">
        <v>64</v>
      </c>
      <c r="C120" s="2" t="s">
        <v>66</v>
      </c>
      <c r="D120" s="2" t="s">
        <v>164</v>
      </c>
      <c r="E120" s="3">
        <v>3</v>
      </c>
      <c r="F120" s="3">
        <v>1407</v>
      </c>
      <c r="G120" s="3">
        <v>83</v>
      </c>
      <c r="H120" s="4">
        <v>7.97</v>
      </c>
      <c r="I120" s="4">
        <v>1069.0999999999999</v>
      </c>
      <c r="J120" s="5">
        <v>9.6000000000000002E-2</v>
      </c>
      <c r="K120" s="6">
        <v>5.6629999999999996E-3</v>
      </c>
    </row>
    <row r="121" spans="1:11" x14ac:dyDescent="0.25">
      <c r="A121" s="2" t="s">
        <v>63</v>
      </c>
      <c r="B121" s="2" t="s">
        <v>64</v>
      </c>
      <c r="C121" s="2" t="s">
        <v>66</v>
      </c>
      <c r="D121" s="2" t="s">
        <v>82</v>
      </c>
      <c r="E121" s="3">
        <v>1</v>
      </c>
      <c r="F121" s="3">
        <v>2546</v>
      </c>
      <c r="G121" s="3">
        <v>196</v>
      </c>
      <c r="H121" s="4">
        <v>20.46</v>
      </c>
      <c r="I121" s="4">
        <v>2823.7</v>
      </c>
      <c r="J121" s="5">
        <v>0.10440000000000001</v>
      </c>
      <c r="K121" s="6">
        <v>8.0359999999999997E-3</v>
      </c>
    </row>
    <row r="122" spans="1:11" x14ac:dyDescent="0.25">
      <c r="A122" s="2" t="s">
        <v>63</v>
      </c>
      <c r="B122" s="2" t="s">
        <v>64</v>
      </c>
      <c r="C122" s="2" t="s">
        <v>66</v>
      </c>
      <c r="D122" s="2" t="s">
        <v>157</v>
      </c>
      <c r="E122" s="3">
        <v>2</v>
      </c>
      <c r="F122" s="3">
        <v>1711</v>
      </c>
      <c r="G122" s="3">
        <v>87</v>
      </c>
      <c r="H122" s="4">
        <v>8.35</v>
      </c>
      <c r="I122" s="4">
        <v>1415</v>
      </c>
      <c r="J122" s="5">
        <v>9.6000000000000002E-2</v>
      </c>
      <c r="K122" s="6">
        <v>4.8809999999999999E-3</v>
      </c>
    </row>
    <row r="123" spans="1:11" x14ac:dyDescent="0.25">
      <c r="A123" s="2" t="s">
        <v>63</v>
      </c>
      <c r="B123" s="2" t="s">
        <v>64</v>
      </c>
      <c r="C123" s="2" t="s">
        <v>57</v>
      </c>
      <c r="D123" s="2" t="s">
        <v>250</v>
      </c>
      <c r="E123" s="3">
        <v>1</v>
      </c>
      <c r="F123" s="3">
        <v>794</v>
      </c>
      <c r="G123" s="3">
        <v>41</v>
      </c>
      <c r="H123" s="4">
        <v>4.13</v>
      </c>
      <c r="I123" s="4">
        <v>488</v>
      </c>
      <c r="J123" s="5">
        <v>0.1008</v>
      </c>
      <c r="K123" s="6">
        <v>5.2050000000000004E-3</v>
      </c>
    </row>
    <row r="124" spans="1:11" x14ac:dyDescent="0.25">
      <c r="A124" s="2" t="s">
        <v>63</v>
      </c>
      <c r="B124" s="2" t="s">
        <v>64</v>
      </c>
      <c r="C124" s="2" t="s">
        <v>66</v>
      </c>
      <c r="D124" s="2" t="s">
        <v>200</v>
      </c>
      <c r="E124" s="3">
        <v>1</v>
      </c>
      <c r="F124" s="3">
        <v>839</v>
      </c>
      <c r="G124" s="3">
        <v>60</v>
      </c>
      <c r="H124" s="4">
        <v>5.76</v>
      </c>
      <c r="I124" s="4">
        <v>752.7</v>
      </c>
      <c r="J124" s="5">
        <v>9.6000000000000002E-2</v>
      </c>
      <c r="K124" s="6">
        <v>6.8649999999999996E-3</v>
      </c>
    </row>
    <row r="125" spans="1:11" x14ac:dyDescent="0.25">
      <c r="A125" s="2" t="s">
        <v>63</v>
      </c>
      <c r="B125" s="2" t="s">
        <v>64</v>
      </c>
      <c r="C125" s="2" t="s">
        <v>57</v>
      </c>
      <c r="D125" s="2" t="s">
        <v>69</v>
      </c>
      <c r="E125" s="3">
        <v>1</v>
      </c>
      <c r="F125" s="3">
        <v>6556</v>
      </c>
      <c r="G125" s="3">
        <v>439</v>
      </c>
      <c r="H125" s="4">
        <v>47.66</v>
      </c>
      <c r="I125" s="4">
        <v>5773.6</v>
      </c>
      <c r="J125" s="5">
        <v>0.1086</v>
      </c>
      <c r="K125" s="6">
        <v>7.2700000000000004E-3</v>
      </c>
    </row>
    <row r="126" spans="1:11" x14ac:dyDescent="0.25">
      <c r="A126" s="2" t="s">
        <v>63</v>
      </c>
      <c r="B126" s="2" t="s">
        <v>64</v>
      </c>
      <c r="C126" s="2" t="s">
        <v>57</v>
      </c>
      <c r="D126" s="2" t="s">
        <v>276</v>
      </c>
      <c r="E126" s="3">
        <v>1</v>
      </c>
      <c r="F126" s="3">
        <v>663</v>
      </c>
      <c r="G126" s="3">
        <v>37</v>
      </c>
      <c r="H126" s="4">
        <v>3.56</v>
      </c>
      <c r="I126" s="4">
        <v>354</v>
      </c>
      <c r="J126" s="5">
        <v>9.6199999999999994E-2</v>
      </c>
      <c r="K126" s="6">
        <v>5.3699999999999998E-3</v>
      </c>
    </row>
    <row r="127" spans="1:11" x14ac:dyDescent="0.25">
      <c r="A127" s="2" t="s">
        <v>63</v>
      </c>
      <c r="B127" s="2" t="s">
        <v>64</v>
      </c>
      <c r="C127" s="2" t="s">
        <v>57</v>
      </c>
      <c r="D127" s="2" t="s">
        <v>124</v>
      </c>
      <c r="E127" s="3">
        <v>1</v>
      </c>
      <c r="F127" s="3">
        <v>1868</v>
      </c>
      <c r="G127" s="3">
        <v>126</v>
      </c>
      <c r="H127" s="4">
        <v>13.15</v>
      </c>
      <c r="I127" s="4">
        <v>1920.2</v>
      </c>
      <c r="J127" s="5">
        <v>0.10440000000000001</v>
      </c>
      <c r="K127" s="6">
        <v>7.0400000000000003E-3</v>
      </c>
    </row>
    <row r="128" spans="1:11" x14ac:dyDescent="0.25">
      <c r="A128" s="2" t="s">
        <v>63</v>
      </c>
      <c r="B128" s="2" t="s">
        <v>64</v>
      </c>
      <c r="C128" s="2" t="s">
        <v>57</v>
      </c>
      <c r="D128" s="2" t="s">
        <v>134</v>
      </c>
      <c r="E128" s="3">
        <v>1</v>
      </c>
      <c r="F128" s="3">
        <v>1646</v>
      </c>
      <c r="G128" s="3">
        <v>118</v>
      </c>
      <c r="H128" s="4">
        <v>11.33</v>
      </c>
      <c r="I128" s="4">
        <v>1200</v>
      </c>
      <c r="J128" s="5">
        <v>9.6000000000000002E-2</v>
      </c>
      <c r="K128" s="6">
        <v>6.8820000000000001E-3</v>
      </c>
    </row>
    <row r="129" spans="1:11" x14ac:dyDescent="0.25">
      <c r="A129" s="2" t="s">
        <v>63</v>
      </c>
      <c r="B129" s="2" t="s">
        <v>64</v>
      </c>
      <c r="C129" s="2" t="s">
        <v>57</v>
      </c>
      <c r="D129" s="2" t="s">
        <v>73</v>
      </c>
      <c r="E129" s="3">
        <v>1</v>
      </c>
      <c r="F129" s="3">
        <v>3609</v>
      </c>
      <c r="G129" s="3">
        <v>453</v>
      </c>
      <c r="H129" s="4">
        <v>43.49</v>
      </c>
      <c r="I129" s="4">
        <v>4978.3</v>
      </c>
      <c r="J129" s="5">
        <v>9.6000000000000002E-2</v>
      </c>
      <c r="K129" s="6">
        <v>1.205E-2</v>
      </c>
    </row>
    <row r="130" spans="1:11" x14ac:dyDescent="0.25">
      <c r="A130" s="2" t="s">
        <v>63</v>
      </c>
      <c r="B130" s="2" t="s">
        <v>64</v>
      </c>
      <c r="C130" s="2" t="s">
        <v>57</v>
      </c>
      <c r="D130" s="2" t="s">
        <v>130</v>
      </c>
      <c r="E130" s="3">
        <v>2</v>
      </c>
      <c r="F130" s="3">
        <v>1045</v>
      </c>
      <c r="G130" s="3">
        <v>54</v>
      </c>
      <c r="H130" s="4">
        <v>11.98</v>
      </c>
      <c r="I130" s="4">
        <v>1325</v>
      </c>
      <c r="J130" s="5">
        <v>0.2218</v>
      </c>
      <c r="K130" s="6">
        <v>1.1459E-2</v>
      </c>
    </row>
    <row r="131" spans="1:11" x14ac:dyDescent="0.25">
      <c r="A131" s="2" t="s">
        <v>63</v>
      </c>
      <c r="B131" s="2" t="s">
        <v>64</v>
      </c>
      <c r="C131" s="2" t="s">
        <v>57</v>
      </c>
      <c r="D131" s="2" t="s">
        <v>74</v>
      </c>
      <c r="E131" s="3">
        <v>1</v>
      </c>
      <c r="F131" s="3">
        <v>4031</v>
      </c>
      <c r="G131" s="3">
        <v>405</v>
      </c>
      <c r="H131" s="4">
        <v>42.28</v>
      </c>
      <c r="I131" s="4">
        <v>7451.7</v>
      </c>
      <c r="J131" s="5">
        <v>0.10440000000000001</v>
      </c>
      <c r="K131" s="6">
        <v>1.0489E-2</v>
      </c>
    </row>
    <row r="132" spans="1:11" x14ac:dyDescent="0.25">
      <c r="A132" s="2" t="s">
        <v>63</v>
      </c>
      <c r="B132" s="2" t="s">
        <v>64</v>
      </c>
      <c r="C132" s="2" t="s">
        <v>57</v>
      </c>
      <c r="D132" s="2" t="s">
        <v>70</v>
      </c>
      <c r="E132" s="3">
        <v>1</v>
      </c>
      <c r="F132" s="3">
        <v>4083</v>
      </c>
      <c r="G132" s="3">
        <v>454</v>
      </c>
      <c r="H132" s="4">
        <v>47.4</v>
      </c>
      <c r="I132" s="4">
        <v>6049.5</v>
      </c>
      <c r="J132" s="5">
        <v>0.10440000000000001</v>
      </c>
      <c r="K132" s="6">
        <v>1.1609E-2</v>
      </c>
    </row>
    <row r="133" spans="1:11" x14ac:dyDescent="0.25">
      <c r="A133" s="2" t="s">
        <v>63</v>
      </c>
      <c r="B133" s="2" t="s">
        <v>64</v>
      </c>
      <c r="C133" s="2" t="s">
        <v>57</v>
      </c>
      <c r="D133" s="2" t="s">
        <v>65</v>
      </c>
      <c r="E133" s="3">
        <v>2</v>
      </c>
      <c r="F133" s="3">
        <v>5840</v>
      </c>
      <c r="G133" s="3">
        <v>731</v>
      </c>
      <c r="H133" s="4">
        <v>70.180000000000007</v>
      </c>
      <c r="I133" s="4">
        <v>7784.6</v>
      </c>
      <c r="J133" s="5">
        <v>9.6000000000000002E-2</v>
      </c>
      <c r="K133" s="6">
        <v>1.2016000000000001E-2</v>
      </c>
    </row>
    <row r="134" spans="1:11" x14ac:dyDescent="0.25">
      <c r="A134" s="2" t="s">
        <v>63</v>
      </c>
      <c r="B134" s="2" t="s">
        <v>64</v>
      </c>
      <c r="C134" s="2" t="s">
        <v>57</v>
      </c>
      <c r="D134" s="2" t="s">
        <v>159</v>
      </c>
      <c r="E134" s="3">
        <v>1</v>
      </c>
      <c r="F134" s="3">
        <v>860</v>
      </c>
      <c r="G134" s="3">
        <v>86</v>
      </c>
      <c r="H134" s="4">
        <v>8.26</v>
      </c>
      <c r="I134" s="4">
        <v>805.9</v>
      </c>
      <c r="J134" s="5">
        <v>9.6000000000000002E-2</v>
      </c>
      <c r="K134" s="6">
        <v>9.5999999999999992E-3</v>
      </c>
    </row>
    <row r="135" spans="1:11" x14ac:dyDescent="0.25">
      <c r="A135" s="2" t="s">
        <v>63</v>
      </c>
      <c r="B135" s="2" t="s">
        <v>64</v>
      </c>
      <c r="C135" s="2" t="s">
        <v>57</v>
      </c>
      <c r="D135" s="2" t="s">
        <v>68</v>
      </c>
      <c r="E135" s="3">
        <v>1</v>
      </c>
      <c r="F135" s="3">
        <v>5820</v>
      </c>
      <c r="G135" s="3">
        <v>583</v>
      </c>
      <c r="H135" s="4">
        <v>64.25</v>
      </c>
      <c r="I135" s="4">
        <v>9303.5</v>
      </c>
      <c r="J135" s="5">
        <v>0.11020000000000001</v>
      </c>
      <c r="K135" s="6">
        <v>1.1039999999999999E-2</v>
      </c>
    </row>
    <row r="136" spans="1:11" x14ac:dyDescent="0.25">
      <c r="A136" s="2" t="s">
        <v>63</v>
      </c>
      <c r="B136" s="2" t="s">
        <v>64</v>
      </c>
      <c r="C136" s="2" t="s">
        <v>80</v>
      </c>
      <c r="D136" s="2" t="s">
        <v>81</v>
      </c>
      <c r="E136" s="3">
        <v>1</v>
      </c>
      <c r="F136" s="3">
        <v>1803</v>
      </c>
      <c r="G136" s="3">
        <v>234</v>
      </c>
      <c r="H136" s="4">
        <v>22.46</v>
      </c>
      <c r="I136" s="4">
        <v>3480.2</v>
      </c>
      <c r="J136" s="5">
        <v>9.6000000000000002E-2</v>
      </c>
      <c r="K136" s="6">
        <v>1.2459E-2</v>
      </c>
    </row>
    <row r="137" spans="1:11" x14ac:dyDescent="0.25">
      <c r="A137" s="2" t="s">
        <v>63</v>
      </c>
      <c r="B137" s="2" t="s">
        <v>64</v>
      </c>
      <c r="C137" s="2" t="s">
        <v>80</v>
      </c>
      <c r="D137" s="2" t="s">
        <v>89</v>
      </c>
      <c r="E137" s="3">
        <v>1</v>
      </c>
      <c r="F137" s="3">
        <v>1601</v>
      </c>
      <c r="G137" s="3">
        <v>186</v>
      </c>
      <c r="H137" s="4">
        <v>17.86</v>
      </c>
      <c r="I137" s="4">
        <v>2669.1</v>
      </c>
      <c r="J137" s="5">
        <v>9.6000000000000002E-2</v>
      </c>
      <c r="K137" s="6">
        <v>1.1153E-2</v>
      </c>
    </row>
    <row r="138" spans="1:11" x14ac:dyDescent="0.25">
      <c r="A138" s="2" t="s">
        <v>63</v>
      </c>
      <c r="B138" s="2" t="s">
        <v>64</v>
      </c>
      <c r="C138" s="2" t="s">
        <v>57</v>
      </c>
      <c r="D138" s="2" t="s">
        <v>125</v>
      </c>
      <c r="E138" s="3">
        <v>1</v>
      </c>
      <c r="F138" s="3">
        <v>1545</v>
      </c>
      <c r="G138" s="3">
        <v>104</v>
      </c>
      <c r="H138" s="4">
        <v>12.55</v>
      </c>
      <c r="I138" s="4">
        <v>1516</v>
      </c>
      <c r="J138" s="5">
        <v>0.1207</v>
      </c>
      <c r="K138" s="6">
        <v>8.123E-3</v>
      </c>
    </row>
    <row r="139" spans="1:11" x14ac:dyDescent="0.25">
      <c r="A139" s="2" t="s">
        <v>63</v>
      </c>
      <c r="B139" s="2" t="s">
        <v>64</v>
      </c>
      <c r="C139" s="2" t="s">
        <v>57</v>
      </c>
      <c r="D139" s="2" t="s">
        <v>109</v>
      </c>
      <c r="E139" s="3">
        <v>1</v>
      </c>
      <c r="F139" s="3">
        <v>1027</v>
      </c>
      <c r="G139" s="3">
        <v>129</v>
      </c>
      <c r="H139" s="4">
        <v>14.12</v>
      </c>
      <c r="I139" s="4">
        <v>1608.1</v>
      </c>
      <c r="J139" s="5">
        <v>0.1095</v>
      </c>
      <c r="K139" s="6">
        <v>1.3749000000000001E-2</v>
      </c>
    </row>
    <row r="140" spans="1:11" x14ac:dyDescent="0.25">
      <c r="A140" s="2" t="s">
        <v>63</v>
      </c>
      <c r="B140" s="2" t="s">
        <v>64</v>
      </c>
      <c r="C140" s="2" t="s">
        <v>57</v>
      </c>
      <c r="D140" s="2" t="s">
        <v>151</v>
      </c>
      <c r="E140" s="3">
        <v>1</v>
      </c>
      <c r="F140" s="3">
        <v>820</v>
      </c>
      <c r="G140" s="3">
        <v>93</v>
      </c>
      <c r="H140" s="4">
        <v>8.93</v>
      </c>
      <c r="I140" s="4">
        <v>1002.1</v>
      </c>
      <c r="J140" s="5">
        <v>9.6000000000000002E-2</v>
      </c>
      <c r="K140" s="6">
        <v>1.089E-2</v>
      </c>
    </row>
    <row r="141" spans="1:11" x14ac:dyDescent="0.25">
      <c r="A141" s="2" t="s">
        <v>63</v>
      </c>
      <c r="B141" s="2" t="s">
        <v>64</v>
      </c>
      <c r="C141" s="2" t="s">
        <v>57</v>
      </c>
      <c r="D141" s="2" t="s">
        <v>114</v>
      </c>
      <c r="E141" s="3">
        <v>3</v>
      </c>
      <c r="F141" s="3">
        <v>1425</v>
      </c>
      <c r="G141" s="3">
        <v>144</v>
      </c>
      <c r="H141" s="4">
        <v>13.82</v>
      </c>
      <c r="I141" s="4">
        <v>1644</v>
      </c>
      <c r="J141" s="5">
        <v>9.6000000000000002E-2</v>
      </c>
      <c r="K141" s="6">
        <v>9.7009999999999996E-3</v>
      </c>
    </row>
    <row r="142" spans="1:11" x14ac:dyDescent="0.25">
      <c r="A142" s="2" t="s">
        <v>63</v>
      </c>
      <c r="B142" s="2" t="s">
        <v>64</v>
      </c>
      <c r="C142" s="2" t="s">
        <v>161</v>
      </c>
      <c r="D142" s="2" t="s">
        <v>162</v>
      </c>
      <c r="E142" s="3">
        <v>1</v>
      </c>
      <c r="F142" s="3">
        <v>1496</v>
      </c>
      <c r="G142" s="3">
        <v>78</v>
      </c>
      <c r="H142" s="4">
        <v>7.99</v>
      </c>
      <c r="I142" s="4">
        <v>689.8</v>
      </c>
      <c r="J142" s="5">
        <v>0.10249999999999999</v>
      </c>
      <c r="K142" s="6">
        <v>5.3439999999999998E-3</v>
      </c>
    </row>
    <row r="143" spans="1:11" x14ac:dyDescent="0.25">
      <c r="A143" s="2" t="s">
        <v>63</v>
      </c>
      <c r="B143" s="2" t="s">
        <v>64</v>
      </c>
      <c r="C143" s="2" t="s">
        <v>161</v>
      </c>
      <c r="D143" s="2" t="s">
        <v>245</v>
      </c>
      <c r="E143" s="3">
        <v>1</v>
      </c>
      <c r="F143" s="3">
        <v>819</v>
      </c>
      <c r="G143" s="3">
        <v>42</v>
      </c>
      <c r="H143" s="4">
        <v>4.29</v>
      </c>
      <c r="I143" s="4">
        <v>489.9</v>
      </c>
      <c r="J143" s="5">
        <v>0.1021</v>
      </c>
      <c r="K143" s="6">
        <v>5.2379999999999996E-3</v>
      </c>
    </row>
    <row r="144" spans="1:11" x14ac:dyDescent="0.25">
      <c r="A144" s="2" t="s">
        <v>63</v>
      </c>
      <c r="B144" s="2" t="s">
        <v>64</v>
      </c>
      <c r="C144" s="2" t="s">
        <v>87</v>
      </c>
      <c r="D144" s="2" t="s">
        <v>166</v>
      </c>
      <c r="E144" s="3">
        <v>2</v>
      </c>
      <c r="F144" s="3">
        <v>1642</v>
      </c>
      <c r="G144" s="3">
        <v>84</v>
      </c>
      <c r="H144" s="4">
        <v>7.81</v>
      </c>
      <c r="I144" s="4">
        <v>840</v>
      </c>
      <c r="J144" s="5">
        <v>9.2999999999999999E-2</v>
      </c>
      <c r="K144" s="6">
        <v>4.7569999999999999E-3</v>
      </c>
    </row>
    <row r="145" spans="1:11" x14ac:dyDescent="0.25">
      <c r="A145" s="2" t="s">
        <v>63</v>
      </c>
      <c r="B145" s="2" t="s">
        <v>64</v>
      </c>
      <c r="C145" s="2" t="s">
        <v>87</v>
      </c>
      <c r="D145" s="2" t="s">
        <v>108</v>
      </c>
      <c r="E145" s="3">
        <v>1</v>
      </c>
      <c r="F145" s="3">
        <v>1619</v>
      </c>
      <c r="G145" s="3">
        <v>162</v>
      </c>
      <c r="H145" s="4">
        <v>14.58</v>
      </c>
      <c r="I145" s="4">
        <v>1944</v>
      </c>
      <c r="J145" s="5">
        <v>0.09</v>
      </c>
      <c r="K145" s="6">
        <v>9.0060000000000001E-3</v>
      </c>
    </row>
    <row r="146" spans="1:11" x14ac:dyDescent="0.25">
      <c r="A146" s="2" t="s">
        <v>63</v>
      </c>
      <c r="B146" s="2" t="s">
        <v>64</v>
      </c>
      <c r="C146" s="2" t="s">
        <v>87</v>
      </c>
      <c r="D146" s="2" t="s">
        <v>88</v>
      </c>
      <c r="E146" s="3">
        <v>1</v>
      </c>
      <c r="F146" s="3">
        <v>2014</v>
      </c>
      <c r="G146" s="3">
        <v>201</v>
      </c>
      <c r="H146" s="4">
        <v>18.09</v>
      </c>
      <c r="I146" s="4">
        <v>2313</v>
      </c>
      <c r="J146" s="5">
        <v>0.09</v>
      </c>
      <c r="K146" s="6">
        <v>8.9820000000000004E-3</v>
      </c>
    </row>
    <row r="147" spans="1:11" x14ac:dyDescent="0.25">
      <c r="A147" s="2" t="s">
        <v>63</v>
      </c>
      <c r="B147" s="2" t="s">
        <v>64</v>
      </c>
      <c r="C147" s="2" t="s">
        <v>66</v>
      </c>
      <c r="D147" s="2" t="s">
        <v>165</v>
      </c>
      <c r="E147" s="3">
        <v>1</v>
      </c>
      <c r="F147" s="3">
        <v>1513</v>
      </c>
      <c r="G147" s="3">
        <v>76</v>
      </c>
      <c r="H147" s="4">
        <v>7.93</v>
      </c>
      <c r="I147" s="4">
        <v>1286.7</v>
      </c>
      <c r="J147" s="5">
        <v>0.10440000000000001</v>
      </c>
      <c r="K147" s="6">
        <v>5.2440000000000004E-3</v>
      </c>
    </row>
    <row r="148" spans="1:11" x14ac:dyDescent="0.25">
      <c r="A148" s="2" t="s">
        <v>63</v>
      </c>
      <c r="B148" s="2" t="s">
        <v>64</v>
      </c>
      <c r="C148" s="2" t="s">
        <v>66</v>
      </c>
      <c r="D148" s="2" t="s">
        <v>216</v>
      </c>
      <c r="E148" s="3">
        <v>1</v>
      </c>
      <c r="F148" s="3">
        <v>717</v>
      </c>
      <c r="G148" s="3">
        <v>55</v>
      </c>
      <c r="H148" s="4">
        <v>5.28</v>
      </c>
      <c r="I148" s="4">
        <v>845</v>
      </c>
      <c r="J148" s="5">
        <v>9.6000000000000002E-2</v>
      </c>
      <c r="K148" s="6">
        <v>7.3639999999999999E-3</v>
      </c>
    </row>
    <row r="149" spans="1:11" x14ac:dyDescent="0.25">
      <c r="A149" s="2" t="s">
        <v>63</v>
      </c>
      <c r="B149" s="2" t="s">
        <v>64</v>
      </c>
      <c r="C149" s="2" t="s">
        <v>66</v>
      </c>
      <c r="D149" s="2" t="s">
        <v>118</v>
      </c>
      <c r="E149" s="3">
        <v>1</v>
      </c>
      <c r="F149" s="3">
        <v>1810</v>
      </c>
      <c r="G149" s="3">
        <v>139</v>
      </c>
      <c r="H149" s="4">
        <v>13.34</v>
      </c>
      <c r="I149" s="4">
        <v>2182.6</v>
      </c>
      <c r="J149" s="5">
        <v>9.6000000000000002E-2</v>
      </c>
      <c r="K149" s="6">
        <v>7.3720000000000001E-3</v>
      </c>
    </row>
    <row r="150" spans="1:11" x14ac:dyDescent="0.25">
      <c r="A150" s="2" t="s">
        <v>63</v>
      </c>
      <c r="B150" s="2" t="s">
        <v>64</v>
      </c>
      <c r="C150" s="2" t="s">
        <v>66</v>
      </c>
      <c r="D150" s="2" t="s">
        <v>188</v>
      </c>
      <c r="E150" s="3">
        <v>1</v>
      </c>
      <c r="F150" s="3">
        <v>1048</v>
      </c>
      <c r="G150" s="3">
        <v>59</v>
      </c>
      <c r="H150" s="4">
        <v>6.4</v>
      </c>
      <c r="I150" s="4">
        <v>1347</v>
      </c>
      <c r="J150" s="5">
        <v>0.1085</v>
      </c>
      <c r="K150" s="6">
        <v>6.1069999999999996E-3</v>
      </c>
    </row>
    <row r="151" spans="1:11" x14ac:dyDescent="0.25">
      <c r="A151" s="2" t="s">
        <v>63</v>
      </c>
      <c r="B151" s="2" t="s">
        <v>64</v>
      </c>
      <c r="C151" s="2" t="s">
        <v>66</v>
      </c>
      <c r="D151" s="2" t="s">
        <v>119</v>
      </c>
      <c r="E151" s="3">
        <v>1</v>
      </c>
      <c r="F151" s="3">
        <v>1800</v>
      </c>
      <c r="G151" s="3">
        <v>139</v>
      </c>
      <c r="H151" s="4">
        <v>13.34</v>
      </c>
      <c r="I151" s="4">
        <v>2495.9</v>
      </c>
      <c r="J151" s="5">
        <v>9.6000000000000002E-2</v>
      </c>
      <c r="K151" s="6">
        <v>7.4130000000000003E-3</v>
      </c>
    </row>
    <row r="152" spans="1:11" x14ac:dyDescent="0.25">
      <c r="A152" s="2" t="s">
        <v>63</v>
      </c>
      <c r="B152" s="2" t="s">
        <v>64</v>
      </c>
      <c r="C152" s="2" t="s">
        <v>66</v>
      </c>
      <c r="D152" s="2" t="s">
        <v>195</v>
      </c>
      <c r="E152" s="3">
        <v>1</v>
      </c>
      <c r="F152" s="3">
        <v>801</v>
      </c>
      <c r="G152" s="3">
        <v>62</v>
      </c>
      <c r="H152" s="4">
        <v>5.95</v>
      </c>
      <c r="I152" s="4">
        <v>973.3</v>
      </c>
      <c r="J152" s="5">
        <v>9.6000000000000002E-2</v>
      </c>
      <c r="K152" s="6">
        <v>7.4310000000000001E-3</v>
      </c>
    </row>
    <row r="153" spans="1:11" x14ac:dyDescent="0.25">
      <c r="A153" s="2" t="s">
        <v>63</v>
      </c>
      <c r="B153" s="2" t="s">
        <v>64</v>
      </c>
      <c r="C153" s="2" t="s">
        <v>66</v>
      </c>
      <c r="D153" s="2" t="s">
        <v>328</v>
      </c>
      <c r="E153" s="3">
        <v>1</v>
      </c>
      <c r="F153" s="3">
        <v>633</v>
      </c>
      <c r="G153" s="3">
        <v>28</v>
      </c>
      <c r="H153" s="4">
        <v>2.69</v>
      </c>
      <c r="I153" s="4">
        <v>674.4</v>
      </c>
      <c r="J153" s="5">
        <v>9.6000000000000002E-2</v>
      </c>
      <c r="K153" s="6">
        <v>4.2459999999999998E-3</v>
      </c>
    </row>
    <row r="154" spans="1:11" x14ac:dyDescent="0.25">
      <c r="A154" s="2" t="s">
        <v>63</v>
      </c>
      <c r="B154" s="2" t="s">
        <v>64</v>
      </c>
      <c r="C154" s="2" t="s">
        <v>66</v>
      </c>
      <c r="D154" s="2" t="s">
        <v>334</v>
      </c>
      <c r="E154" s="3">
        <v>1</v>
      </c>
      <c r="F154" s="3">
        <v>617</v>
      </c>
      <c r="G154" s="3">
        <v>27</v>
      </c>
      <c r="H154" s="4">
        <v>2.59</v>
      </c>
      <c r="I154" s="4">
        <v>655.7</v>
      </c>
      <c r="J154" s="5">
        <v>9.6000000000000002E-2</v>
      </c>
      <c r="K154" s="6">
        <v>4.2009999999999999E-3</v>
      </c>
    </row>
    <row r="155" spans="1:11" x14ac:dyDescent="0.25">
      <c r="A155" s="2" t="s">
        <v>63</v>
      </c>
      <c r="B155" s="2" t="s">
        <v>64</v>
      </c>
      <c r="C155" s="2" t="s">
        <v>66</v>
      </c>
      <c r="D155" s="2" t="s">
        <v>196</v>
      </c>
      <c r="E155" s="3">
        <v>1</v>
      </c>
      <c r="F155" s="3">
        <v>865</v>
      </c>
      <c r="G155" s="3">
        <v>62</v>
      </c>
      <c r="H155" s="4">
        <v>5.95</v>
      </c>
      <c r="I155" s="4">
        <v>959.3</v>
      </c>
      <c r="J155" s="5">
        <v>9.6000000000000002E-2</v>
      </c>
      <c r="K155" s="6">
        <v>6.881E-3</v>
      </c>
    </row>
    <row r="156" spans="1:11" x14ac:dyDescent="0.25">
      <c r="A156" s="2" t="s">
        <v>63</v>
      </c>
      <c r="B156" s="2" t="s">
        <v>64</v>
      </c>
      <c r="C156" s="2" t="s">
        <v>87</v>
      </c>
      <c r="D156" s="2" t="s">
        <v>282</v>
      </c>
      <c r="E156" s="3">
        <v>1</v>
      </c>
      <c r="F156" s="3">
        <v>706</v>
      </c>
      <c r="G156" s="3">
        <v>36</v>
      </c>
      <c r="H156" s="4">
        <v>3.46</v>
      </c>
      <c r="I156" s="4">
        <v>557</v>
      </c>
      <c r="J156" s="5">
        <v>9.6000000000000002E-2</v>
      </c>
      <c r="K156" s="6">
        <v>4.895E-3</v>
      </c>
    </row>
    <row r="157" spans="1:11" x14ac:dyDescent="0.25">
      <c r="A157" s="2" t="s">
        <v>63</v>
      </c>
      <c r="B157" s="2" t="s">
        <v>540</v>
      </c>
      <c r="C157" s="2" t="s">
        <v>541</v>
      </c>
      <c r="D157" s="2" t="s">
        <v>542</v>
      </c>
      <c r="E157" s="3">
        <v>1</v>
      </c>
      <c r="F157" s="3">
        <v>1000</v>
      </c>
      <c r="G157" s="3">
        <v>13</v>
      </c>
      <c r="H157" s="4">
        <v>0.77</v>
      </c>
      <c r="I157" s="4">
        <v>140.6</v>
      </c>
      <c r="J157" s="5">
        <v>5.8799999999999998E-2</v>
      </c>
      <c r="K157" s="6">
        <v>7.6499999999999995E-4</v>
      </c>
    </row>
    <row r="158" spans="1:11" x14ac:dyDescent="0.25">
      <c r="A158" s="2" t="s">
        <v>63</v>
      </c>
      <c r="B158" s="2" t="s">
        <v>540</v>
      </c>
      <c r="C158" s="2" t="s">
        <v>541</v>
      </c>
      <c r="D158" s="2" t="s">
        <v>546</v>
      </c>
      <c r="E158" s="3">
        <v>1</v>
      </c>
      <c r="F158" s="3">
        <v>800</v>
      </c>
      <c r="G158" s="3">
        <v>12</v>
      </c>
      <c r="H158" s="4">
        <v>0.71</v>
      </c>
      <c r="I158" s="4">
        <v>115.7</v>
      </c>
      <c r="J158" s="5">
        <v>5.8799999999999998E-2</v>
      </c>
      <c r="K158" s="6">
        <v>8.8199999999999997E-4</v>
      </c>
    </row>
    <row r="159" spans="1:11" x14ac:dyDescent="0.25">
      <c r="A159" s="2" t="s">
        <v>63</v>
      </c>
      <c r="B159" s="2" t="s">
        <v>540</v>
      </c>
      <c r="C159" s="2" t="s">
        <v>541</v>
      </c>
      <c r="D159" s="2" t="s">
        <v>547</v>
      </c>
      <c r="E159" s="3">
        <v>1</v>
      </c>
      <c r="F159" s="3">
        <v>800</v>
      </c>
      <c r="G159" s="3">
        <v>12</v>
      </c>
      <c r="H159" s="4">
        <v>0.71</v>
      </c>
      <c r="I159" s="4">
        <v>122</v>
      </c>
      <c r="J159" s="5">
        <v>5.8799999999999998E-2</v>
      </c>
      <c r="K159" s="6">
        <v>8.8199999999999997E-4</v>
      </c>
    </row>
    <row r="160" spans="1:11" x14ac:dyDescent="0.25">
      <c r="A160" s="2" t="s">
        <v>63</v>
      </c>
      <c r="B160" s="2" t="s">
        <v>102</v>
      </c>
      <c r="C160" s="2" t="s">
        <v>103</v>
      </c>
      <c r="D160" s="2" t="s">
        <v>236</v>
      </c>
      <c r="E160" s="3">
        <v>1</v>
      </c>
      <c r="F160" s="3">
        <v>1794</v>
      </c>
      <c r="G160" s="3">
        <v>56</v>
      </c>
      <c r="H160" s="4">
        <v>4.76</v>
      </c>
      <c r="I160" s="4">
        <v>1327.3</v>
      </c>
      <c r="J160" s="5">
        <v>8.5000000000000006E-2</v>
      </c>
      <c r="K160" s="6">
        <v>2.653E-3</v>
      </c>
    </row>
    <row r="161" spans="1:11" x14ac:dyDescent="0.25">
      <c r="A161" s="2" t="s">
        <v>63</v>
      </c>
      <c r="B161" s="2" t="s">
        <v>102</v>
      </c>
      <c r="C161" s="2" t="s">
        <v>103</v>
      </c>
      <c r="D161" s="2" t="s">
        <v>422</v>
      </c>
      <c r="E161" s="3">
        <v>1</v>
      </c>
      <c r="F161" s="3">
        <v>810</v>
      </c>
      <c r="G161" s="3">
        <v>20</v>
      </c>
      <c r="H161" s="4">
        <v>1.7</v>
      </c>
      <c r="I161" s="4">
        <v>471</v>
      </c>
      <c r="J161" s="5">
        <v>8.5000000000000006E-2</v>
      </c>
      <c r="K161" s="6">
        <v>2.0990000000000002E-3</v>
      </c>
    </row>
    <row r="162" spans="1:11" x14ac:dyDescent="0.25">
      <c r="A162" s="2" t="s">
        <v>63</v>
      </c>
      <c r="B162" s="2" t="s">
        <v>102</v>
      </c>
      <c r="C162" s="2" t="s">
        <v>132</v>
      </c>
      <c r="D162" s="2" t="s">
        <v>244</v>
      </c>
      <c r="E162" s="3">
        <v>1</v>
      </c>
      <c r="F162" s="3">
        <v>1321</v>
      </c>
      <c r="G162" s="3">
        <v>45</v>
      </c>
      <c r="H162" s="4">
        <v>4.32</v>
      </c>
      <c r="I162" s="4">
        <v>768</v>
      </c>
      <c r="J162" s="5">
        <v>9.6000000000000002E-2</v>
      </c>
      <c r="K162" s="6">
        <v>3.2699999999999999E-3</v>
      </c>
    </row>
    <row r="163" spans="1:11" x14ac:dyDescent="0.25">
      <c r="A163" s="2" t="s">
        <v>63</v>
      </c>
      <c r="B163" s="2" t="s">
        <v>102</v>
      </c>
      <c r="C163" s="2" t="s">
        <v>103</v>
      </c>
      <c r="D163" s="2" t="s">
        <v>292</v>
      </c>
      <c r="E163" s="3">
        <v>1</v>
      </c>
      <c r="F163" s="3">
        <v>1192</v>
      </c>
      <c r="G163" s="3">
        <v>38</v>
      </c>
      <c r="H163" s="4">
        <v>3.23</v>
      </c>
      <c r="I163" s="4">
        <v>861.6</v>
      </c>
      <c r="J163" s="5">
        <v>8.5000000000000006E-2</v>
      </c>
      <c r="K163" s="6">
        <v>2.7100000000000002E-3</v>
      </c>
    </row>
    <row r="164" spans="1:11" x14ac:dyDescent="0.25">
      <c r="A164" s="2" t="s">
        <v>63</v>
      </c>
      <c r="B164" s="2" t="s">
        <v>102</v>
      </c>
      <c r="C164" s="2" t="s">
        <v>220</v>
      </c>
      <c r="D164" s="2" t="s">
        <v>594</v>
      </c>
      <c r="E164" s="3">
        <v>1</v>
      </c>
      <c r="F164" s="3">
        <v>765</v>
      </c>
      <c r="G164" s="3">
        <v>27</v>
      </c>
      <c r="H164" s="4">
        <v>0</v>
      </c>
      <c r="I164" s="4">
        <v>525</v>
      </c>
      <c r="J164" s="5">
        <v>0</v>
      </c>
      <c r="K164" s="6">
        <v>0</v>
      </c>
    </row>
    <row r="165" spans="1:11" x14ac:dyDescent="0.25">
      <c r="A165" s="2" t="s">
        <v>63</v>
      </c>
      <c r="B165" s="2" t="s">
        <v>102</v>
      </c>
      <c r="C165" s="2" t="s">
        <v>220</v>
      </c>
      <c r="D165" s="2" t="s">
        <v>221</v>
      </c>
      <c r="E165" s="3">
        <v>1</v>
      </c>
      <c r="F165" s="3">
        <v>1431</v>
      </c>
      <c r="G165" s="3">
        <v>60</v>
      </c>
      <c r="H165" s="4">
        <v>5.0999999999999996</v>
      </c>
      <c r="I165" s="4">
        <v>1276.4000000000001</v>
      </c>
      <c r="J165" s="5">
        <v>8.5000000000000006E-2</v>
      </c>
      <c r="K165" s="6">
        <v>3.5639999999999999E-3</v>
      </c>
    </row>
    <row r="166" spans="1:11" x14ac:dyDescent="0.25">
      <c r="A166" s="2" t="s">
        <v>63</v>
      </c>
      <c r="B166" s="2" t="s">
        <v>102</v>
      </c>
      <c r="C166" s="2" t="s">
        <v>132</v>
      </c>
      <c r="D166" s="2" t="s">
        <v>595</v>
      </c>
      <c r="E166" s="3">
        <v>1</v>
      </c>
      <c r="F166" s="3">
        <v>1267</v>
      </c>
      <c r="G166" s="3">
        <v>40</v>
      </c>
      <c r="H166" s="4">
        <v>0</v>
      </c>
      <c r="I166" s="4">
        <v>775</v>
      </c>
      <c r="J166" s="5">
        <v>0</v>
      </c>
      <c r="K166" s="6">
        <v>0</v>
      </c>
    </row>
    <row r="167" spans="1:11" x14ac:dyDescent="0.25">
      <c r="A167" s="2" t="s">
        <v>63</v>
      </c>
      <c r="B167" s="2" t="s">
        <v>102</v>
      </c>
      <c r="C167" s="2" t="s">
        <v>132</v>
      </c>
      <c r="D167" s="2" t="s">
        <v>251</v>
      </c>
      <c r="E167" s="3">
        <v>1</v>
      </c>
      <c r="F167" s="3">
        <v>1688</v>
      </c>
      <c r="G167" s="3">
        <v>43</v>
      </c>
      <c r="H167" s="4">
        <v>4.13</v>
      </c>
      <c r="I167" s="4">
        <v>1024</v>
      </c>
      <c r="J167" s="5">
        <v>9.6000000000000002E-2</v>
      </c>
      <c r="K167" s="6">
        <v>2.4450000000000001E-3</v>
      </c>
    </row>
    <row r="168" spans="1:11" x14ac:dyDescent="0.25">
      <c r="A168" s="2" t="s">
        <v>63</v>
      </c>
      <c r="B168" s="2" t="s">
        <v>102</v>
      </c>
      <c r="C168" s="2" t="s">
        <v>132</v>
      </c>
      <c r="D168" s="2" t="s">
        <v>271</v>
      </c>
      <c r="E168" s="3">
        <v>1</v>
      </c>
      <c r="F168" s="3">
        <v>1547</v>
      </c>
      <c r="G168" s="3">
        <v>39</v>
      </c>
      <c r="H168" s="4">
        <v>3.75</v>
      </c>
      <c r="I168" s="4">
        <v>929</v>
      </c>
      <c r="J168" s="5">
        <v>9.6199999999999994E-2</v>
      </c>
      <c r="K168" s="6">
        <v>2.4260000000000002E-3</v>
      </c>
    </row>
    <row r="169" spans="1:11" x14ac:dyDescent="0.25">
      <c r="A169" s="2" t="s">
        <v>63</v>
      </c>
      <c r="B169" s="2" t="s">
        <v>102</v>
      </c>
      <c r="C169" s="2" t="s">
        <v>132</v>
      </c>
      <c r="D169" s="2" t="s">
        <v>333</v>
      </c>
      <c r="E169" s="3">
        <v>2</v>
      </c>
      <c r="F169" s="3">
        <v>1002</v>
      </c>
      <c r="G169" s="3">
        <v>27</v>
      </c>
      <c r="H169" s="4">
        <v>2.62</v>
      </c>
      <c r="I169" s="4">
        <v>652.1</v>
      </c>
      <c r="J169" s="5">
        <v>9.69E-2</v>
      </c>
      <c r="K169" s="6">
        <v>2.611E-3</v>
      </c>
    </row>
    <row r="170" spans="1:11" x14ac:dyDescent="0.25">
      <c r="A170" s="2" t="s">
        <v>63</v>
      </c>
      <c r="B170" s="2" t="s">
        <v>102</v>
      </c>
      <c r="C170" s="2" t="s">
        <v>132</v>
      </c>
      <c r="D170" s="2" t="s">
        <v>353</v>
      </c>
      <c r="E170" s="3">
        <v>1</v>
      </c>
      <c r="F170" s="3">
        <v>985</v>
      </c>
      <c r="G170" s="3">
        <v>25</v>
      </c>
      <c r="H170" s="4">
        <v>2.4</v>
      </c>
      <c r="I170" s="4">
        <v>559</v>
      </c>
      <c r="J170" s="5">
        <v>9.6000000000000002E-2</v>
      </c>
      <c r="K170" s="6">
        <v>2.4369999999999999E-3</v>
      </c>
    </row>
    <row r="171" spans="1:11" x14ac:dyDescent="0.25">
      <c r="A171" s="2" t="s">
        <v>63</v>
      </c>
      <c r="B171" s="2" t="s">
        <v>102</v>
      </c>
      <c r="C171" s="2" t="s">
        <v>132</v>
      </c>
      <c r="D171" s="2" t="s">
        <v>596</v>
      </c>
      <c r="E171" s="3">
        <v>1</v>
      </c>
      <c r="F171" s="3">
        <v>1596</v>
      </c>
      <c r="G171" s="3">
        <v>46</v>
      </c>
      <c r="H171" s="4">
        <v>0</v>
      </c>
      <c r="I171" s="4">
        <v>904.5</v>
      </c>
      <c r="J171" s="5">
        <v>0</v>
      </c>
      <c r="K171" s="6">
        <v>0</v>
      </c>
    </row>
    <row r="172" spans="1:11" x14ac:dyDescent="0.25">
      <c r="A172" s="2" t="s">
        <v>63</v>
      </c>
      <c r="B172" s="2" t="s">
        <v>102</v>
      </c>
      <c r="C172" s="2" t="s">
        <v>132</v>
      </c>
      <c r="D172" s="2" t="s">
        <v>277</v>
      </c>
      <c r="E172" s="3">
        <v>1</v>
      </c>
      <c r="F172" s="3">
        <v>1471</v>
      </c>
      <c r="G172" s="3">
        <v>37</v>
      </c>
      <c r="H172" s="4">
        <v>3.55</v>
      </c>
      <c r="I172" s="4">
        <v>942</v>
      </c>
      <c r="J172" s="5">
        <v>9.6000000000000002E-2</v>
      </c>
      <c r="K172" s="6">
        <v>2.415E-3</v>
      </c>
    </row>
    <row r="173" spans="1:11" x14ac:dyDescent="0.25">
      <c r="A173" s="2" t="s">
        <v>63</v>
      </c>
      <c r="B173" s="2" t="s">
        <v>102</v>
      </c>
      <c r="C173" s="2" t="s">
        <v>132</v>
      </c>
      <c r="D173" s="2" t="s">
        <v>587</v>
      </c>
      <c r="E173" s="3">
        <v>1</v>
      </c>
      <c r="F173" s="3">
        <v>952</v>
      </c>
      <c r="G173" s="3">
        <v>26</v>
      </c>
      <c r="H173" s="4">
        <v>0</v>
      </c>
      <c r="I173" s="4">
        <v>534.79999999999995</v>
      </c>
      <c r="J173" s="5">
        <v>0</v>
      </c>
      <c r="K173" s="6">
        <v>0</v>
      </c>
    </row>
    <row r="174" spans="1:11" x14ac:dyDescent="0.25">
      <c r="A174" s="2" t="s">
        <v>63</v>
      </c>
      <c r="B174" s="2" t="s">
        <v>102</v>
      </c>
      <c r="C174" s="2" t="s">
        <v>132</v>
      </c>
      <c r="D174" s="2" t="s">
        <v>591</v>
      </c>
      <c r="E174" s="3">
        <v>1</v>
      </c>
      <c r="F174" s="3">
        <v>917</v>
      </c>
      <c r="G174" s="3">
        <v>33</v>
      </c>
      <c r="H174" s="4">
        <v>0</v>
      </c>
      <c r="I174" s="4">
        <v>635.29999999999995</v>
      </c>
      <c r="J174" s="5">
        <v>0</v>
      </c>
      <c r="K174" s="6">
        <v>0</v>
      </c>
    </row>
    <row r="175" spans="1:11" x14ac:dyDescent="0.25">
      <c r="A175" s="2" t="s">
        <v>63</v>
      </c>
      <c r="B175" s="2" t="s">
        <v>102</v>
      </c>
      <c r="C175" s="2" t="s">
        <v>132</v>
      </c>
      <c r="D175" s="2" t="s">
        <v>383</v>
      </c>
      <c r="E175" s="3">
        <v>1</v>
      </c>
      <c r="F175" s="3">
        <v>844</v>
      </c>
      <c r="G175" s="3">
        <v>22</v>
      </c>
      <c r="H175" s="4">
        <v>2.11</v>
      </c>
      <c r="I175" s="4">
        <v>546</v>
      </c>
      <c r="J175" s="5">
        <v>9.6000000000000002E-2</v>
      </c>
      <c r="K175" s="6">
        <v>2.5019999999999999E-3</v>
      </c>
    </row>
    <row r="176" spans="1:11" x14ac:dyDescent="0.25">
      <c r="A176" s="2" t="s">
        <v>63</v>
      </c>
      <c r="B176" s="2" t="s">
        <v>102</v>
      </c>
      <c r="C176" s="2" t="s">
        <v>132</v>
      </c>
      <c r="D176" s="2" t="s">
        <v>388</v>
      </c>
      <c r="E176" s="3">
        <v>1</v>
      </c>
      <c r="F176" s="3">
        <v>830</v>
      </c>
      <c r="G176" s="3">
        <v>21</v>
      </c>
      <c r="H176" s="4">
        <v>2.02</v>
      </c>
      <c r="I176" s="4">
        <v>545</v>
      </c>
      <c r="J176" s="5">
        <v>9.6000000000000002E-2</v>
      </c>
      <c r="K176" s="6">
        <v>2.4290000000000002E-3</v>
      </c>
    </row>
    <row r="177" spans="1:11" x14ac:dyDescent="0.25">
      <c r="A177" s="2" t="s">
        <v>63</v>
      </c>
      <c r="B177" s="2" t="s">
        <v>102</v>
      </c>
      <c r="C177" s="2" t="s">
        <v>132</v>
      </c>
      <c r="D177" s="2" t="s">
        <v>358</v>
      </c>
      <c r="E177" s="3">
        <v>1</v>
      </c>
      <c r="F177" s="3">
        <v>814</v>
      </c>
      <c r="G177" s="3">
        <v>31</v>
      </c>
      <c r="H177" s="4">
        <v>2.38</v>
      </c>
      <c r="I177" s="4">
        <v>665.1</v>
      </c>
      <c r="J177" s="5">
        <v>7.6799999999999993E-2</v>
      </c>
      <c r="K177" s="6">
        <v>2.9250000000000001E-3</v>
      </c>
    </row>
    <row r="178" spans="1:11" x14ac:dyDescent="0.25">
      <c r="A178" s="2" t="s">
        <v>63</v>
      </c>
      <c r="B178" s="2" t="s">
        <v>102</v>
      </c>
      <c r="C178" s="2" t="s">
        <v>132</v>
      </c>
      <c r="D178" s="2" t="s">
        <v>403</v>
      </c>
      <c r="E178" s="3">
        <v>1</v>
      </c>
      <c r="F178" s="3">
        <v>750</v>
      </c>
      <c r="G178" s="3">
        <v>19</v>
      </c>
      <c r="H178" s="4">
        <v>1.82</v>
      </c>
      <c r="I178" s="4">
        <v>478</v>
      </c>
      <c r="J178" s="5">
        <v>9.6000000000000002E-2</v>
      </c>
      <c r="K178" s="6">
        <v>2.4320000000000001E-3</v>
      </c>
    </row>
    <row r="179" spans="1:11" x14ac:dyDescent="0.25">
      <c r="A179" s="2" t="s">
        <v>63</v>
      </c>
      <c r="B179" s="2" t="s">
        <v>102</v>
      </c>
      <c r="C179" s="2" t="s">
        <v>132</v>
      </c>
      <c r="D179" s="2" t="s">
        <v>581</v>
      </c>
      <c r="E179" s="3">
        <v>1</v>
      </c>
      <c r="F179" s="3">
        <v>987</v>
      </c>
      <c r="G179" s="3">
        <v>33</v>
      </c>
      <c r="H179" s="4">
        <v>0</v>
      </c>
      <c r="I179" s="4">
        <v>685.4</v>
      </c>
      <c r="J179" s="5">
        <v>0</v>
      </c>
      <c r="K179" s="6">
        <v>0</v>
      </c>
    </row>
    <row r="180" spans="1:11" x14ac:dyDescent="0.25">
      <c r="A180" s="2" t="s">
        <v>63</v>
      </c>
      <c r="B180" s="2" t="s">
        <v>102</v>
      </c>
      <c r="C180" s="2" t="s">
        <v>132</v>
      </c>
      <c r="D180" s="2" t="s">
        <v>582</v>
      </c>
      <c r="E180" s="3">
        <v>1</v>
      </c>
      <c r="F180" s="3">
        <v>957</v>
      </c>
      <c r="G180" s="3">
        <v>34</v>
      </c>
      <c r="H180" s="4">
        <v>0</v>
      </c>
      <c r="I180" s="4">
        <v>692.1</v>
      </c>
      <c r="J180" s="5">
        <v>0</v>
      </c>
      <c r="K180" s="6">
        <v>0</v>
      </c>
    </row>
    <row r="181" spans="1:11" x14ac:dyDescent="0.25">
      <c r="A181" s="2" t="s">
        <v>63</v>
      </c>
      <c r="B181" s="2" t="s">
        <v>102</v>
      </c>
      <c r="C181" s="2" t="s">
        <v>132</v>
      </c>
      <c r="D181" s="2" t="s">
        <v>278</v>
      </c>
      <c r="E181" s="3">
        <v>1</v>
      </c>
      <c r="F181" s="3">
        <v>1451</v>
      </c>
      <c r="G181" s="3">
        <v>37</v>
      </c>
      <c r="H181" s="4">
        <v>3.55</v>
      </c>
      <c r="I181" s="4">
        <v>1028</v>
      </c>
      <c r="J181" s="5">
        <v>9.6000000000000002E-2</v>
      </c>
      <c r="K181" s="6">
        <v>2.4480000000000001E-3</v>
      </c>
    </row>
    <row r="182" spans="1:11" x14ac:dyDescent="0.25">
      <c r="A182" s="2" t="s">
        <v>63</v>
      </c>
      <c r="B182" s="2" t="s">
        <v>102</v>
      </c>
      <c r="C182" s="2" t="s">
        <v>132</v>
      </c>
      <c r="D182" s="2" t="s">
        <v>583</v>
      </c>
      <c r="E182" s="3">
        <v>1</v>
      </c>
      <c r="F182" s="3">
        <v>1257</v>
      </c>
      <c r="G182" s="3">
        <v>46</v>
      </c>
      <c r="H182" s="4">
        <v>0</v>
      </c>
      <c r="I182" s="4">
        <v>947.4</v>
      </c>
      <c r="J182" s="5">
        <v>0</v>
      </c>
      <c r="K182" s="6">
        <v>0</v>
      </c>
    </row>
    <row r="183" spans="1:11" x14ac:dyDescent="0.25">
      <c r="A183" s="2" t="s">
        <v>63</v>
      </c>
      <c r="B183" s="2" t="s">
        <v>102</v>
      </c>
      <c r="C183" s="2" t="s">
        <v>132</v>
      </c>
      <c r="D183" s="2" t="s">
        <v>584</v>
      </c>
      <c r="E183" s="3">
        <v>1</v>
      </c>
      <c r="F183" s="3">
        <v>1231</v>
      </c>
      <c r="G183" s="3">
        <v>43</v>
      </c>
      <c r="H183" s="4">
        <v>0</v>
      </c>
      <c r="I183" s="4">
        <v>884.6</v>
      </c>
      <c r="J183" s="5">
        <v>0</v>
      </c>
      <c r="K183" s="6">
        <v>0</v>
      </c>
    </row>
    <row r="184" spans="1:11" x14ac:dyDescent="0.25">
      <c r="A184" s="2" t="s">
        <v>63</v>
      </c>
      <c r="B184" s="2" t="s">
        <v>102</v>
      </c>
      <c r="C184" s="2" t="s">
        <v>132</v>
      </c>
      <c r="D184" s="2" t="s">
        <v>585</v>
      </c>
      <c r="E184" s="3">
        <v>1</v>
      </c>
      <c r="F184" s="3">
        <v>964</v>
      </c>
      <c r="G184" s="3">
        <v>36</v>
      </c>
      <c r="H184" s="4">
        <v>0</v>
      </c>
      <c r="I184" s="4">
        <v>729.7</v>
      </c>
      <c r="J184" s="5">
        <v>0</v>
      </c>
      <c r="K184" s="6">
        <v>0</v>
      </c>
    </row>
    <row r="185" spans="1:11" x14ac:dyDescent="0.25">
      <c r="A185" s="2" t="s">
        <v>63</v>
      </c>
      <c r="B185" s="2" t="s">
        <v>102</v>
      </c>
      <c r="C185" s="2" t="s">
        <v>132</v>
      </c>
      <c r="D185" s="2" t="s">
        <v>230</v>
      </c>
      <c r="E185" s="3">
        <v>1</v>
      </c>
      <c r="F185" s="3">
        <v>1576</v>
      </c>
      <c r="G185" s="3">
        <v>50</v>
      </c>
      <c r="H185" s="4">
        <v>4.8</v>
      </c>
      <c r="I185" s="4">
        <v>1250</v>
      </c>
      <c r="J185" s="5">
        <v>9.6000000000000002E-2</v>
      </c>
      <c r="K185" s="6">
        <v>3.0460000000000001E-3</v>
      </c>
    </row>
    <row r="186" spans="1:11" x14ac:dyDescent="0.25">
      <c r="A186" s="2" t="s">
        <v>63</v>
      </c>
      <c r="B186" s="2" t="s">
        <v>102</v>
      </c>
      <c r="C186" s="2" t="s">
        <v>132</v>
      </c>
      <c r="D186" s="2" t="s">
        <v>223</v>
      </c>
      <c r="E186" s="3">
        <v>1</v>
      </c>
      <c r="F186" s="3">
        <v>1659</v>
      </c>
      <c r="G186" s="3">
        <v>52</v>
      </c>
      <c r="H186" s="4">
        <v>4.99</v>
      </c>
      <c r="I186" s="4">
        <v>1279</v>
      </c>
      <c r="J186" s="5">
        <v>9.6000000000000002E-2</v>
      </c>
      <c r="K186" s="6">
        <v>3.009E-3</v>
      </c>
    </row>
    <row r="187" spans="1:11" x14ac:dyDescent="0.25">
      <c r="A187" s="2" t="s">
        <v>63</v>
      </c>
      <c r="B187" s="2" t="s">
        <v>102</v>
      </c>
      <c r="C187" s="2" t="s">
        <v>132</v>
      </c>
      <c r="D187" s="2" t="s">
        <v>586</v>
      </c>
      <c r="E187" s="3">
        <v>1</v>
      </c>
      <c r="F187" s="3">
        <v>669</v>
      </c>
      <c r="G187" s="3">
        <v>27</v>
      </c>
      <c r="H187" s="4">
        <v>0</v>
      </c>
      <c r="I187" s="4">
        <v>553</v>
      </c>
      <c r="J187" s="5">
        <v>0</v>
      </c>
      <c r="K187" s="6">
        <v>0</v>
      </c>
    </row>
    <row r="188" spans="1:11" x14ac:dyDescent="0.25">
      <c r="A188" s="2" t="s">
        <v>63</v>
      </c>
      <c r="B188" s="2" t="s">
        <v>102</v>
      </c>
      <c r="C188" s="2" t="s">
        <v>132</v>
      </c>
      <c r="D188" s="2" t="s">
        <v>295</v>
      </c>
      <c r="E188" s="3">
        <v>1</v>
      </c>
      <c r="F188" s="3">
        <v>1055</v>
      </c>
      <c r="G188" s="3">
        <v>33</v>
      </c>
      <c r="H188" s="4">
        <v>3.17</v>
      </c>
      <c r="I188" s="4">
        <v>864</v>
      </c>
      <c r="J188" s="5">
        <v>9.6000000000000002E-2</v>
      </c>
      <c r="K188" s="6">
        <v>3.003E-3</v>
      </c>
    </row>
    <row r="189" spans="1:11" x14ac:dyDescent="0.25">
      <c r="A189" s="2" t="s">
        <v>63</v>
      </c>
      <c r="B189" s="2" t="s">
        <v>102</v>
      </c>
      <c r="C189" s="2" t="s">
        <v>132</v>
      </c>
      <c r="D189" s="2" t="s">
        <v>590</v>
      </c>
      <c r="E189" s="3">
        <v>1</v>
      </c>
      <c r="F189" s="3">
        <v>1450</v>
      </c>
      <c r="G189" s="3">
        <v>63</v>
      </c>
      <c r="H189" s="4">
        <v>0</v>
      </c>
      <c r="I189" s="4">
        <v>1230.5999999999999</v>
      </c>
      <c r="J189" s="5">
        <v>0</v>
      </c>
      <c r="K189" s="6">
        <v>0</v>
      </c>
    </row>
    <row r="190" spans="1:11" x14ac:dyDescent="0.25">
      <c r="A190" s="2" t="s">
        <v>63</v>
      </c>
      <c r="B190" s="2" t="s">
        <v>102</v>
      </c>
      <c r="C190" s="2" t="s">
        <v>132</v>
      </c>
      <c r="D190" s="2" t="s">
        <v>588</v>
      </c>
      <c r="E190" s="3">
        <v>1</v>
      </c>
      <c r="F190" s="3">
        <v>1271</v>
      </c>
      <c r="G190" s="3">
        <v>43</v>
      </c>
      <c r="H190" s="4">
        <v>0</v>
      </c>
      <c r="I190" s="4">
        <v>834.8</v>
      </c>
      <c r="J190" s="5">
        <v>0</v>
      </c>
      <c r="K190" s="6">
        <v>0</v>
      </c>
    </row>
    <row r="191" spans="1:11" x14ac:dyDescent="0.25">
      <c r="A191" s="2" t="s">
        <v>63</v>
      </c>
      <c r="B191" s="2" t="s">
        <v>102</v>
      </c>
      <c r="C191" s="2" t="s">
        <v>132</v>
      </c>
      <c r="D191" s="2" t="s">
        <v>336</v>
      </c>
      <c r="E191" s="3">
        <v>1</v>
      </c>
      <c r="F191" s="3">
        <v>1054</v>
      </c>
      <c r="G191" s="3">
        <v>27</v>
      </c>
      <c r="H191" s="4">
        <v>2.59</v>
      </c>
      <c r="I191" s="4">
        <v>681</v>
      </c>
      <c r="J191" s="5">
        <v>9.6000000000000002E-2</v>
      </c>
      <c r="K191" s="6">
        <v>2.4589999999999998E-3</v>
      </c>
    </row>
    <row r="192" spans="1:11" x14ac:dyDescent="0.25">
      <c r="A192" s="2" t="s">
        <v>63</v>
      </c>
      <c r="B192" s="2" t="s">
        <v>102</v>
      </c>
      <c r="C192" s="2" t="s">
        <v>132</v>
      </c>
      <c r="D192" s="2" t="s">
        <v>365</v>
      </c>
      <c r="E192" s="3">
        <v>1</v>
      </c>
      <c r="F192" s="3">
        <v>753</v>
      </c>
      <c r="G192" s="3">
        <v>24</v>
      </c>
      <c r="H192" s="4">
        <v>2.2999999999999998</v>
      </c>
      <c r="I192" s="4">
        <v>534</v>
      </c>
      <c r="J192" s="5">
        <v>9.6000000000000002E-2</v>
      </c>
      <c r="K192" s="6">
        <v>3.0599999999999998E-3</v>
      </c>
    </row>
    <row r="193" spans="1:11" x14ac:dyDescent="0.25">
      <c r="A193" s="2" t="s">
        <v>63</v>
      </c>
      <c r="B193" s="2" t="s">
        <v>102</v>
      </c>
      <c r="C193" s="2" t="s">
        <v>132</v>
      </c>
      <c r="D193" s="2" t="s">
        <v>384</v>
      </c>
      <c r="E193" s="3">
        <v>1</v>
      </c>
      <c r="F193" s="3">
        <v>870</v>
      </c>
      <c r="G193" s="3">
        <v>22</v>
      </c>
      <c r="H193" s="4">
        <v>2.11</v>
      </c>
      <c r="I193" s="4">
        <v>622</v>
      </c>
      <c r="J193" s="5">
        <v>9.6000000000000002E-2</v>
      </c>
      <c r="K193" s="6">
        <v>2.428E-3</v>
      </c>
    </row>
    <row r="194" spans="1:11" x14ac:dyDescent="0.25">
      <c r="A194" s="2" t="s">
        <v>63</v>
      </c>
      <c r="B194" s="2" t="s">
        <v>102</v>
      </c>
      <c r="C194" s="2" t="s">
        <v>132</v>
      </c>
      <c r="D194" s="2" t="s">
        <v>319</v>
      </c>
      <c r="E194" s="3">
        <v>1</v>
      </c>
      <c r="F194" s="3">
        <v>923</v>
      </c>
      <c r="G194" s="3">
        <v>29</v>
      </c>
      <c r="H194" s="4">
        <v>2.78</v>
      </c>
      <c r="I194" s="4">
        <v>671</v>
      </c>
      <c r="J194" s="5">
        <v>9.6000000000000002E-2</v>
      </c>
      <c r="K194" s="6">
        <v>3.016E-3</v>
      </c>
    </row>
    <row r="195" spans="1:11" x14ac:dyDescent="0.25">
      <c r="A195" s="2" t="s">
        <v>63</v>
      </c>
      <c r="B195" s="2" t="s">
        <v>102</v>
      </c>
      <c r="C195" s="2" t="s">
        <v>132</v>
      </c>
      <c r="D195" s="2" t="s">
        <v>589</v>
      </c>
      <c r="E195" s="3">
        <v>1</v>
      </c>
      <c r="F195" s="3">
        <v>1185</v>
      </c>
      <c r="G195" s="3">
        <v>45</v>
      </c>
      <c r="H195" s="4">
        <v>0</v>
      </c>
      <c r="I195" s="4">
        <v>866.6</v>
      </c>
      <c r="J195" s="5">
        <v>0</v>
      </c>
      <c r="K195" s="6">
        <v>0</v>
      </c>
    </row>
    <row r="196" spans="1:11" x14ac:dyDescent="0.25">
      <c r="A196" s="2" t="s">
        <v>63</v>
      </c>
      <c r="B196" s="2" t="s">
        <v>102</v>
      </c>
      <c r="C196" s="2" t="s">
        <v>132</v>
      </c>
      <c r="D196" s="2" t="s">
        <v>273</v>
      </c>
      <c r="E196" s="3">
        <v>1</v>
      </c>
      <c r="F196" s="3">
        <v>1231</v>
      </c>
      <c r="G196" s="3">
        <v>39</v>
      </c>
      <c r="H196" s="4">
        <v>3.74</v>
      </c>
      <c r="I196" s="4">
        <v>967</v>
      </c>
      <c r="J196" s="5">
        <v>9.6000000000000002E-2</v>
      </c>
      <c r="K196" s="6">
        <v>3.0409999999999999E-3</v>
      </c>
    </row>
    <row r="197" spans="1:11" x14ac:dyDescent="0.25">
      <c r="A197" s="2" t="s">
        <v>63</v>
      </c>
      <c r="B197" s="2" t="s">
        <v>102</v>
      </c>
      <c r="C197" s="2" t="s">
        <v>132</v>
      </c>
      <c r="D197" s="2" t="s">
        <v>239</v>
      </c>
      <c r="E197" s="3">
        <v>1</v>
      </c>
      <c r="F197" s="3">
        <v>1540</v>
      </c>
      <c r="G197" s="3">
        <v>48</v>
      </c>
      <c r="H197" s="4">
        <v>4.6100000000000003</v>
      </c>
      <c r="I197" s="4">
        <v>1112</v>
      </c>
      <c r="J197" s="5">
        <v>9.6000000000000002E-2</v>
      </c>
      <c r="K197" s="6">
        <v>2.9919999999999999E-3</v>
      </c>
    </row>
    <row r="198" spans="1:11" x14ac:dyDescent="0.25">
      <c r="A198" s="2" t="s">
        <v>63</v>
      </c>
      <c r="B198" s="2" t="s">
        <v>102</v>
      </c>
      <c r="C198" s="2" t="s">
        <v>132</v>
      </c>
      <c r="D198" s="2" t="s">
        <v>272</v>
      </c>
      <c r="E198" s="3">
        <v>1</v>
      </c>
      <c r="F198" s="3">
        <v>1074</v>
      </c>
      <c r="G198" s="3">
        <v>39</v>
      </c>
      <c r="H198" s="4">
        <v>3.74</v>
      </c>
      <c r="I198" s="4">
        <v>890</v>
      </c>
      <c r="J198" s="5">
        <v>9.6000000000000002E-2</v>
      </c>
      <c r="K198" s="6">
        <v>3.4859999999999999E-3</v>
      </c>
    </row>
    <row r="199" spans="1:11" x14ac:dyDescent="0.25">
      <c r="A199" s="2" t="s">
        <v>63</v>
      </c>
      <c r="B199" s="2" t="s">
        <v>102</v>
      </c>
      <c r="C199" s="2" t="s">
        <v>132</v>
      </c>
      <c r="D199" s="2" t="s">
        <v>281</v>
      </c>
      <c r="E199" s="3">
        <v>1</v>
      </c>
      <c r="F199" s="3">
        <v>1268</v>
      </c>
      <c r="G199" s="3">
        <v>36</v>
      </c>
      <c r="H199" s="4">
        <v>3.46</v>
      </c>
      <c r="I199" s="4">
        <v>978</v>
      </c>
      <c r="J199" s="5">
        <v>9.6000000000000002E-2</v>
      </c>
      <c r="K199" s="6">
        <v>2.7260000000000001E-3</v>
      </c>
    </row>
    <row r="200" spans="1:11" x14ac:dyDescent="0.25">
      <c r="A200" s="2" t="s">
        <v>63</v>
      </c>
      <c r="B200" s="2" t="s">
        <v>102</v>
      </c>
      <c r="C200" s="2" t="s">
        <v>132</v>
      </c>
      <c r="D200" s="2" t="s">
        <v>294</v>
      </c>
      <c r="E200" s="3">
        <v>1</v>
      </c>
      <c r="F200" s="3">
        <v>1047</v>
      </c>
      <c r="G200" s="3">
        <v>33</v>
      </c>
      <c r="H200" s="4">
        <v>3.17</v>
      </c>
      <c r="I200" s="4">
        <v>737</v>
      </c>
      <c r="J200" s="5">
        <v>9.6000000000000002E-2</v>
      </c>
      <c r="K200" s="6">
        <v>3.026E-3</v>
      </c>
    </row>
    <row r="201" spans="1:11" x14ac:dyDescent="0.25">
      <c r="A201" s="2" t="s">
        <v>63</v>
      </c>
      <c r="B201" s="2" t="s">
        <v>102</v>
      </c>
      <c r="C201" s="2" t="s">
        <v>103</v>
      </c>
      <c r="D201" s="2" t="s">
        <v>185</v>
      </c>
      <c r="E201" s="3">
        <v>1</v>
      </c>
      <c r="F201" s="3">
        <v>2156</v>
      </c>
      <c r="G201" s="3">
        <v>90</v>
      </c>
      <c r="H201" s="4">
        <v>6.48</v>
      </c>
      <c r="I201" s="4">
        <v>1522.2</v>
      </c>
      <c r="J201" s="5">
        <v>7.1999999999999995E-2</v>
      </c>
      <c r="K201" s="6">
        <v>3.006E-3</v>
      </c>
    </row>
    <row r="202" spans="1:11" x14ac:dyDescent="0.25">
      <c r="A202" s="2" t="s">
        <v>63</v>
      </c>
      <c r="B202" s="2" t="s">
        <v>102</v>
      </c>
      <c r="C202" s="2" t="s">
        <v>103</v>
      </c>
      <c r="D202" s="2" t="s">
        <v>193</v>
      </c>
      <c r="E202" s="3">
        <v>1</v>
      </c>
      <c r="F202" s="3">
        <v>2062</v>
      </c>
      <c r="G202" s="3">
        <v>85</v>
      </c>
      <c r="H202" s="4">
        <v>6.12</v>
      </c>
      <c r="I202" s="4">
        <v>1189.8</v>
      </c>
      <c r="J202" s="5">
        <v>7.1999999999999995E-2</v>
      </c>
      <c r="K202" s="6">
        <v>2.9680000000000002E-3</v>
      </c>
    </row>
    <row r="203" spans="1:11" x14ac:dyDescent="0.25">
      <c r="A203" s="2" t="s">
        <v>63</v>
      </c>
      <c r="B203" s="2" t="s">
        <v>102</v>
      </c>
      <c r="C203" s="2" t="s">
        <v>103</v>
      </c>
      <c r="D203" s="2" t="s">
        <v>267</v>
      </c>
      <c r="E203" s="3">
        <v>1</v>
      </c>
      <c r="F203" s="3">
        <v>1801</v>
      </c>
      <c r="G203" s="3">
        <v>46</v>
      </c>
      <c r="H203" s="4">
        <v>3.91</v>
      </c>
      <c r="I203" s="4">
        <v>972.5</v>
      </c>
      <c r="J203" s="5">
        <v>8.5000000000000006E-2</v>
      </c>
      <c r="K203" s="6">
        <v>2.1710000000000002E-3</v>
      </c>
    </row>
    <row r="204" spans="1:11" x14ac:dyDescent="0.25">
      <c r="A204" s="2" t="s">
        <v>63</v>
      </c>
      <c r="B204" s="2" t="s">
        <v>102</v>
      </c>
      <c r="C204" s="2" t="s">
        <v>103</v>
      </c>
      <c r="D204" s="2" t="s">
        <v>104</v>
      </c>
      <c r="E204" s="3">
        <v>1</v>
      </c>
      <c r="F204" s="3">
        <v>5595</v>
      </c>
      <c r="G204" s="3">
        <v>174</v>
      </c>
      <c r="H204" s="4">
        <v>14.78</v>
      </c>
      <c r="I204" s="4">
        <v>3643.9</v>
      </c>
      <c r="J204" s="5">
        <v>8.4900000000000003E-2</v>
      </c>
      <c r="K204" s="6">
        <v>2.6419999999999998E-3</v>
      </c>
    </row>
    <row r="205" spans="1:11" x14ac:dyDescent="0.25">
      <c r="A205" s="2" t="s">
        <v>63</v>
      </c>
      <c r="B205" s="2" t="s">
        <v>102</v>
      </c>
      <c r="C205" s="2" t="s">
        <v>103</v>
      </c>
      <c r="D205" s="2" t="s">
        <v>398</v>
      </c>
      <c r="E205" s="3">
        <v>1</v>
      </c>
      <c r="F205" s="3">
        <v>799</v>
      </c>
      <c r="G205" s="3">
        <v>20</v>
      </c>
      <c r="H205" s="4">
        <v>1.92</v>
      </c>
      <c r="I205" s="4">
        <v>397.4</v>
      </c>
      <c r="J205" s="5">
        <v>9.6000000000000002E-2</v>
      </c>
      <c r="K205" s="6">
        <v>2.4030000000000002E-3</v>
      </c>
    </row>
    <row r="206" spans="1:11" x14ac:dyDescent="0.25">
      <c r="A206" s="2" t="s">
        <v>63</v>
      </c>
      <c r="B206" s="2" t="s">
        <v>102</v>
      </c>
      <c r="C206" s="2" t="s">
        <v>103</v>
      </c>
      <c r="D206" s="2" t="s">
        <v>380</v>
      </c>
      <c r="E206" s="3">
        <v>1</v>
      </c>
      <c r="F206" s="3">
        <v>796</v>
      </c>
      <c r="G206" s="3">
        <v>25</v>
      </c>
      <c r="H206" s="4">
        <v>2.12</v>
      </c>
      <c r="I206" s="4">
        <v>493.4</v>
      </c>
      <c r="J206" s="5">
        <v>8.48E-2</v>
      </c>
      <c r="K206" s="6">
        <v>2.663E-3</v>
      </c>
    </row>
    <row r="207" spans="1:11" x14ac:dyDescent="0.25">
      <c r="A207" s="2" t="s">
        <v>63</v>
      </c>
      <c r="B207" s="2" t="s">
        <v>102</v>
      </c>
      <c r="C207" s="2" t="s">
        <v>103</v>
      </c>
      <c r="D207" s="2" t="s">
        <v>381</v>
      </c>
      <c r="E207" s="3">
        <v>1</v>
      </c>
      <c r="F207" s="3">
        <v>800</v>
      </c>
      <c r="G207" s="3">
        <v>25</v>
      </c>
      <c r="H207" s="4">
        <v>2.12</v>
      </c>
      <c r="I207" s="4">
        <v>516.29999999999995</v>
      </c>
      <c r="J207" s="5">
        <v>8.48E-2</v>
      </c>
      <c r="K207" s="6">
        <v>2.65E-3</v>
      </c>
    </row>
    <row r="208" spans="1:11" x14ac:dyDescent="0.25">
      <c r="A208" s="2" t="s">
        <v>63</v>
      </c>
      <c r="B208" s="2" t="s">
        <v>102</v>
      </c>
      <c r="C208" s="2" t="s">
        <v>132</v>
      </c>
      <c r="D208" s="2" t="s">
        <v>133</v>
      </c>
      <c r="E208" s="3">
        <v>1</v>
      </c>
      <c r="F208" s="3">
        <v>3672</v>
      </c>
      <c r="G208" s="3">
        <v>123</v>
      </c>
      <c r="H208" s="4">
        <v>11.81</v>
      </c>
      <c r="I208" s="4">
        <v>2604.1</v>
      </c>
      <c r="J208" s="5">
        <v>9.6000000000000002E-2</v>
      </c>
      <c r="K208" s="6">
        <v>3.2160000000000001E-3</v>
      </c>
    </row>
    <row r="209" spans="1:11" x14ac:dyDescent="0.25">
      <c r="A209" s="2" t="s">
        <v>63</v>
      </c>
      <c r="B209" s="2" t="s">
        <v>102</v>
      </c>
      <c r="C209" s="2" t="s">
        <v>132</v>
      </c>
      <c r="D209" s="2" t="s">
        <v>233</v>
      </c>
      <c r="E209" s="3">
        <v>1</v>
      </c>
      <c r="F209" s="3">
        <v>1511</v>
      </c>
      <c r="G209" s="3">
        <v>50</v>
      </c>
      <c r="H209" s="4">
        <v>4.8</v>
      </c>
      <c r="I209" s="4">
        <v>958.1</v>
      </c>
      <c r="J209" s="5">
        <v>9.6000000000000002E-2</v>
      </c>
      <c r="K209" s="6">
        <v>3.1770000000000001E-3</v>
      </c>
    </row>
    <row r="210" spans="1:11" x14ac:dyDescent="0.25">
      <c r="A210" s="2" t="s">
        <v>63</v>
      </c>
      <c r="B210" s="2" t="s">
        <v>102</v>
      </c>
      <c r="C210" s="2" t="s">
        <v>132</v>
      </c>
      <c r="D210" s="2" t="s">
        <v>327</v>
      </c>
      <c r="E210" s="3">
        <v>1</v>
      </c>
      <c r="F210" s="3">
        <v>824</v>
      </c>
      <c r="G210" s="3">
        <v>28</v>
      </c>
      <c r="H210" s="4">
        <v>2.69</v>
      </c>
      <c r="I210" s="4">
        <v>590.1</v>
      </c>
      <c r="J210" s="5">
        <v>9.6000000000000002E-2</v>
      </c>
      <c r="K210" s="6">
        <v>3.2620000000000001E-3</v>
      </c>
    </row>
    <row r="211" spans="1:11" x14ac:dyDescent="0.25">
      <c r="A211" s="2" t="s">
        <v>63</v>
      </c>
      <c r="B211" s="2" t="s">
        <v>102</v>
      </c>
      <c r="C211" s="2" t="s">
        <v>132</v>
      </c>
      <c r="D211" s="2" t="s">
        <v>246</v>
      </c>
      <c r="E211" s="3">
        <v>1</v>
      </c>
      <c r="F211" s="3">
        <v>1301</v>
      </c>
      <c r="G211" s="3">
        <v>44</v>
      </c>
      <c r="H211" s="4">
        <v>4.22</v>
      </c>
      <c r="I211" s="4">
        <v>851.6</v>
      </c>
      <c r="J211" s="5">
        <v>9.6000000000000002E-2</v>
      </c>
      <c r="K211" s="6">
        <v>3.2469999999999999E-3</v>
      </c>
    </row>
    <row r="212" spans="1:11" x14ac:dyDescent="0.25">
      <c r="A212" s="2" t="s">
        <v>63</v>
      </c>
      <c r="B212" s="2" t="s">
        <v>288</v>
      </c>
      <c r="C212" s="2" t="s">
        <v>289</v>
      </c>
      <c r="D212" s="2" t="s">
        <v>419</v>
      </c>
      <c r="E212" s="3">
        <v>1</v>
      </c>
      <c r="F212" s="3">
        <v>793</v>
      </c>
      <c r="G212" s="3">
        <v>18</v>
      </c>
      <c r="H212" s="4">
        <v>1.73</v>
      </c>
      <c r="I212" s="4">
        <v>330.5</v>
      </c>
      <c r="J212" s="5">
        <v>9.6000000000000002E-2</v>
      </c>
      <c r="K212" s="6">
        <v>2.1789999999999999E-3</v>
      </c>
    </row>
    <row r="213" spans="1:11" x14ac:dyDescent="0.25">
      <c r="A213" s="2" t="s">
        <v>63</v>
      </c>
      <c r="B213" s="2" t="s">
        <v>288</v>
      </c>
      <c r="C213" s="2" t="s">
        <v>289</v>
      </c>
      <c r="D213" s="2" t="s">
        <v>420</v>
      </c>
      <c r="E213" s="3">
        <v>1</v>
      </c>
      <c r="F213" s="3">
        <v>658</v>
      </c>
      <c r="G213" s="3">
        <v>18</v>
      </c>
      <c r="H213" s="4">
        <v>1.73</v>
      </c>
      <c r="I213" s="4">
        <v>261</v>
      </c>
      <c r="J213" s="5">
        <v>9.6000000000000002E-2</v>
      </c>
      <c r="K213" s="6">
        <v>2.6259999999999999E-3</v>
      </c>
    </row>
    <row r="214" spans="1:11" x14ac:dyDescent="0.25">
      <c r="A214" s="2" t="s">
        <v>63</v>
      </c>
      <c r="B214" s="2" t="s">
        <v>288</v>
      </c>
      <c r="C214" s="2" t="s">
        <v>289</v>
      </c>
      <c r="D214" s="2" t="s">
        <v>290</v>
      </c>
      <c r="E214" s="3">
        <v>1</v>
      </c>
      <c r="F214" s="3">
        <v>1586</v>
      </c>
      <c r="G214" s="3">
        <v>34</v>
      </c>
      <c r="H214" s="4">
        <v>3.26</v>
      </c>
      <c r="I214" s="4">
        <v>663.1</v>
      </c>
      <c r="J214" s="5">
        <v>9.6000000000000002E-2</v>
      </c>
      <c r="K214" s="6">
        <v>2.0579999999999999E-3</v>
      </c>
    </row>
    <row r="215" spans="1:11" x14ac:dyDescent="0.25">
      <c r="A215" s="2" t="s">
        <v>63</v>
      </c>
      <c r="B215" s="2" t="s">
        <v>288</v>
      </c>
      <c r="C215" s="2" t="s">
        <v>289</v>
      </c>
      <c r="D215" s="2" t="s">
        <v>494</v>
      </c>
      <c r="E215" s="3">
        <v>1</v>
      </c>
      <c r="F215" s="3">
        <v>590</v>
      </c>
      <c r="G215" s="3">
        <v>10</v>
      </c>
      <c r="H215" s="4">
        <v>1.03</v>
      </c>
      <c r="I215" s="4">
        <v>221.7</v>
      </c>
      <c r="J215" s="5">
        <v>0.10299999999999999</v>
      </c>
      <c r="K215" s="6">
        <v>1.7459999999999999E-3</v>
      </c>
    </row>
    <row r="216" spans="1:11" x14ac:dyDescent="0.25">
      <c r="A216" s="2" t="s">
        <v>63</v>
      </c>
      <c r="B216" s="2" t="s">
        <v>288</v>
      </c>
      <c r="C216" s="2" t="s">
        <v>289</v>
      </c>
      <c r="D216" s="2" t="s">
        <v>506</v>
      </c>
      <c r="E216" s="3">
        <v>1</v>
      </c>
      <c r="F216" s="3">
        <v>462</v>
      </c>
      <c r="G216" s="3">
        <v>10</v>
      </c>
      <c r="H216" s="4">
        <v>0.96</v>
      </c>
      <c r="I216" s="4">
        <v>213.4</v>
      </c>
      <c r="J216" s="5">
        <v>9.6000000000000002E-2</v>
      </c>
      <c r="K216" s="6">
        <v>2.078E-3</v>
      </c>
    </row>
    <row r="217" spans="1:11" x14ac:dyDescent="0.25">
      <c r="A217" s="2" t="s">
        <v>63</v>
      </c>
      <c r="B217" s="2" t="s">
        <v>288</v>
      </c>
      <c r="C217" s="2" t="s">
        <v>289</v>
      </c>
      <c r="D217" s="2" t="s">
        <v>500</v>
      </c>
      <c r="E217" s="3">
        <v>1</v>
      </c>
      <c r="F217" s="3">
        <v>478</v>
      </c>
      <c r="G217" s="3">
        <v>10</v>
      </c>
      <c r="H217" s="4">
        <v>0.96</v>
      </c>
      <c r="I217" s="4">
        <v>213.3</v>
      </c>
      <c r="J217" s="5">
        <v>9.6000000000000002E-2</v>
      </c>
      <c r="K217" s="6">
        <v>2.0079999999999998E-3</v>
      </c>
    </row>
    <row r="218" spans="1:11" x14ac:dyDescent="0.25">
      <c r="A218" s="2" t="s">
        <v>63</v>
      </c>
      <c r="B218" s="2" t="s">
        <v>288</v>
      </c>
      <c r="C218" s="2" t="s">
        <v>289</v>
      </c>
      <c r="D218" s="2" t="s">
        <v>310</v>
      </c>
      <c r="E218" s="3">
        <v>1</v>
      </c>
      <c r="F218" s="3">
        <v>1433</v>
      </c>
      <c r="G218" s="3">
        <v>31</v>
      </c>
      <c r="H218" s="4">
        <v>2.98</v>
      </c>
      <c r="I218" s="4">
        <v>636.20000000000005</v>
      </c>
      <c r="J218" s="5">
        <v>9.6000000000000002E-2</v>
      </c>
      <c r="K218" s="6">
        <v>2.0769999999999999E-3</v>
      </c>
    </row>
    <row r="219" spans="1:11" x14ac:dyDescent="0.25">
      <c r="A219" s="2" t="s">
        <v>63</v>
      </c>
      <c r="B219" s="2" t="s">
        <v>288</v>
      </c>
      <c r="C219" s="2" t="s">
        <v>289</v>
      </c>
      <c r="D219" s="2" t="s">
        <v>311</v>
      </c>
      <c r="E219" s="3">
        <v>1</v>
      </c>
      <c r="F219" s="3">
        <v>1595</v>
      </c>
      <c r="G219" s="3">
        <v>29</v>
      </c>
      <c r="H219" s="4">
        <v>2.97</v>
      </c>
      <c r="I219" s="4">
        <v>647.9</v>
      </c>
      <c r="J219" s="5">
        <v>0.1024</v>
      </c>
      <c r="K219" s="6">
        <v>1.8619999999999999E-3</v>
      </c>
    </row>
    <row r="220" spans="1:11" x14ac:dyDescent="0.25">
      <c r="A220" s="2" t="s">
        <v>63</v>
      </c>
      <c r="B220" s="2" t="s">
        <v>288</v>
      </c>
      <c r="C220" s="2" t="s">
        <v>289</v>
      </c>
      <c r="D220" s="2" t="s">
        <v>473</v>
      </c>
      <c r="E220" s="3">
        <v>1</v>
      </c>
      <c r="F220" s="3">
        <v>614</v>
      </c>
      <c r="G220" s="3">
        <v>12</v>
      </c>
      <c r="H220" s="4">
        <v>1.1499999999999999</v>
      </c>
      <c r="I220" s="4">
        <v>211.2</v>
      </c>
      <c r="J220" s="5">
        <v>9.6000000000000002E-2</v>
      </c>
      <c r="K220" s="6">
        <v>1.8760000000000001E-3</v>
      </c>
    </row>
    <row r="221" spans="1:11" x14ac:dyDescent="0.25">
      <c r="A221" s="2" t="s">
        <v>63</v>
      </c>
      <c r="B221" s="2" t="s">
        <v>288</v>
      </c>
      <c r="C221" s="2" t="s">
        <v>289</v>
      </c>
      <c r="D221" s="2" t="s">
        <v>317</v>
      </c>
      <c r="E221" s="3">
        <v>1</v>
      </c>
      <c r="F221" s="3">
        <v>1445</v>
      </c>
      <c r="G221" s="3">
        <v>30</v>
      </c>
      <c r="H221" s="4">
        <v>2.88</v>
      </c>
      <c r="I221" s="4">
        <v>546</v>
      </c>
      <c r="J221" s="5">
        <v>9.6000000000000002E-2</v>
      </c>
      <c r="K221" s="6">
        <v>1.993E-3</v>
      </c>
    </row>
    <row r="222" spans="1:11" x14ac:dyDescent="0.25">
      <c r="A222" s="2" t="s">
        <v>63</v>
      </c>
      <c r="B222" s="2" t="s">
        <v>288</v>
      </c>
      <c r="C222" s="2" t="s">
        <v>289</v>
      </c>
      <c r="D222" s="2" t="s">
        <v>458</v>
      </c>
      <c r="E222" s="3">
        <v>1</v>
      </c>
      <c r="F222" s="3">
        <v>683</v>
      </c>
      <c r="G222" s="3">
        <v>14</v>
      </c>
      <c r="H222" s="4">
        <v>1.34</v>
      </c>
      <c r="I222" s="4">
        <v>268.8</v>
      </c>
      <c r="J222" s="5">
        <v>9.6000000000000002E-2</v>
      </c>
      <c r="K222" s="6">
        <v>1.9680000000000001E-3</v>
      </c>
    </row>
    <row r="223" spans="1:11" x14ac:dyDescent="0.25">
      <c r="A223" s="2" t="s">
        <v>63</v>
      </c>
      <c r="B223" s="2" t="s">
        <v>288</v>
      </c>
      <c r="C223" s="2" t="s">
        <v>289</v>
      </c>
      <c r="D223" s="2" t="s">
        <v>436</v>
      </c>
      <c r="E223" s="3">
        <v>1</v>
      </c>
      <c r="F223" s="3">
        <v>590</v>
      </c>
      <c r="G223" s="3">
        <v>17</v>
      </c>
      <c r="H223" s="4">
        <v>1.63</v>
      </c>
      <c r="I223" s="4">
        <v>193.2</v>
      </c>
      <c r="J223" s="5">
        <v>9.5899999999999999E-2</v>
      </c>
      <c r="K223" s="6">
        <v>2.7629999999999998E-3</v>
      </c>
    </row>
    <row r="224" spans="1:11" x14ac:dyDescent="0.25">
      <c r="A224" s="2" t="s">
        <v>63</v>
      </c>
      <c r="B224" s="2" t="s">
        <v>84</v>
      </c>
      <c r="C224" s="2" t="s">
        <v>87</v>
      </c>
      <c r="D224" s="2" t="s">
        <v>293</v>
      </c>
      <c r="E224" s="3">
        <v>1</v>
      </c>
      <c r="F224" s="3">
        <v>1209</v>
      </c>
      <c r="G224" s="3">
        <v>33</v>
      </c>
      <c r="H224" s="4">
        <v>3.17</v>
      </c>
      <c r="I224" s="4">
        <v>623.70000000000005</v>
      </c>
      <c r="J224" s="5">
        <v>9.6000000000000002E-2</v>
      </c>
      <c r="K224" s="6">
        <v>2.6199999999999999E-3</v>
      </c>
    </row>
    <row r="225" spans="1:11" x14ac:dyDescent="0.25">
      <c r="A225" s="2" t="s">
        <v>63</v>
      </c>
      <c r="B225" s="2" t="s">
        <v>84</v>
      </c>
      <c r="C225" s="2" t="s">
        <v>87</v>
      </c>
      <c r="D225" s="2" t="s">
        <v>401</v>
      </c>
      <c r="E225" s="3">
        <v>1</v>
      </c>
      <c r="F225" s="3">
        <v>730</v>
      </c>
      <c r="G225" s="3">
        <v>19</v>
      </c>
      <c r="H225" s="4">
        <v>1.82</v>
      </c>
      <c r="I225" s="4">
        <v>355.3</v>
      </c>
      <c r="J225" s="5">
        <v>9.6000000000000002E-2</v>
      </c>
      <c r="K225" s="6">
        <v>2.4989999999999999E-3</v>
      </c>
    </row>
    <row r="226" spans="1:11" x14ac:dyDescent="0.25">
      <c r="A226" s="2" t="s">
        <v>63</v>
      </c>
      <c r="B226" s="2" t="s">
        <v>84</v>
      </c>
      <c r="C226" s="2" t="s">
        <v>87</v>
      </c>
      <c r="D226" s="2" t="s">
        <v>382</v>
      </c>
      <c r="E226" s="3">
        <v>1</v>
      </c>
      <c r="F226" s="3">
        <v>639</v>
      </c>
      <c r="G226" s="3">
        <v>22</v>
      </c>
      <c r="H226" s="4">
        <v>2.11</v>
      </c>
      <c r="I226" s="4">
        <v>387.2</v>
      </c>
      <c r="J226" s="5">
        <v>9.6000000000000002E-2</v>
      </c>
      <c r="K226" s="6">
        <v>3.3050000000000002E-3</v>
      </c>
    </row>
    <row r="227" spans="1:11" x14ac:dyDescent="0.25">
      <c r="A227" s="2" t="s">
        <v>63</v>
      </c>
      <c r="B227" s="2" t="s">
        <v>84</v>
      </c>
      <c r="C227" s="2" t="s">
        <v>94</v>
      </c>
      <c r="D227" s="2" t="s">
        <v>155</v>
      </c>
      <c r="E227" s="3">
        <v>1</v>
      </c>
      <c r="F227" s="3">
        <v>1836</v>
      </c>
      <c r="G227" s="3">
        <v>81</v>
      </c>
      <c r="H227" s="4">
        <v>8.44</v>
      </c>
      <c r="I227" s="4">
        <v>1241.7</v>
      </c>
      <c r="J227" s="5">
        <v>0.1042</v>
      </c>
      <c r="K227" s="6">
        <v>4.5970000000000004E-3</v>
      </c>
    </row>
    <row r="228" spans="1:11" x14ac:dyDescent="0.25">
      <c r="A228" s="2" t="s">
        <v>63</v>
      </c>
      <c r="B228" s="2" t="s">
        <v>84</v>
      </c>
      <c r="C228" s="2" t="s">
        <v>85</v>
      </c>
      <c r="D228" s="2" t="s">
        <v>143</v>
      </c>
      <c r="E228" s="3">
        <v>1</v>
      </c>
      <c r="F228" s="3">
        <v>2500</v>
      </c>
      <c r="G228" s="3">
        <v>101</v>
      </c>
      <c r="H228" s="4">
        <v>9.6999999999999993</v>
      </c>
      <c r="I228" s="4">
        <v>1638</v>
      </c>
      <c r="J228" s="5">
        <v>9.6000000000000002E-2</v>
      </c>
      <c r="K228" s="6">
        <v>3.8800000000000002E-3</v>
      </c>
    </row>
    <row r="229" spans="1:11" x14ac:dyDescent="0.25">
      <c r="A229" s="2" t="s">
        <v>63</v>
      </c>
      <c r="B229" s="2" t="s">
        <v>84</v>
      </c>
      <c r="C229" s="2" t="s">
        <v>85</v>
      </c>
      <c r="D229" s="2" t="s">
        <v>262</v>
      </c>
      <c r="E229" s="3">
        <v>1</v>
      </c>
      <c r="F229" s="3">
        <v>822</v>
      </c>
      <c r="G229" s="3">
        <v>41</v>
      </c>
      <c r="H229" s="4">
        <v>3.94</v>
      </c>
      <c r="I229" s="4">
        <v>533</v>
      </c>
      <c r="J229" s="5">
        <v>9.6000000000000002E-2</v>
      </c>
      <c r="K229" s="6">
        <v>4.7879999999999997E-3</v>
      </c>
    </row>
    <row r="230" spans="1:11" x14ac:dyDescent="0.25">
      <c r="A230" s="2" t="s">
        <v>63</v>
      </c>
      <c r="B230" s="2" t="s">
        <v>84</v>
      </c>
      <c r="C230" s="2" t="s">
        <v>94</v>
      </c>
      <c r="D230" s="2" t="s">
        <v>280</v>
      </c>
      <c r="E230" s="3">
        <v>1</v>
      </c>
      <c r="F230" s="3">
        <v>700</v>
      </c>
      <c r="G230" s="3">
        <v>37</v>
      </c>
      <c r="H230" s="4">
        <v>3.55</v>
      </c>
      <c r="I230" s="4">
        <v>515.9</v>
      </c>
      <c r="J230" s="5">
        <v>9.5899999999999999E-2</v>
      </c>
      <c r="K230" s="6">
        <v>5.071E-3</v>
      </c>
    </row>
    <row r="231" spans="1:11" x14ac:dyDescent="0.25">
      <c r="A231" s="2" t="s">
        <v>63</v>
      </c>
      <c r="B231" s="2" t="s">
        <v>84</v>
      </c>
      <c r="C231" s="2" t="s">
        <v>85</v>
      </c>
      <c r="D231" s="2" t="s">
        <v>260</v>
      </c>
      <c r="E231" s="3">
        <v>1</v>
      </c>
      <c r="F231" s="3">
        <v>1000</v>
      </c>
      <c r="G231" s="3">
        <v>41</v>
      </c>
      <c r="H231" s="4">
        <v>3.94</v>
      </c>
      <c r="I231" s="4">
        <v>607.6</v>
      </c>
      <c r="J231" s="5">
        <v>9.6100000000000005E-2</v>
      </c>
      <c r="K231" s="6">
        <v>3.9399999999999999E-3</v>
      </c>
    </row>
    <row r="232" spans="1:11" x14ac:dyDescent="0.25">
      <c r="A232" s="2" t="s">
        <v>63</v>
      </c>
      <c r="B232" s="2" t="s">
        <v>84</v>
      </c>
      <c r="C232" s="2" t="s">
        <v>85</v>
      </c>
      <c r="D232" s="2" t="s">
        <v>149</v>
      </c>
      <c r="E232" s="3">
        <v>1</v>
      </c>
      <c r="F232" s="3">
        <v>2500</v>
      </c>
      <c r="G232" s="3">
        <v>95</v>
      </c>
      <c r="H232" s="4">
        <v>9.1199999999999992</v>
      </c>
      <c r="I232" s="4">
        <v>1513.2</v>
      </c>
      <c r="J232" s="5">
        <v>9.6000000000000002E-2</v>
      </c>
      <c r="K232" s="6">
        <v>3.6480000000000002E-3</v>
      </c>
    </row>
    <row r="233" spans="1:11" x14ac:dyDescent="0.25">
      <c r="A233" s="2" t="s">
        <v>63</v>
      </c>
      <c r="B233" s="2" t="s">
        <v>84</v>
      </c>
      <c r="C233" s="2" t="s">
        <v>85</v>
      </c>
      <c r="D233" s="2" t="s">
        <v>86</v>
      </c>
      <c r="E233" s="3">
        <v>1</v>
      </c>
      <c r="F233" s="3">
        <v>3316</v>
      </c>
      <c r="G233" s="3">
        <v>191</v>
      </c>
      <c r="H233" s="4">
        <v>18.34</v>
      </c>
      <c r="I233" s="4">
        <v>2082</v>
      </c>
      <c r="J233" s="5">
        <v>9.6000000000000002E-2</v>
      </c>
      <c r="K233" s="6">
        <v>5.5310000000000003E-3</v>
      </c>
    </row>
    <row r="234" spans="1:11" x14ac:dyDescent="0.25">
      <c r="A234" s="2" t="s">
        <v>63</v>
      </c>
      <c r="B234" s="2" t="s">
        <v>84</v>
      </c>
      <c r="C234" s="2" t="s">
        <v>94</v>
      </c>
      <c r="D234" s="2" t="s">
        <v>126</v>
      </c>
      <c r="E234" s="3">
        <v>1</v>
      </c>
      <c r="F234" s="3">
        <v>2476</v>
      </c>
      <c r="G234" s="3">
        <v>130</v>
      </c>
      <c r="H234" s="4">
        <v>12.48</v>
      </c>
      <c r="I234" s="4">
        <v>1646.1</v>
      </c>
      <c r="J234" s="5">
        <v>9.6000000000000002E-2</v>
      </c>
      <c r="K234" s="6">
        <v>5.0400000000000002E-3</v>
      </c>
    </row>
    <row r="235" spans="1:11" x14ac:dyDescent="0.25">
      <c r="A235" s="2" t="s">
        <v>63</v>
      </c>
      <c r="B235" s="2" t="s">
        <v>84</v>
      </c>
      <c r="C235" s="2" t="s">
        <v>94</v>
      </c>
      <c r="D235" s="2" t="s">
        <v>340</v>
      </c>
      <c r="E235" s="3">
        <v>1</v>
      </c>
      <c r="F235" s="3">
        <v>857</v>
      </c>
      <c r="G235" s="3">
        <v>27</v>
      </c>
      <c r="H235" s="4">
        <v>2.59</v>
      </c>
      <c r="I235" s="4">
        <v>440.7</v>
      </c>
      <c r="J235" s="5">
        <v>9.6000000000000002E-2</v>
      </c>
      <c r="K235" s="6">
        <v>3.0249999999999999E-3</v>
      </c>
    </row>
    <row r="236" spans="1:11" x14ac:dyDescent="0.25">
      <c r="A236" s="2" t="s">
        <v>63</v>
      </c>
      <c r="B236" s="2" t="s">
        <v>84</v>
      </c>
      <c r="C236" s="2" t="s">
        <v>85</v>
      </c>
      <c r="D236" s="2" t="s">
        <v>341</v>
      </c>
      <c r="E236" s="3">
        <v>1</v>
      </c>
      <c r="F236" s="3">
        <v>733</v>
      </c>
      <c r="G236" s="3">
        <v>27</v>
      </c>
      <c r="H236" s="4">
        <v>2.59</v>
      </c>
      <c r="I236" s="4">
        <v>471</v>
      </c>
      <c r="J236" s="5">
        <v>9.6000000000000002E-2</v>
      </c>
      <c r="K236" s="6">
        <v>3.5360000000000001E-3</v>
      </c>
    </row>
    <row r="237" spans="1:11" x14ac:dyDescent="0.25">
      <c r="A237" s="2" t="s">
        <v>63</v>
      </c>
      <c r="B237" s="2" t="s">
        <v>84</v>
      </c>
      <c r="C237" s="2" t="s">
        <v>87</v>
      </c>
      <c r="D237" s="2" t="s">
        <v>305</v>
      </c>
      <c r="E237" s="3">
        <v>1</v>
      </c>
      <c r="F237" s="3">
        <v>877</v>
      </c>
      <c r="G237" s="3">
        <v>32</v>
      </c>
      <c r="H237" s="4">
        <v>3.07</v>
      </c>
      <c r="I237" s="4">
        <v>529</v>
      </c>
      <c r="J237" s="5">
        <v>9.5899999999999999E-2</v>
      </c>
      <c r="K237" s="6">
        <v>3.5010000000000002E-3</v>
      </c>
    </row>
    <row r="238" spans="1:11" x14ac:dyDescent="0.25">
      <c r="A238" s="2" t="s">
        <v>63</v>
      </c>
      <c r="B238" s="2" t="s">
        <v>84</v>
      </c>
      <c r="C238" s="2" t="s">
        <v>85</v>
      </c>
      <c r="D238" s="2" t="s">
        <v>206</v>
      </c>
      <c r="E238" s="3">
        <v>1</v>
      </c>
      <c r="F238" s="3">
        <v>1496</v>
      </c>
      <c r="G238" s="3">
        <v>58</v>
      </c>
      <c r="H238" s="4">
        <v>5.57</v>
      </c>
      <c r="I238" s="4">
        <v>812</v>
      </c>
      <c r="J238" s="5">
        <v>9.6000000000000002E-2</v>
      </c>
      <c r="K238" s="6">
        <v>3.7230000000000002E-3</v>
      </c>
    </row>
    <row r="239" spans="1:11" x14ac:dyDescent="0.25">
      <c r="A239" s="2" t="s">
        <v>63</v>
      </c>
      <c r="B239" s="2" t="s">
        <v>84</v>
      </c>
      <c r="C239" s="2" t="s">
        <v>94</v>
      </c>
      <c r="D239" s="2" t="s">
        <v>309</v>
      </c>
      <c r="E239" s="3">
        <v>1</v>
      </c>
      <c r="F239" s="3">
        <v>702</v>
      </c>
      <c r="G239" s="3">
        <v>31</v>
      </c>
      <c r="H239" s="4">
        <v>2.98</v>
      </c>
      <c r="I239" s="4">
        <v>559.6</v>
      </c>
      <c r="J239" s="5">
        <v>9.6000000000000002E-2</v>
      </c>
      <c r="K239" s="6">
        <v>4.2389999999999997E-3</v>
      </c>
    </row>
    <row r="240" spans="1:11" x14ac:dyDescent="0.25">
      <c r="A240" s="2" t="s">
        <v>63</v>
      </c>
      <c r="B240" s="2" t="s">
        <v>84</v>
      </c>
      <c r="C240" s="2" t="s">
        <v>85</v>
      </c>
      <c r="D240" s="2" t="s">
        <v>301</v>
      </c>
      <c r="E240" s="3">
        <v>1</v>
      </c>
      <c r="F240" s="3">
        <v>858</v>
      </c>
      <c r="G240" s="3">
        <v>32</v>
      </c>
      <c r="H240" s="4">
        <v>3.07</v>
      </c>
      <c r="I240" s="4">
        <v>596.6</v>
      </c>
      <c r="J240" s="5">
        <v>9.6000000000000002E-2</v>
      </c>
      <c r="K240" s="6">
        <v>3.5799999999999998E-3</v>
      </c>
    </row>
    <row r="241" spans="1:11" x14ac:dyDescent="0.25">
      <c r="A241" s="2" t="s">
        <v>63</v>
      </c>
      <c r="B241" s="2" t="s">
        <v>84</v>
      </c>
      <c r="C241" s="2" t="s">
        <v>87</v>
      </c>
      <c r="D241" s="2" t="s">
        <v>326</v>
      </c>
      <c r="E241" s="3">
        <v>1</v>
      </c>
      <c r="F241" s="3">
        <v>783</v>
      </c>
      <c r="G241" s="3">
        <v>28</v>
      </c>
      <c r="H241" s="4">
        <v>2.69</v>
      </c>
      <c r="I241" s="4">
        <v>515.29999999999995</v>
      </c>
      <c r="J241" s="5">
        <v>9.6000000000000002E-2</v>
      </c>
      <c r="K241" s="6">
        <v>3.4329999999999999E-3</v>
      </c>
    </row>
    <row r="242" spans="1:11" x14ac:dyDescent="0.25">
      <c r="A242" s="2" t="s">
        <v>63</v>
      </c>
      <c r="B242" s="2" t="s">
        <v>84</v>
      </c>
      <c r="C242" s="2" t="s">
        <v>94</v>
      </c>
      <c r="D242" s="2" t="s">
        <v>325</v>
      </c>
      <c r="E242" s="3">
        <v>1</v>
      </c>
      <c r="F242" s="3">
        <v>677</v>
      </c>
      <c r="G242" s="3">
        <v>28</v>
      </c>
      <c r="H242" s="4">
        <v>2.69</v>
      </c>
      <c r="I242" s="4">
        <v>500.4</v>
      </c>
      <c r="J242" s="5">
        <v>9.6000000000000002E-2</v>
      </c>
      <c r="K242" s="6">
        <v>3.9699999999999996E-3</v>
      </c>
    </row>
    <row r="243" spans="1:11" x14ac:dyDescent="0.25">
      <c r="A243" s="2" t="s">
        <v>63</v>
      </c>
      <c r="B243" s="2" t="s">
        <v>84</v>
      </c>
      <c r="C243" s="2" t="s">
        <v>87</v>
      </c>
      <c r="D243" s="2" t="s">
        <v>418</v>
      </c>
      <c r="E243" s="3">
        <v>1</v>
      </c>
      <c r="F243" s="3">
        <v>675</v>
      </c>
      <c r="G243" s="3">
        <v>18</v>
      </c>
      <c r="H243" s="4">
        <v>1.73</v>
      </c>
      <c r="I243" s="4">
        <v>337.7</v>
      </c>
      <c r="J243" s="5">
        <v>9.6000000000000002E-2</v>
      </c>
      <c r="K243" s="6">
        <v>2.5600000000000002E-3</v>
      </c>
    </row>
    <row r="244" spans="1:11" x14ac:dyDescent="0.25">
      <c r="A244" s="2" t="s">
        <v>63</v>
      </c>
      <c r="B244" s="2" t="s">
        <v>84</v>
      </c>
      <c r="C244" s="2" t="s">
        <v>94</v>
      </c>
      <c r="D244" s="2" t="s">
        <v>253</v>
      </c>
      <c r="E244" s="3">
        <v>1</v>
      </c>
      <c r="F244" s="3">
        <v>787</v>
      </c>
      <c r="G244" s="3">
        <v>40</v>
      </c>
      <c r="H244" s="4">
        <v>4.0999999999999996</v>
      </c>
      <c r="I244" s="4">
        <v>548.20000000000005</v>
      </c>
      <c r="J244" s="5">
        <v>0.10249999999999999</v>
      </c>
      <c r="K244" s="6">
        <v>5.2100000000000002E-3</v>
      </c>
    </row>
    <row r="245" spans="1:11" x14ac:dyDescent="0.25">
      <c r="A245" s="2" t="s">
        <v>63</v>
      </c>
      <c r="B245" s="2" t="s">
        <v>84</v>
      </c>
      <c r="C245" s="2" t="s">
        <v>286</v>
      </c>
      <c r="D245" s="2" t="s">
        <v>287</v>
      </c>
      <c r="E245" s="3">
        <v>1</v>
      </c>
      <c r="F245" s="3">
        <v>634</v>
      </c>
      <c r="G245" s="3">
        <v>35</v>
      </c>
      <c r="H245" s="4">
        <v>3.36</v>
      </c>
      <c r="I245" s="4">
        <v>501</v>
      </c>
      <c r="J245" s="5">
        <v>9.6000000000000002E-2</v>
      </c>
      <c r="K245" s="6">
        <v>5.3E-3</v>
      </c>
    </row>
    <row r="246" spans="1:11" x14ac:dyDescent="0.25">
      <c r="A246" s="2" t="s">
        <v>63</v>
      </c>
      <c r="B246" s="2" t="s">
        <v>84</v>
      </c>
      <c r="C246" s="2" t="s">
        <v>87</v>
      </c>
      <c r="D246" s="2" t="s">
        <v>434</v>
      </c>
      <c r="E246" s="3">
        <v>1</v>
      </c>
      <c r="F246" s="3">
        <v>633</v>
      </c>
      <c r="G246" s="3">
        <v>17</v>
      </c>
      <c r="H246" s="4">
        <v>1.63</v>
      </c>
      <c r="I246" s="4">
        <v>325.8</v>
      </c>
      <c r="J246" s="5">
        <v>9.6000000000000002E-2</v>
      </c>
      <c r="K246" s="6">
        <v>2.578E-3</v>
      </c>
    </row>
    <row r="247" spans="1:11" x14ac:dyDescent="0.25">
      <c r="A247" s="2" t="s">
        <v>63</v>
      </c>
      <c r="B247" s="2" t="s">
        <v>84</v>
      </c>
      <c r="C247" s="2" t="s">
        <v>85</v>
      </c>
      <c r="D247" s="2" t="s">
        <v>266</v>
      </c>
      <c r="E247" s="3">
        <v>1</v>
      </c>
      <c r="F247" s="3">
        <v>1174</v>
      </c>
      <c r="G247" s="3">
        <v>38</v>
      </c>
      <c r="H247" s="4">
        <v>3.92</v>
      </c>
      <c r="I247" s="4">
        <v>704.9</v>
      </c>
      <c r="J247" s="5">
        <v>0.1032</v>
      </c>
      <c r="K247" s="6">
        <v>3.3400000000000001E-3</v>
      </c>
    </row>
    <row r="248" spans="1:11" x14ac:dyDescent="0.25">
      <c r="A248" s="2" t="s">
        <v>63</v>
      </c>
      <c r="B248" s="2" t="s">
        <v>84</v>
      </c>
      <c r="C248" s="2" t="s">
        <v>87</v>
      </c>
      <c r="D248" s="2" t="s">
        <v>345</v>
      </c>
      <c r="E248" s="3">
        <v>1</v>
      </c>
      <c r="F248" s="3">
        <v>911</v>
      </c>
      <c r="G248" s="3">
        <v>25</v>
      </c>
      <c r="H248" s="4">
        <v>2.58</v>
      </c>
      <c r="I248" s="4">
        <v>512.6</v>
      </c>
      <c r="J248" s="5">
        <v>0.1032</v>
      </c>
      <c r="K248" s="6">
        <v>2.8319999999999999E-3</v>
      </c>
    </row>
    <row r="249" spans="1:11" x14ac:dyDescent="0.25">
      <c r="A249" s="2" t="s">
        <v>63</v>
      </c>
      <c r="B249" s="2" t="s">
        <v>84</v>
      </c>
      <c r="C249" s="2" t="s">
        <v>94</v>
      </c>
      <c r="D249" s="2" t="s">
        <v>409</v>
      </c>
      <c r="E249" s="3">
        <v>1</v>
      </c>
      <c r="F249" s="3">
        <v>422</v>
      </c>
      <c r="G249" s="3">
        <v>17</v>
      </c>
      <c r="H249" s="4">
        <v>1.76</v>
      </c>
      <c r="I249" s="4">
        <v>326.5</v>
      </c>
      <c r="J249" s="5">
        <v>0.1036</v>
      </c>
      <c r="K249" s="6">
        <v>4.1749999999999999E-3</v>
      </c>
    </row>
    <row r="250" spans="1:11" x14ac:dyDescent="0.25">
      <c r="A250" s="2" t="s">
        <v>63</v>
      </c>
      <c r="B250" s="2" t="s">
        <v>84</v>
      </c>
      <c r="C250" s="2" t="s">
        <v>94</v>
      </c>
      <c r="D250" s="2" t="s">
        <v>350</v>
      </c>
      <c r="E250" s="3">
        <v>1</v>
      </c>
      <c r="F250" s="3">
        <v>600</v>
      </c>
      <c r="G250" s="3">
        <v>24</v>
      </c>
      <c r="H250" s="4">
        <v>2.48</v>
      </c>
      <c r="I250" s="4">
        <v>472</v>
      </c>
      <c r="J250" s="5">
        <v>0.1032</v>
      </c>
      <c r="K250" s="6">
        <v>4.1279999999999997E-3</v>
      </c>
    </row>
    <row r="251" spans="1:11" x14ac:dyDescent="0.25">
      <c r="A251" s="2" t="s">
        <v>63</v>
      </c>
      <c r="B251" s="2" t="s">
        <v>84</v>
      </c>
      <c r="C251" s="2" t="s">
        <v>87</v>
      </c>
      <c r="D251" s="2" t="s">
        <v>410</v>
      </c>
      <c r="E251" s="3">
        <v>1</v>
      </c>
      <c r="F251" s="3">
        <v>518</v>
      </c>
      <c r="G251" s="3">
        <v>17</v>
      </c>
      <c r="H251" s="4">
        <v>1.75</v>
      </c>
      <c r="I251" s="4">
        <v>311.5</v>
      </c>
      <c r="J251" s="5">
        <v>0.1032</v>
      </c>
      <c r="K251" s="6">
        <v>3.3869999999999998E-3</v>
      </c>
    </row>
    <row r="252" spans="1:11" x14ac:dyDescent="0.25">
      <c r="A252" s="2" t="s">
        <v>63</v>
      </c>
      <c r="B252" s="2" t="s">
        <v>84</v>
      </c>
      <c r="C252" s="2" t="s">
        <v>87</v>
      </c>
      <c r="D252" s="2" t="s">
        <v>452</v>
      </c>
      <c r="E252" s="3">
        <v>1</v>
      </c>
      <c r="F252" s="3">
        <v>498</v>
      </c>
      <c r="G252" s="3">
        <v>14</v>
      </c>
      <c r="H252" s="4">
        <v>1.44</v>
      </c>
      <c r="I252" s="4">
        <v>277</v>
      </c>
      <c r="J252" s="5">
        <v>0.1032</v>
      </c>
      <c r="K252" s="6">
        <v>2.9009999999999999E-3</v>
      </c>
    </row>
    <row r="253" spans="1:11" x14ac:dyDescent="0.25">
      <c r="A253" s="2" t="s">
        <v>63</v>
      </c>
      <c r="B253" s="2" t="s">
        <v>110</v>
      </c>
      <c r="C253" s="2" t="s">
        <v>111</v>
      </c>
      <c r="D253" s="2" t="s">
        <v>168</v>
      </c>
      <c r="E253" s="3">
        <v>1</v>
      </c>
      <c r="F253" s="3">
        <v>1979</v>
      </c>
      <c r="G253" s="3">
        <v>81</v>
      </c>
      <c r="H253" s="4">
        <v>7.78</v>
      </c>
      <c r="I253" s="4">
        <v>1204.4000000000001</v>
      </c>
      <c r="J253" s="5">
        <v>9.6000000000000002E-2</v>
      </c>
      <c r="K253" s="6">
        <v>3.9290000000000002E-3</v>
      </c>
    </row>
    <row r="254" spans="1:11" x14ac:dyDescent="0.25">
      <c r="A254" s="2" t="s">
        <v>63</v>
      </c>
      <c r="B254" s="2" t="s">
        <v>110</v>
      </c>
      <c r="C254" s="2" t="s">
        <v>111</v>
      </c>
      <c r="D254" s="2" t="s">
        <v>198</v>
      </c>
      <c r="E254" s="3">
        <v>1</v>
      </c>
      <c r="F254" s="3">
        <v>1485</v>
      </c>
      <c r="G254" s="3">
        <v>58</v>
      </c>
      <c r="H254" s="4">
        <v>5.95</v>
      </c>
      <c r="I254" s="4">
        <v>1052.8</v>
      </c>
      <c r="J254" s="5">
        <v>0.1026</v>
      </c>
      <c r="K254" s="6">
        <v>4.0070000000000001E-3</v>
      </c>
    </row>
    <row r="255" spans="1:11" x14ac:dyDescent="0.25">
      <c r="A255" s="2" t="s">
        <v>63</v>
      </c>
      <c r="B255" s="2" t="s">
        <v>110</v>
      </c>
      <c r="C255" s="2" t="s">
        <v>111</v>
      </c>
      <c r="D255" s="2" t="s">
        <v>135</v>
      </c>
      <c r="E255" s="3">
        <v>1</v>
      </c>
      <c r="F255" s="3">
        <v>2393</v>
      </c>
      <c r="G255" s="3">
        <v>109</v>
      </c>
      <c r="H255" s="4">
        <v>11.18</v>
      </c>
      <c r="I255" s="4">
        <v>1968.4</v>
      </c>
      <c r="J255" s="5">
        <v>0.1026</v>
      </c>
      <c r="K255" s="6">
        <v>4.6719999999999999E-3</v>
      </c>
    </row>
    <row r="256" spans="1:11" x14ac:dyDescent="0.25">
      <c r="A256" s="2" t="s">
        <v>63</v>
      </c>
      <c r="B256" s="2" t="s">
        <v>110</v>
      </c>
      <c r="C256" s="2" t="s">
        <v>100</v>
      </c>
      <c r="D256" s="2" t="s">
        <v>224</v>
      </c>
      <c r="E256" s="3">
        <v>1</v>
      </c>
      <c r="F256" s="3">
        <v>1961</v>
      </c>
      <c r="G256" s="3">
        <v>52</v>
      </c>
      <c r="H256" s="4">
        <v>4.99</v>
      </c>
      <c r="I256" s="4">
        <v>865</v>
      </c>
      <c r="J256" s="5">
        <v>9.6000000000000002E-2</v>
      </c>
      <c r="K256" s="6">
        <v>2.5460000000000001E-3</v>
      </c>
    </row>
    <row r="257" spans="1:11" x14ac:dyDescent="0.25">
      <c r="A257" s="2" t="s">
        <v>63</v>
      </c>
      <c r="B257" s="2" t="s">
        <v>110</v>
      </c>
      <c r="C257" s="2" t="s">
        <v>100</v>
      </c>
      <c r="D257" s="2" t="s">
        <v>169</v>
      </c>
      <c r="E257" s="3">
        <v>2</v>
      </c>
      <c r="F257" s="3">
        <v>1691</v>
      </c>
      <c r="G257" s="3">
        <v>78</v>
      </c>
      <c r="H257" s="4">
        <v>7.49</v>
      </c>
      <c r="I257" s="4">
        <v>1131.3</v>
      </c>
      <c r="J257" s="5">
        <v>9.6000000000000002E-2</v>
      </c>
      <c r="K257" s="6">
        <v>4.4279999999999996E-3</v>
      </c>
    </row>
    <row r="258" spans="1:11" x14ac:dyDescent="0.25">
      <c r="A258" s="2" t="s">
        <v>63</v>
      </c>
      <c r="B258" s="2" t="s">
        <v>110</v>
      </c>
      <c r="C258" s="2" t="s">
        <v>111</v>
      </c>
      <c r="D258" s="2" t="s">
        <v>112</v>
      </c>
      <c r="E258" s="3">
        <v>1</v>
      </c>
      <c r="F258" s="3">
        <v>3146</v>
      </c>
      <c r="G258" s="3">
        <v>144</v>
      </c>
      <c r="H258" s="4">
        <v>13.82</v>
      </c>
      <c r="I258" s="4">
        <v>2258.1</v>
      </c>
      <c r="J258" s="5">
        <v>9.6000000000000002E-2</v>
      </c>
      <c r="K258" s="6">
        <v>4.3940000000000003E-3</v>
      </c>
    </row>
    <row r="259" spans="1:11" x14ac:dyDescent="0.25">
      <c r="A259" s="2" t="s">
        <v>63</v>
      </c>
      <c r="B259" s="2" t="s">
        <v>110</v>
      </c>
      <c r="C259" s="2" t="s">
        <v>100</v>
      </c>
      <c r="D259" s="2" t="s">
        <v>128</v>
      </c>
      <c r="E259" s="3">
        <v>2</v>
      </c>
      <c r="F259" s="3">
        <v>2772</v>
      </c>
      <c r="G259" s="3">
        <v>126</v>
      </c>
      <c r="H259" s="4">
        <v>12.1</v>
      </c>
      <c r="I259" s="4">
        <v>1833.9</v>
      </c>
      <c r="J259" s="5">
        <v>9.6000000000000002E-2</v>
      </c>
      <c r="K259" s="6">
        <v>4.3639999999999998E-3</v>
      </c>
    </row>
    <row r="260" spans="1:11" x14ac:dyDescent="0.25">
      <c r="A260" s="2" t="s">
        <v>63</v>
      </c>
      <c r="B260" s="2" t="s">
        <v>110</v>
      </c>
      <c r="C260" s="2" t="s">
        <v>100</v>
      </c>
      <c r="D260" s="2" t="s">
        <v>113</v>
      </c>
      <c r="E260" s="3">
        <v>1</v>
      </c>
      <c r="F260" s="3">
        <v>4573</v>
      </c>
      <c r="G260" s="3">
        <v>144</v>
      </c>
      <c r="H260" s="4">
        <v>13.82</v>
      </c>
      <c r="I260" s="4">
        <v>2540</v>
      </c>
      <c r="J260" s="5">
        <v>9.6000000000000002E-2</v>
      </c>
      <c r="K260" s="6">
        <v>3.0230000000000001E-3</v>
      </c>
    </row>
    <row r="261" spans="1:11" x14ac:dyDescent="0.25">
      <c r="A261" s="2" t="s">
        <v>63</v>
      </c>
      <c r="B261" s="2" t="s">
        <v>110</v>
      </c>
      <c r="C261" s="2" t="s">
        <v>111</v>
      </c>
      <c r="D261" s="2" t="s">
        <v>153</v>
      </c>
      <c r="E261" s="3">
        <v>2</v>
      </c>
      <c r="F261" s="3">
        <v>1879</v>
      </c>
      <c r="G261" s="3">
        <v>94</v>
      </c>
      <c r="H261" s="4">
        <v>8.64</v>
      </c>
      <c r="I261" s="4">
        <v>1382.7</v>
      </c>
      <c r="J261" s="5">
        <v>9.1899999999999996E-2</v>
      </c>
      <c r="K261" s="6">
        <v>4.5979999999999997E-3</v>
      </c>
    </row>
    <row r="262" spans="1:11" x14ac:dyDescent="0.25">
      <c r="A262" s="2" t="s">
        <v>63</v>
      </c>
      <c r="B262" s="2" t="s">
        <v>110</v>
      </c>
      <c r="C262" s="2" t="s">
        <v>100</v>
      </c>
      <c r="D262" s="2" t="s">
        <v>197</v>
      </c>
      <c r="E262" s="3">
        <v>2</v>
      </c>
      <c r="F262" s="3">
        <v>1790</v>
      </c>
      <c r="G262" s="3">
        <v>62</v>
      </c>
      <c r="H262" s="4">
        <v>5.95</v>
      </c>
      <c r="I262" s="4">
        <v>933.2</v>
      </c>
      <c r="J262" s="5">
        <v>9.6000000000000002E-2</v>
      </c>
      <c r="K262" s="6">
        <v>3.3249999999999998E-3</v>
      </c>
    </row>
    <row r="263" spans="1:11" x14ac:dyDescent="0.25">
      <c r="A263" s="2" t="s">
        <v>63</v>
      </c>
      <c r="B263" s="2" t="s">
        <v>110</v>
      </c>
      <c r="C263" s="2" t="s">
        <v>100</v>
      </c>
      <c r="D263" s="2" t="s">
        <v>207</v>
      </c>
      <c r="E263" s="3">
        <v>1</v>
      </c>
      <c r="F263" s="3">
        <v>1101</v>
      </c>
      <c r="G263" s="3">
        <v>58</v>
      </c>
      <c r="H263" s="4">
        <v>5.57</v>
      </c>
      <c r="I263" s="4">
        <v>546.6</v>
      </c>
      <c r="J263" s="5">
        <v>9.6000000000000002E-2</v>
      </c>
      <c r="K263" s="6">
        <v>5.0569999999999999E-3</v>
      </c>
    </row>
    <row r="264" spans="1:11" x14ac:dyDescent="0.25">
      <c r="A264" s="2" t="s">
        <v>63</v>
      </c>
      <c r="B264" s="2" t="s">
        <v>110</v>
      </c>
      <c r="C264" s="2" t="s">
        <v>100</v>
      </c>
      <c r="D264" s="2" t="s">
        <v>215</v>
      </c>
      <c r="E264" s="3">
        <v>1</v>
      </c>
      <c r="F264" s="3">
        <v>1394</v>
      </c>
      <c r="G264" s="3">
        <v>55</v>
      </c>
      <c r="H264" s="4">
        <v>5.28</v>
      </c>
      <c r="I264" s="4">
        <v>687.5</v>
      </c>
      <c r="J264" s="5">
        <v>9.6000000000000002E-2</v>
      </c>
      <c r="K264" s="6">
        <v>3.7880000000000001E-3</v>
      </c>
    </row>
    <row r="265" spans="1:11" x14ac:dyDescent="0.25">
      <c r="A265" s="2" t="s">
        <v>63</v>
      </c>
      <c r="B265" s="2" t="s">
        <v>110</v>
      </c>
      <c r="C265" s="2" t="s">
        <v>100</v>
      </c>
      <c r="D265" s="2" t="s">
        <v>296</v>
      </c>
      <c r="E265" s="3">
        <v>1</v>
      </c>
      <c r="F265" s="3">
        <v>700</v>
      </c>
      <c r="G265" s="3">
        <v>33</v>
      </c>
      <c r="H265" s="4">
        <v>3.17</v>
      </c>
      <c r="I265" s="4">
        <v>462</v>
      </c>
      <c r="J265" s="5">
        <v>9.6000000000000002E-2</v>
      </c>
      <c r="K265" s="6">
        <v>4.5259999999999996E-3</v>
      </c>
    </row>
    <row r="266" spans="1:11" x14ac:dyDescent="0.25">
      <c r="A266" s="2" t="s">
        <v>63</v>
      </c>
      <c r="B266" s="2" t="s">
        <v>110</v>
      </c>
      <c r="C266" s="2" t="s">
        <v>100</v>
      </c>
      <c r="D266" s="2" t="s">
        <v>247</v>
      </c>
      <c r="E266" s="3">
        <v>1</v>
      </c>
      <c r="F266" s="3">
        <v>742</v>
      </c>
      <c r="G266" s="3">
        <v>40</v>
      </c>
      <c r="H266" s="4">
        <v>4.17</v>
      </c>
      <c r="I266" s="4">
        <v>380.5</v>
      </c>
      <c r="J266" s="5">
        <v>0.1042</v>
      </c>
      <c r="K266" s="6">
        <v>5.6179999999999997E-3</v>
      </c>
    </row>
    <row r="267" spans="1:11" x14ac:dyDescent="0.25">
      <c r="A267" s="2" t="s">
        <v>63</v>
      </c>
      <c r="B267" s="2" t="s">
        <v>110</v>
      </c>
      <c r="C267" s="2" t="s">
        <v>100</v>
      </c>
      <c r="D267" s="2" t="s">
        <v>338</v>
      </c>
      <c r="E267" s="3">
        <v>1</v>
      </c>
      <c r="F267" s="3">
        <v>687</v>
      </c>
      <c r="G267" s="3">
        <v>27</v>
      </c>
      <c r="H267" s="4">
        <v>2.59</v>
      </c>
      <c r="I267" s="4">
        <v>438.6</v>
      </c>
      <c r="J267" s="5">
        <v>9.6000000000000002E-2</v>
      </c>
      <c r="K267" s="6">
        <v>3.7729999999999999E-3</v>
      </c>
    </row>
    <row r="268" spans="1:11" x14ac:dyDescent="0.25">
      <c r="A268" s="2" t="s">
        <v>63</v>
      </c>
      <c r="B268" s="2" t="s">
        <v>110</v>
      </c>
      <c r="C268" s="2" t="s">
        <v>100</v>
      </c>
      <c r="D268" s="2" t="s">
        <v>374</v>
      </c>
      <c r="E268" s="3">
        <v>1</v>
      </c>
      <c r="F268" s="3">
        <v>778</v>
      </c>
      <c r="G268" s="3">
        <v>23</v>
      </c>
      <c r="H268" s="4">
        <v>2.21</v>
      </c>
      <c r="I268" s="4">
        <v>289.8</v>
      </c>
      <c r="J268" s="5">
        <v>9.6000000000000002E-2</v>
      </c>
      <c r="K268" s="6">
        <v>2.8379999999999998E-3</v>
      </c>
    </row>
    <row r="269" spans="1:11" x14ac:dyDescent="0.25">
      <c r="A269" s="2" t="s">
        <v>63</v>
      </c>
      <c r="B269" s="2" t="s">
        <v>110</v>
      </c>
      <c r="C269" s="2" t="s">
        <v>100</v>
      </c>
      <c r="D269" s="2" t="s">
        <v>175</v>
      </c>
      <c r="E269" s="3">
        <v>1</v>
      </c>
      <c r="F269" s="3">
        <v>2399</v>
      </c>
      <c r="G269" s="3">
        <v>73</v>
      </c>
      <c r="H269" s="4">
        <v>7.01</v>
      </c>
      <c r="I269" s="4">
        <v>1196.9000000000001</v>
      </c>
      <c r="J269" s="5">
        <v>9.6000000000000002E-2</v>
      </c>
      <c r="K269" s="6">
        <v>2.921E-3</v>
      </c>
    </row>
    <row r="270" spans="1:11" x14ac:dyDescent="0.25">
      <c r="A270" s="2" t="s">
        <v>63</v>
      </c>
      <c r="B270" s="2" t="s">
        <v>110</v>
      </c>
      <c r="C270" s="2" t="s">
        <v>100</v>
      </c>
      <c r="D270" s="2" t="s">
        <v>180</v>
      </c>
      <c r="E270" s="3">
        <v>1</v>
      </c>
      <c r="F270" s="3">
        <v>1408</v>
      </c>
      <c r="G270" s="3">
        <v>71</v>
      </c>
      <c r="H270" s="4">
        <v>6.82</v>
      </c>
      <c r="I270" s="4">
        <v>944.3</v>
      </c>
      <c r="J270" s="5">
        <v>9.6000000000000002E-2</v>
      </c>
      <c r="K270" s="6">
        <v>4.8409999999999998E-3</v>
      </c>
    </row>
    <row r="271" spans="1:11" x14ac:dyDescent="0.25">
      <c r="A271" s="2" t="s">
        <v>63</v>
      </c>
      <c r="B271" s="2" t="s">
        <v>110</v>
      </c>
      <c r="C271" s="2" t="s">
        <v>100</v>
      </c>
      <c r="D271" s="2" t="s">
        <v>238</v>
      </c>
      <c r="E271" s="3">
        <v>1</v>
      </c>
      <c r="F271" s="3">
        <v>1956</v>
      </c>
      <c r="G271" s="3">
        <v>49</v>
      </c>
      <c r="H271" s="4">
        <v>4.7</v>
      </c>
      <c r="I271" s="4">
        <v>800.6</v>
      </c>
      <c r="J271" s="5">
        <v>9.6000000000000002E-2</v>
      </c>
      <c r="K271" s="6">
        <v>2.405E-3</v>
      </c>
    </row>
    <row r="272" spans="1:11" x14ac:dyDescent="0.25">
      <c r="A272" s="2" t="s">
        <v>63</v>
      </c>
      <c r="B272" s="2" t="s">
        <v>110</v>
      </c>
      <c r="C272" s="2" t="s">
        <v>100</v>
      </c>
      <c r="D272" s="2" t="s">
        <v>352</v>
      </c>
      <c r="E272" s="3">
        <v>1</v>
      </c>
      <c r="F272" s="3">
        <v>788</v>
      </c>
      <c r="G272" s="3">
        <v>25</v>
      </c>
      <c r="H272" s="4">
        <v>2.4</v>
      </c>
      <c r="I272" s="4">
        <v>300</v>
      </c>
      <c r="J272" s="5">
        <v>9.6000000000000002E-2</v>
      </c>
      <c r="K272" s="6">
        <v>3.0460000000000001E-3</v>
      </c>
    </row>
    <row r="273" spans="1:11" x14ac:dyDescent="0.25">
      <c r="A273" s="2" t="s">
        <v>63</v>
      </c>
      <c r="B273" s="2" t="s">
        <v>110</v>
      </c>
      <c r="C273" s="2" t="s">
        <v>100</v>
      </c>
      <c r="D273" s="2" t="s">
        <v>252</v>
      </c>
      <c r="E273" s="3">
        <v>1</v>
      </c>
      <c r="F273" s="3">
        <v>759</v>
      </c>
      <c r="G273" s="3">
        <v>43</v>
      </c>
      <c r="H273" s="4">
        <v>4.13</v>
      </c>
      <c r="I273" s="4">
        <v>506.6</v>
      </c>
      <c r="J273" s="5">
        <v>9.6000000000000002E-2</v>
      </c>
      <c r="K273" s="6">
        <v>5.4390000000000003E-3</v>
      </c>
    </row>
    <row r="274" spans="1:11" x14ac:dyDescent="0.25">
      <c r="A274" s="2" t="s">
        <v>63</v>
      </c>
      <c r="B274" s="2" t="s">
        <v>110</v>
      </c>
      <c r="C274" s="2" t="s">
        <v>100</v>
      </c>
      <c r="D274" s="2" t="s">
        <v>225</v>
      </c>
      <c r="E274" s="3">
        <v>1</v>
      </c>
      <c r="F274" s="3">
        <v>1664</v>
      </c>
      <c r="G274" s="3">
        <v>52</v>
      </c>
      <c r="H274" s="4">
        <v>4.99</v>
      </c>
      <c r="I274" s="4">
        <v>766.4</v>
      </c>
      <c r="J274" s="5">
        <v>9.6000000000000002E-2</v>
      </c>
      <c r="K274" s="6">
        <v>3.0000000000000001E-3</v>
      </c>
    </row>
    <row r="275" spans="1:11" x14ac:dyDescent="0.25">
      <c r="A275" s="2" t="s">
        <v>63</v>
      </c>
      <c r="B275" s="2" t="s">
        <v>110</v>
      </c>
      <c r="C275" s="2" t="s">
        <v>395</v>
      </c>
      <c r="D275" s="2" t="s">
        <v>396</v>
      </c>
      <c r="E275" s="3">
        <v>1</v>
      </c>
      <c r="F275" s="3">
        <v>702</v>
      </c>
      <c r="G275" s="3">
        <v>20</v>
      </c>
      <c r="H275" s="4">
        <v>1.92</v>
      </c>
      <c r="I275" s="4">
        <v>300</v>
      </c>
      <c r="J275" s="5">
        <v>9.6000000000000002E-2</v>
      </c>
      <c r="K275" s="6">
        <v>2.735E-3</v>
      </c>
    </row>
    <row r="276" spans="1:11" x14ac:dyDescent="0.25">
      <c r="A276" s="2" t="s">
        <v>63</v>
      </c>
      <c r="B276" s="2" t="s">
        <v>110</v>
      </c>
      <c r="C276" s="2" t="s">
        <v>100</v>
      </c>
      <c r="D276" s="2" t="s">
        <v>291</v>
      </c>
      <c r="E276" s="3">
        <v>1</v>
      </c>
      <c r="F276" s="3">
        <v>690</v>
      </c>
      <c r="G276" s="3">
        <v>34</v>
      </c>
      <c r="H276" s="4">
        <v>3.26</v>
      </c>
      <c r="I276" s="4">
        <v>480.2</v>
      </c>
      <c r="J276" s="5">
        <v>9.6000000000000002E-2</v>
      </c>
      <c r="K276" s="6">
        <v>4.7299999999999998E-3</v>
      </c>
    </row>
    <row r="277" spans="1:11" x14ac:dyDescent="0.25">
      <c r="A277" s="2" t="s">
        <v>63</v>
      </c>
      <c r="B277" s="2" t="s">
        <v>110</v>
      </c>
      <c r="C277" s="2" t="s">
        <v>100</v>
      </c>
      <c r="D277" s="2" t="s">
        <v>214</v>
      </c>
      <c r="E277" s="3">
        <v>1</v>
      </c>
      <c r="F277" s="3">
        <v>1435</v>
      </c>
      <c r="G277" s="3">
        <v>56</v>
      </c>
      <c r="H277" s="4">
        <v>5.37</v>
      </c>
      <c r="I277" s="4">
        <v>616</v>
      </c>
      <c r="J277" s="5">
        <v>9.5899999999999999E-2</v>
      </c>
      <c r="K277" s="6">
        <v>3.7439999999999999E-3</v>
      </c>
    </row>
    <row r="278" spans="1:11" x14ac:dyDescent="0.25">
      <c r="A278" s="2" t="s">
        <v>63</v>
      </c>
      <c r="B278" s="2" t="s">
        <v>110</v>
      </c>
      <c r="C278" s="2" t="s">
        <v>100</v>
      </c>
      <c r="D278" s="2" t="s">
        <v>203</v>
      </c>
      <c r="E278" s="3">
        <v>1</v>
      </c>
      <c r="F278" s="3">
        <v>2037</v>
      </c>
      <c r="G278" s="3">
        <v>55</v>
      </c>
      <c r="H278" s="4">
        <v>5.59</v>
      </c>
      <c r="I278" s="4">
        <v>1020.8</v>
      </c>
      <c r="J278" s="5">
        <v>0.1017</v>
      </c>
      <c r="K278" s="6">
        <v>2.745E-3</v>
      </c>
    </row>
    <row r="279" spans="1:11" x14ac:dyDescent="0.25">
      <c r="A279" s="2" t="s">
        <v>63</v>
      </c>
      <c r="B279" s="2" t="s">
        <v>110</v>
      </c>
      <c r="C279" s="2" t="s">
        <v>100</v>
      </c>
      <c r="D279" s="2" t="s">
        <v>279</v>
      </c>
      <c r="E279" s="3">
        <v>1</v>
      </c>
      <c r="F279" s="3">
        <v>655</v>
      </c>
      <c r="G279" s="3">
        <v>37</v>
      </c>
      <c r="H279" s="4">
        <v>3.55</v>
      </c>
      <c r="I279" s="4">
        <v>347.9</v>
      </c>
      <c r="J279" s="5">
        <v>9.6000000000000002E-2</v>
      </c>
      <c r="K279" s="6">
        <v>5.4229999999999999E-3</v>
      </c>
    </row>
    <row r="280" spans="1:11" x14ac:dyDescent="0.25">
      <c r="A280" s="2" t="s">
        <v>63</v>
      </c>
      <c r="B280" s="2" t="s">
        <v>110</v>
      </c>
      <c r="C280" s="2" t="s">
        <v>100</v>
      </c>
      <c r="D280" s="2" t="s">
        <v>163</v>
      </c>
      <c r="E280" s="3">
        <v>1</v>
      </c>
      <c r="F280" s="3">
        <v>2950</v>
      </c>
      <c r="G280" s="3">
        <v>86</v>
      </c>
      <c r="H280" s="4">
        <v>7.98</v>
      </c>
      <c r="I280" s="4">
        <v>1350.6</v>
      </c>
      <c r="J280" s="5">
        <v>9.2799999999999994E-2</v>
      </c>
      <c r="K280" s="6">
        <v>2.7060000000000001E-3</v>
      </c>
    </row>
    <row r="281" spans="1:11" x14ac:dyDescent="0.25">
      <c r="A281" s="2" t="s">
        <v>63</v>
      </c>
      <c r="B281" s="2" t="s">
        <v>110</v>
      </c>
      <c r="C281" s="2" t="s">
        <v>100</v>
      </c>
      <c r="D281" s="2" t="s">
        <v>354</v>
      </c>
      <c r="E281" s="3">
        <v>1</v>
      </c>
      <c r="F281" s="3">
        <v>732</v>
      </c>
      <c r="G281" s="3">
        <v>25</v>
      </c>
      <c r="H281" s="4">
        <v>2.4</v>
      </c>
      <c r="I281" s="4">
        <v>408.5</v>
      </c>
      <c r="J281" s="5">
        <v>9.6000000000000002E-2</v>
      </c>
      <c r="K281" s="6">
        <v>3.2789999999999998E-3</v>
      </c>
    </row>
    <row r="282" spans="1:11" x14ac:dyDescent="0.25">
      <c r="A282" s="2" t="s">
        <v>63</v>
      </c>
      <c r="B282" s="2" t="s">
        <v>110</v>
      </c>
      <c r="C282" s="2" t="s">
        <v>100</v>
      </c>
      <c r="D282" s="2" t="s">
        <v>308</v>
      </c>
      <c r="E282" s="3">
        <v>1</v>
      </c>
      <c r="F282" s="3">
        <v>609</v>
      </c>
      <c r="G282" s="3">
        <v>31</v>
      </c>
      <c r="H282" s="4">
        <v>2.98</v>
      </c>
      <c r="I282" s="4">
        <v>421.6</v>
      </c>
      <c r="J282" s="5">
        <v>9.6000000000000002E-2</v>
      </c>
      <c r="K282" s="6">
        <v>4.8869999999999999E-3</v>
      </c>
    </row>
    <row r="283" spans="1:11" x14ac:dyDescent="0.25">
      <c r="A283" s="2" t="s">
        <v>63</v>
      </c>
      <c r="B283" s="2" t="s">
        <v>110</v>
      </c>
      <c r="C283" s="2" t="s">
        <v>100</v>
      </c>
      <c r="D283" s="2" t="s">
        <v>248</v>
      </c>
      <c r="E283" s="3">
        <v>1</v>
      </c>
      <c r="F283" s="3">
        <v>811</v>
      </c>
      <c r="G283" s="3">
        <v>40</v>
      </c>
      <c r="H283" s="4">
        <v>4.17</v>
      </c>
      <c r="I283" s="4">
        <v>524.70000000000005</v>
      </c>
      <c r="J283" s="5">
        <v>0.1042</v>
      </c>
      <c r="K283" s="6">
        <v>5.1399999999999996E-3</v>
      </c>
    </row>
    <row r="284" spans="1:11" x14ac:dyDescent="0.25">
      <c r="A284" s="2" t="s">
        <v>63</v>
      </c>
      <c r="B284" s="2" t="s">
        <v>110</v>
      </c>
      <c r="C284" s="2" t="s">
        <v>111</v>
      </c>
      <c r="D284" s="2" t="s">
        <v>322</v>
      </c>
      <c r="E284" s="3">
        <v>1</v>
      </c>
      <c r="F284" s="3">
        <v>730</v>
      </c>
      <c r="G284" s="3">
        <v>27</v>
      </c>
      <c r="H284" s="4">
        <v>2.76</v>
      </c>
      <c r="I284" s="4">
        <v>410.3</v>
      </c>
      <c r="J284" s="5">
        <v>0.1022</v>
      </c>
      <c r="K284" s="6">
        <v>3.7810000000000001E-3</v>
      </c>
    </row>
    <row r="285" spans="1:11" x14ac:dyDescent="0.25">
      <c r="A285" s="2" t="s">
        <v>63</v>
      </c>
      <c r="B285" s="2" t="s">
        <v>110</v>
      </c>
      <c r="C285" s="2" t="s">
        <v>100</v>
      </c>
      <c r="D285" s="2" t="s">
        <v>368</v>
      </c>
      <c r="E285" s="3">
        <v>1</v>
      </c>
      <c r="F285" s="3">
        <v>665</v>
      </c>
      <c r="G285" s="3">
        <v>24</v>
      </c>
      <c r="H285" s="4">
        <v>2.2999999999999998</v>
      </c>
      <c r="I285" s="4">
        <v>428</v>
      </c>
      <c r="J285" s="5">
        <v>9.6000000000000002E-2</v>
      </c>
      <c r="K285" s="6">
        <v>3.4650000000000002E-3</v>
      </c>
    </row>
    <row r="286" spans="1:11" x14ac:dyDescent="0.25">
      <c r="A286" s="2" t="s">
        <v>63</v>
      </c>
      <c r="B286" s="2" t="s">
        <v>110</v>
      </c>
      <c r="C286" s="2" t="s">
        <v>100</v>
      </c>
      <c r="D286" s="2" t="s">
        <v>324</v>
      </c>
      <c r="E286" s="3">
        <v>1</v>
      </c>
      <c r="F286" s="3">
        <v>608</v>
      </c>
      <c r="G286" s="3">
        <v>28</v>
      </c>
      <c r="H286" s="4">
        <v>2.69</v>
      </c>
      <c r="I286" s="4">
        <v>336</v>
      </c>
      <c r="J286" s="5">
        <v>9.6100000000000005E-2</v>
      </c>
      <c r="K286" s="6">
        <v>4.424E-3</v>
      </c>
    </row>
    <row r="287" spans="1:11" x14ac:dyDescent="0.25">
      <c r="A287" s="2" t="s">
        <v>55</v>
      </c>
      <c r="B287" s="2" t="s">
        <v>509</v>
      </c>
      <c r="C287" s="2" t="s">
        <v>303</v>
      </c>
      <c r="D287" s="2" t="s">
        <v>563</v>
      </c>
      <c r="E287" s="3">
        <v>1</v>
      </c>
      <c r="F287" s="3">
        <v>506</v>
      </c>
      <c r="G287" s="3">
        <v>5</v>
      </c>
      <c r="H287" s="4">
        <v>0.48</v>
      </c>
      <c r="I287" s="4">
        <v>85</v>
      </c>
      <c r="J287" s="5">
        <v>9.6000000000000002E-2</v>
      </c>
      <c r="K287" s="6">
        <v>9.4899999999999997E-4</v>
      </c>
    </row>
    <row r="288" spans="1:11" x14ac:dyDescent="0.25">
      <c r="A288" s="2" t="s">
        <v>55</v>
      </c>
      <c r="B288" s="2" t="s">
        <v>509</v>
      </c>
      <c r="C288" s="2" t="s">
        <v>303</v>
      </c>
      <c r="D288" s="2" t="s">
        <v>552</v>
      </c>
      <c r="E288" s="3">
        <v>1</v>
      </c>
      <c r="F288" s="3">
        <v>748</v>
      </c>
      <c r="G288" s="3">
        <v>7</v>
      </c>
      <c r="H288" s="4">
        <v>0.67</v>
      </c>
      <c r="I288" s="4">
        <v>111.7</v>
      </c>
      <c r="J288" s="5">
        <v>9.5699999999999993E-2</v>
      </c>
      <c r="K288" s="6">
        <v>8.9599999999999999E-4</v>
      </c>
    </row>
    <row r="289" spans="1:11" x14ac:dyDescent="0.25">
      <c r="A289" s="2" t="s">
        <v>55</v>
      </c>
      <c r="B289" s="2" t="s">
        <v>509</v>
      </c>
      <c r="C289" s="2" t="s">
        <v>303</v>
      </c>
      <c r="D289" s="2" t="s">
        <v>565</v>
      </c>
      <c r="E289" s="3">
        <v>1</v>
      </c>
      <c r="F289" s="3">
        <v>675</v>
      </c>
      <c r="G289" s="3">
        <v>5</v>
      </c>
      <c r="H289" s="4">
        <v>0.48</v>
      </c>
      <c r="I289" s="4">
        <v>97.2</v>
      </c>
      <c r="J289" s="5">
        <v>9.6000000000000002E-2</v>
      </c>
      <c r="K289" s="6">
        <v>7.1100000000000004E-4</v>
      </c>
    </row>
    <row r="290" spans="1:11" x14ac:dyDescent="0.25">
      <c r="A290" s="2" t="s">
        <v>55</v>
      </c>
      <c r="B290" s="2" t="s">
        <v>509</v>
      </c>
      <c r="C290" s="2" t="s">
        <v>303</v>
      </c>
      <c r="D290" s="2" t="s">
        <v>564</v>
      </c>
      <c r="E290" s="3">
        <v>1</v>
      </c>
      <c r="F290" s="3">
        <v>552</v>
      </c>
      <c r="G290" s="3">
        <v>5</v>
      </c>
      <c r="H290" s="4">
        <v>0.48</v>
      </c>
      <c r="I290" s="4">
        <v>82.3</v>
      </c>
      <c r="J290" s="5">
        <v>9.6000000000000002E-2</v>
      </c>
      <c r="K290" s="6">
        <v>8.7000000000000001E-4</v>
      </c>
    </row>
    <row r="291" spans="1:11" x14ac:dyDescent="0.25">
      <c r="A291" s="2" t="s">
        <v>55</v>
      </c>
      <c r="B291" s="2" t="s">
        <v>509</v>
      </c>
      <c r="C291" s="2" t="s">
        <v>303</v>
      </c>
      <c r="D291" s="2" t="s">
        <v>573</v>
      </c>
      <c r="E291" s="3">
        <v>1</v>
      </c>
      <c r="F291" s="3">
        <v>645</v>
      </c>
      <c r="G291" s="3">
        <v>4</v>
      </c>
      <c r="H291" s="4">
        <v>0.38</v>
      </c>
      <c r="I291" s="4">
        <v>94.2</v>
      </c>
      <c r="J291" s="5">
        <v>9.5000000000000001E-2</v>
      </c>
      <c r="K291" s="6">
        <v>5.8900000000000001E-4</v>
      </c>
    </row>
    <row r="292" spans="1:11" x14ac:dyDescent="0.25">
      <c r="A292" s="2" t="s">
        <v>55</v>
      </c>
      <c r="B292" s="2" t="s">
        <v>509</v>
      </c>
      <c r="C292" s="2" t="s">
        <v>303</v>
      </c>
      <c r="D292" s="2" t="s">
        <v>550</v>
      </c>
      <c r="E292" s="3">
        <v>1</v>
      </c>
      <c r="F292" s="3">
        <v>610</v>
      </c>
      <c r="G292" s="3">
        <v>7</v>
      </c>
      <c r="H292" s="4">
        <v>0.67</v>
      </c>
      <c r="I292" s="4">
        <v>101.5</v>
      </c>
      <c r="J292" s="5">
        <v>9.6000000000000002E-2</v>
      </c>
      <c r="K292" s="6">
        <v>1.1019999999999999E-3</v>
      </c>
    </row>
    <row r="293" spans="1:11" x14ac:dyDescent="0.25">
      <c r="A293" s="2" t="s">
        <v>55</v>
      </c>
      <c r="B293" s="2" t="s">
        <v>509</v>
      </c>
      <c r="C293" s="2" t="s">
        <v>303</v>
      </c>
      <c r="D293" s="2" t="s">
        <v>575</v>
      </c>
      <c r="E293" s="3">
        <v>1</v>
      </c>
      <c r="F293" s="3">
        <v>634</v>
      </c>
      <c r="G293" s="3">
        <v>6</v>
      </c>
      <c r="H293" s="4">
        <v>0.36</v>
      </c>
      <c r="I293" s="4">
        <v>88.4</v>
      </c>
      <c r="J293" s="5">
        <v>0.06</v>
      </c>
      <c r="K293" s="6">
        <v>5.6800000000000004E-4</v>
      </c>
    </row>
    <row r="294" spans="1:11" x14ac:dyDescent="0.25">
      <c r="A294" s="2" t="s">
        <v>55</v>
      </c>
      <c r="B294" s="2" t="s">
        <v>509</v>
      </c>
      <c r="C294" s="2" t="s">
        <v>303</v>
      </c>
      <c r="D294" s="2" t="s">
        <v>559</v>
      </c>
      <c r="E294" s="3">
        <v>1</v>
      </c>
      <c r="F294" s="3">
        <v>599</v>
      </c>
      <c r="G294" s="3">
        <v>6</v>
      </c>
      <c r="H294" s="4">
        <v>0.57999999999999996</v>
      </c>
      <c r="I294" s="4">
        <v>102</v>
      </c>
      <c r="J294" s="5">
        <v>9.6000000000000002E-2</v>
      </c>
      <c r="K294" s="6">
        <v>9.6199999999999996E-4</v>
      </c>
    </row>
    <row r="295" spans="1:11" x14ac:dyDescent="0.25">
      <c r="A295" s="2" t="s">
        <v>55</v>
      </c>
      <c r="B295" s="2" t="s">
        <v>509</v>
      </c>
      <c r="C295" s="2" t="s">
        <v>303</v>
      </c>
      <c r="D295" s="2" t="s">
        <v>558</v>
      </c>
      <c r="E295" s="3">
        <v>1</v>
      </c>
      <c r="F295" s="3">
        <v>621</v>
      </c>
      <c r="G295" s="3">
        <v>6</v>
      </c>
      <c r="H295" s="4">
        <v>0.57999999999999996</v>
      </c>
      <c r="I295" s="4">
        <v>99.2</v>
      </c>
      <c r="J295" s="5">
        <v>9.6699999999999994E-2</v>
      </c>
      <c r="K295" s="6">
        <v>9.3400000000000004E-4</v>
      </c>
    </row>
    <row r="296" spans="1:11" x14ac:dyDescent="0.25">
      <c r="A296" s="2" t="s">
        <v>55</v>
      </c>
      <c r="B296" s="2" t="s">
        <v>509</v>
      </c>
      <c r="C296" s="2" t="s">
        <v>303</v>
      </c>
      <c r="D296" s="2" t="s">
        <v>574</v>
      </c>
      <c r="E296" s="3">
        <v>1</v>
      </c>
      <c r="F296" s="3">
        <v>624</v>
      </c>
      <c r="G296" s="3">
        <v>4</v>
      </c>
      <c r="H296" s="4">
        <v>0.38</v>
      </c>
      <c r="I296" s="4">
        <v>81.599999999999994</v>
      </c>
      <c r="J296" s="5">
        <v>9.5000000000000001E-2</v>
      </c>
      <c r="K296" s="6">
        <v>6.0899999999999995E-4</v>
      </c>
    </row>
    <row r="297" spans="1:11" x14ac:dyDescent="0.25">
      <c r="A297" s="2" t="s">
        <v>55</v>
      </c>
      <c r="B297" s="2" t="s">
        <v>509</v>
      </c>
      <c r="C297" s="2" t="s">
        <v>303</v>
      </c>
      <c r="D297" s="2" t="s">
        <v>562</v>
      </c>
      <c r="E297" s="3">
        <v>1</v>
      </c>
      <c r="F297" s="3">
        <v>678</v>
      </c>
      <c r="G297" s="3">
        <v>9</v>
      </c>
      <c r="H297" s="4">
        <v>0.54</v>
      </c>
      <c r="I297" s="4">
        <v>144.6</v>
      </c>
      <c r="J297" s="5">
        <v>0.06</v>
      </c>
      <c r="K297" s="6">
        <v>7.9600000000000005E-4</v>
      </c>
    </row>
    <row r="298" spans="1:11" x14ac:dyDescent="0.25">
      <c r="A298" s="2" t="s">
        <v>55</v>
      </c>
      <c r="B298" s="2" t="s">
        <v>509</v>
      </c>
      <c r="C298" s="2" t="s">
        <v>303</v>
      </c>
      <c r="D298" s="2" t="s">
        <v>578</v>
      </c>
      <c r="E298" s="3">
        <v>1</v>
      </c>
      <c r="F298" s="3">
        <v>590</v>
      </c>
      <c r="G298" s="3">
        <v>5</v>
      </c>
      <c r="H298" s="4">
        <v>0.3</v>
      </c>
      <c r="I298" s="4">
        <v>75.8</v>
      </c>
      <c r="J298" s="5">
        <v>0.06</v>
      </c>
      <c r="K298" s="6">
        <v>5.0799999999999999E-4</v>
      </c>
    </row>
    <row r="299" spans="1:11" x14ac:dyDescent="0.25">
      <c r="A299" s="2" t="s">
        <v>55</v>
      </c>
      <c r="B299" s="2" t="s">
        <v>509</v>
      </c>
      <c r="C299" s="2" t="s">
        <v>303</v>
      </c>
      <c r="D299" s="2" t="s">
        <v>510</v>
      </c>
      <c r="E299" s="3">
        <v>1</v>
      </c>
      <c r="F299" s="3">
        <v>650</v>
      </c>
      <c r="G299" s="3">
        <v>13</v>
      </c>
      <c r="H299" s="4">
        <v>0.94</v>
      </c>
      <c r="I299" s="4">
        <v>182</v>
      </c>
      <c r="J299" s="5">
        <v>7.2300000000000003E-2</v>
      </c>
      <c r="K299" s="6">
        <v>1.446E-3</v>
      </c>
    </row>
    <row r="300" spans="1:11" x14ac:dyDescent="0.25">
      <c r="A300" s="2" t="s">
        <v>55</v>
      </c>
      <c r="B300" s="2" t="s">
        <v>182</v>
      </c>
      <c r="C300" s="2" t="s">
        <v>183</v>
      </c>
      <c r="D300" s="2" t="s">
        <v>184</v>
      </c>
      <c r="E300" s="3">
        <v>1</v>
      </c>
      <c r="F300" s="3">
        <v>400</v>
      </c>
      <c r="G300" s="3">
        <v>58</v>
      </c>
      <c r="H300" s="4">
        <v>6.7</v>
      </c>
      <c r="I300" s="4">
        <v>375</v>
      </c>
      <c r="J300" s="5">
        <v>0.11559999999999999</v>
      </c>
      <c r="K300" s="6">
        <v>1.6760000000000001E-2</v>
      </c>
    </row>
    <row r="301" spans="1:11" x14ac:dyDescent="0.25">
      <c r="A301" s="2" t="s">
        <v>55</v>
      </c>
      <c r="B301" s="2" t="s">
        <v>182</v>
      </c>
      <c r="C301" s="2" t="s">
        <v>283</v>
      </c>
      <c r="D301" s="2" t="s">
        <v>284</v>
      </c>
      <c r="E301" s="3">
        <v>1</v>
      </c>
      <c r="F301" s="3">
        <v>400</v>
      </c>
      <c r="G301" s="3">
        <v>34</v>
      </c>
      <c r="H301" s="4">
        <v>3.44</v>
      </c>
      <c r="I301" s="4">
        <v>343</v>
      </c>
      <c r="J301" s="5">
        <v>0.1013</v>
      </c>
      <c r="K301" s="6">
        <v>8.6079999999999993E-3</v>
      </c>
    </row>
    <row r="302" spans="1:11" x14ac:dyDescent="0.25">
      <c r="A302" s="2" t="s">
        <v>55</v>
      </c>
      <c r="B302" s="2" t="s">
        <v>845</v>
      </c>
      <c r="C302" s="2" t="s">
        <v>115</v>
      </c>
      <c r="D302" s="2" t="s">
        <v>853</v>
      </c>
      <c r="E302" s="3">
        <v>1</v>
      </c>
      <c r="F302" s="3">
        <v>70</v>
      </c>
      <c r="G302" s="3">
        <v>0</v>
      </c>
      <c r="H302" s="4">
        <v>0</v>
      </c>
      <c r="I302" s="4">
        <v>0</v>
      </c>
      <c r="J302" s="5">
        <v>0</v>
      </c>
      <c r="K302" s="6">
        <v>0</v>
      </c>
    </row>
    <row r="303" spans="1:11" x14ac:dyDescent="0.25">
      <c r="A303" s="2" t="s">
        <v>55</v>
      </c>
      <c r="B303" s="2" t="s">
        <v>845</v>
      </c>
      <c r="C303" s="2" t="s">
        <v>115</v>
      </c>
      <c r="D303" s="2" t="s">
        <v>854</v>
      </c>
      <c r="E303" s="3">
        <v>1</v>
      </c>
      <c r="F303" s="3">
        <v>80</v>
      </c>
      <c r="G303" s="3">
        <v>0</v>
      </c>
      <c r="H303" s="4">
        <v>0</v>
      </c>
      <c r="I303" s="4">
        <v>0</v>
      </c>
      <c r="J303" s="5">
        <v>0</v>
      </c>
      <c r="K303" s="6">
        <v>0</v>
      </c>
    </row>
    <row r="304" spans="1:11" x14ac:dyDescent="0.25">
      <c r="A304" s="2" t="s">
        <v>55</v>
      </c>
      <c r="B304" s="2" t="s">
        <v>845</v>
      </c>
      <c r="C304" s="2" t="s">
        <v>855</v>
      </c>
      <c r="D304" s="2" t="s">
        <v>856</v>
      </c>
      <c r="E304" s="3">
        <v>1</v>
      </c>
      <c r="F304" s="3">
        <v>80</v>
      </c>
      <c r="G304" s="3">
        <v>0</v>
      </c>
      <c r="H304" s="4">
        <v>0</v>
      </c>
      <c r="I304" s="4">
        <v>0</v>
      </c>
      <c r="J304" s="5">
        <v>0</v>
      </c>
      <c r="K304" s="6">
        <v>0</v>
      </c>
    </row>
    <row r="305" spans="1:11" x14ac:dyDescent="0.25">
      <c r="A305" s="2" t="s">
        <v>55</v>
      </c>
      <c r="B305" s="2" t="s">
        <v>845</v>
      </c>
      <c r="C305" s="2" t="s">
        <v>855</v>
      </c>
      <c r="D305" s="2" t="s">
        <v>857</v>
      </c>
      <c r="E305" s="3">
        <v>1</v>
      </c>
      <c r="F305" s="3">
        <v>90</v>
      </c>
      <c r="G305" s="3">
        <v>0</v>
      </c>
      <c r="H305" s="4">
        <v>0</v>
      </c>
      <c r="I305" s="4">
        <v>0</v>
      </c>
      <c r="J305" s="5">
        <v>0</v>
      </c>
      <c r="K305" s="6">
        <v>0</v>
      </c>
    </row>
    <row r="306" spans="1:11" x14ac:dyDescent="0.25">
      <c r="A306" s="2" t="s">
        <v>55</v>
      </c>
      <c r="B306" s="2" t="s">
        <v>314</v>
      </c>
      <c r="C306" s="2" t="s">
        <v>315</v>
      </c>
      <c r="D306" s="2" t="s">
        <v>389</v>
      </c>
      <c r="E306" s="3">
        <v>1</v>
      </c>
      <c r="F306" s="3">
        <v>1728</v>
      </c>
      <c r="G306" s="3">
        <v>28</v>
      </c>
      <c r="H306" s="4">
        <v>2.02</v>
      </c>
      <c r="I306" s="4">
        <v>390.8</v>
      </c>
      <c r="J306" s="5">
        <v>7.1999999999999995E-2</v>
      </c>
      <c r="K306" s="6">
        <v>1.1670000000000001E-3</v>
      </c>
    </row>
    <row r="307" spans="1:11" x14ac:dyDescent="0.25">
      <c r="A307" s="2" t="s">
        <v>55</v>
      </c>
      <c r="B307" s="2" t="s">
        <v>314</v>
      </c>
      <c r="C307" s="2" t="s">
        <v>315</v>
      </c>
      <c r="D307" s="2" t="s">
        <v>534</v>
      </c>
      <c r="E307" s="3">
        <v>1</v>
      </c>
      <c r="F307" s="3">
        <v>754</v>
      </c>
      <c r="G307" s="3">
        <v>11</v>
      </c>
      <c r="H307" s="4">
        <v>0.79</v>
      </c>
      <c r="I307" s="4">
        <v>170.7</v>
      </c>
      <c r="J307" s="5">
        <v>7.1999999999999995E-2</v>
      </c>
      <c r="K307" s="6">
        <v>1.0499999999999999E-3</v>
      </c>
    </row>
    <row r="308" spans="1:11" x14ac:dyDescent="0.25">
      <c r="A308" s="2" t="s">
        <v>55</v>
      </c>
      <c r="B308" s="2" t="s">
        <v>314</v>
      </c>
      <c r="C308" s="2" t="s">
        <v>315</v>
      </c>
      <c r="D308" s="2" t="s">
        <v>399</v>
      </c>
      <c r="E308" s="3">
        <v>1</v>
      </c>
      <c r="F308" s="3">
        <v>1452</v>
      </c>
      <c r="G308" s="3">
        <v>26</v>
      </c>
      <c r="H308" s="4">
        <v>1.87</v>
      </c>
      <c r="I308" s="4">
        <v>383.5</v>
      </c>
      <c r="J308" s="5">
        <v>7.1999999999999995E-2</v>
      </c>
      <c r="K308" s="6">
        <v>1.289E-3</v>
      </c>
    </row>
    <row r="309" spans="1:11" x14ac:dyDescent="0.25">
      <c r="A309" s="2" t="s">
        <v>55</v>
      </c>
      <c r="B309" s="2" t="s">
        <v>314</v>
      </c>
      <c r="C309" s="2" t="s">
        <v>315</v>
      </c>
      <c r="D309" s="2" t="s">
        <v>414</v>
      </c>
      <c r="E309" s="3">
        <v>1</v>
      </c>
      <c r="F309" s="3">
        <v>1499</v>
      </c>
      <c r="G309" s="3">
        <v>24</v>
      </c>
      <c r="H309" s="4">
        <v>1.73</v>
      </c>
      <c r="I309" s="4">
        <v>331.1</v>
      </c>
      <c r="J309" s="5">
        <v>7.1999999999999995E-2</v>
      </c>
      <c r="K309" s="6">
        <v>1.1529999999999999E-3</v>
      </c>
    </row>
    <row r="310" spans="1:11" x14ac:dyDescent="0.25">
      <c r="A310" s="2" t="s">
        <v>55</v>
      </c>
      <c r="B310" s="2" t="s">
        <v>314</v>
      </c>
      <c r="C310" s="2" t="s">
        <v>315</v>
      </c>
      <c r="D310" s="2" t="s">
        <v>468</v>
      </c>
      <c r="E310" s="3">
        <v>1</v>
      </c>
      <c r="F310" s="3">
        <v>935</v>
      </c>
      <c r="G310" s="3">
        <v>17</v>
      </c>
      <c r="H310" s="4">
        <v>1.22</v>
      </c>
      <c r="I310" s="4">
        <v>229.1</v>
      </c>
      <c r="J310" s="5">
        <v>7.1999999999999995E-2</v>
      </c>
      <c r="K310" s="6">
        <v>1.3090000000000001E-3</v>
      </c>
    </row>
    <row r="311" spans="1:11" x14ac:dyDescent="0.25">
      <c r="A311" s="2" t="s">
        <v>55</v>
      </c>
      <c r="B311" s="2" t="s">
        <v>314</v>
      </c>
      <c r="C311" s="2" t="s">
        <v>315</v>
      </c>
      <c r="D311" s="2" t="s">
        <v>482</v>
      </c>
      <c r="E311" s="3">
        <v>1</v>
      </c>
      <c r="F311" s="3">
        <v>1040</v>
      </c>
      <c r="G311" s="3">
        <v>15</v>
      </c>
      <c r="H311" s="4">
        <v>1.08</v>
      </c>
      <c r="I311" s="4">
        <v>250.8</v>
      </c>
      <c r="J311" s="5">
        <v>7.1999999999999995E-2</v>
      </c>
      <c r="K311" s="6">
        <v>1.0380000000000001E-3</v>
      </c>
    </row>
    <row r="312" spans="1:11" x14ac:dyDescent="0.25">
      <c r="A312" s="2" t="s">
        <v>55</v>
      </c>
      <c r="B312" s="2" t="s">
        <v>314</v>
      </c>
      <c r="C312" s="2" t="s">
        <v>315</v>
      </c>
      <c r="D312" s="2" t="s">
        <v>531</v>
      </c>
      <c r="E312" s="3">
        <v>1</v>
      </c>
      <c r="F312" s="3">
        <v>684</v>
      </c>
      <c r="G312" s="3">
        <v>8</v>
      </c>
      <c r="H312" s="4">
        <v>0.8</v>
      </c>
      <c r="I312" s="4">
        <v>141.80000000000001</v>
      </c>
      <c r="J312" s="5">
        <v>0.1</v>
      </c>
      <c r="K312" s="6">
        <v>1.17E-3</v>
      </c>
    </row>
    <row r="313" spans="1:11" x14ac:dyDescent="0.25">
      <c r="A313" s="2" t="s">
        <v>55</v>
      </c>
      <c r="B313" s="2" t="s">
        <v>314</v>
      </c>
      <c r="C313" s="2" t="s">
        <v>315</v>
      </c>
      <c r="D313" s="2" t="s">
        <v>514</v>
      </c>
      <c r="E313" s="3">
        <v>1</v>
      </c>
      <c r="F313" s="3">
        <v>779</v>
      </c>
      <c r="G313" s="3">
        <v>12</v>
      </c>
      <c r="H313" s="4">
        <v>0.86</v>
      </c>
      <c r="I313" s="4">
        <v>191.4</v>
      </c>
      <c r="J313" s="5">
        <v>7.1999999999999995E-2</v>
      </c>
      <c r="K313" s="6">
        <v>1.109E-3</v>
      </c>
    </row>
    <row r="314" spans="1:11" x14ac:dyDescent="0.25">
      <c r="A314" s="2" t="s">
        <v>55</v>
      </c>
      <c r="B314" s="2" t="s">
        <v>314</v>
      </c>
      <c r="C314" s="2" t="s">
        <v>315</v>
      </c>
      <c r="D314" s="2" t="s">
        <v>462</v>
      </c>
      <c r="E314" s="3">
        <v>1</v>
      </c>
      <c r="F314" s="3">
        <v>885</v>
      </c>
      <c r="G314" s="3">
        <v>13</v>
      </c>
      <c r="H314" s="4">
        <v>1.3</v>
      </c>
      <c r="I314" s="4">
        <v>214.8</v>
      </c>
      <c r="J314" s="5">
        <v>0.1</v>
      </c>
      <c r="K314" s="6">
        <v>1.469E-3</v>
      </c>
    </row>
    <row r="315" spans="1:11" x14ac:dyDescent="0.25">
      <c r="A315" s="2" t="s">
        <v>55</v>
      </c>
      <c r="B315" s="2" t="s">
        <v>314</v>
      </c>
      <c r="C315" s="2" t="s">
        <v>315</v>
      </c>
      <c r="D315" s="2" t="s">
        <v>497</v>
      </c>
      <c r="E315" s="3">
        <v>1</v>
      </c>
      <c r="F315" s="3">
        <v>824</v>
      </c>
      <c r="G315" s="3">
        <v>10</v>
      </c>
      <c r="H315" s="4">
        <v>1</v>
      </c>
      <c r="I315" s="4">
        <v>180.4</v>
      </c>
      <c r="J315" s="5">
        <v>0.1</v>
      </c>
      <c r="K315" s="6">
        <v>1.214E-3</v>
      </c>
    </row>
    <row r="316" spans="1:11" x14ac:dyDescent="0.25">
      <c r="A316" s="2" t="s">
        <v>55</v>
      </c>
      <c r="B316" s="2" t="s">
        <v>314</v>
      </c>
      <c r="C316" s="2" t="s">
        <v>315</v>
      </c>
      <c r="D316" s="2" t="s">
        <v>483</v>
      </c>
      <c r="E316" s="3">
        <v>1</v>
      </c>
      <c r="F316" s="3">
        <v>762</v>
      </c>
      <c r="G316" s="3">
        <v>15</v>
      </c>
      <c r="H316" s="4">
        <v>1.08</v>
      </c>
      <c r="I316" s="4">
        <v>198.4</v>
      </c>
      <c r="J316" s="5">
        <v>7.1999999999999995E-2</v>
      </c>
      <c r="K316" s="6">
        <v>1.4170000000000001E-3</v>
      </c>
    </row>
    <row r="317" spans="1:11" x14ac:dyDescent="0.25">
      <c r="A317" s="2" t="s">
        <v>55</v>
      </c>
      <c r="B317" s="2" t="s">
        <v>314</v>
      </c>
      <c r="C317" s="2" t="s">
        <v>315</v>
      </c>
      <c r="D317" s="2" t="s">
        <v>532</v>
      </c>
      <c r="E317" s="3">
        <v>1</v>
      </c>
      <c r="F317" s="3">
        <v>680</v>
      </c>
      <c r="G317" s="3">
        <v>8</v>
      </c>
      <c r="H317" s="4">
        <v>0.8</v>
      </c>
      <c r="I317" s="4">
        <v>148</v>
      </c>
      <c r="J317" s="5">
        <v>0.1</v>
      </c>
      <c r="K317" s="6">
        <v>1.176E-3</v>
      </c>
    </row>
    <row r="318" spans="1:11" x14ac:dyDescent="0.25">
      <c r="A318" s="2" t="s">
        <v>55</v>
      </c>
      <c r="B318" s="2" t="s">
        <v>314</v>
      </c>
      <c r="C318" s="2" t="s">
        <v>315</v>
      </c>
      <c r="D318" s="2" t="s">
        <v>474</v>
      </c>
      <c r="E318" s="3">
        <v>1</v>
      </c>
      <c r="F318" s="3">
        <v>554</v>
      </c>
      <c r="G318" s="3">
        <v>16</v>
      </c>
      <c r="H318" s="4">
        <v>1.1499999999999999</v>
      </c>
      <c r="I318" s="4">
        <v>163.30000000000001</v>
      </c>
      <c r="J318" s="5">
        <v>7.1999999999999995E-2</v>
      </c>
      <c r="K318" s="6">
        <v>2.0790000000000001E-3</v>
      </c>
    </row>
    <row r="319" spans="1:11" x14ac:dyDescent="0.25">
      <c r="A319" s="2" t="s">
        <v>55</v>
      </c>
      <c r="B319" s="2" t="s">
        <v>314</v>
      </c>
      <c r="C319" s="2" t="s">
        <v>315</v>
      </c>
      <c r="D319" s="2" t="s">
        <v>438</v>
      </c>
      <c r="E319" s="3">
        <v>1</v>
      </c>
      <c r="F319" s="3">
        <v>1050</v>
      </c>
      <c r="G319" s="3">
        <v>22</v>
      </c>
      <c r="H319" s="4">
        <v>1.58</v>
      </c>
      <c r="I319" s="4">
        <v>327.60000000000002</v>
      </c>
      <c r="J319" s="5">
        <v>7.1999999999999995E-2</v>
      </c>
      <c r="K319" s="6">
        <v>1.5089999999999999E-3</v>
      </c>
    </row>
    <row r="320" spans="1:11" x14ac:dyDescent="0.25">
      <c r="A320" s="2" t="s">
        <v>55</v>
      </c>
      <c r="B320" s="2" t="s">
        <v>314</v>
      </c>
      <c r="C320" s="2" t="s">
        <v>315</v>
      </c>
      <c r="D320" s="2" t="s">
        <v>511</v>
      </c>
      <c r="E320" s="3">
        <v>1</v>
      </c>
      <c r="F320" s="3">
        <v>738</v>
      </c>
      <c r="G320" s="3">
        <v>13</v>
      </c>
      <c r="H320" s="4">
        <v>0.94</v>
      </c>
      <c r="I320" s="4">
        <v>180</v>
      </c>
      <c r="J320" s="5">
        <v>7.1999999999999995E-2</v>
      </c>
      <c r="K320" s="6">
        <v>1.268E-3</v>
      </c>
    </row>
    <row r="321" spans="1:11" x14ac:dyDescent="0.25">
      <c r="A321" s="2" t="s">
        <v>55</v>
      </c>
      <c r="B321" s="2" t="s">
        <v>314</v>
      </c>
      <c r="C321" s="2" t="s">
        <v>315</v>
      </c>
      <c r="D321" s="2" t="s">
        <v>335</v>
      </c>
      <c r="E321" s="3">
        <v>1</v>
      </c>
      <c r="F321" s="3">
        <v>1433</v>
      </c>
      <c r="G321" s="3">
        <v>27</v>
      </c>
      <c r="H321" s="4">
        <v>2.59</v>
      </c>
      <c r="I321" s="4">
        <v>468.6</v>
      </c>
      <c r="J321" s="5">
        <v>9.6000000000000002E-2</v>
      </c>
      <c r="K321" s="6">
        <v>1.8090000000000001E-3</v>
      </c>
    </row>
    <row r="322" spans="1:11" x14ac:dyDescent="0.25">
      <c r="A322" s="2" t="s">
        <v>55</v>
      </c>
      <c r="B322" s="2" t="s">
        <v>314</v>
      </c>
      <c r="C322" s="2" t="s">
        <v>315</v>
      </c>
      <c r="D322" s="2" t="s">
        <v>533</v>
      </c>
      <c r="E322" s="3">
        <v>1</v>
      </c>
      <c r="F322" s="3">
        <v>675</v>
      </c>
      <c r="G322" s="3">
        <v>8</v>
      </c>
      <c r="H322" s="4">
        <v>0.8</v>
      </c>
      <c r="I322" s="4">
        <v>144.80000000000001</v>
      </c>
      <c r="J322" s="5">
        <v>0.1</v>
      </c>
      <c r="K322" s="6">
        <v>1.1850000000000001E-3</v>
      </c>
    </row>
    <row r="323" spans="1:11" x14ac:dyDescent="0.25">
      <c r="A323" s="2" t="s">
        <v>55</v>
      </c>
      <c r="B323" s="2" t="s">
        <v>314</v>
      </c>
      <c r="C323" s="2" t="s">
        <v>315</v>
      </c>
      <c r="D323" s="2" t="s">
        <v>515</v>
      </c>
      <c r="E323" s="3">
        <v>1</v>
      </c>
      <c r="F323" s="3">
        <v>737</v>
      </c>
      <c r="G323" s="3">
        <v>9</v>
      </c>
      <c r="H323" s="4">
        <v>0.86</v>
      </c>
      <c r="I323" s="4">
        <v>196.9</v>
      </c>
      <c r="J323" s="5">
        <v>9.6000000000000002E-2</v>
      </c>
      <c r="K323" s="6">
        <v>1.1720000000000001E-3</v>
      </c>
    </row>
    <row r="324" spans="1:11" x14ac:dyDescent="0.25">
      <c r="A324" s="2" t="s">
        <v>55</v>
      </c>
      <c r="B324" s="2" t="s">
        <v>314</v>
      </c>
      <c r="C324" s="2" t="s">
        <v>315</v>
      </c>
      <c r="D324" s="2" t="s">
        <v>359</v>
      </c>
      <c r="E324" s="3">
        <v>1</v>
      </c>
      <c r="F324" s="3">
        <v>1488</v>
      </c>
      <c r="G324" s="3">
        <v>25</v>
      </c>
      <c r="H324" s="4">
        <v>2.38</v>
      </c>
      <c r="I324" s="4">
        <v>549.4</v>
      </c>
      <c r="J324" s="5">
        <v>9.5000000000000001E-2</v>
      </c>
      <c r="K324" s="6">
        <v>1.5969999999999999E-3</v>
      </c>
    </row>
    <row r="325" spans="1:11" x14ac:dyDescent="0.25">
      <c r="A325" s="2" t="s">
        <v>55</v>
      </c>
      <c r="B325" s="2" t="s">
        <v>314</v>
      </c>
      <c r="C325" s="2" t="s">
        <v>315</v>
      </c>
      <c r="D325" s="2" t="s">
        <v>518</v>
      </c>
      <c r="E325" s="3">
        <v>1</v>
      </c>
      <c r="F325" s="3">
        <v>680</v>
      </c>
      <c r="G325" s="3">
        <v>12</v>
      </c>
      <c r="H325" s="4">
        <v>0.86</v>
      </c>
      <c r="I325" s="4">
        <v>175</v>
      </c>
      <c r="J325" s="5">
        <v>7.1999999999999995E-2</v>
      </c>
      <c r="K325" s="6">
        <v>1.271E-3</v>
      </c>
    </row>
    <row r="326" spans="1:11" x14ac:dyDescent="0.25">
      <c r="A326" s="2" t="s">
        <v>55</v>
      </c>
      <c r="B326" s="2" t="s">
        <v>314</v>
      </c>
      <c r="C326" s="2" t="s">
        <v>315</v>
      </c>
      <c r="D326" s="2" t="s">
        <v>512</v>
      </c>
      <c r="E326" s="3">
        <v>1</v>
      </c>
      <c r="F326" s="3">
        <v>707</v>
      </c>
      <c r="G326" s="3">
        <v>13</v>
      </c>
      <c r="H326" s="4">
        <v>0.94</v>
      </c>
      <c r="I326" s="4">
        <v>178.6</v>
      </c>
      <c r="J326" s="5">
        <v>7.1999999999999995E-2</v>
      </c>
      <c r="K326" s="6">
        <v>1.3240000000000001E-3</v>
      </c>
    </row>
    <row r="327" spans="1:11" x14ac:dyDescent="0.25">
      <c r="A327" s="2" t="s">
        <v>55</v>
      </c>
      <c r="B327" s="2" t="s">
        <v>314</v>
      </c>
      <c r="C327" s="2" t="s">
        <v>315</v>
      </c>
      <c r="D327" s="2" t="s">
        <v>544</v>
      </c>
      <c r="E327" s="3">
        <v>1</v>
      </c>
      <c r="F327" s="3">
        <v>566</v>
      </c>
      <c r="G327" s="3">
        <v>7</v>
      </c>
      <c r="H327" s="4">
        <v>0.72</v>
      </c>
      <c r="I327" s="4">
        <v>157</v>
      </c>
      <c r="J327" s="5">
        <v>0.10290000000000001</v>
      </c>
      <c r="K327" s="6">
        <v>1.2719999999999999E-3</v>
      </c>
    </row>
    <row r="328" spans="1:11" x14ac:dyDescent="0.25">
      <c r="A328" s="2" t="s">
        <v>55</v>
      </c>
      <c r="B328" s="2" t="s">
        <v>314</v>
      </c>
      <c r="C328" s="2" t="s">
        <v>315</v>
      </c>
      <c r="D328" s="2" t="s">
        <v>516</v>
      </c>
      <c r="E328" s="3">
        <v>1</v>
      </c>
      <c r="F328" s="3">
        <v>622</v>
      </c>
      <c r="G328" s="3">
        <v>12</v>
      </c>
      <c r="H328" s="4">
        <v>0.86</v>
      </c>
      <c r="I328" s="4">
        <v>162.80000000000001</v>
      </c>
      <c r="J328" s="5">
        <v>7.1999999999999995E-2</v>
      </c>
      <c r="K328" s="6">
        <v>1.389E-3</v>
      </c>
    </row>
    <row r="329" spans="1:11" x14ac:dyDescent="0.25">
      <c r="A329" s="2" t="s">
        <v>55</v>
      </c>
      <c r="B329" s="2" t="s">
        <v>314</v>
      </c>
      <c r="C329" s="2" t="s">
        <v>315</v>
      </c>
      <c r="D329" s="2" t="s">
        <v>536</v>
      </c>
      <c r="E329" s="3">
        <v>1</v>
      </c>
      <c r="F329" s="3">
        <v>699</v>
      </c>
      <c r="G329" s="3">
        <v>8</v>
      </c>
      <c r="H329" s="4">
        <v>0.77</v>
      </c>
      <c r="I329" s="4">
        <v>177.1</v>
      </c>
      <c r="J329" s="5">
        <v>9.6000000000000002E-2</v>
      </c>
      <c r="K329" s="6">
        <v>1.0989999999999999E-3</v>
      </c>
    </row>
    <row r="330" spans="1:11" x14ac:dyDescent="0.25">
      <c r="A330" s="2" t="s">
        <v>55</v>
      </c>
      <c r="B330" s="2" t="s">
        <v>314</v>
      </c>
      <c r="C330" s="2" t="s">
        <v>315</v>
      </c>
      <c r="D330" s="2" t="s">
        <v>475</v>
      </c>
      <c r="E330" s="3">
        <v>1</v>
      </c>
      <c r="F330" s="3">
        <v>652</v>
      </c>
      <c r="G330" s="3">
        <v>12</v>
      </c>
      <c r="H330" s="4">
        <v>1.1499999999999999</v>
      </c>
      <c r="I330" s="4">
        <v>257</v>
      </c>
      <c r="J330" s="5">
        <v>9.6000000000000002E-2</v>
      </c>
      <c r="K330" s="6">
        <v>1.7669999999999999E-3</v>
      </c>
    </row>
    <row r="331" spans="1:11" x14ac:dyDescent="0.25">
      <c r="A331" s="2" t="s">
        <v>55</v>
      </c>
      <c r="B331" s="2" t="s">
        <v>314</v>
      </c>
      <c r="C331" s="2" t="s">
        <v>315</v>
      </c>
      <c r="D331" s="2" t="s">
        <v>496</v>
      </c>
      <c r="E331" s="3">
        <v>1</v>
      </c>
      <c r="F331" s="3">
        <v>739</v>
      </c>
      <c r="G331" s="3">
        <v>14</v>
      </c>
      <c r="H331" s="4">
        <v>1.01</v>
      </c>
      <c r="I331" s="4">
        <v>166.6</v>
      </c>
      <c r="J331" s="5">
        <v>7.1999999999999995E-2</v>
      </c>
      <c r="K331" s="6">
        <v>1.364E-3</v>
      </c>
    </row>
    <row r="332" spans="1:11" x14ac:dyDescent="0.25">
      <c r="A332" s="2" t="s">
        <v>55</v>
      </c>
      <c r="B332" s="2" t="s">
        <v>314</v>
      </c>
      <c r="C332" s="2" t="s">
        <v>315</v>
      </c>
      <c r="D332" s="2" t="s">
        <v>316</v>
      </c>
      <c r="E332" s="3">
        <v>1</v>
      </c>
      <c r="F332" s="3">
        <v>1503</v>
      </c>
      <c r="G332" s="3">
        <v>29</v>
      </c>
      <c r="H332" s="4">
        <v>2.9</v>
      </c>
      <c r="I332" s="4">
        <v>463.6</v>
      </c>
      <c r="J332" s="5">
        <v>0.1</v>
      </c>
      <c r="K332" s="6">
        <v>1.9289999999999999E-3</v>
      </c>
    </row>
    <row r="333" spans="1:11" x14ac:dyDescent="0.25">
      <c r="A333" s="2" t="s">
        <v>55</v>
      </c>
      <c r="B333" s="2" t="s">
        <v>314</v>
      </c>
      <c r="C333" s="2" t="s">
        <v>480</v>
      </c>
      <c r="D333" s="2" t="s">
        <v>484</v>
      </c>
      <c r="E333" s="3">
        <v>1</v>
      </c>
      <c r="F333" s="3">
        <v>687</v>
      </c>
      <c r="G333" s="3">
        <v>15</v>
      </c>
      <c r="H333" s="4">
        <v>1.08</v>
      </c>
      <c r="I333" s="4">
        <v>208</v>
      </c>
      <c r="J333" s="5">
        <v>7.1999999999999995E-2</v>
      </c>
      <c r="K333" s="6">
        <v>1.572E-3</v>
      </c>
    </row>
    <row r="334" spans="1:11" x14ac:dyDescent="0.25">
      <c r="A334" s="2" t="s">
        <v>55</v>
      </c>
      <c r="B334" s="2" t="s">
        <v>314</v>
      </c>
      <c r="C334" s="2" t="s">
        <v>480</v>
      </c>
      <c r="D334" s="2" t="s">
        <v>481</v>
      </c>
      <c r="E334" s="3">
        <v>1</v>
      </c>
      <c r="F334" s="3">
        <v>681</v>
      </c>
      <c r="G334" s="3">
        <v>11</v>
      </c>
      <c r="H334" s="4">
        <v>1.1000000000000001</v>
      </c>
      <c r="I334" s="4">
        <v>194.4</v>
      </c>
      <c r="J334" s="5">
        <v>0.1</v>
      </c>
      <c r="K334" s="6">
        <v>1.6149999999999999E-3</v>
      </c>
    </row>
    <row r="335" spans="1:11" x14ac:dyDescent="0.25">
      <c r="A335" s="2" t="s">
        <v>55</v>
      </c>
      <c r="B335" s="2" t="s">
        <v>56</v>
      </c>
      <c r="C335" s="2" t="s">
        <v>66</v>
      </c>
      <c r="D335" s="2" t="s">
        <v>249</v>
      </c>
      <c r="E335" s="3">
        <v>1</v>
      </c>
      <c r="F335" s="3">
        <v>624</v>
      </c>
      <c r="G335" s="3">
        <v>32</v>
      </c>
      <c r="H335" s="4">
        <v>4.16</v>
      </c>
      <c r="I335" s="4">
        <v>531</v>
      </c>
      <c r="J335" s="5">
        <v>0.13</v>
      </c>
      <c r="K335" s="6">
        <v>6.6670000000000002E-3</v>
      </c>
    </row>
    <row r="336" spans="1:11" x14ac:dyDescent="0.25">
      <c r="A336" s="2" t="s">
        <v>55</v>
      </c>
      <c r="B336" s="2" t="s">
        <v>56</v>
      </c>
      <c r="C336" s="2" t="s">
        <v>66</v>
      </c>
      <c r="D336" s="2" t="s">
        <v>243</v>
      </c>
      <c r="E336" s="3">
        <v>1</v>
      </c>
      <c r="F336" s="3">
        <v>654</v>
      </c>
      <c r="G336" s="3">
        <v>45</v>
      </c>
      <c r="H336" s="4">
        <v>4.32</v>
      </c>
      <c r="I336" s="4">
        <v>622</v>
      </c>
      <c r="J336" s="5">
        <v>9.6000000000000002E-2</v>
      </c>
      <c r="K336" s="6">
        <v>6.6059999999999999E-3</v>
      </c>
    </row>
    <row r="337" spans="1:11" x14ac:dyDescent="0.25">
      <c r="A337" s="2" t="s">
        <v>55</v>
      </c>
      <c r="B337" s="2" t="s">
        <v>56</v>
      </c>
      <c r="C337" s="2" t="s">
        <v>66</v>
      </c>
      <c r="D337" s="2" t="s">
        <v>97</v>
      </c>
      <c r="E337" s="3">
        <v>1</v>
      </c>
      <c r="F337" s="3">
        <v>1888</v>
      </c>
      <c r="G337" s="3">
        <v>189</v>
      </c>
      <c r="H337" s="4">
        <v>15.88</v>
      </c>
      <c r="I337" s="4">
        <v>2171</v>
      </c>
      <c r="J337" s="5">
        <v>8.4000000000000005E-2</v>
      </c>
      <c r="K337" s="6">
        <v>8.4110000000000001E-3</v>
      </c>
    </row>
    <row r="338" spans="1:11" x14ac:dyDescent="0.25">
      <c r="A338" s="2" t="s">
        <v>55</v>
      </c>
      <c r="B338" s="2" t="s">
        <v>56</v>
      </c>
      <c r="C338" s="2" t="s">
        <v>57</v>
      </c>
      <c r="D338" s="2" t="s">
        <v>59</v>
      </c>
      <c r="E338" s="3">
        <v>1</v>
      </c>
      <c r="F338" s="3">
        <v>5606</v>
      </c>
      <c r="G338" s="3">
        <v>802</v>
      </c>
      <c r="H338" s="4">
        <v>76.98</v>
      </c>
      <c r="I338" s="4">
        <v>5999</v>
      </c>
      <c r="J338" s="5">
        <v>9.6000000000000002E-2</v>
      </c>
      <c r="K338" s="6">
        <v>1.3731999999999999E-2</v>
      </c>
    </row>
    <row r="339" spans="1:11" x14ac:dyDescent="0.25">
      <c r="A339" s="2" t="s">
        <v>55</v>
      </c>
      <c r="B339" s="2" t="s">
        <v>56</v>
      </c>
      <c r="C339" s="2" t="s">
        <v>71</v>
      </c>
      <c r="D339" s="2" t="s">
        <v>257</v>
      </c>
      <c r="E339" s="3">
        <v>1</v>
      </c>
      <c r="F339" s="3">
        <v>536</v>
      </c>
      <c r="G339" s="3">
        <v>49</v>
      </c>
      <c r="H339" s="4">
        <v>4.0599999999999996</v>
      </c>
      <c r="I339" s="4">
        <v>630.70000000000005</v>
      </c>
      <c r="J339" s="5">
        <v>8.2799999999999999E-2</v>
      </c>
      <c r="K339" s="6">
        <v>7.5690000000000002E-3</v>
      </c>
    </row>
    <row r="340" spans="1:11" x14ac:dyDescent="0.25">
      <c r="A340" s="2" t="s">
        <v>55</v>
      </c>
      <c r="B340" s="2" t="s">
        <v>56</v>
      </c>
      <c r="C340" s="2" t="s">
        <v>66</v>
      </c>
      <c r="D340" s="2" t="s">
        <v>141</v>
      </c>
      <c r="E340" s="3">
        <v>1</v>
      </c>
      <c r="F340" s="3">
        <v>1539</v>
      </c>
      <c r="G340" s="3">
        <v>104</v>
      </c>
      <c r="H340" s="4">
        <v>9.98</v>
      </c>
      <c r="I340" s="4">
        <v>1723.3</v>
      </c>
      <c r="J340" s="5">
        <v>9.6000000000000002E-2</v>
      </c>
      <c r="K340" s="6">
        <v>6.4869999999999997E-3</v>
      </c>
    </row>
    <row r="341" spans="1:11" x14ac:dyDescent="0.25">
      <c r="A341" s="2" t="s">
        <v>55</v>
      </c>
      <c r="B341" s="2" t="s">
        <v>56</v>
      </c>
      <c r="C341" s="2" t="s">
        <v>66</v>
      </c>
      <c r="D341" s="2" t="s">
        <v>231</v>
      </c>
      <c r="E341" s="3">
        <v>1</v>
      </c>
      <c r="F341" s="3">
        <v>1299</v>
      </c>
      <c r="G341" s="3">
        <v>65</v>
      </c>
      <c r="H341" s="4">
        <v>4.8</v>
      </c>
      <c r="I341" s="4">
        <v>0</v>
      </c>
      <c r="J341" s="5">
        <v>7.3800000000000004E-2</v>
      </c>
      <c r="K341" s="6">
        <v>3.6949999999999999E-3</v>
      </c>
    </row>
    <row r="342" spans="1:11" x14ac:dyDescent="0.25">
      <c r="A342" s="2" t="s">
        <v>55</v>
      </c>
      <c r="B342" s="2" t="s">
        <v>56</v>
      </c>
      <c r="C342" s="2" t="s">
        <v>66</v>
      </c>
      <c r="D342" s="2" t="s">
        <v>83</v>
      </c>
      <c r="E342" s="3">
        <v>1</v>
      </c>
      <c r="F342" s="3">
        <v>3856</v>
      </c>
      <c r="G342" s="3">
        <v>242</v>
      </c>
      <c r="H342" s="4">
        <v>18.95</v>
      </c>
      <c r="I342" s="4">
        <v>4656.3999999999996</v>
      </c>
      <c r="J342" s="5">
        <v>7.8299999999999995E-2</v>
      </c>
      <c r="K342" s="6">
        <v>4.914E-3</v>
      </c>
    </row>
    <row r="343" spans="1:11" x14ac:dyDescent="0.25">
      <c r="A343" s="2" t="s">
        <v>55</v>
      </c>
      <c r="B343" s="2" t="s">
        <v>56</v>
      </c>
      <c r="C343" s="2" t="s">
        <v>66</v>
      </c>
      <c r="D343" s="2" t="s">
        <v>228</v>
      </c>
      <c r="E343" s="3">
        <v>1</v>
      </c>
      <c r="F343" s="3">
        <v>719</v>
      </c>
      <c r="G343" s="3">
        <v>38</v>
      </c>
      <c r="H343" s="4">
        <v>4.9400000000000004</v>
      </c>
      <c r="I343" s="4">
        <v>614</v>
      </c>
      <c r="J343" s="5">
        <v>0.13</v>
      </c>
      <c r="K343" s="6">
        <v>6.8710000000000004E-3</v>
      </c>
    </row>
    <row r="344" spans="1:11" x14ac:dyDescent="0.25">
      <c r="A344" s="2" t="s">
        <v>55</v>
      </c>
      <c r="B344" s="2" t="s">
        <v>56</v>
      </c>
      <c r="C344" s="2" t="s">
        <v>66</v>
      </c>
      <c r="D344" s="2" t="s">
        <v>201</v>
      </c>
      <c r="E344" s="3">
        <v>1</v>
      </c>
      <c r="F344" s="3">
        <v>1043</v>
      </c>
      <c r="G344" s="3">
        <v>70</v>
      </c>
      <c r="H344" s="4">
        <v>5.7</v>
      </c>
      <c r="I344" s="4">
        <v>0</v>
      </c>
      <c r="J344" s="5">
        <v>8.14E-2</v>
      </c>
      <c r="K344" s="6">
        <v>5.4650000000000002E-3</v>
      </c>
    </row>
    <row r="345" spans="1:11" x14ac:dyDescent="0.25">
      <c r="A345" s="2" t="s">
        <v>55</v>
      </c>
      <c r="B345" s="2" t="s">
        <v>56</v>
      </c>
      <c r="C345" s="2" t="s">
        <v>66</v>
      </c>
      <c r="D345" s="2" t="s">
        <v>92</v>
      </c>
      <c r="E345" s="3">
        <v>1</v>
      </c>
      <c r="F345" s="3">
        <v>3262</v>
      </c>
      <c r="G345" s="3">
        <v>218</v>
      </c>
      <c r="H345" s="4">
        <v>16.5</v>
      </c>
      <c r="I345" s="4">
        <v>0</v>
      </c>
      <c r="J345" s="5">
        <v>7.5700000000000003E-2</v>
      </c>
      <c r="K345" s="6">
        <v>5.058E-3</v>
      </c>
    </row>
    <row r="346" spans="1:11" x14ac:dyDescent="0.25">
      <c r="A346" s="2" t="s">
        <v>55</v>
      </c>
      <c r="B346" s="2" t="s">
        <v>56</v>
      </c>
      <c r="C346" s="2" t="s">
        <v>66</v>
      </c>
      <c r="D346" s="2" t="s">
        <v>202</v>
      </c>
      <c r="E346" s="3">
        <v>1</v>
      </c>
      <c r="F346" s="3">
        <v>851</v>
      </c>
      <c r="G346" s="3">
        <v>59</v>
      </c>
      <c r="H346" s="4">
        <v>5.66</v>
      </c>
      <c r="I346" s="4">
        <v>959</v>
      </c>
      <c r="J346" s="5">
        <v>9.5899999999999999E-2</v>
      </c>
      <c r="K346" s="6">
        <v>6.6509999999999998E-3</v>
      </c>
    </row>
    <row r="347" spans="1:11" x14ac:dyDescent="0.25">
      <c r="A347" s="2" t="s">
        <v>55</v>
      </c>
      <c r="B347" s="2" t="s">
        <v>56</v>
      </c>
      <c r="C347" s="2" t="s">
        <v>66</v>
      </c>
      <c r="D347" s="2" t="s">
        <v>174</v>
      </c>
      <c r="E347" s="3">
        <v>1</v>
      </c>
      <c r="F347" s="3">
        <v>879</v>
      </c>
      <c r="G347" s="3">
        <v>74</v>
      </c>
      <c r="H347" s="4">
        <v>7.1</v>
      </c>
      <c r="I347" s="4">
        <v>1069.3</v>
      </c>
      <c r="J347" s="5">
        <v>9.5899999999999999E-2</v>
      </c>
      <c r="K347" s="6">
        <v>8.0770000000000008E-3</v>
      </c>
    </row>
    <row r="348" spans="1:11" x14ac:dyDescent="0.25">
      <c r="A348" s="2" t="s">
        <v>55</v>
      </c>
      <c r="B348" s="2" t="s">
        <v>56</v>
      </c>
      <c r="C348" s="2" t="s">
        <v>66</v>
      </c>
      <c r="D348" s="2" t="s">
        <v>313</v>
      </c>
      <c r="E348" s="3">
        <v>1</v>
      </c>
      <c r="F348" s="3">
        <v>624</v>
      </c>
      <c r="G348" s="3">
        <v>39</v>
      </c>
      <c r="H348" s="4">
        <v>2.92</v>
      </c>
      <c r="I348" s="4">
        <v>551.4</v>
      </c>
      <c r="J348" s="5">
        <v>7.4899999999999994E-2</v>
      </c>
      <c r="K348" s="6">
        <v>4.679E-3</v>
      </c>
    </row>
    <row r="349" spans="1:11" x14ac:dyDescent="0.25">
      <c r="A349" s="2" t="s">
        <v>55</v>
      </c>
      <c r="B349" s="2" t="s">
        <v>56</v>
      </c>
      <c r="C349" s="2" t="s">
        <v>66</v>
      </c>
      <c r="D349" s="2" t="s">
        <v>217</v>
      </c>
      <c r="E349" s="3">
        <v>1</v>
      </c>
      <c r="F349" s="3">
        <v>635</v>
      </c>
      <c r="G349" s="3">
        <v>49</v>
      </c>
      <c r="H349" s="4">
        <v>5.17</v>
      </c>
      <c r="I349" s="4">
        <v>900.5</v>
      </c>
      <c r="J349" s="5">
        <v>0.10539999999999999</v>
      </c>
      <c r="K349" s="6">
        <v>8.1370000000000001E-3</v>
      </c>
    </row>
    <row r="350" spans="1:11" x14ac:dyDescent="0.25">
      <c r="A350" s="2" t="s">
        <v>55</v>
      </c>
      <c r="B350" s="2" t="s">
        <v>56</v>
      </c>
      <c r="C350" s="2" t="s">
        <v>66</v>
      </c>
      <c r="D350" s="2" t="s">
        <v>190</v>
      </c>
      <c r="E350" s="3">
        <v>1</v>
      </c>
      <c r="F350" s="3">
        <v>747</v>
      </c>
      <c r="G350" s="3">
        <v>83</v>
      </c>
      <c r="H350" s="4">
        <v>6.3</v>
      </c>
      <c r="I350" s="4">
        <v>0</v>
      </c>
      <c r="J350" s="5">
        <v>7.5899999999999995E-2</v>
      </c>
      <c r="K350" s="6">
        <v>8.4340000000000005E-3</v>
      </c>
    </row>
    <row r="351" spans="1:11" x14ac:dyDescent="0.25">
      <c r="A351" s="2" t="s">
        <v>55</v>
      </c>
      <c r="B351" s="2" t="s">
        <v>56</v>
      </c>
      <c r="C351" s="2" t="s">
        <v>66</v>
      </c>
      <c r="D351" s="2" t="s">
        <v>156</v>
      </c>
      <c r="E351" s="3">
        <v>1</v>
      </c>
      <c r="F351" s="3">
        <v>760</v>
      </c>
      <c r="G351" s="3">
        <v>76</v>
      </c>
      <c r="H351" s="4">
        <v>8.35</v>
      </c>
      <c r="I351" s="4">
        <v>1073.8</v>
      </c>
      <c r="J351" s="5">
        <v>0.1099</v>
      </c>
      <c r="K351" s="6">
        <v>1.0989000000000001E-2</v>
      </c>
    </row>
    <row r="352" spans="1:11" x14ac:dyDescent="0.25">
      <c r="A352" s="2" t="s">
        <v>55</v>
      </c>
      <c r="B352" s="2" t="s">
        <v>56</v>
      </c>
      <c r="C352" s="2" t="s">
        <v>161</v>
      </c>
      <c r="D352" s="2" t="s">
        <v>242</v>
      </c>
      <c r="E352" s="3">
        <v>1</v>
      </c>
      <c r="F352" s="3">
        <v>659</v>
      </c>
      <c r="G352" s="3">
        <v>47</v>
      </c>
      <c r="H352" s="4">
        <v>4.51</v>
      </c>
      <c r="I352" s="4">
        <v>506.5</v>
      </c>
      <c r="J352" s="5">
        <v>9.6000000000000002E-2</v>
      </c>
      <c r="K352" s="6">
        <v>6.8440000000000003E-3</v>
      </c>
    </row>
    <row r="353" spans="1:11" x14ac:dyDescent="0.25">
      <c r="A353" s="2" t="s">
        <v>55</v>
      </c>
      <c r="B353" s="2" t="s">
        <v>56</v>
      </c>
      <c r="C353" s="2" t="s">
        <v>66</v>
      </c>
      <c r="D353" s="2" t="s">
        <v>96</v>
      </c>
      <c r="E353" s="3">
        <v>1</v>
      </c>
      <c r="F353" s="3">
        <v>1380</v>
      </c>
      <c r="G353" s="3">
        <v>171</v>
      </c>
      <c r="H353" s="4">
        <v>16.420000000000002</v>
      </c>
      <c r="I353" s="4">
        <v>1691.1</v>
      </c>
      <c r="J353" s="5">
        <v>9.6000000000000002E-2</v>
      </c>
      <c r="K353" s="6">
        <v>1.1896E-2</v>
      </c>
    </row>
    <row r="354" spans="1:11" x14ac:dyDescent="0.25">
      <c r="A354" s="2" t="s">
        <v>55</v>
      </c>
      <c r="B354" s="2" t="s">
        <v>56</v>
      </c>
      <c r="C354" s="2" t="s">
        <v>57</v>
      </c>
      <c r="D354" s="2" t="s">
        <v>58</v>
      </c>
      <c r="E354" s="3">
        <v>2</v>
      </c>
      <c r="F354" s="3">
        <v>6812</v>
      </c>
      <c r="G354" s="3">
        <v>851</v>
      </c>
      <c r="H354" s="4">
        <v>81.7</v>
      </c>
      <c r="I354" s="4">
        <v>8357.1</v>
      </c>
      <c r="J354" s="5">
        <v>9.6000000000000002E-2</v>
      </c>
      <c r="K354" s="6">
        <v>1.1993E-2</v>
      </c>
    </row>
    <row r="355" spans="1:11" x14ac:dyDescent="0.25">
      <c r="A355" s="2" t="s">
        <v>55</v>
      </c>
      <c r="B355" s="2" t="s">
        <v>56</v>
      </c>
      <c r="C355" s="2" t="s">
        <v>57</v>
      </c>
      <c r="D355" s="2" t="s">
        <v>61</v>
      </c>
      <c r="E355" s="3">
        <v>1</v>
      </c>
      <c r="F355" s="3">
        <v>5261</v>
      </c>
      <c r="G355" s="3">
        <v>753</v>
      </c>
      <c r="H355" s="4">
        <v>72.28</v>
      </c>
      <c r="I355" s="4">
        <v>6581.2</v>
      </c>
      <c r="J355" s="5">
        <v>9.6000000000000002E-2</v>
      </c>
      <c r="K355" s="6">
        <v>1.3738999999999999E-2</v>
      </c>
    </row>
    <row r="356" spans="1:11" x14ac:dyDescent="0.25">
      <c r="A356" s="2" t="s">
        <v>55</v>
      </c>
      <c r="B356" s="2" t="s">
        <v>56</v>
      </c>
      <c r="C356" s="2" t="s">
        <v>57</v>
      </c>
      <c r="D356" s="2" t="s">
        <v>62</v>
      </c>
      <c r="E356" s="3">
        <v>2</v>
      </c>
      <c r="F356" s="3">
        <v>5994</v>
      </c>
      <c r="G356" s="3">
        <v>750</v>
      </c>
      <c r="H356" s="4">
        <v>72</v>
      </c>
      <c r="I356" s="4">
        <v>6725.6</v>
      </c>
      <c r="J356" s="5">
        <v>9.6000000000000002E-2</v>
      </c>
      <c r="K356" s="6">
        <v>1.2012E-2</v>
      </c>
    </row>
    <row r="357" spans="1:11" x14ac:dyDescent="0.25">
      <c r="A357" s="2" t="s">
        <v>55</v>
      </c>
      <c r="B357" s="2" t="s">
        <v>56</v>
      </c>
      <c r="C357" s="2" t="s">
        <v>57</v>
      </c>
      <c r="D357" s="2" t="s">
        <v>142</v>
      </c>
      <c r="E357" s="3">
        <v>1</v>
      </c>
      <c r="F357" s="3">
        <v>810</v>
      </c>
      <c r="G357" s="3">
        <v>102</v>
      </c>
      <c r="H357" s="4">
        <v>9.7899999999999991</v>
      </c>
      <c r="I357" s="4">
        <v>1054.5</v>
      </c>
      <c r="J357" s="5">
        <v>9.6000000000000002E-2</v>
      </c>
      <c r="K357" s="6">
        <v>1.2089000000000001E-2</v>
      </c>
    </row>
    <row r="358" spans="1:11" x14ac:dyDescent="0.25">
      <c r="A358" s="2" t="s">
        <v>55</v>
      </c>
      <c r="B358" s="2" t="s">
        <v>56</v>
      </c>
      <c r="C358" s="2" t="s">
        <v>57</v>
      </c>
      <c r="D358" s="2" t="s">
        <v>78</v>
      </c>
      <c r="E358" s="3">
        <v>1</v>
      </c>
      <c r="F358" s="3">
        <v>1826</v>
      </c>
      <c r="G358" s="3">
        <v>260</v>
      </c>
      <c r="H358" s="4">
        <v>24.87</v>
      </c>
      <c r="I358" s="4">
        <v>3384</v>
      </c>
      <c r="J358" s="5">
        <v>9.5600000000000004E-2</v>
      </c>
      <c r="K358" s="6">
        <v>1.3618E-2</v>
      </c>
    </row>
    <row r="359" spans="1:11" x14ac:dyDescent="0.25">
      <c r="A359" s="2" t="s">
        <v>55</v>
      </c>
      <c r="B359" s="2" t="s">
        <v>56</v>
      </c>
      <c r="C359" s="2" t="s">
        <v>57</v>
      </c>
      <c r="D359" s="2" t="s">
        <v>131</v>
      </c>
      <c r="E359" s="3">
        <v>1</v>
      </c>
      <c r="F359" s="3">
        <v>1474</v>
      </c>
      <c r="G359" s="3">
        <v>123</v>
      </c>
      <c r="H359" s="4">
        <v>11.81</v>
      </c>
      <c r="I359" s="4">
        <v>1836.3</v>
      </c>
      <c r="J359" s="5">
        <v>9.6000000000000002E-2</v>
      </c>
      <c r="K359" s="6">
        <v>8.012E-3</v>
      </c>
    </row>
    <row r="360" spans="1:11" x14ac:dyDescent="0.25">
      <c r="A360" s="2" t="s">
        <v>55</v>
      </c>
      <c r="B360" s="2" t="s">
        <v>56</v>
      </c>
      <c r="C360" s="2" t="s">
        <v>57</v>
      </c>
      <c r="D360" s="2" t="s">
        <v>91</v>
      </c>
      <c r="E360" s="3">
        <v>1</v>
      </c>
      <c r="F360" s="3">
        <v>1258</v>
      </c>
      <c r="G360" s="3">
        <v>139</v>
      </c>
      <c r="H360" s="4">
        <v>16.68</v>
      </c>
      <c r="I360" s="4">
        <v>1953.3</v>
      </c>
      <c r="J360" s="5">
        <v>0.12</v>
      </c>
      <c r="K360" s="6">
        <v>1.3259E-2</v>
      </c>
    </row>
    <row r="361" spans="1:11" x14ac:dyDescent="0.25">
      <c r="A361" s="2" t="s">
        <v>55</v>
      </c>
      <c r="B361" s="2" t="s">
        <v>56</v>
      </c>
      <c r="C361" s="2" t="s">
        <v>57</v>
      </c>
      <c r="D361" s="2" t="s">
        <v>191</v>
      </c>
      <c r="E361" s="3">
        <v>1</v>
      </c>
      <c r="F361" s="3">
        <v>750</v>
      </c>
      <c r="G361" s="3">
        <v>63</v>
      </c>
      <c r="H361" s="4">
        <v>6.21</v>
      </c>
      <c r="I361" s="4">
        <v>875.3</v>
      </c>
      <c r="J361" s="5">
        <v>9.8599999999999993E-2</v>
      </c>
      <c r="K361" s="6">
        <v>8.2799999999999992E-3</v>
      </c>
    </row>
    <row r="362" spans="1:11" x14ac:dyDescent="0.25">
      <c r="A362" s="2" t="s">
        <v>55</v>
      </c>
      <c r="B362" s="2" t="s">
        <v>56</v>
      </c>
      <c r="C362" s="2" t="s">
        <v>57</v>
      </c>
      <c r="D362" s="2" t="s">
        <v>147</v>
      </c>
      <c r="E362" s="3">
        <v>1</v>
      </c>
      <c r="F362" s="3">
        <v>765</v>
      </c>
      <c r="G362" s="3">
        <v>96</v>
      </c>
      <c r="H362" s="4">
        <v>9.24</v>
      </c>
      <c r="I362" s="4">
        <v>900.4</v>
      </c>
      <c r="J362" s="5">
        <v>9.6299999999999997E-2</v>
      </c>
      <c r="K362" s="6">
        <v>1.2078E-2</v>
      </c>
    </row>
    <row r="363" spans="1:11" x14ac:dyDescent="0.25">
      <c r="A363" s="2" t="s">
        <v>55</v>
      </c>
      <c r="B363" s="2" t="s">
        <v>56</v>
      </c>
      <c r="C363" s="2" t="s">
        <v>71</v>
      </c>
      <c r="D363" s="2" t="s">
        <v>77</v>
      </c>
      <c r="E363" s="3">
        <v>1</v>
      </c>
      <c r="F363" s="3">
        <v>1915</v>
      </c>
      <c r="G363" s="3">
        <v>240</v>
      </c>
      <c r="H363" s="4">
        <v>25.74</v>
      </c>
      <c r="I363" s="4">
        <v>3158.2</v>
      </c>
      <c r="J363" s="5">
        <v>0.1072</v>
      </c>
      <c r="K363" s="6">
        <v>1.3441E-2</v>
      </c>
    </row>
    <row r="364" spans="1:11" x14ac:dyDescent="0.25">
      <c r="A364" s="2" t="s">
        <v>55</v>
      </c>
      <c r="B364" s="2" t="s">
        <v>56</v>
      </c>
      <c r="C364" s="2" t="s">
        <v>66</v>
      </c>
      <c r="D364" s="2" t="s">
        <v>222</v>
      </c>
      <c r="E364" s="3">
        <v>1</v>
      </c>
      <c r="F364" s="3">
        <v>848</v>
      </c>
      <c r="G364" s="3">
        <v>53</v>
      </c>
      <c r="H364" s="4">
        <v>5.09</v>
      </c>
      <c r="I364" s="4">
        <v>494.5</v>
      </c>
      <c r="J364" s="5">
        <v>9.6000000000000002E-2</v>
      </c>
      <c r="K364" s="6">
        <v>6.0020000000000004E-3</v>
      </c>
    </row>
    <row r="365" spans="1:11" x14ac:dyDescent="0.25">
      <c r="A365" s="2" t="s">
        <v>55</v>
      </c>
      <c r="B365" s="2" t="s">
        <v>56</v>
      </c>
      <c r="C365" s="2" t="s">
        <v>57</v>
      </c>
      <c r="D365" s="2" t="s">
        <v>181</v>
      </c>
      <c r="E365" s="3">
        <v>1</v>
      </c>
      <c r="F365" s="3">
        <v>625</v>
      </c>
      <c r="G365" s="3">
        <v>70</v>
      </c>
      <c r="H365" s="4">
        <v>6.72</v>
      </c>
      <c r="I365" s="4">
        <v>827.5</v>
      </c>
      <c r="J365" s="5">
        <v>9.6000000000000002E-2</v>
      </c>
      <c r="K365" s="6">
        <v>1.0751999999999999E-2</v>
      </c>
    </row>
    <row r="366" spans="1:11" x14ac:dyDescent="0.25">
      <c r="A366" s="2" t="s">
        <v>55</v>
      </c>
      <c r="B366" s="2" t="s">
        <v>56</v>
      </c>
      <c r="C366" s="2" t="s">
        <v>57</v>
      </c>
      <c r="D366" s="2" t="s">
        <v>79</v>
      </c>
      <c r="E366" s="3">
        <v>1</v>
      </c>
      <c r="F366" s="3">
        <v>2071</v>
      </c>
      <c r="G366" s="3">
        <v>259</v>
      </c>
      <c r="H366" s="4">
        <v>24.86</v>
      </c>
      <c r="I366" s="4">
        <v>2570.8000000000002</v>
      </c>
      <c r="J366" s="5">
        <v>9.6000000000000002E-2</v>
      </c>
      <c r="K366" s="6">
        <v>1.2005999999999999E-2</v>
      </c>
    </row>
    <row r="367" spans="1:11" x14ac:dyDescent="0.25">
      <c r="A367" s="2" t="s">
        <v>55</v>
      </c>
      <c r="B367" s="2" t="s">
        <v>56</v>
      </c>
      <c r="C367" s="2" t="s">
        <v>57</v>
      </c>
      <c r="D367" s="2" t="s">
        <v>60</v>
      </c>
      <c r="E367" s="3">
        <v>3</v>
      </c>
      <c r="F367" s="3">
        <v>5459</v>
      </c>
      <c r="G367" s="3">
        <v>780</v>
      </c>
      <c r="H367" s="4">
        <v>75.53</v>
      </c>
      <c r="I367" s="4">
        <v>9020.7999999999993</v>
      </c>
      <c r="J367" s="5">
        <v>9.6799999999999997E-2</v>
      </c>
      <c r="K367" s="6">
        <v>1.3835999999999999E-2</v>
      </c>
    </row>
    <row r="368" spans="1:11" x14ac:dyDescent="0.25">
      <c r="A368" s="2" t="s">
        <v>55</v>
      </c>
      <c r="B368" s="2" t="s">
        <v>56</v>
      </c>
      <c r="C368" s="2" t="s">
        <v>57</v>
      </c>
      <c r="D368" s="2" t="s">
        <v>145</v>
      </c>
      <c r="E368" s="3">
        <v>1</v>
      </c>
      <c r="F368" s="3">
        <v>680</v>
      </c>
      <c r="G368" s="3">
        <v>101</v>
      </c>
      <c r="H368" s="4">
        <v>9.6</v>
      </c>
      <c r="I368" s="4">
        <v>1175.5</v>
      </c>
      <c r="J368" s="5">
        <v>9.5000000000000001E-2</v>
      </c>
      <c r="K368" s="6">
        <v>1.4118E-2</v>
      </c>
    </row>
    <row r="369" spans="1:11" x14ac:dyDescent="0.25">
      <c r="A369" s="2" t="s">
        <v>55</v>
      </c>
      <c r="B369" s="2" t="s">
        <v>56</v>
      </c>
      <c r="C369" s="2" t="s">
        <v>80</v>
      </c>
      <c r="D369" s="2" t="s">
        <v>258</v>
      </c>
      <c r="E369" s="3">
        <v>1</v>
      </c>
      <c r="F369" s="3">
        <v>748</v>
      </c>
      <c r="G369" s="3">
        <v>42</v>
      </c>
      <c r="H369" s="4">
        <v>4.03</v>
      </c>
      <c r="I369" s="4">
        <v>840</v>
      </c>
      <c r="J369" s="5">
        <v>9.6000000000000002E-2</v>
      </c>
      <c r="K369" s="6">
        <v>5.3899999999999998E-3</v>
      </c>
    </row>
    <row r="370" spans="1:11" x14ac:dyDescent="0.25">
      <c r="A370" s="2" t="s">
        <v>55</v>
      </c>
      <c r="B370" s="2" t="s">
        <v>56</v>
      </c>
      <c r="C370" s="2" t="s">
        <v>80</v>
      </c>
      <c r="D370" s="2" t="s">
        <v>177</v>
      </c>
      <c r="E370" s="3">
        <v>1</v>
      </c>
      <c r="F370" s="3">
        <v>932</v>
      </c>
      <c r="G370" s="3">
        <v>72</v>
      </c>
      <c r="H370" s="4">
        <v>6.91</v>
      </c>
      <c r="I370" s="4">
        <v>1074.4000000000001</v>
      </c>
      <c r="J370" s="5">
        <v>9.6000000000000002E-2</v>
      </c>
      <c r="K370" s="6">
        <v>7.4159999999999998E-3</v>
      </c>
    </row>
    <row r="371" spans="1:11" x14ac:dyDescent="0.25">
      <c r="A371" s="2" t="s">
        <v>55</v>
      </c>
      <c r="B371" s="2" t="s">
        <v>56</v>
      </c>
      <c r="C371" s="2" t="s">
        <v>80</v>
      </c>
      <c r="D371" s="2" t="s">
        <v>160</v>
      </c>
      <c r="E371" s="3">
        <v>1</v>
      </c>
      <c r="F371" s="3">
        <v>1099</v>
      </c>
      <c r="G371" s="3">
        <v>85</v>
      </c>
      <c r="H371" s="4">
        <v>8.16</v>
      </c>
      <c r="I371" s="4">
        <v>1136.5999999999999</v>
      </c>
      <c r="J371" s="5">
        <v>9.6000000000000002E-2</v>
      </c>
      <c r="K371" s="6">
        <v>7.4250000000000002E-3</v>
      </c>
    </row>
    <row r="372" spans="1:11" x14ac:dyDescent="0.25">
      <c r="A372" s="2" t="s">
        <v>55</v>
      </c>
      <c r="B372" s="2" t="s">
        <v>56</v>
      </c>
      <c r="C372" s="2" t="s">
        <v>80</v>
      </c>
      <c r="D372" s="2" t="s">
        <v>240</v>
      </c>
      <c r="E372" s="3">
        <v>1</v>
      </c>
      <c r="F372" s="3">
        <v>689</v>
      </c>
      <c r="G372" s="3">
        <v>47</v>
      </c>
      <c r="H372" s="4">
        <v>4.51</v>
      </c>
      <c r="I372" s="4">
        <v>893</v>
      </c>
      <c r="J372" s="5">
        <v>9.6000000000000002E-2</v>
      </c>
      <c r="K372" s="6">
        <v>6.5490000000000001E-3</v>
      </c>
    </row>
    <row r="373" spans="1:11" x14ac:dyDescent="0.25">
      <c r="A373" s="2" t="s">
        <v>55</v>
      </c>
      <c r="B373" s="2" t="s">
        <v>566</v>
      </c>
      <c r="C373" s="2" t="s">
        <v>567</v>
      </c>
      <c r="D373" s="2" t="s">
        <v>568</v>
      </c>
      <c r="E373" s="3">
        <v>1</v>
      </c>
      <c r="F373" s="3">
        <v>650</v>
      </c>
      <c r="G373" s="3">
        <v>7</v>
      </c>
      <c r="H373" s="4">
        <v>0.41</v>
      </c>
      <c r="I373" s="4">
        <v>104.2</v>
      </c>
      <c r="J373" s="5">
        <v>5.8900000000000001E-2</v>
      </c>
      <c r="K373" s="6">
        <v>6.3400000000000001E-4</v>
      </c>
    </row>
    <row r="374" spans="1:11" x14ac:dyDescent="0.25">
      <c r="A374" s="2" t="s">
        <v>55</v>
      </c>
      <c r="B374" s="2" t="s">
        <v>329</v>
      </c>
      <c r="C374" s="2" t="s">
        <v>445</v>
      </c>
      <c r="D374" s="2" t="s">
        <v>465</v>
      </c>
      <c r="E374" s="3">
        <v>1</v>
      </c>
      <c r="F374" s="3">
        <v>777</v>
      </c>
      <c r="G374" s="3">
        <v>13</v>
      </c>
      <c r="H374" s="4">
        <v>1.25</v>
      </c>
      <c r="I374" s="4">
        <v>209.3</v>
      </c>
      <c r="J374" s="5">
        <v>9.6000000000000002E-2</v>
      </c>
      <c r="K374" s="6">
        <v>1.606E-3</v>
      </c>
    </row>
    <row r="375" spans="1:11" x14ac:dyDescent="0.25">
      <c r="A375" s="2" t="s">
        <v>55</v>
      </c>
      <c r="B375" s="2" t="s">
        <v>329</v>
      </c>
      <c r="C375" s="2" t="s">
        <v>330</v>
      </c>
      <c r="D375" s="2" t="s">
        <v>431</v>
      </c>
      <c r="E375" s="3">
        <v>1</v>
      </c>
      <c r="F375" s="3">
        <v>877</v>
      </c>
      <c r="G375" s="3">
        <v>17</v>
      </c>
      <c r="H375" s="4">
        <v>1.63</v>
      </c>
      <c r="I375" s="4">
        <v>247</v>
      </c>
      <c r="J375" s="5">
        <v>9.6000000000000002E-2</v>
      </c>
      <c r="K375" s="6">
        <v>1.861E-3</v>
      </c>
    </row>
    <row r="376" spans="1:11" x14ac:dyDescent="0.25">
      <c r="A376" s="2" t="s">
        <v>55</v>
      </c>
      <c r="B376" s="2" t="s">
        <v>329</v>
      </c>
      <c r="C376" s="2" t="s">
        <v>330</v>
      </c>
      <c r="D376" s="2" t="s">
        <v>331</v>
      </c>
      <c r="E376" s="3">
        <v>1</v>
      </c>
      <c r="F376" s="3">
        <v>1705</v>
      </c>
      <c r="G376" s="3">
        <v>28</v>
      </c>
      <c r="H376" s="4">
        <v>2.69</v>
      </c>
      <c r="I376" s="4">
        <v>462.2</v>
      </c>
      <c r="J376" s="5">
        <v>9.6000000000000002E-2</v>
      </c>
      <c r="K376" s="6">
        <v>1.5770000000000001E-3</v>
      </c>
    </row>
    <row r="377" spans="1:11" x14ac:dyDescent="0.25">
      <c r="A377" s="2" t="s">
        <v>55</v>
      </c>
      <c r="B377" s="2" t="s">
        <v>329</v>
      </c>
      <c r="C377" s="2" t="s">
        <v>445</v>
      </c>
      <c r="D377" s="2" t="s">
        <v>524</v>
      </c>
      <c r="E377" s="3">
        <v>1</v>
      </c>
      <c r="F377" s="3">
        <v>612</v>
      </c>
      <c r="G377" s="3">
        <v>9</v>
      </c>
      <c r="H377" s="4">
        <v>0.86</v>
      </c>
      <c r="I377" s="4">
        <v>233.5</v>
      </c>
      <c r="J377" s="5">
        <v>9.5600000000000004E-2</v>
      </c>
      <c r="K377" s="6">
        <v>1.405E-3</v>
      </c>
    </row>
    <row r="378" spans="1:11" x14ac:dyDescent="0.25">
      <c r="A378" s="2" t="s">
        <v>55</v>
      </c>
      <c r="B378" s="2" t="s">
        <v>329</v>
      </c>
      <c r="C378" s="2" t="s">
        <v>445</v>
      </c>
      <c r="D378" s="2" t="s">
        <v>446</v>
      </c>
      <c r="E378" s="3">
        <v>1</v>
      </c>
      <c r="F378" s="3">
        <v>1048</v>
      </c>
      <c r="G378" s="3">
        <v>16</v>
      </c>
      <c r="H378" s="4">
        <v>1.54</v>
      </c>
      <c r="I378" s="4">
        <v>313.89999999999998</v>
      </c>
      <c r="J378" s="5">
        <v>9.6000000000000002E-2</v>
      </c>
      <c r="K378" s="6">
        <v>1.4660000000000001E-3</v>
      </c>
    </row>
    <row r="379" spans="1:11" x14ac:dyDescent="0.25">
      <c r="A379" s="2" t="s">
        <v>55</v>
      </c>
      <c r="B379" s="2" t="s">
        <v>329</v>
      </c>
      <c r="C379" s="2" t="s">
        <v>445</v>
      </c>
      <c r="D379" s="2" t="s">
        <v>543</v>
      </c>
      <c r="E379" s="3">
        <v>1</v>
      </c>
      <c r="F379" s="3">
        <v>526</v>
      </c>
      <c r="G379" s="3">
        <v>8</v>
      </c>
      <c r="H379" s="4">
        <v>0.76</v>
      </c>
      <c r="I379" s="4">
        <v>145.9</v>
      </c>
      <c r="J379" s="5">
        <v>9.5000000000000001E-2</v>
      </c>
      <c r="K379" s="6">
        <v>1.4450000000000001E-3</v>
      </c>
    </row>
    <row r="380" spans="1:11" x14ac:dyDescent="0.25">
      <c r="A380" s="2" t="s">
        <v>55</v>
      </c>
      <c r="B380" s="2" t="s">
        <v>329</v>
      </c>
      <c r="C380" s="2" t="s">
        <v>445</v>
      </c>
      <c r="D380" s="2" t="s">
        <v>464</v>
      </c>
      <c r="E380" s="3">
        <v>1</v>
      </c>
      <c r="F380" s="3">
        <v>664</v>
      </c>
      <c r="G380" s="3">
        <v>13</v>
      </c>
      <c r="H380" s="4">
        <v>1.25</v>
      </c>
      <c r="I380" s="4">
        <v>332.4</v>
      </c>
      <c r="J380" s="5">
        <v>9.6199999999999994E-2</v>
      </c>
      <c r="K380" s="6">
        <v>1.8829999999999999E-3</v>
      </c>
    </row>
    <row r="381" spans="1:11" x14ac:dyDescent="0.25">
      <c r="A381" s="2" t="s">
        <v>55</v>
      </c>
      <c r="B381" s="2" t="s">
        <v>329</v>
      </c>
      <c r="C381" s="2" t="s">
        <v>445</v>
      </c>
      <c r="D381" s="2" t="s">
        <v>537</v>
      </c>
      <c r="E381" s="3">
        <v>1</v>
      </c>
      <c r="F381" s="3">
        <v>504</v>
      </c>
      <c r="G381" s="3">
        <v>8</v>
      </c>
      <c r="H381" s="4">
        <v>0.77</v>
      </c>
      <c r="I381" s="4">
        <v>148</v>
      </c>
      <c r="J381" s="5">
        <v>9.6000000000000002E-2</v>
      </c>
      <c r="K381" s="6">
        <v>1.524E-3</v>
      </c>
    </row>
    <row r="382" spans="1:11" x14ac:dyDescent="0.25">
      <c r="A382" s="2" t="s">
        <v>55</v>
      </c>
      <c r="B382" s="2" t="s">
        <v>255</v>
      </c>
      <c r="C382" s="2" t="s">
        <v>132</v>
      </c>
      <c r="D382" s="2" t="s">
        <v>397</v>
      </c>
      <c r="E382" s="3">
        <v>1</v>
      </c>
      <c r="F382" s="3">
        <v>912</v>
      </c>
      <c r="G382" s="3">
        <v>20</v>
      </c>
      <c r="H382" s="4">
        <v>1.92</v>
      </c>
      <c r="I382" s="4">
        <v>495</v>
      </c>
      <c r="J382" s="5">
        <v>9.6000000000000002E-2</v>
      </c>
      <c r="K382" s="6">
        <v>2.1050000000000001E-3</v>
      </c>
    </row>
    <row r="383" spans="1:11" x14ac:dyDescent="0.25">
      <c r="A383" s="2" t="s">
        <v>55</v>
      </c>
      <c r="B383" s="2" t="s">
        <v>255</v>
      </c>
      <c r="C383" s="2" t="s">
        <v>132</v>
      </c>
      <c r="D383" s="2" t="s">
        <v>346</v>
      </c>
      <c r="E383" s="3">
        <v>1</v>
      </c>
      <c r="F383" s="3">
        <v>976</v>
      </c>
      <c r="G383" s="3">
        <v>33</v>
      </c>
      <c r="H383" s="4">
        <v>2.5299999999999998</v>
      </c>
      <c r="I383" s="4">
        <v>658.7</v>
      </c>
      <c r="J383" s="5">
        <v>7.6799999999999993E-2</v>
      </c>
      <c r="K383" s="6">
        <v>2.5969999999999999E-3</v>
      </c>
    </row>
    <row r="384" spans="1:11" x14ac:dyDescent="0.25">
      <c r="A384" s="2" t="s">
        <v>55</v>
      </c>
      <c r="B384" s="2" t="s">
        <v>255</v>
      </c>
      <c r="C384" s="2" t="s">
        <v>132</v>
      </c>
      <c r="D384" s="2" t="s">
        <v>425</v>
      </c>
      <c r="E384" s="3">
        <v>1</v>
      </c>
      <c r="F384" s="3">
        <v>683</v>
      </c>
      <c r="G384" s="3">
        <v>23</v>
      </c>
      <c r="H384" s="4">
        <v>1.66</v>
      </c>
      <c r="I384" s="4">
        <v>420.6</v>
      </c>
      <c r="J384" s="5">
        <v>7.22E-2</v>
      </c>
      <c r="K384" s="6">
        <v>2.4299999999999999E-3</v>
      </c>
    </row>
    <row r="385" spans="1:11" x14ac:dyDescent="0.25">
      <c r="A385" s="2" t="s">
        <v>55</v>
      </c>
      <c r="B385" s="2" t="s">
        <v>255</v>
      </c>
      <c r="C385" s="2" t="s">
        <v>132</v>
      </c>
      <c r="D385" s="2" t="s">
        <v>417</v>
      </c>
      <c r="E385" s="3">
        <v>1</v>
      </c>
      <c r="F385" s="3">
        <v>813</v>
      </c>
      <c r="G385" s="3">
        <v>18</v>
      </c>
      <c r="H385" s="4">
        <v>1.73</v>
      </c>
      <c r="I385" s="4">
        <v>450</v>
      </c>
      <c r="J385" s="5">
        <v>9.6000000000000002E-2</v>
      </c>
      <c r="K385" s="6">
        <v>2.1250000000000002E-3</v>
      </c>
    </row>
    <row r="386" spans="1:11" x14ac:dyDescent="0.25">
      <c r="A386" s="2" t="s">
        <v>55</v>
      </c>
      <c r="B386" s="2" t="s">
        <v>255</v>
      </c>
      <c r="C386" s="2" t="s">
        <v>132</v>
      </c>
      <c r="D386" s="2" t="s">
        <v>256</v>
      </c>
      <c r="E386" s="3">
        <v>1</v>
      </c>
      <c r="F386" s="3">
        <v>1594</v>
      </c>
      <c r="G386" s="3">
        <v>53</v>
      </c>
      <c r="H386" s="4">
        <v>4.07</v>
      </c>
      <c r="I386" s="4">
        <v>1053.7</v>
      </c>
      <c r="J386" s="5">
        <v>7.6799999999999993E-2</v>
      </c>
      <c r="K386" s="6">
        <v>2.5539999999999998E-3</v>
      </c>
    </row>
    <row r="387" spans="1:11" x14ac:dyDescent="0.25">
      <c r="A387" s="2" t="s">
        <v>55</v>
      </c>
      <c r="B387" s="2" t="s">
        <v>255</v>
      </c>
      <c r="C387" s="2" t="s">
        <v>132</v>
      </c>
      <c r="D387" s="2" t="s">
        <v>447</v>
      </c>
      <c r="E387" s="3">
        <v>1</v>
      </c>
      <c r="F387" s="3">
        <v>715</v>
      </c>
      <c r="G387" s="3">
        <v>16</v>
      </c>
      <c r="H387" s="4">
        <v>1.54</v>
      </c>
      <c r="I387" s="4">
        <v>367</v>
      </c>
      <c r="J387" s="5">
        <v>9.6000000000000002E-2</v>
      </c>
      <c r="K387" s="6">
        <v>2.1480000000000002E-3</v>
      </c>
    </row>
    <row r="388" spans="1:11" x14ac:dyDescent="0.25">
      <c r="A388" s="2" t="s">
        <v>55</v>
      </c>
      <c r="B388" s="2" t="s">
        <v>255</v>
      </c>
      <c r="C388" s="2" t="s">
        <v>132</v>
      </c>
      <c r="D388" s="2" t="s">
        <v>463</v>
      </c>
      <c r="E388" s="3">
        <v>1</v>
      </c>
      <c r="F388" s="3">
        <v>684</v>
      </c>
      <c r="G388" s="3">
        <v>18</v>
      </c>
      <c r="H388" s="4">
        <v>1.3</v>
      </c>
      <c r="I388" s="4">
        <v>319.10000000000002</v>
      </c>
      <c r="J388" s="5">
        <v>7.22E-2</v>
      </c>
      <c r="K388" s="6">
        <v>1.9009999999999999E-3</v>
      </c>
    </row>
    <row r="389" spans="1:11" x14ac:dyDescent="0.25">
      <c r="A389" s="2" t="s">
        <v>55</v>
      </c>
      <c r="B389" s="2" t="s">
        <v>255</v>
      </c>
      <c r="C389" s="2" t="s">
        <v>132</v>
      </c>
      <c r="D389" s="2" t="s">
        <v>386</v>
      </c>
      <c r="E389" s="3">
        <v>1</v>
      </c>
      <c r="F389" s="3">
        <v>919</v>
      </c>
      <c r="G389" s="3">
        <v>29</v>
      </c>
      <c r="H389" s="4">
        <v>2.09</v>
      </c>
      <c r="I389" s="4">
        <v>595.29999999999995</v>
      </c>
      <c r="J389" s="5">
        <v>7.2099999999999997E-2</v>
      </c>
      <c r="K389" s="6">
        <v>2.274E-3</v>
      </c>
    </row>
    <row r="390" spans="1:11" x14ac:dyDescent="0.25">
      <c r="A390" s="2" t="s">
        <v>55</v>
      </c>
      <c r="B390" s="2" t="s">
        <v>255</v>
      </c>
      <c r="C390" s="2" t="s">
        <v>132</v>
      </c>
      <c r="D390" s="2" t="s">
        <v>459</v>
      </c>
      <c r="E390" s="3">
        <v>1</v>
      </c>
      <c r="F390" s="3">
        <v>636</v>
      </c>
      <c r="G390" s="3">
        <v>14</v>
      </c>
      <c r="H390" s="4">
        <v>1.34</v>
      </c>
      <c r="I390" s="4">
        <v>326</v>
      </c>
      <c r="J390" s="5">
        <v>9.6000000000000002E-2</v>
      </c>
      <c r="K390" s="6">
        <v>2.1129999999999999E-3</v>
      </c>
    </row>
    <row r="391" spans="1:11" x14ac:dyDescent="0.25">
      <c r="A391" s="2" t="s">
        <v>55</v>
      </c>
      <c r="B391" s="2" t="s">
        <v>255</v>
      </c>
      <c r="C391" s="2" t="s">
        <v>132</v>
      </c>
      <c r="D391" s="2" t="s">
        <v>439</v>
      </c>
      <c r="E391" s="3">
        <v>1</v>
      </c>
      <c r="F391" s="3">
        <v>657</v>
      </c>
      <c r="G391" s="3">
        <v>22</v>
      </c>
      <c r="H391" s="4">
        <v>1.58</v>
      </c>
      <c r="I391" s="4">
        <v>478.2</v>
      </c>
      <c r="J391" s="5">
        <v>7.1800000000000003E-2</v>
      </c>
      <c r="K391" s="6">
        <v>2.405E-3</v>
      </c>
    </row>
    <row r="392" spans="1:11" x14ac:dyDescent="0.25">
      <c r="A392" s="2" t="s">
        <v>55</v>
      </c>
      <c r="B392" s="2" t="s">
        <v>255</v>
      </c>
      <c r="C392" s="2" t="s">
        <v>132</v>
      </c>
      <c r="D392" s="2" t="s">
        <v>406</v>
      </c>
      <c r="E392" s="3">
        <v>1</v>
      </c>
      <c r="F392" s="3">
        <v>783</v>
      </c>
      <c r="G392" s="3">
        <v>23</v>
      </c>
      <c r="H392" s="4">
        <v>1.77</v>
      </c>
      <c r="I392" s="4">
        <v>478.2</v>
      </c>
      <c r="J392" s="5">
        <v>7.6799999999999993E-2</v>
      </c>
      <c r="K392" s="6">
        <v>2.2560000000000002E-3</v>
      </c>
    </row>
    <row r="393" spans="1:11" x14ac:dyDescent="0.25">
      <c r="A393" s="2" t="s">
        <v>55</v>
      </c>
      <c r="B393" s="2" t="s">
        <v>255</v>
      </c>
      <c r="C393" s="2" t="s">
        <v>132</v>
      </c>
      <c r="D393" s="2" t="s">
        <v>423</v>
      </c>
      <c r="E393" s="3">
        <v>1</v>
      </c>
      <c r="F393" s="3">
        <v>769</v>
      </c>
      <c r="G393" s="3">
        <v>22</v>
      </c>
      <c r="H393" s="4">
        <v>1.69</v>
      </c>
      <c r="I393" s="4">
        <v>451</v>
      </c>
      <c r="J393" s="5">
        <v>7.6799999999999993E-2</v>
      </c>
      <c r="K393" s="6">
        <v>2.1970000000000002E-3</v>
      </c>
    </row>
    <row r="394" spans="1:11" x14ac:dyDescent="0.25">
      <c r="A394" s="2" t="s">
        <v>55</v>
      </c>
      <c r="B394" s="2" t="s">
        <v>255</v>
      </c>
      <c r="C394" s="2" t="s">
        <v>132</v>
      </c>
      <c r="D394" s="2" t="s">
        <v>378</v>
      </c>
      <c r="E394" s="3">
        <v>1</v>
      </c>
      <c r="F394" s="3">
        <v>924</v>
      </c>
      <c r="G394" s="3">
        <v>30</v>
      </c>
      <c r="H394" s="4">
        <v>2.16</v>
      </c>
      <c r="I394" s="4">
        <v>535.79999999999995</v>
      </c>
      <c r="J394" s="5">
        <v>7.1999999999999995E-2</v>
      </c>
      <c r="K394" s="6">
        <v>2.3379999999999998E-3</v>
      </c>
    </row>
    <row r="395" spans="1:11" x14ac:dyDescent="0.25">
      <c r="A395" s="2" t="s">
        <v>55</v>
      </c>
      <c r="B395" s="2" t="s">
        <v>255</v>
      </c>
      <c r="C395" s="2" t="s">
        <v>132</v>
      </c>
      <c r="D395" s="2" t="s">
        <v>453</v>
      </c>
      <c r="E395" s="3">
        <v>1</v>
      </c>
      <c r="F395" s="3">
        <v>688</v>
      </c>
      <c r="G395" s="3">
        <v>20</v>
      </c>
      <c r="H395" s="4">
        <v>1.44</v>
      </c>
      <c r="I395" s="4">
        <v>390.8</v>
      </c>
      <c r="J395" s="5">
        <v>7.1999999999999995E-2</v>
      </c>
      <c r="K395" s="6">
        <v>2.0929999999999998E-3</v>
      </c>
    </row>
    <row r="396" spans="1:11" x14ac:dyDescent="0.25">
      <c r="A396" s="2" t="s">
        <v>55</v>
      </c>
      <c r="B396" s="2" t="s">
        <v>255</v>
      </c>
      <c r="C396" s="2" t="s">
        <v>132</v>
      </c>
      <c r="D396" s="2" t="s">
        <v>379</v>
      </c>
      <c r="E396" s="3">
        <v>1</v>
      </c>
      <c r="F396" s="3">
        <v>937</v>
      </c>
      <c r="G396" s="3">
        <v>28</v>
      </c>
      <c r="H396" s="4">
        <v>2.15</v>
      </c>
      <c r="I396" s="4">
        <v>562.70000000000005</v>
      </c>
      <c r="J396" s="5">
        <v>7.6799999999999993E-2</v>
      </c>
      <c r="K396" s="6">
        <v>2.2950000000000002E-3</v>
      </c>
    </row>
    <row r="397" spans="1:11" x14ac:dyDescent="0.25">
      <c r="A397" s="2" t="s">
        <v>55</v>
      </c>
      <c r="B397" s="2" t="s">
        <v>255</v>
      </c>
      <c r="C397" s="2" t="s">
        <v>132</v>
      </c>
      <c r="D397" s="2" t="s">
        <v>454</v>
      </c>
      <c r="E397" s="3">
        <v>1</v>
      </c>
      <c r="F397" s="3">
        <v>550</v>
      </c>
      <c r="G397" s="3">
        <v>20</v>
      </c>
      <c r="H397" s="4">
        <v>1.44</v>
      </c>
      <c r="I397" s="4">
        <v>389.1</v>
      </c>
      <c r="J397" s="5">
        <v>7.1999999999999995E-2</v>
      </c>
      <c r="K397" s="6">
        <v>2.6180000000000001E-3</v>
      </c>
    </row>
    <row r="398" spans="1:11" x14ac:dyDescent="0.25">
      <c r="A398" s="2" t="s">
        <v>55</v>
      </c>
      <c r="B398" s="2" t="s">
        <v>255</v>
      </c>
      <c r="C398" s="2" t="s">
        <v>132</v>
      </c>
      <c r="D398" s="2" t="s">
        <v>362</v>
      </c>
      <c r="E398" s="3">
        <v>1</v>
      </c>
      <c r="F398" s="3">
        <v>1101</v>
      </c>
      <c r="G398" s="3">
        <v>24</v>
      </c>
      <c r="H398" s="4">
        <v>2.2999999999999998</v>
      </c>
      <c r="I398" s="4">
        <v>619</v>
      </c>
      <c r="J398" s="5">
        <v>9.6000000000000002E-2</v>
      </c>
      <c r="K398" s="6">
        <v>2.0929999999999998E-3</v>
      </c>
    </row>
    <row r="399" spans="1:11" x14ac:dyDescent="0.25">
      <c r="A399" s="2" t="s">
        <v>55</v>
      </c>
      <c r="B399" s="2" t="s">
        <v>255</v>
      </c>
      <c r="C399" s="2" t="s">
        <v>132</v>
      </c>
      <c r="D399" s="2" t="s">
        <v>450</v>
      </c>
      <c r="E399" s="3">
        <v>1</v>
      </c>
      <c r="F399" s="3">
        <v>636</v>
      </c>
      <c r="G399" s="3">
        <v>19</v>
      </c>
      <c r="H399" s="4">
        <v>1.46</v>
      </c>
      <c r="I399" s="4">
        <v>391</v>
      </c>
      <c r="J399" s="5">
        <v>7.6799999999999993E-2</v>
      </c>
      <c r="K399" s="6">
        <v>2.294E-3</v>
      </c>
    </row>
    <row r="400" spans="1:11" x14ac:dyDescent="0.25">
      <c r="A400" s="2" t="s">
        <v>55</v>
      </c>
      <c r="B400" s="2" t="s">
        <v>255</v>
      </c>
      <c r="C400" s="2" t="s">
        <v>132</v>
      </c>
      <c r="D400" s="2" t="s">
        <v>402</v>
      </c>
      <c r="E400" s="3">
        <v>1</v>
      </c>
      <c r="F400" s="3">
        <v>857</v>
      </c>
      <c r="G400" s="3">
        <v>19</v>
      </c>
      <c r="H400" s="4">
        <v>1.82</v>
      </c>
      <c r="I400" s="4">
        <v>360</v>
      </c>
      <c r="J400" s="5">
        <v>9.6000000000000002E-2</v>
      </c>
      <c r="K400" s="6">
        <v>2.1280000000000001E-3</v>
      </c>
    </row>
    <row r="401" spans="1:11" x14ac:dyDescent="0.25">
      <c r="A401" s="2" t="s">
        <v>55</v>
      </c>
      <c r="B401" s="2" t="s">
        <v>255</v>
      </c>
      <c r="C401" s="2" t="s">
        <v>132</v>
      </c>
      <c r="D401" s="2" t="s">
        <v>404</v>
      </c>
      <c r="E401" s="3">
        <v>1</v>
      </c>
      <c r="F401" s="3">
        <v>745</v>
      </c>
      <c r="G401" s="3">
        <v>25</v>
      </c>
      <c r="H401" s="4">
        <v>1.8</v>
      </c>
      <c r="I401" s="4">
        <v>488.2</v>
      </c>
      <c r="J401" s="5">
        <v>7.1999999999999995E-2</v>
      </c>
      <c r="K401" s="6">
        <v>2.4160000000000002E-3</v>
      </c>
    </row>
    <row r="402" spans="1:11" x14ac:dyDescent="0.25">
      <c r="A402" s="2" t="s">
        <v>55</v>
      </c>
      <c r="B402" s="2" t="s">
        <v>255</v>
      </c>
      <c r="C402" s="2" t="s">
        <v>132</v>
      </c>
      <c r="D402" s="2" t="s">
        <v>432</v>
      </c>
      <c r="E402" s="3">
        <v>1</v>
      </c>
      <c r="F402" s="3">
        <v>748</v>
      </c>
      <c r="G402" s="3">
        <v>17</v>
      </c>
      <c r="H402" s="4">
        <v>1.63</v>
      </c>
      <c r="I402" s="4">
        <v>466</v>
      </c>
      <c r="J402" s="5">
        <v>9.6000000000000002E-2</v>
      </c>
      <c r="K402" s="6">
        <v>2.1819999999999999E-3</v>
      </c>
    </row>
    <row r="403" spans="1:11" x14ac:dyDescent="0.25">
      <c r="A403" s="2" t="s">
        <v>55</v>
      </c>
      <c r="B403" s="2" t="s">
        <v>255</v>
      </c>
      <c r="C403" s="2" t="s">
        <v>132</v>
      </c>
      <c r="D403" s="2" t="s">
        <v>344</v>
      </c>
      <c r="E403" s="3">
        <v>1</v>
      </c>
      <c r="F403" s="3">
        <v>1438</v>
      </c>
      <c r="G403" s="3">
        <v>36</v>
      </c>
      <c r="H403" s="4">
        <v>2.59</v>
      </c>
      <c r="I403" s="4">
        <v>757.5</v>
      </c>
      <c r="J403" s="5">
        <v>7.1900000000000006E-2</v>
      </c>
      <c r="K403" s="6">
        <v>1.8010000000000001E-3</v>
      </c>
    </row>
    <row r="404" spans="1:11" x14ac:dyDescent="0.25">
      <c r="A404" s="2" t="s">
        <v>55</v>
      </c>
      <c r="B404" s="2" t="s">
        <v>255</v>
      </c>
      <c r="C404" s="2" t="s">
        <v>132</v>
      </c>
      <c r="D404" s="2" t="s">
        <v>369</v>
      </c>
      <c r="E404" s="3">
        <v>1</v>
      </c>
      <c r="F404" s="3">
        <v>928</v>
      </c>
      <c r="G404" s="3">
        <v>31</v>
      </c>
      <c r="H404" s="4">
        <v>2.23</v>
      </c>
      <c r="I404" s="4">
        <v>606.20000000000005</v>
      </c>
      <c r="J404" s="5">
        <v>7.1900000000000006E-2</v>
      </c>
      <c r="K404" s="6">
        <v>2.4030000000000002E-3</v>
      </c>
    </row>
    <row r="405" spans="1:11" x14ac:dyDescent="0.25">
      <c r="A405" s="2" t="s">
        <v>55</v>
      </c>
      <c r="B405" s="2" t="s">
        <v>255</v>
      </c>
      <c r="C405" s="2" t="s">
        <v>347</v>
      </c>
      <c r="D405" s="2" t="s">
        <v>469</v>
      </c>
      <c r="E405" s="3">
        <v>1</v>
      </c>
      <c r="F405" s="3">
        <v>822</v>
      </c>
      <c r="G405" s="3">
        <v>17</v>
      </c>
      <c r="H405" s="4">
        <v>1.22</v>
      </c>
      <c r="I405" s="4">
        <v>334.8</v>
      </c>
      <c r="J405" s="5">
        <v>7.1800000000000003E-2</v>
      </c>
      <c r="K405" s="6">
        <v>1.4840000000000001E-3</v>
      </c>
    </row>
    <row r="406" spans="1:11" x14ac:dyDescent="0.25">
      <c r="A406" s="2" t="s">
        <v>55</v>
      </c>
      <c r="B406" s="2" t="s">
        <v>255</v>
      </c>
      <c r="C406" s="2" t="s">
        <v>347</v>
      </c>
      <c r="D406" s="2" t="s">
        <v>429</v>
      </c>
      <c r="E406" s="3">
        <v>1</v>
      </c>
      <c r="F406" s="3">
        <v>853</v>
      </c>
      <c r="G406" s="3">
        <v>23</v>
      </c>
      <c r="H406" s="4">
        <v>1.65</v>
      </c>
      <c r="I406" s="4">
        <v>412.7</v>
      </c>
      <c r="J406" s="5">
        <v>7.17E-2</v>
      </c>
      <c r="K406" s="6">
        <v>1.934E-3</v>
      </c>
    </row>
    <row r="407" spans="1:11" x14ac:dyDescent="0.25">
      <c r="A407" s="2" t="s">
        <v>55</v>
      </c>
      <c r="B407" s="2" t="s">
        <v>255</v>
      </c>
      <c r="C407" s="2" t="s">
        <v>347</v>
      </c>
      <c r="D407" s="2" t="s">
        <v>448</v>
      </c>
      <c r="E407" s="3">
        <v>1</v>
      </c>
      <c r="F407" s="3">
        <v>816</v>
      </c>
      <c r="G407" s="3">
        <v>16</v>
      </c>
      <c r="H407" s="4">
        <v>1.54</v>
      </c>
      <c r="I407" s="4">
        <v>361.6</v>
      </c>
      <c r="J407" s="5">
        <v>9.6000000000000002E-2</v>
      </c>
      <c r="K407" s="6">
        <v>1.882E-3</v>
      </c>
    </row>
    <row r="408" spans="1:11" x14ac:dyDescent="0.25">
      <c r="A408" s="2" t="s">
        <v>55</v>
      </c>
      <c r="B408" s="2" t="s">
        <v>255</v>
      </c>
      <c r="C408" s="2" t="s">
        <v>347</v>
      </c>
      <c r="D408" s="2" t="s">
        <v>348</v>
      </c>
      <c r="E408" s="3">
        <v>1</v>
      </c>
      <c r="F408" s="3">
        <v>1015</v>
      </c>
      <c r="G408" s="3">
        <v>26</v>
      </c>
      <c r="H408" s="4">
        <v>2.5</v>
      </c>
      <c r="I408" s="4">
        <v>587.6</v>
      </c>
      <c r="J408" s="5">
        <v>9.6000000000000002E-2</v>
      </c>
      <c r="K408" s="6">
        <v>2.4589999999999998E-3</v>
      </c>
    </row>
    <row r="409" spans="1:11" x14ac:dyDescent="0.25">
      <c r="A409" s="2" t="s">
        <v>55</v>
      </c>
      <c r="B409" s="2" t="s">
        <v>255</v>
      </c>
      <c r="C409" s="2" t="s">
        <v>347</v>
      </c>
      <c r="D409" s="2" t="s">
        <v>416</v>
      </c>
      <c r="E409" s="3">
        <v>1</v>
      </c>
      <c r="F409" s="3">
        <v>908</v>
      </c>
      <c r="G409" s="3">
        <v>18</v>
      </c>
      <c r="H409" s="4">
        <v>1.73</v>
      </c>
      <c r="I409" s="4">
        <v>406.8</v>
      </c>
      <c r="J409" s="5">
        <v>9.6000000000000002E-2</v>
      </c>
      <c r="K409" s="6">
        <v>1.903E-3</v>
      </c>
    </row>
    <row r="410" spans="1:11" x14ac:dyDescent="0.25">
      <c r="A410" s="2" t="s">
        <v>55</v>
      </c>
      <c r="B410" s="2" t="s">
        <v>255</v>
      </c>
      <c r="C410" s="2" t="s">
        <v>347</v>
      </c>
      <c r="D410" s="2" t="s">
        <v>449</v>
      </c>
      <c r="E410" s="3">
        <v>1</v>
      </c>
      <c r="F410" s="3">
        <v>779</v>
      </c>
      <c r="G410" s="3">
        <v>16</v>
      </c>
      <c r="H410" s="4">
        <v>1.54</v>
      </c>
      <c r="I410" s="4">
        <v>361.6</v>
      </c>
      <c r="J410" s="5">
        <v>9.6000000000000002E-2</v>
      </c>
      <c r="K410" s="6">
        <v>1.9719999999999998E-3</v>
      </c>
    </row>
    <row r="411" spans="1:11" x14ac:dyDescent="0.25">
      <c r="A411" s="2" t="s">
        <v>55</v>
      </c>
      <c r="B411" s="2" t="s">
        <v>255</v>
      </c>
      <c r="C411" s="2" t="s">
        <v>132</v>
      </c>
      <c r="D411" s="2" t="s">
        <v>299</v>
      </c>
      <c r="E411" s="3">
        <v>1</v>
      </c>
      <c r="F411" s="3">
        <v>1161</v>
      </c>
      <c r="G411" s="3">
        <v>40</v>
      </c>
      <c r="H411" s="4">
        <v>3.1</v>
      </c>
      <c r="I411" s="4">
        <v>657.3</v>
      </c>
      <c r="J411" s="5">
        <v>7.7499999999999999E-2</v>
      </c>
      <c r="K411" s="6">
        <v>2.6719999999999999E-3</v>
      </c>
    </row>
    <row r="412" spans="1:11" x14ac:dyDescent="0.25">
      <c r="A412" s="2" t="s">
        <v>55</v>
      </c>
      <c r="B412" s="2" t="s">
        <v>255</v>
      </c>
      <c r="C412" s="2" t="s">
        <v>132</v>
      </c>
      <c r="D412" s="2" t="s">
        <v>433</v>
      </c>
      <c r="E412" s="3">
        <v>1</v>
      </c>
      <c r="F412" s="3">
        <v>773</v>
      </c>
      <c r="G412" s="3">
        <v>17</v>
      </c>
      <c r="H412" s="4">
        <v>1.63</v>
      </c>
      <c r="I412" s="4">
        <v>467</v>
      </c>
      <c r="J412" s="5">
        <v>9.6000000000000002E-2</v>
      </c>
      <c r="K412" s="6">
        <v>2.111E-3</v>
      </c>
    </row>
    <row r="413" spans="1:11" x14ac:dyDescent="0.25">
      <c r="A413" s="2" t="s">
        <v>55</v>
      </c>
      <c r="B413" s="2" t="s">
        <v>255</v>
      </c>
      <c r="C413" s="2" t="s">
        <v>132</v>
      </c>
      <c r="D413" s="2" t="s">
        <v>460</v>
      </c>
      <c r="E413" s="3">
        <v>1</v>
      </c>
      <c r="F413" s="3">
        <v>612</v>
      </c>
      <c r="G413" s="3">
        <v>14</v>
      </c>
      <c r="H413" s="4">
        <v>1.34</v>
      </c>
      <c r="I413" s="4">
        <v>398</v>
      </c>
      <c r="J413" s="5">
        <v>9.6000000000000002E-2</v>
      </c>
      <c r="K413" s="6">
        <v>2.196E-3</v>
      </c>
    </row>
    <row r="414" spans="1:11" x14ac:dyDescent="0.25">
      <c r="A414" s="2" t="s">
        <v>55</v>
      </c>
      <c r="B414" s="2" t="s">
        <v>255</v>
      </c>
      <c r="C414" s="2" t="s">
        <v>103</v>
      </c>
      <c r="D414" s="2" t="s">
        <v>437</v>
      </c>
      <c r="E414" s="3">
        <v>1</v>
      </c>
      <c r="F414" s="3">
        <v>520</v>
      </c>
      <c r="G414" s="3">
        <v>21</v>
      </c>
      <c r="H414" s="4">
        <v>1.63</v>
      </c>
      <c r="I414" s="4">
        <v>356.6</v>
      </c>
      <c r="J414" s="5">
        <v>7.7499999999999999E-2</v>
      </c>
      <c r="K414" s="6">
        <v>3.1310000000000001E-3</v>
      </c>
    </row>
    <row r="415" spans="1:11" x14ac:dyDescent="0.25">
      <c r="A415" s="2" t="s">
        <v>55</v>
      </c>
      <c r="B415" s="2" t="s">
        <v>255</v>
      </c>
      <c r="C415" s="2" t="s">
        <v>132</v>
      </c>
      <c r="D415" s="2" t="s">
        <v>424</v>
      </c>
      <c r="E415" s="3">
        <v>1</v>
      </c>
      <c r="F415" s="3">
        <v>711</v>
      </c>
      <c r="G415" s="3">
        <v>22</v>
      </c>
      <c r="H415" s="4">
        <v>1.69</v>
      </c>
      <c r="I415" s="4">
        <v>467.7</v>
      </c>
      <c r="J415" s="5">
        <v>7.6799999999999993E-2</v>
      </c>
      <c r="K415" s="6">
        <v>2.3760000000000001E-3</v>
      </c>
    </row>
    <row r="416" spans="1:11" x14ac:dyDescent="0.25">
      <c r="A416" s="2" t="s">
        <v>55</v>
      </c>
      <c r="B416" s="2" t="s">
        <v>255</v>
      </c>
      <c r="C416" s="2" t="s">
        <v>132</v>
      </c>
      <c r="D416" s="2" t="s">
        <v>370</v>
      </c>
      <c r="E416" s="3">
        <v>1</v>
      </c>
      <c r="F416" s="3">
        <v>928</v>
      </c>
      <c r="G416" s="3">
        <v>29</v>
      </c>
      <c r="H416" s="4">
        <v>2.23</v>
      </c>
      <c r="I416" s="4">
        <v>572.29999999999995</v>
      </c>
      <c r="J416" s="5">
        <v>7.6799999999999993E-2</v>
      </c>
      <c r="K416" s="6">
        <v>2.3999999999999998E-3</v>
      </c>
    </row>
    <row r="417" spans="1:11" x14ac:dyDescent="0.25">
      <c r="A417" s="2" t="s">
        <v>55</v>
      </c>
      <c r="B417" s="2" t="s">
        <v>255</v>
      </c>
      <c r="C417" s="2" t="s">
        <v>347</v>
      </c>
      <c r="D417" s="2" t="s">
        <v>351</v>
      </c>
      <c r="E417" s="3">
        <v>1</v>
      </c>
      <c r="F417" s="3">
        <v>1351</v>
      </c>
      <c r="G417" s="3">
        <v>34</v>
      </c>
      <c r="H417" s="4">
        <v>2.4500000000000002</v>
      </c>
      <c r="I417" s="4">
        <v>511.9</v>
      </c>
      <c r="J417" s="5">
        <v>7.2099999999999997E-2</v>
      </c>
      <c r="K417" s="6">
        <v>1.8129999999999999E-3</v>
      </c>
    </row>
    <row r="418" spans="1:11" x14ac:dyDescent="0.25">
      <c r="A418" s="2" t="s">
        <v>55</v>
      </c>
      <c r="B418" s="2" t="s">
        <v>255</v>
      </c>
      <c r="C418" s="2" t="s">
        <v>132</v>
      </c>
      <c r="D418" s="2" t="s">
        <v>371</v>
      </c>
      <c r="E418" s="3">
        <v>1</v>
      </c>
      <c r="F418" s="3">
        <v>856</v>
      </c>
      <c r="G418" s="3">
        <v>29</v>
      </c>
      <c r="H418" s="4">
        <v>2.23</v>
      </c>
      <c r="I418" s="4">
        <v>581.5</v>
      </c>
      <c r="J418" s="5">
        <v>7.6799999999999993E-2</v>
      </c>
      <c r="K418" s="6">
        <v>2.6020000000000001E-3</v>
      </c>
    </row>
    <row r="419" spans="1:11" x14ac:dyDescent="0.25">
      <c r="A419" s="2" t="s">
        <v>55</v>
      </c>
      <c r="B419" s="2" t="s">
        <v>255</v>
      </c>
      <c r="C419" s="2" t="s">
        <v>132</v>
      </c>
      <c r="D419" s="2" t="s">
        <v>298</v>
      </c>
      <c r="E419" s="3">
        <v>1</v>
      </c>
      <c r="F419" s="3">
        <v>1205</v>
      </c>
      <c r="G419" s="3">
        <v>41</v>
      </c>
      <c r="H419" s="4">
        <v>3.15</v>
      </c>
      <c r="I419" s="4">
        <v>793.9</v>
      </c>
      <c r="J419" s="5">
        <v>7.6799999999999993E-2</v>
      </c>
      <c r="K419" s="6">
        <v>2.6129999999999999E-3</v>
      </c>
    </row>
    <row r="420" spans="1:11" x14ac:dyDescent="0.25">
      <c r="A420" s="2" t="s">
        <v>55</v>
      </c>
      <c r="B420" s="2" t="s">
        <v>255</v>
      </c>
      <c r="C420" s="2" t="s">
        <v>347</v>
      </c>
      <c r="D420" s="2" t="s">
        <v>392</v>
      </c>
      <c r="E420" s="3">
        <v>1</v>
      </c>
      <c r="F420" s="3">
        <v>1025</v>
      </c>
      <c r="G420" s="3">
        <v>27</v>
      </c>
      <c r="H420" s="4">
        <v>1.94</v>
      </c>
      <c r="I420" s="4">
        <v>568</v>
      </c>
      <c r="J420" s="5">
        <v>7.1900000000000006E-2</v>
      </c>
      <c r="K420" s="6">
        <v>1.8929999999999999E-3</v>
      </c>
    </row>
    <row r="421" spans="1:11" x14ac:dyDescent="0.25">
      <c r="A421" s="2" t="s">
        <v>55</v>
      </c>
      <c r="B421" s="2" t="s">
        <v>255</v>
      </c>
      <c r="C421" s="2" t="s">
        <v>132</v>
      </c>
      <c r="D421" s="2" t="s">
        <v>312</v>
      </c>
      <c r="E421" s="3">
        <v>1</v>
      </c>
      <c r="F421" s="3">
        <v>1248</v>
      </c>
      <c r="G421" s="3">
        <v>38</v>
      </c>
      <c r="H421" s="4">
        <v>2.95</v>
      </c>
      <c r="I421" s="4">
        <v>645.29999999999995</v>
      </c>
      <c r="J421" s="5">
        <v>7.7600000000000002E-2</v>
      </c>
      <c r="K421" s="6">
        <v>2.3609999999999998E-3</v>
      </c>
    </row>
    <row r="422" spans="1:11" x14ac:dyDescent="0.25">
      <c r="A422" s="2" t="s">
        <v>55</v>
      </c>
      <c r="B422" s="2" t="s">
        <v>255</v>
      </c>
      <c r="C422" s="2" t="s">
        <v>132</v>
      </c>
      <c r="D422" s="2" t="s">
        <v>451</v>
      </c>
      <c r="E422" s="3">
        <v>1</v>
      </c>
      <c r="F422" s="3">
        <v>624</v>
      </c>
      <c r="G422" s="3">
        <v>19</v>
      </c>
      <c r="H422" s="4">
        <v>1.46</v>
      </c>
      <c r="I422" s="4">
        <v>394.2</v>
      </c>
      <c r="J422" s="5">
        <v>7.6799999999999993E-2</v>
      </c>
      <c r="K422" s="6">
        <v>2.3379999999999998E-3</v>
      </c>
    </row>
    <row r="423" spans="1:11" x14ac:dyDescent="0.25">
      <c r="A423" s="2" t="s">
        <v>55</v>
      </c>
      <c r="B423" s="2" t="s">
        <v>255</v>
      </c>
      <c r="C423" s="2" t="s">
        <v>525</v>
      </c>
      <c r="D423" s="2" t="s">
        <v>526</v>
      </c>
      <c r="E423" s="3">
        <v>1</v>
      </c>
      <c r="F423" s="3">
        <v>534</v>
      </c>
      <c r="G423" s="3">
        <v>14</v>
      </c>
      <c r="H423" s="4">
        <v>0.84</v>
      </c>
      <c r="I423" s="4">
        <v>270.3</v>
      </c>
      <c r="J423" s="5">
        <v>0.06</v>
      </c>
      <c r="K423" s="6">
        <v>1.573E-3</v>
      </c>
    </row>
    <row r="424" spans="1:11" x14ac:dyDescent="0.25">
      <c r="A424" s="2" t="s">
        <v>55</v>
      </c>
      <c r="B424" s="2" t="s">
        <v>255</v>
      </c>
      <c r="C424" s="2" t="s">
        <v>132</v>
      </c>
      <c r="D424" s="2" t="s">
        <v>307</v>
      </c>
      <c r="E424" s="3">
        <v>1</v>
      </c>
      <c r="F424" s="3">
        <v>1118</v>
      </c>
      <c r="G424" s="3">
        <v>36</v>
      </c>
      <c r="H424" s="4">
        <v>2.99</v>
      </c>
      <c r="I424" s="4">
        <v>580.4</v>
      </c>
      <c r="J424" s="5">
        <v>8.3199999999999996E-2</v>
      </c>
      <c r="K424" s="6">
        <v>2.6779999999999998E-3</v>
      </c>
    </row>
    <row r="425" spans="1:11" x14ac:dyDescent="0.25">
      <c r="A425" s="2" t="s">
        <v>55</v>
      </c>
      <c r="B425" s="2" t="s">
        <v>255</v>
      </c>
      <c r="C425" s="2" t="s">
        <v>132</v>
      </c>
      <c r="D425" s="2" t="s">
        <v>377</v>
      </c>
      <c r="E425" s="3">
        <v>1</v>
      </c>
      <c r="F425" s="3">
        <v>836</v>
      </c>
      <c r="G425" s="3">
        <v>26</v>
      </c>
      <c r="H425" s="4">
        <v>2.16</v>
      </c>
      <c r="I425" s="4">
        <v>546.6</v>
      </c>
      <c r="J425" s="5">
        <v>8.3199999999999996E-2</v>
      </c>
      <c r="K425" s="6">
        <v>2.5860000000000002E-3</v>
      </c>
    </row>
    <row r="426" spans="1:11" x14ac:dyDescent="0.25">
      <c r="A426" s="2" t="s">
        <v>55</v>
      </c>
      <c r="B426" s="2" t="s">
        <v>93</v>
      </c>
      <c r="C426" s="2" t="s">
        <v>94</v>
      </c>
      <c r="D426" s="2" t="s">
        <v>237</v>
      </c>
      <c r="E426" s="3">
        <v>1</v>
      </c>
      <c r="F426" s="3">
        <v>916</v>
      </c>
      <c r="G426" s="3">
        <v>49</v>
      </c>
      <c r="H426" s="4">
        <v>4.7</v>
      </c>
      <c r="I426" s="4">
        <v>774.2</v>
      </c>
      <c r="J426" s="5">
        <v>9.6000000000000002E-2</v>
      </c>
      <c r="K426" s="6">
        <v>5.1349999999999998E-3</v>
      </c>
    </row>
    <row r="427" spans="1:11" x14ac:dyDescent="0.25">
      <c r="A427" s="2" t="s">
        <v>55</v>
      </c>
      <c r="B427" s="2" t="s">
        <v>93</v>
      </c>
      <c r="C427" s="2" t="s">
        <v>94</v>
      </c>
      <c r="D427" s="2" t="s">
        <v>95</v>
      </c>
      <c r="E427" s="3">
        <v>2</v>
      </c>
      <c r="F427" s="3">
        <v>2525</v>
      </c>
      <c r="G427" s="3">
        <v>171</v>
      </c>
      <c r="H427" s="4">
        <v>16.420000000000002</v>
      </c>
      <c r="I427" s="4">
        <v>2708.4</v>
      </c>
      <c r="J427" s="5">
        <v>9.6000000000000002E-2</v>
      </c>
      <c r="K427" s="6">
        <v>6.5009999999999998E-3</v>
      </c>
    </row>
    <row r="428" spans="1:11" x14ac:dyDescent="0.25">
      <c r="A428" s="2" t="s">
        <v>55</v>
      </c>
      <c r="B428" s="2" t="s">
        <v>93</v>
      </c>
      <c r="C428" s="2" t="s">
        <v>94</v>
      </c>
      <c r="D428" s="2" t="s">
        <v>146</v>
      </c>
      <c r="E428" s="3">
        <v>1</v>
      </c>
      <c r="F428" s="3">
        <v>1064</v>
      </c>
      <c r="G428" s="3">
        <v>106</v>
      </c>
      <c r="H428" s="4">
        <v>9.5399999999999991</v>
      </c>
      <c r="I428" s="4">
        <v>1165</v>
      </c>
      <c r="J428" s="5">
        <v>0.09</v>
      </c>
      <c r="K428" s="6">
        <v>8.966E-3</v>
      </c>
    </row>
    <row r="429" spans="1:11" x14ac:dyDescent="0.25">
      <c r="A429" s="2" t="s">
        <v>55</v>
      </c>
      <c r="B429" s="2" t="s">
        <v>93</v>
      </c>
      <c r="C429" s="2" t="s">
        <v>94</v>
      </c>
      <c r="D429" s="2" t="s">
        <v>261</v>
      </c>
      <c r="E429" s="3">
        <v>1</v>
      </c>
      <c r="F429" s="3">
        <v>723</v>
      </c>
      <c r="G429" s="3">
        <v>41</v>
      </c>
      <c r="H429" s="4">
        <v>3.94</v>
      </c>
      <c r="I429" s="4">
        <v>635.5</v>
      </c>
      <c r="J429" s="5">
        <v>9.6000000000000002E-2</v>
      </c>
      <c r="K429" s="6">
        <v>5.4440000000000001E-3</v>
      </c>
    </row>
    <row r="430" spans="1:11" x14ac:dyDescent="0.25">
      <c r="A430" s="2" t="s">
        <v>55</v>
      </c>
      <c r="B430" s="2" t="s">
        <v>93</v>
      </c>
      <c r="C430" s="2" t="s">
        <v>94</v>
      </c>
      <c r="D430" s="2" t="s">
        <v>189</v>
      </c>
      <c r="E430" s="3">
        <v>1</v>
      </c>
      <c r="F430" s="3">
        <v>1089</v>
      </c>
      <c r="G430" s="3">
        <v>66</v>
      </c>
      <c r="H430" s="4">
        <v>6.34</v>
      </c>
      <c r="I430" s="4">
        <v>1082.4000000000001</v>
      </c>
      <c r="J430" s="5">
        <v>9.6000000000000002E-2</v>
      </c>
      <c r="K430" s="6">
        <v>5.8180000000000003E-3</v>
      </c>
    </row>
    <row r="431" spans="1:11" x14ac:dyDescent="0.25">
      <c r="A431" s="2" t="s">
        <v>55</v>
      </c>
      <c r="B431" s="2" t="s">
        <v>93</v>
      </c>
      <c r="C431" s="2" t="s">
        <v>94</v>
      </c>
      <c r="D431" s="2" t="s">
        <v>270</v>
      </c>
      <c r="E431" s="3">
        <v>1</v>
      </c>
      <c r="F431" s="3">
        <v>693</v>
      </c>
      <c r="G431" s="3">
        <v>40</v>
      </c>
      <c r="H431" s="4">
        <v>3.84</v>
      </c>
      <c r="I431" s="4">
        <v>576</v>
      </c>
      <c r="J431" s="5">
        <v>9.6000000000000002E-2</v>
      </c>
      <c r="K431" s="6">
        <v>5.5409999999999999E-3</v>
      </c>
    </row>
    <row r="432" spans="1:11" x14ac:dyDescent="0.25">
      <c r="A432" s="2" t="s">
        <v>55</v>
      </c>
      <c r="B432" s="2" t="s">
        <v>93</v>
      </c>
      <c r="C432" s="2" t="s">
        <v>87</v>
      </c>
      <c r="D432" s="2" t="s">
        <v>234</v>
      </c>
      <c r="E432" s="3">
        <v>1</v>
      </c>
      <c r="F432" s="3">
        <v>1380</v>
      </c>
      <c r="G432" s="3">
        <v>50</v>
      </c>
      <c r="H432" s="4">
        <v>4.8</v>
      </c>
      <c r="I432" s="4">
        <v>673.8</v>
      </c>
      <c r="J432" s="5">
        <v>9.6000000000000002E-2</v>
      </c>
      <c r="K432" s="6">
        <v>3.4780000000000002E-3</v>
      </c>
    </row>
    <row r="433" spans="1:11" x14ac:dyDescent="0.25">
      <c r="A433" s="2" t="s">
        <v>55</v>
      </c>
      <c r="B433" s="2" t="s">
        <v>442</v>
      </c>
      <c r="C433" s="2" t="s">
        <v>443</v>
      </c>
      <c r="D433" s="2" t="s">
        <v>444</v>
      </c>
      <c r="E433" s="3">
        <v>1</v>
      </c>
      <c r="F433" s="3">
        <v>1066</v>
      </c>
      <c r="G433" s="3">
        <v>17</v>
      </c>
      <c r="H433" s="4">
        <v>1.54</v>
      </c>
      <c r="I433" s="4">
        <v>117</v>
      </c>
      <c r="J433" s="5">
        <v>9.06E-2</v>
      </c>
      <c r="K433" s="6">
        <v>1.4450000000000001E-3</v>
      </c>
    </row>
    <row r="434" spans="1:11" x14ac:dyDescent="0.25">
      <c r="A434" s="2" t="s">
        <v>55</v>
      </c>
      <c r="B434" s="2" t="s">
        <v>442</v>
      </c>
      <c r="C434" s="2" t="s">
        <v>443</v>
      </c>
      <c r="D434" s="2" t="s">
        <v>557</v>
      </c>
      <c r="E434" s="3">
        <v>1</v>
      </c>
      <c r="F434" s="3">
        <v>555</v>
      </c>
      <c r="G434" s="3">
        <v>8</v>
      </c>
      <c r="H434" s="4">
        <v>0.57999999999999996</v>
      </c>
      <c r="I434" s="4">
        <v>171</v>
      </c>
      <c r="J434" s="5">
        <v>7.2499999999999995E-2</v>
      </c>
      <c r="K434" s="6">
        <v>1.0449999999999999E-3</v>
      </c>
    </row>
    <row r="435" spans="1:11" x14ac:dyDescent="0.25">
      <c r="A435" s="2" t="s">
        <v>55</v>
      </c>
      <c r="B435" s="2" t="s">
        <v>99</v>
      </c>
      <c r="C435" s="2" t="s">
        <v>100</v>
      </c>
      <c r="D435" s="2" t="s">
        <v>101</v>
      </c>
      <c r="E435" s="3">
        <v>1</v>
      </c>
      <c r="F435" s="3">
        <v>2829</v>
      </c>
      <c r="G435" s="3">
        <v>158</v>
      </c>
      <c r="H435" s="4">
        <v>15.17</v>
      </c>
      <c r="I435" s="4">
        <v>1492.7</v>
      </c>
      <c r="J435" s="5">
        <v>9.6000000000000002E-2</v>
      </c>
      <c r="K435" s="6">
        <v>5.3619999999999996E-3</v>
      </c>
    </row>
    <row r="436" spans="1:11" x14ac:dyDescent="0.25">
      <c r="A436" s="2" t="s">
        <v>55</v>
      </c>
      <c r="B436" s="2" t="s">
        <v>99</v>
      </c>
      <c r="C436" s="2" t="s">
        <v>100</v>
      </c>
      <c r="D436" s="2" t="s">
        <v>213</v>
      </c>
      <c r="E436" s="3">
        <v>1</v>
      </c>
      <c r="F436" s="3">
        <v>1651</v>
      </c>
      <c r="G436" s="3">
        <v>56</v>
      </c>
      <c r="H436" s="4">
        <v>5.38</v>
      </c>
      <c r="I436" s="4">
        <v>834.7</v>
      </c>
      <c r="J436" s="5">
        <v>9.6000000000000002E-2</v>
      </c>
      <c r="K436" s="6">
        <v>3.2560000000000002E-3</v>
      </c>
    </row>
    <row r="437" spans="1:11" x14ac:dyDescent="0.25">
      <c r="A437" s="2" t="s">
        <v>55</v>
      </c>
      <c r="B437" s="2" t="s">
        <v>99</v>
      </c>
      <c r="C437" s="2" t="s">
        <v>100</v>
      </c>
      <c r="D437" s="2" t="s">
        <v>375</v>
      </c>
      <c r="E437" s="3">
        <v>1</v>
      </c>
      <c r="F437" s="3">
        <v>750</v>
      </c>
      <c r="G437" s="3">
        <v>23</v>
      </c>
      <c r="H437" s="4">
        <v>2.21</v>
      </c>
      <c r="I437" s="4">
        <v>257.5</v>
      </c>
      <c r="J437" s="5">
        <v>9.6000000000000002E-2</v>
      </c>
      <c r="K437" s="6">
        <v>2.944E-3</v>
      </c>
    </row>
    <row r="438" spans="1:11" x14ac:dyDescent="0.25">
      <c r="A438" s="2" t="s">
        <v>55</v>
      </c>
      <c r="B438" s="2" t="s">
        <v>99</v>
      </c>
      <c r="C438" s="2" t="s">
        <v>100</v>
      </c>
      <c r="D438" s="2" t="s">
        <v>349</v>
      </c>
      <c r="E438" s="3">
        <v>1</v>
      </c>
      <c r="F438" s="3">
        <v>747</v>
      </c>
      <c r="G438" s="3">
        <v>26</v>
      </c>
      <c r="H438" s="4">
        <v>2.5</v>
      </c>
      <c r="I438" s="4">
        <v>303.39999999999998</v>
      </c>
      <c r="J438" s="5">
        <v>9.6000000000000002E-2</v>
      </c>
      <c r="K438" s="6">
        <v>3.3409999999999998E-3</v>
      </c>
    </row>
    <row r="439" spans="1:11" x14ac:dyDescent="0.25">
      <c r="A439" s="2" t="s">
        <v>55</v>
      </c>
      <c r="B439" s="2" t="s">
        <v>99</v>
      </c>
      <c r="C439" s="2" t="s">
        <v>100</v>
      </c>
      <c r="D439" s="2" t="s">
        <v>342</v>
      </c>
      <c r="E439" s="3">
        <v>1</v>
      </c>
      <c r="F439" s="3">
        <v>759</v>
      </c>
      <c r="G439" s="3">
        <v>27</v>
      </c>
      <c r="H439" s="4">
        <v>2.59</v>
      </c>
      <c r="I439" s="4">
        <v>221.7</v>
      </c>
      <c r="J439" s="5">
        <v>9.6000000000000002E-2</v>
      </c>
      <c r="K439" s="6">
        <v>3.4150000000000001E-3</v>
      </c>
    </row>
    <row r="440" spans="1:11" x14ac:dyDescent="0.25">
      <c r="A440" s="2" t="s">
        <v>55</v>
      </c>
      <c r="B440" s="2" t="s">
        <v>99</v>
      </c>
      <c r="C440" s="2" t="s">
        <v>100</v>
      </c>
      <c r="D440" s="2" t="s">
        <v>320</v>
      </c>
      <c r="E440" s="3">
        <v>1</v>
      </c>
      <c r="F440" s="3">
        <v>954</v>
      </c>
      <c r="G440" s="3">
        <v>29</v>
      </c>
      <c r="H440" s="4">
        <v>2.78</v>
      </c>
      <c r="I440" s="4">
        <v>379.9</v>
      </c>
      <c r="J440" s="5">
        <v>9.6000000000000002E-2</v>
      </c>
      <c r="K440" s="6">
        <v>2.918E-3</v>
      </c>
    </row>
    <row r="441" spans="1:11" x14ac:dyDescent="0.25">
      <c r="A441" s="2" t="s">
        <v>55</v>
      </c>
      <c r="B441" s="2" t="s">
        <v>99</v>
      </c>
      <c r="C441" s="2" t="s">
        <v>100</v>
      </c>
      <c r="D441" s="2" t="s">
        <v>194</v>
      </c>
      <c r="E441" s="3">
        <v>1</v>
      </c>
      <c r="F441" s="3">
        <v>2256</v>
      </c>
      <c r="G441" s="3">
        <v>63</v>
      </c>
      <c r="H441" s="4">
        <v>6.05</v>
      </c>
      <c r="I441" s="4">
        <v>775.2</v>
      </c>
      <c r="J441" s="5">
        <v>9.6000000000000002E-2</v>
      </c>
      <c r="K441" s="6">
        <v>2.6809999999999998E-3</v>
      </c>
    </row>
    <row r="442" spans="1:11" x14ac:dyDescent="0.25">
      <c r="A442" s="2" t="s">
        <v>55</v>
      </c>
      <c r="B442" s="2" t="s">
        <v>99</v>
      </c>
      <c r="C442" s="2" t="s">
        <v>100</v>
      </c>
      <c r="D442" s="2" t="s">
        <v>300</v>
      </c>
      <c r="E442" s="3">
        <v>1</v>
      </c>
      <c r="F442" s="3">
        <v>593</v>
      </c>
      <c r="G442" s="3">
        <v>32</v>
      </c>
      <c r="H442" s="4">
        <v>3.07</v>
      </c>
      <c r="I442" s="4">
        <v>277.7</v>
      </c>
      <c r="J442" s="5">
        <v>9.6000000000000002E-2</v>
      </c>
      <c r="K442" s="6">
        <v>5.1799999999999997E-3</v>
      </c>
    </row>
    <row r="443" spans="1:11" x14ac:dyDescent="0.25">
      <c r="A443" s="2" t="s">
        <v>55</v>
      </c>
      <c r="B443" s="2" t="s">
        <v>99</v>
      </c>
      <c r="C443" s="2" t="s">
        <v>100</v>
      </c>
      <c r="D443" s="2" t="s">
        <v>275</v>
      </c>
      <c r="E443" s="3">
        <v>1</v>
      </c>
      <c r="F443" s="3">
        <v>699</v>
      </c>
      <c r="G443" s="3">
        <v>38</v>
      </c>
      <c r="H443" s="4">
        <v>3.65</v>
      </c>
      <c r="I443" s="4">
        <v>294.89999999999998</v>
      </c>
      <c r="J443" s="5">
        <v>9.6000000000000002E-2</v>
      </c>
      <c r="K443" s="6">
        <v>5.2189999999999997E-3</v>
      </c>
    </row>
    <row r="444" spans="1:11" x14ac:dyDescent="0.25">
      <c r="A444" s="2" t="s">
        <v>55</v>
      </c>
      <c r="B444" s="2" t="s">
        <v>99</v>
      </c>
      <c r="C444" s="2" t="s">
        <v>100</v>
      </c>
      <c r="D444" s="2" t="s">
        <v>337</v>
      </c>
      <c r="E444" s="3">
        <v>1</v>
      </c>
      <c r="F444" s="3">
        <v>553</v>
      </c>
      <c r="G444" s="3">
        <v>27</v>
      </c>
      <c r="H444" s="4">
        <v>2.59</v>
      </c>
      <c r="I444" s="4">
        <v>243.4</v>
      </c>
      <c r="J444" s="5">
        <v>9.6000000000000002E-2</v>
      </c>
      <c r="K444" s="6">
        <v>4.6870000000000002E-3</v>
      </c>
    </row>
    <row r="445" spans="1:11" x14ac:dyDescent="0.25">
      <c r="A445" s="2" t="s">
        <v>55</v>
      </c>
      <c r="B445" s="2" t="s">
        <v>99</v>
      </c>
      <c r="C445" s="2" t="s">
        <v>100</v>
      </c>
      <c r="D445" s="2" t="s">
        <v>355</v>
      </c>
      <c r="E445" s="3">
        <v>1</v>
      </c>
      <c r="F445" s="3">
        <v>901</v>
      </c>
      <c r="G445" s="3">
        <v>25</v>
      </c>
      <c r="H445" s="4">
        <v>2.4</v>
      </c>
      <c r="I445" s="4">
        <v>261.2</v>
      </c>
      <c r="J445" s="5">
        <v>9.6000000000000002E-2</v>
      </c>
      <c r="K445" s="6">
        <v>2.6640000000000001E-3</v>
      </c>
    </row>
    <row r="446" spans="1:11" x14ac:dyDescent="0.25">
      <c r="A446" s="2" t="s">
        <v>55</v>
      </c>
      <c r="B446" s="2" t="s">
        <v>99</v>
      </c>
      <c r="C446" s="2" t="s">
        <v>100</v>
      </c>
      <c r="D446" s="2" t="s">
        <v>235</v>
      </c>
      <c r="E446" s="3">
        <v>1</v>
      </c>
      <c r="F446" s="3">
        <v>1449</v>
      </c>
      <c r="G446" s="3">
        <v>50</v>
      </c>
      <c r="H446" s="4">
        <v>4.8</v>
      </c>
      <c r="I446" s="4">
        <v>411.5</v>
      </c>
      <c r="J446" s="5">
        <v>9.6000000000000002E-2</v>
      </c>
      <c r="K446" s="6">
        <v>3.313E-3</v>
      </c>
    </row>
    <row r="447" spans="1:11" x14ac:dyDescent="0.25">
      <c r="A447" s="2" t="s">
        <v>55</v>
      </c>
      <c r="B447" s="2" t="s">
        <v>99</v>
      </c>
      <c r="C447" s="2" t="s">
        <v>100</v>
      </c>
      <c r="D447" s="2" t="s">
        <v>366</v>
      </c>
      <c r="E447" s="3">
        <v>1</v>
      </c>
      <c r="F447" s="3">
        <v>653</v>
      </c>
      <c r="G447" s="3">
        <v>24</v>
      </c>
      <c r="H447" s="4">
        <v>2.2999999999999998</v>
      </c>
      <c r="I447" s="4">
        <v>366.4</v>
      </c>
      <c r="J447" s="5">
        <v>9.6000000000000002E-2</v>
      </c>
      <c r="K447" s="6">
        <v>3.5279999999999999E-3</v>
      </c>
    </row>
    <row r="448" spans="1:11" x14ac:dyDescent="0.25">
      <c r="A448" s="2" t="s">
        <v>55</v>
      </c>
      <c r="B448" s="2" t="s">
        <v>99</v>
      </c>
      <c r="C448" s="2" t="s">
        <v>100</v>
      </c>
      <c r="D448" s="2" t="s">
        <v>297</v>
      </c>
      <c r="E448" s="3">
        <v>1</v>
      </c>
      <c r="F448" s="3">
        <v>902</v>
      </c>
      <c r="G448" s="3">
        <v>33</v>
      </c>
      <c r="H448" s="4">
        <v>3.17</v>
      </c>
      <c r="I448" s="4">
        <v>434.7</v>
      </c>
      <c r="J448" s="5">
        <v>9.6000000000000002E-2</v>
      </c>
      <c r="K448" s="6">
        <v>3.5119999999999999E-3</v>
      </c>
    </row>
    <row r="449" spans="1:11" x14ac:dyDescent="0.25">
      <c r="A449" s="2" t="s">
        <v>55</v>
      </c>
      <c r="B449" s="2" t="s">
        <v>99</v>
      </c>
      <c r="C449" s="2" t="s">
        <v>100</v>
      </c>
      <c r="D449" s="2" t="s">
        <v>551</v>
      </c>
      <c r="E449" s="3">
        <v>1</v>
      </c>
      <c r="F449" s="3">
        <v>614</v>
      </c>
      <c r="G449" s="3">
        <v>7</v>
      </c>
      <c r="H449" s="4">
        <v>0.67</v>
      </c>
      <c r="I449" s="4">
        <v>150</v>
      </c>
      <c r="J449" s="5">
        <v>9.6000000000000002E-2</v>
      </c>
      <c r="K449" s="6">
        <v>1.0939999999999999E-3</v>
      </c>
    </row>
    <row r="450" spans="1:11" x14ac:dyDescent="0.25">
      <c r="A450" s="2" t="s">
        <v>55</v>
      </c>
      <c r="B450" s="2" t="s">
        <v>99</v>
      </c>
      <c r="C450" s="2" t="s">
        <v>100</v>
      </c>
      <c r="D450" s="2" t="s">
        <v>390</v>
      </c>
      <c r="E450" s="3">
        <v>1</v>
      </c>
      <c r="F450" s="3">
        <v>702</v>
      </c>
      <c r="G450" s="3">
        <v>21</v>
      </c>
      <c r="H450" s="4">
        <v>2.02</v>
      </c>
      <c r="I450" s="4">
        <v>222.5</v>
      </c>
      <c r="J450" s="5">
        <v>9.6000000000000002E-2</v>
      </c>
      <c r="K450" s="6">
        <v>2.872E-3</v>
      </c>
    </row>
    <row r="451" spans="1:11" x14ac:dyDescent="0.25">
      <c r="A451" s="2" t="s">
        <v>55</v>
      </c>
      <c r="B451" s="2" t="s">
        <v>99</v>
      </c>
      <c r="C451" s="2" t="s">
        <v>100</v>
      </c>
      <c r="D451" s="2" t="s">
        <v>210</v>
      </c>
      <c r="E451" s="3">
        <v>1</v>
      </c>
      <c r="F451" s="3">
        <v>1550</v>
      </c>
      <c r="G451" s="3">
        <v>57</v>
      </c>
      <c r="H451" s="4">
        <v>5.47</v>
      </c>
      <c r="I451" s="4">
        <v>702.2</v>
      </c>
      <c r="J451" s="5">
        <v>9.6000000000000002E-2</v>
      </c>
      <c r="K451" s="6">
        <v>3.5300000000000002E-3</v>
      </c>
    </row>
    <row r="452" spans="1:11" x14ac:dyDescent="0.25">
      <c r="A452" s="2" t="s">
        <v>55</v>
      </c>
      <c r="B452" s="2" t="s">
        <v>99</v>
      </c>
      <c r="C452" s="2" t="s">
        <v>100</v>
      </c>
      <c r="D452" s="2" t="s">
        <v>306</v>
      </c>
      <c r="E452" s="3">
        <v>1</v>
      </c>
      <c r="F452" s="3">
        <v>654</v>
      </c>
      <c r="G452" s="3">
        <v>28</v>
      </c>
      <c r="H452" s="4">
        <v>3.07</v>
      </c>
      <c r="I452" s="4">
        <v>411.5</v>
      </c>
      <c r="J452" s="5">
        <v>0.1096</v>
      </c>
      <c r="K452" s="6">
        <v>4.6909999999999999E-3</v>
      </c>
    </row>
    <row r="453" spans="1:11" x14ac:dyDescent="0.25">
      <c r="A453" s="2" t="s">
        <v>55</v>
      </c>
      <c r="B453" s="2" t="s">
        <v>99</v>
      </c>
      <c r="C453" s="2" t="s">
        <v>100</v>
      </c>
      <c r="D453" s="2" t="s">
        <v>367</v>
      </c>
      <c r="E453" s="3">
        <v>1</v>
      </c>
      <c r="F453" s="3">
        <v>650</v>
      </c>
      <c r="G453" s="3">
        <v>24</v>
      </c>
      <c r="H453" s="4">
        <v>2.2999999999999998</v>
      </c>
      <c r="I453" s="4">
        <v>310.60000000000002</v>
      </c>
      <c r="J453" s="5">
        <v>9.6000000000000002E-2</v>
      </c>
      <c r="K453" s="6">
        <v>3.545E-3</v>
      </c>
    </row>
    <row r="454" spans="1:11" x14ac:dyDescent="0.25">
      <c r="A454" s="2" t="s">
        <v>55</v>
      </c>
      <c r="B454" s="2" t="s">
        <v>99</v>
      </c>
      <c r="C454" s="2" t="s">
        <v>100</v>
      </c>
      <c r="D454" s="2" t="s">
        <v>391</v>
      </c>
      <c r="E454" s="3">
        <v>1</v>
      </c>
      <c r="F454" s="3">
        <v>559</v>
      </c>
      <c r="G454" s="3">
        <v>21</v>
      </c>
      <c r="H454" s="4">
        <v>2.02</v>
      </c>
      <c r="I454" s="4">
        <v>293.3</v>
      </c>
      <c r="J454" s="5">
        <v>9.6000000000000002E-2</v>
      </c>
      <c r="K454" s="6">
        <v>3.6059999999999998E-3</v>
      </c>
    </row>
    <row r="455" spans="1:11" x14ac:dyDescent="0.25">
      <c r="A455" s="2" t="s">
        <v>55</v>
      </c>
      <c r="B455" s="2" t="s">
        <v>99</v>
      </c>
      <c r="C455" s="2" t="s">
        <v>100</v>
      </c>
      <c r="D455" s="2" t="s">
        <v>356</v>
      </c>
      <c r="E455" s="3">
        <v>1</v>
      </c>
      <c r="F455" s="3">
        <v>645</v>
      </c>
      <c r="G455" s="3">
        <v>25</v>
      </c>
      <c r="H455" s="4">
        <v>2.4</v>
      </c>
      <c r="I455" s="4">
        <v>284.3</v>
      </c>
      <c r="J455" s="5">
        <v>9.6000000000000002E-2</v>
      </c>
      <c r="K455" s="6">
        <v>3.7209999999999999E-3</v>
      </c>
    </row>
    <row r="456" spans="1:11" x14ac:dyDescent="0.25">
      <c r="A456" s="2" t="s">
        <v>55</v>
      </c>
      <c r="B456" s="2" t="s">
        <v>99</v>
      </c>
      <c r="C456" s="2" t="s">
        <v>100</v>
      </c>
      <c r="D456" s="2" t="s">
        <v>285</v>
      </c>
      <c r="E456" s="3">
        <v>1</v>
      </c>
      <c r="F456" s="3">
        <v>700</v>
      </c>
      <c r="G456" s="3">
        <v>35</v>
      </c>
      <c r="H456" s="4">
        <v>3.36</v>
      </c>
      <c r="I456" s="4">
        <v>401.3</v>
      </c>
      <c r="J456" s="5">
        <v>9.6000000000000002E-2</v>
      </c>
      <c r="K456" s="6">
        <v>4.7999999999999996E-3</v>
      </c>
    </row>
    <row r="457" spans="1:11" x14ac:dyDescent="0.25">
      <c r="A457" s="2" t="s">
        <v>55</v>
      </c>
      <c r="B457" s="2" t="s">
        <v>99</v>
      </c>
      <c r="C457" s="2" t="s">
        <v>100</v>
      </c>
      <c r="D457" s="2" t="s">
        <v>318</v>
      </c>
      <c r="E457" s="3">
        <v>1</v>
      </c>
      <c r="F457" s="3">
        <v>801</v>
      </c>
      <c r="G457" s="3">
        <v>30</v>
      </c>
      <c r="H457" s="4">
        <v>2.88</v>
      </c>
      <c r="I457" s="4">
        <v>290.39999999999998</v>
      </c>
      <c r="J457" s="5">
        <v>9.6000000000000002E-2</v>
      </c>
      <c r="K457" s="6">
        <v>3.5959999999999998E-3</v>
      </c>
    </row>
    <row r="458" spans="1:11" x14ac:dyDescent="0.25">
      <c r="A458" s="2" t="s">
        <v>55</v>
      </c>
      <c r="B458" s="2" t="s">
        <v>99</v>
      </c>
      <c r="C458" s="2" t="s">
        <v>111</v>
      </c>
      <c r="D458" s="2" t="s">
        <v>232</v>
      </c>
      <c r="E458" s="3">
        <v>1</v>
      </c>
      <c r="F458" s="3">
        <v>1603</v>
      </c>
      <c r="G458" s="3">
        <v>50</v>
      </c>
      <c r="H458" s="4">
        <v>4.8</v>
      </c>
      <c r="I458" s="4">
        <v>618.5</v>
      </c>
      <c r="J458" s="5">
        <v>9.6000000000000002E-2</v>
      </c>
      <c r="K458" s="6">
        <v>2.9940000000000001E-3</v>
      </c>
    </row>
    <row r="459" spans="1:11" x14ac:dyDescent="0.25">
      <c r="A459" s="2" t="s">
        <v>55</v>
      </c>
      <c r="B459" s="2" t="s">
        <v>99</v>
      </c>
      <c r="C459" s="2" t="s">
        <v>111</v>
      </c>
      <c r="D459" s="2" t="s">
        <v>357</v>
      </c>
      <c r="E459" s="3">
        <v>1</v>
      </c>
      <c r="F459" s="3">
        <v>651</v>
      </c>
      <c r="G459" s="3">
        <v>25</v>
      </c>
      <c r="H459" s="4">
        <v>2.4</v>
      </c>
      <c r="I459" s="4">
        <v>345.5</v>
      </c>
      <c r="J459" s="5">
        <v>9.6000000000000002E-2</v>
      </c>
      <c r="K459" s="6">
        <v>3.6870000000000002E-3</v>
      </c>
    </row>
    <row r="460" spans="1:11" x14ac:dyDescent="0.25">
      <c r="A460" s="2" t="s">
        <v>55</v>
      </c>
      <c r="B460" s="2" t="s">
        <v>99</v>
      </c>
      <c r="C460" s="2" t="s">
        <v>111</v>
      </c>
      <c r="D460" s="2" t="s">
        <v>150</v>
      </c>
      <c r="E460" s="3">
        <v>1</v>
      </c>
      <c r="F460" s="3">
        <v>1502</v>
      </c>
      <c r="G460" s="3">
        <v>94</v>
      </c>
      <c r="H460" s="4">
        <v>9.02</v>
      </c>
      <c r="I460" s="4">
        <v>799.4</v>
      </c>
      <c r="J460" s="5">
        <v>9.6000000000000002E-2</v>
      </c>
      <c r="K460" s="6">
        <v>6.0080000000000003E-3</v>
      </c>
    </row>
    <row r="461" spans="1:11" x14ac:dyDescent="0.25">
      <c r="A461" s="2" t="s">
        <v>55</v>
      </c>
      <c r="B461" s="2" t="s">
        <v>99</v>
      </c>
      <c r="C461" s="2" t="s">
        <v>100</v>
      </c>
      <c r="D461" s="2" t="s">
        <v>343</v>
      </c>
      <c r="E461" s="3">
        <v>1</v>
      </c>
      <c r="F461" s="3">
        <v>667</v>
      </c>
      <c r="G461" s="3">
        <v>27</v>
      </c>
      <c r="H461" s="4">
        <v>2.59</v>
      </c>
      <c r="I461" s="4">
        <v>257.39999999999998</v>
      </c>
      <c r="J461" s="5">
        <v>9.6000000000000002E-2</v>
      </c>
      <c r="K461" s="6">
        <v>3.8860000000000001E-3</v>
      </c>
    </row>
    <row r="462" spans="1:11" x14ac:dyDescent="0.25">
      <c r="A462" s="2" t="s">
        <v>55</v>
      </c>
      <c r="B462" s="2" t="s">
        <v>302</v>
      </c>
      <c r="C462" s="2" t="s">
        <v>303</v>
      </c>
      <c r="D462" s="2" t="s">
        <v>486</v>
      </c>
      <c r="E462" s="3">
        <v>1</v>
      </c>
      <c r="F462" s="3">
        <v>616</v>
      </c>
      <c r="G462" s="3">
        <v>11</v>
      </c>
      <c r="H462" s="4">
        <v>1.06</v>
      </c>
      <c r="I462" s="4">
        <v>255.3</v>
      </c>
      <c r="J462" s="5">
        <v>9.6000000000000002E-2</v>
      </c>
      <c r="K462" s="6">
        <v>1.714E-3</v>
      </c>
    </row>
    <row r="463" spans="1:11" x14ac:dyDescent="0.25">
      <c r="A463" s="2" t="s">
        <v>55</v>
      </c>
      <c r="B463" s="2" t="s">
        <v>302</v>
      </c>
      <c r="C463" s="2" t="s">
        <v>303</v>
      </c>
      <c r="D463" s="2" t="s">
        <v>476</v>
      </c>
      <c r="E463" s="3">
        <v>1</v>
      </c>
      <c r="F463" s="3">
        <v>640</v>
      </c>
      <c r="G463" s="3">
        <v>12</v>
      </c>
      <c r="H463" s="4">
        <v>1.1499999999999999</v>
      </c>
      <c r="I463" s="4">
        <v>275</v>
      </c>
      <c r="J463" s="5">
        <v>9.6000000000000002E-2</v>
      </c>
      <c r="K463" s="6">
        <v>1.8E-3</v>
      </c>
    </row>
    <row r="464" spans="1:11" x14ac:dyDescent="0.25">
      <c r="A464" s="2" t="s">
        <v>55</v>
      </c>
      <c r="B464" s="2" t="s">
        <v>302</v>
      </c>
      <c r="C464" s="2" t="s">
        <v>303</v>
      </c>
      <c r="D464" s="2" t="s">
        <v>477</v>
      </c>
      <c r="E464" s="3">
        <v>1</v>
      </c>
      <c r="F464" s="3">
        <v>757</v>
      </c>
      <c r="G464" s="3">
        <v>12</v>
      </c>
      <c r="H464" s="4">
        <v>1.1499999999999999</v>
      </c>
      <c r="I464" s="4">
        <v>279.10000000000002</v>
      </c>
      <c r="J464" s="5">
        <v>9.6000000000000002E-2</v>
      </c>
      <c r="K464" s="6">
        <v>1.5219999999999999E-3</v>
      </c>
    </row>
    <row r="465" spans="1:11" x14ac:dyDescent="0.25">
      <c r="A465" s="2" t="s">
        <v>55</v>
      </c>
      <c r="B465" s="2" t="s">
        <v>302</v>
      </c>
      <c r="C465" s="2" t="s">
        <v>303</v>
      </c>
      <c r="D465" s="2" t="s">
        <v>413</v>
      </c>
      <c r="E465" s="3">
        <v>1</v>
      </c>
      <c r="F465" s="3">
        <v>628</v>
      </c>
      <c r="G465" s="3">
        <v>18</v>
      </c>
      <c r="H465" s="4">
        <v>1.73</v>
      </c>
      <c r="I465" s="4">
        <v>157.19999999999999</v>
      </c>
      <c r="J465" s="5">
        <v>9.6000000000000002E-2</v>
      </c>
      <c r="K465" s="6">
        <v>2.7520000000000001E-3</v>
      </c>
    </row>
    <row r="466" spans="1:11" x14ac:dyDescent="0.25">
      <c r="A466" s="2" t="s">
        <v>55</v>
      </c>
      <c r="B466" s="2" t="s">
        <v>302</v>
      </c>
      <c r="C466" s="2" t="s">
        <v>303</v>
      </c>
      <c r="D466" s="2" t="s">
        <v>304</v>
      </c>
      <c r="E466" s="3">
        <v>2</v>
      </c>
      <c r="F466" s="3">
        <v>1050</v>
      </c>
      <c r="G466" s="3">
        <v>32</v>
      </c>
      <c r="H466" s="4">
        <v>3.07</v>
      </c>
      <c r="I466" s="4">
        <v>394.4</v>
      </c>
      <c r="J466" s="5">
        <v>9.6000000000000002E-2</v>
      </c>
      <c r="K466" s="6">
        <v>2.9260000000000002E-3</v>
      </c>
    </row>
    <row r="467" spans="1:11" x14ac:dyDescent="0.25">
      <c r="A467" s="2" t="s">
        <v>55</v>
      </c>
      <c r="B467" s="2" t="s">
        <v>302</v>
      </c>
      <c r="C467" s="2" t="s">
        <v>303</v>
      </c>
      <c r="D467" s="2" t="s">
        <v>485</v>
      </c>
      <c r="E467" s="3">
        <v>1</v>
      </c>
      <c r="F467" s="3">
        <v>539</v>
      </c>
      <c r="G467" s="3">
        <v>15</v>
      </c>
      <c r="H467" s="4">
        <v>1.08</v>
      </c>
      <c r="I467" s="4">
        <v>203.9</v>
      </c>
      <c r="J467" s="5">
        <v>7.1999999999999995E-2</v>
      </c>
      <c r="K467" s="6">
        <v>2.0040000000000001E-3</v>
      </c>
    </row>
    <row r="468" spans="1:11" x14ac:dyDescent="0.25">
      <c r="A468" s="2" t="s">
        <v>55</v>
      </c>
      <c r="B468" s="2" t="s">
        <v>302</v>
      </c>
      <c r="C468" s="2" t="s">
        <v>303</v>
      </c>
      <c r="D468" s="2" t="s">
        <v>461</v>
      </c>
      <c r="E468" s="3">
        <v>1</v>
      </c>
      <c r="F468" s="3">
        <v>594</v>
      </c>
      <c r="G468" s="3">
        <v>14</v>
      </c>
      <c r="H468" s="4">
        <v>1.34</v>
      </c>
      <c r="I468" s="4">
        <v>281.3</v>
      </c>
      <c r="J468" s="5">
        <v>9.5699999999999993E-2</v>
      </c>
      <c r="K468" s="6">
        <v>2.2560000000000002E-3</v>
      </c>
    </row>
    <row r="469" spans="1:11" x14ac:dyDescent="0.25">
      <c r="A469" s="2" t="s">
        <v>55</v>
      </c>
      <c r="B469" s="2" t="s">
        <v>302</v>
      </c>
      <c r="C469" s="2" t="s">
        <v>303</v>
      </c>
      <c r="D469" s="2" t="s">
        <v>323</v>
      </c>
      <c r="E469" s="3">
        <v>2</v>
      </c>
      <c r="F469" s="3">
        <v>1228</v>
      </c>
      <c r="G469" s="3">
        <v>28</v>
      </c>
      <c r="H469" s="4">
        <v>2.7</v>
      </c>
      <c r="I469" s="4">
        <v>471.6</v>
      </c>
      <c r="J469" s="5">
        <v>9.6500000000000002E-2</v>
      </c>
      <c r="K469" s="6">
        <v>2.2000000000000001E-3</v>
      </c>
    </row>
    <row r="470" spans="1:11" x14ac:dyDescent="0.25">
      <c r="A470" s="2" t="s">
        <v>55</v>
      </c>
      <c r="B470" s="2" t="s">
        <v>302</v>
      </c>
      <c r="C470" s="2" t="s">
        <v>303</v>
      </c>
      <c r="D470" s="2" t="s">
        <v>490</v>
      </c>
      <c r="E470" s="3">
        <v>1</v>
      </c>
      <c r="F470" s="3">
        <v>575</v>
      </c>
      <c r="G470" s="3">
        <v>11</v>
      </c>
      <c r="H470" s="4">
        <v>1.06</v>
      </c>
      <c r="I470" s="4">
        <v>170.5</v>
      </c>
      <c r="J470" s="5">
        <v>9.6000000000000002E-2</v>
      </c>
      <c r="K470" s="6">
        <v>1.8370000000000001E-3</v>
      </c>
    </row>
    <row r="471" spans="1:11" x14ac:dyDescent="0.25">
      <c r="A471" s="2" t="s">
        <v>55</v>
      </c>
      <c r="B471" s="2" t="s">
        <v>302</v>
      </c>
      <c r="C471" s="2" t="s">
        <v>303</v>
      </c>
      <c r="D471" s="2" t="s">
        <v>440</v>
      </c>
      <c r="E471" s="3">
        <v>1</v>
      </c>
      <c r="F471" s="3">
        <v>483</v>
      </c>
      <c r="G471" s="3">
        <v>16</v>
      </c>
      <c r="H471" s="4">
        <v>1.54</v>
      </c>
      <c r="I471" s="4">
        <v>305.8</v>
      </c>
      <c r="J471" s="5">
        <v>9.6299999999999997E-2</v>
      </c>
      <c r="K471" s="6">
        <v>3.1879999999999999E-3</v>
      </c>
    </row>
    <row r="472" spans="1:11" x14ac:dyDescent="0.25">
      <c r="A472" s="2" t="s">
        <v>55</v>
      </c>
      <c r="B472" s="2" t="s">
        <v>302</v>
      </c>
      <c r="C472" s="2" t="s">
        <v>303</v>
      </c>
      <c r="D472" s="2" t="s">
        <v>553</v>
      </c>
      <c r="E472" s="3">
        <v>1</v>
      </c>
      <c r="F472" s="3">
        <v>484</v>
      </c>
      <c r="G472" s="3">
        <v>9</v>
      </c>
      <c r="H472" s="4">
        <v>0.65</v>
      </c>
      <c r="I472" s="4">
        <v>154.19999999999999</v>
      </c>
      <c r="J472" s="5">
        <v>7.22E-2</v>
      </c>
      <c r="K472" s="6">
        <v>1.343E-3</v>
      </c>
    </row>
    <row r="473" spans="1:11" x14ac:dyDescent="0.25">
      <c r="A473" s="2" t="s">
        <v>55</v>
      </c>
      <c r="B473" s="2" t="s">
        <v>302</v>
      </c>
      <c r="C473" s="2" t="s">
        <v>303</v>
      </c>
      <c r="D473" s="2" t="s">
        <v>498</v>
      </c>
      <c r="E473" s="3">
        <v>1</v>
      </c>
      <c r="F473" s="3">
        <v>615</v>
      </c>
      <c r="G473" s="3">
        <v>11</v>
      </c>
      <c r="H473" s="4">
        <v>0.98</v>
      </c>
      <c r="I473" s="4">
        <v>257.10000000000002</v>
      </c>
      <c r="J473" s="5">
        <v>8.9499999999999996E-2</v>
      </c>
      <c r="K473" s="6">
        <v>1.6000000000000001E-3</v>
      </c>
    </row>
    <row r="474" spans="1:11" x14ac:dyDescent="0.25">
      <c r="A474" s="2" t="s">
        <v>55</v>
      </c>
      <c r="B474" s="2" t="s">
        <v>302</v>
      </c>
      <c r="C474" s="2" t="s">
        <v>303</v>
      </c>
      <c r="D474" s="2" t="s">
        <v>472</v>
      </c>
      <c r="E474" s="3">
        <v>1</v>
      </c>
      <c r="F474" s="3">
        <v>619</v>
      </c>
      <c r="G474" s="3">
        <v>12</v>
      </c>
      <c r="H474" s="4">
        <v>1.1499999999999999</v>
      </c>
      <c r="I474" s="4">
        <v>163.30000000000001</v>
      </c>
      <c r="J474" s="5">
        <v>9.6000000000000002E-2</v>
      </c>
      <c r="K474" s="6">
        <v>1.861E-3</v>
      </c>
    </row>
    <row r="475" spans="1:11" x14ac:dyDescent="0.25">
      <c r="A475" s="2" t="s">
        <v>55</v>
      </c>
      <c r="B475" s="2" t="s">
        <v>302</v>
      </c>
      <c r="C475" s="2" t="s">
        <v>303</v>
      </c>
      <c r="D475" s="2" t="s">
        <v>535</v>
      </c>
      <c r="E475" s="3">
        <v>1</v>
      </c>
      <c r="F475" s="3">
        <v>497</v>
      </c>
      <c r="G475" s="3">
        <v>11</v>
      </c>
      <c r="H475" s="4">
        <v>0.79</v>
      </c>
      <c r="I475" s="4">
        <v>199.9</v>
      </c>
      <c r="J475" s="5">
        <v>7.1800000000000003E-2</v>
      </c>
      <c r="K475" s="6">
        <v>1.5900000000000001E-3</v>
      </c>
    </row>
    <row r="476" spans="1:11" x14ac:dyDescent="0.25">
      <c r="A476" s="2" t="s">
        <v>55</v>
      </c>
      <c r="B476" s="2" t="s">
        <v>302</v>
      </c>
      <c r="C476" s="2" t="s">
        <v>303</v>
      </c>
      <c r="D476" s="2" t="s">
        <v>545</v>
      </c>
      <c r="E476" s="3">
        <v>1</v>
      </c>
      <c r="F476" s="3">
        <v>453</v>
      </c>
      <c r="G476" s="3">
        <v>10</v>
      </c>
      <c r="H476" s="4">
        <v>0.72</v>
      </c>
      <c r="I476" s="4">
        <v>149.1</v>
      </c>
      <c r="J476" s="5">
        <v>7.1999999999999995E-2</v>
      </c>
      <c r="K476" s="6">
        <v>1.5889999999999999E-3</v>
      </c>
    </row>
    <row r="477" spans="1:11" x14ac:dyDescent="0.25">
      <c r="A477" s="2" t="s">
        <v>55</v>
      </c>
      <c r="B477" s="2" t="s">
        <v>302</v>
      </c>
      <c r="C477" s="2" t="s">
        <v>554</v>
      </c>
      <c r="D477" s="2" t="s">
        <v>555</v>
      </c>
      <c r="E477" s="3">
        <v>1</v>
      </c>
      <c r="F477" s="3">
        <v>443</v>
      </c>
      <c r="G477" s="3">
        <v>9</v>
      </c>
      <c r="H477" s="4">
        <v>0.65</v>
      </c>
      <c r="I477" s="4">
        <v>124</v>
      </c>
      <c r="J477" s="5">
        <v>7.1999999999999995E-2</v>
      </c>
      <c r="K477" s="6">
        <v>1.4630000000000001E-3</v>
      </c>
    </row>
    <row r="478" spans="1:11" x14ac:dyDescent="0.25">
      <c r="A478" s="2" t="s">
        <v>527</v>
      </c>
      <c r="B478" s="2" t="s">
        <v>528</v>
      </c>
      <c r="C478" s="2" t="s">
        <v>529</v>
      </c>
      <c r="D478" s="2" t="s">
        <v>858</v>
      </c>
      <c r="E478" s="3">
        <v>1</v>
      </c>
      <c r="F478" s="3">
        <v>350</v>
      </c>
      <c r="G478" s="3">
        <v>0</v>
      </c>
      <c r="H478" s="4">
        <v>0.71</v>
      </c>
      <c r="I478" s="4">
        <v>65.3</v>
      </c>
      <c r="J478" s="5">
        <v>0</v>
      </c>
      <c r="K478" s="6">
        <v>2.029E-3</v>
      </c>
    </row>
    <row r="479" spans="1:11" x14ac:dyDescent="0.25">
      <c r="A479" s="2" t="s">
        <v>527</v>
      </c>
      <c r="B479" s="2" t="s">
        <v>528</v>
      </c>
      <c r="C479" s="2" t="s">
        <v>529</v>
      </c>
      <c r="D479" s="2" t="s">
        <v>859</v>
      </c>
      <c r="E479" s="3">
        <v>1</v>
      </c>
      <c r="F479" s="3">
        <v>450</v>
      </c>
      <c r="G479" s="3">
        <v>0</v>
      </c>
      <c r="H479" s="4">
        <v>0.8</v>
      </c>
      <c r="I479" s="4">
        <v>74.3</v>
      </c>
      <c r="J479" s="5">
        <v>0</v>
      </c>
      <c r="K479" s="6">
        <v>1.7780000000000001E-3</v>
      </c>
    </row>
    <row r="480" spans="1:11" x14ac:dyDescent="0.25">
      <c r="A480" s="2" t="s">
        <v>527</v>
      </c>
      <c r="B480" s="2" t="s">
        <v>528</v>
      </c>
      <c r="C480" s="2" t="s">
        <v>529</v>
      </c>
      <c r="D480" s="2" t="s">
        <v>530</v>
      </c>
      <c r="E480" s="3">
        <v>1</v>
      </c>
      <c r="F480" s="3">
        <v>1050</v>
      </c>
      <c r="G480" s="3">
        <v>9</v>
      </c>
      <c r="H480" s="4">
        <v>0.82</v>
      </c>
      <c r="I480" s="4">
        <v>94.2</v>
      </c>
      <c r="J480" s="5">
        <v>9.11E-2</v>
      </c>
      <c r="K480" s="6">
        <v>7.8100000000000001E-4</v>
      </c>
    </row>
    <row r="481" spans="1:11" x14ac:dyDescent="0.25">
      <c r="A481" s="2" t="s">
        <v>527</v>
      </c>
      <c r="B481" s="2" t="s">
        <v>528</v>
      </c>
      <c r="C481" s="2" t="s">
        <v>529</v>
      </c>
      <c r="D481" s="2" t="s">
        <v>579</v>
      </c>
      <c r="E481" s="3">
        <v>1</v>
      </c>
      <c r="F481" s="3">
        <v>400</v>
      </c>
      <c r="G481" s="3">
        <v>3</v>
      </c>
      <c r="H481" s="4">
        <v>0.28999999999999998</v>
      </c>
      <c r="I481" s="4">
        <v>39.4</v>
      </c>
      <c r="J481" s="5">
        <v>9.6699999999999994E-2</v>
      </c>
      <c r="K481" s="6">
        <v>7.2499999999999995E-4</v>
      </c>
    </row>
  </sheetData>
  <autoFilter ref="A3:K481" xr:uid="{00000000-0009-0000-0000-000004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MASTER por modelo</vt:lpstr>
      <vt:lpstr>Indicadores</vt:lpstr>
      <vt:lpstr>Detalle por artículo</vt:lpstr>
      <vt:lpstr>Implantación por tienda</vt:lpstr>
      <vt:lpstr>Reposición por tienda</vt:lpstr>
      <vt:lpstr>Resumen por familia</vt:lpstr>
      <vt:lpstr>Resumen por artículo</vt:lpstr>
      <vt:lpstr>IMP_MOD</vt:lpstr>
      <vt:lpstr>IMP_NT</vt:lpstr>
      <vt:lpstr>IMP_TOT</vt:lpstr>
      <vt:lpstr>REP_MOD</vt:lpstr>
      <vt:lpstr>REP_TOT</vt:lpstr>
      <vt:lpstr>TIENDAS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2026-10-20T09:59:09Z</dcterms:created>
  <dcterms:modified xsi:type="dcterms:W3CDTF">2026-10-28T12:53:31Z</dcterms:modified>
</cp:coreProperties>
</file>