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378476D2-96E8-4191-A6C4-204794811A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didos hoy" sheetId="1" r:id="rId1"/>
    <sheet name="Detalle" sheetId="2" r:id="rId2"/>
  </sheets>
  <definedNames>
    <definedName name="_xlnm._FilterDatabase" localSheetId="1" hidden="1">Detalle!$A$1:$G$102</definedName>
    <definedName name="_xlnm._FilterDatabase" localSheetId="0" hidden="1">'Pedidos hoy'!$A$1:$E$30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2" l="1"/>
  <c r="F103" i="2"/>
  <c r="C103" i="2"/>
  <c r="B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E31" i="1" l="1"/>
  <c r="D31" i="1"/>
</calcChain>
</file>

<file path=xl/sharedStrings.xml><?xml version="1.0" encoding="utf-8"?>
<sst xmlns="http://schemas.openxmlformats.org/spreadsheetml/2006/main" count="607" uniqueCount="188">
  <si>
    <t>Tienda</t>
  </si>
  <si>
    <t>Pedido</t>
  </si>
  <si>
    <t>Seguimiento XPO</t>
  </si>
  <si>
    <t>Unidades</t>
  </si>
  <si>
    <t>Bultos</t>
  </si>
  <si>
    <t>K8 - ITAROA</t>
  </si>
  <si>
    <t>S-6665003315</t>
  </si>
  <si>
    <t>121770884</t>
  </si>
  <si>
    <t>S-6665003366</t>
  </si>
  <si>
    <t>K10 - MAXCENTER</t>
  </si>
  <si>
    <t>S-6665003368</t>
  </si>
  <si>
    <t>121770889</t>
  </si>
  <si>
    <t>K22 - VITORIA</t>
  </si>
  <si>
    <t>S-6665003319</t>
  </si>
  <si>
    <t>121770879</t>
  </si>
  <si>
    <t>S-6665003370</t>
  </si>
  <si>
    <t>K31 - CONDOMINA</t>
  </si>
  <si>
    <t>S-6665003374</t>
  </si>
  <si>
    <t>121770890</t>
  </si>
  <si>
    <t>K33 - PUERTO VENECIA</t>
  </si>
  <si>
    <t>S-6665003324</t>
  </si>
  <si>
    <t>121770881</t>
  </si>
  <si>
    <t>S-6665003375</t>
  </si>
  <si>
    <t>K34 - GRAN VIA 2</t>
  </si>
  <si>
    <t>S-6665003325</t>
  </si>
  <si>
    <t>121770886</t>
  </si>
  <si>
    <t>S-6665003376</t>
  </si>
  <si>
    <t>K40 - PALENCIA</t>
  </si>
  <si>
    <t>S-6665003328</t>
  </si>
  <si>
    <t>121770888</t>
  </si>
  <si>
    <t>S-6665003379</t>
  </si>
  <si>
    <t>K41 - SANTANDER</t>
  </si>
  <si>
    <t>S-6665003329</t>
  </si>
  <si>
    <t>121770878</t>
  </si>
  <si>
    <t>K42 - SPLAU</t>
  </si>
  <si>
    <t>S-6665003330</t>
  </si>
  <si>
    <t>121770885</t>
  </si>
  <si>
    <t>K45 - LOGROÑO BERCEO</t>
  </si>
  <si>
    <t>S-6665003333</t>
  </si>
  <si>
    <t>121770875</t>
  </si>
  <si>
    <t>K46 - IRÚN</t>
  </si>
  <si>
    <t>S-6665003334</t>
  </si>
  <si>
    <t>121770882</t>
  </si>
  <si>
    <t>K48 - BONAIRE</t>
  </si>
  <si>
    <t>S-6665003335</t>
  </si>
  <si>
    <t>121770883</t>
  </si>
  <si>
    <t>K55 - C.C. GRANCASA</t>
  </si>
  <si>
    <t>S-6665003337</t>
  </si>
  <si>
    <t>121770880</t>
  </si>
  <si>
    <t>K57 - LAS ROSAS</t>
  </si>
  <si>
    <t>S-6665003339</t>
  </si>
  <si>
    <t>121770874</t>
  </si>
  <si>
    <t>K58 - EL MIRADOR</t>
  </si>
  <si>
    <t>S-6665003340</t>
  </si>
  <si>
    <t>121770877</t>
  </si>
  <si>
    <t>K59 - NEVADA SHOPPING</t>
  </si>
  <si>
    <t>S-6665003341</t>
  </si>
  <si>
    <t>121770876</t>
  </si>
  <si>
    <t>K65 - BARICENTRO</t>
  </si>
  <si>
    <t>S-6665003346</t>
  </si>
  <si>
    <t>121770873</t>
  </si>
  <si>
    <t>K68 - SEVILLA LAGOH</t>
  </si>
  <si>
    <t>S-6665003347</t>
  </si>
  <si>
    <t>121770871</t>
  </si>
  <si>
    <t>K73 - C/CARME 11-13 (LLEIDA)</t>
  </si>
  <si>
    <t>S-6665003351</t>
  </si>
  <si>
    <t>121770869</t>
  </si>
  <si>
    <t>K80 - GRAN JONQUERA</t>
  </si>
  <si>
    <t>S-6665003357</t>
  </si>
  <si>
    <t>121770887</t>
  </si>
  <si>
    <t>S-6665003363</t>
  </si>
  <si>
    <t>K83 - GARBERA NEW</t>
  </si>
  <si>
    <t>S-6665003360</t>
  </si>
  <si>
    <t>121770870</t>
  </si>
  <si>
    <t>K85 - PLATJA D'ARO</t>
  </si>
  <si>
    <t>S-6665003361</t>
  </si>
  <si>
    <t>121770868</t>
  </si>
  <si>
    <t>K86 - L'ALJUB (ELX)</t>
  </si>
  <si>
    <t>S-6665003362</t>
  </si>
  <si>
    <t>121770867</t>
  </si>
  <si>
    <t>TOTAL</t>
  </si>
  <si>
    <t>Datos: listado de OUT de XPO pegado por el usuario; solo etiquetas XPO generadas hoy 22/10/2026.</t>
  </si>
  <si>
    <t>Documento origen</t>
  </si>
  <si>
    <t>Referencia</t>
  </si>
  <si>
    <t>Transportista</t>
  </si>
  <si>
    <t>Seguimiento</t>
  </si>
  <si>
    <t>EFFEC/OUT/20062</t>
  </si>
  <si>
    <t>XPO ES</t>
  </si>
  <si>
    <t>EFFEC/OUT/20413</t>
  </si>
  <si>
    <t>EFFEC/OUT/20783</t>
  </si>
  <si>
    <t>EFFEC/OUT/20784</t>
  </si>
  <si>
    <t>EFFEC/OUT/20785</t>
  </si>
  <si>
    <t>EFFEC/OUT/20786</t>
  </si>
  <si>
    <t>EFFEC/OUT/20415</t>
  </si>
  <si>
    <t>EFFEC/OUT/20792</t>
  </si>
  <si>
    <t>EFFEC/OUT/20793</t>
  </si>
  <si>
    <t>EFFEC/OUT/20794</t>
  </si>
  <si>
    <t>EFFEC/OUT/20795</t>
  </si>
  <si>
    <t>EFFEC/OUT/20066</t>
  </si>
  <si>
    <t>EFFEC/OUT/20417</t>
  </si>
  <si>
    <t>EFFEC/OUT/20798</t>
  </si>
  <si>
    <t>EFFEC/OUT/20799</t>
  </si>
  <si>
    <t>EFFEC/OUT/20800</t>
  </si>
  <si>
    <t>EFFEC/OUT/20801</t>
  </si>
  <si>
    <t>EFFEC/OUT/20421</t>
  </si>
  <si>
    <t>EFFEC/OUT/20813</t>
  </si>
  <si>
    <t>EFFEC/OUT/20814</t>
  </si>
  <si>
    <t>EFFEC/OUT/20815</t>
  </si>
  <si>
    <t>EFFEC/OUT/20816</t>
  </si>
  <si>
    <t>EFFEC/OUT/20071</t>
  </si>
  <si>
    <t>EFFEC/OUT/20422</t>
  </si>
  <si>
    <t>EFFEC/OUT/20818</t>
  </si>
  <si>
    <t>EFFEC/OUT/20819</t>
  </si>
  <si>
    <t>EFFEC/OUT/20820</t>
  </si>
  <si>
    <t>EFFEC/OUT/20821</t>
  </si>
  <si>
    <t>EFFEC/OUT/20072</t>
  </si>
  <si>
    <t>EFFEC/OUT/20214</t>
  </si>
  <si>
    <t>EFFEC/OUT/20215</t>
  </si>
  <si>
    <t>EFFEC/OUT/20216</t>
  </si>
  <si>
    <t>EFFEC/OUT/20217</t>
  </si>
  <si>
    <t>EFFEC/OUT/20423</t>
  </si>
  <si>
    <t>EFFEC/OUT/20822</t>
  </si>
  <si>
    <t>EFFEC/OUT/20823</t>
  </si>
  <si>
    <t>EFFEC/OUT/20824</t>
  </si>
  <si>
    <t>EFFEC/OUT/20825</t>
  </si>
  <si>
    <t>EFFEC/OUT/20075</t>
  </si>
  <si>
    <t>EFFEC/OUT/20224</t>
  </si>
  <si>
    <t>EFFEC/OUT/20225</t>
  </si>
  <si>
    <t>EFFEC/OUT/20226</t>
  </si>
  <si>
    <t>EFFEC/OUT/20227</t>
  </si>
  <si>
    <t>EFFEC/OUT/20426</t>
  </si>
  <si>
    <t>EFFEC/OUT/20834</t>
  </si>
  <si>
    <t>EFFEC/OUT/20835</t>
  </si>
  <si>
    <t>EFFEC/OUT/20836</t>
  </si>
  <si>
    <t>EFFEC/OUT/20837</t>
  </si>
  <si>
    <t>EFFEC/OUT/20076</t>
  </si>
  <si>
    <t>EFFEC/OUT/20077</t>
  </si>
  <si>
    <t>EFFEC/OUT/20080</t>
  </si>
  <si>
    <t>EFFEC/OUT/20081</t>
  </si>
  <si>
    <t>EFFEC/OUT/20082</t>
  </si>
  <si>
    <t>EFFEC/OUT/20084</t>
  </si>
  <si>
    <t>EFFEC/OUT/20238</t>
  </si>
  <si>
    <t>EFFEC/OUT/20239</t>
  </si>
  <si>
    <t>EFFEC/OUT/20240</t>
  </si>
  <si>
    <t>EFFEC/OUT/20241</t>
  </si>
  <si>
    <t>EFFEC/OUT/20242</t>
  </si>
  <si>
    <t>EFFEC/OUT/20086</t>
  </si>
  <si>
    <t>EFFEC/OUT/20243</t>
  </si>
  <si>
    <t>EFFEC/OUT/20244</t>
  </si>
  <si>
    <t>EFFEC/OUT/20245</t>
  </si>
  <si>
    <t>EFFEC/OUT/20246</t>
  </si>
  <si>
    <t>EFFEC/OUT/20087</t>
  </si>
  <si>
    <t>EFFEC/OUT/20247</t>
  </si>
  <si>
    <t>EFFEC/OUT/20248</t>
  </si>
  <si>
    <t>EFFEC/OUT/20249</t>
  </si>
  <si>
    <t>EFFEC/OUT/20250</t>
  </si>
  <si>
    <t>EFFEC/OUT/20088</t>
  </si>
  <si>
    <t>EFFEC/OUT/20251</t>
  </si>
  <si>
    <t>EFFEC/OUT/20252</t>
  </si>
  <si>
    <t>EFFEC/OUT/20253</t>
  </si>
  <si>
    <t>EFFEC/OUT/20254</t>
  </si>
  <si>
    <t>EFFEC/OUT/20093</t>
  </si>
  <si>
    <t>EFFEC/OUT/20094</t>
  </si>
  <si>
    <t>EFFEC/OUT/20259</t>
  </si>
  <si>
    <t>EFFEC/OUT/20260</t>
  </si>
  <si>
    <t>EFFEC/OUT/20261</t>
  </si>
  <si>
    <t>EFFEC/OUT/20262</t>
  </si>
  <si>
    <t>EFFEC/OUT/20098</t>
  </si>
  <si>
    <t>EFFEC/OUT/20271</t>
  </si>
  <si>
    <t>EFFEC/OUT/20272</t>
  </si>
  <si>
    <t>EFFEC/OUT/20273</t>
  </si>
  <si>
    <t>EFFEC/OUT/20274</t>
  </si>
  <si>
    <t>EFFEC/OUT/20104</t>
  </si>
  <si>
    <t>EFFEC/OUT/20289</t>
  </si>
  <si>
    <t>EFFEC/OUT/20290</t>
  </si>
  <si>
    <t>EFFEC/OUT/20360</t>
  </si>
  <si>
    <t>EFFEC/OUT/20107</t>
  </si>
  <si>
    <t>EFFEC/OUT/20108</t>
  </si>
  <si>
    <t>EFFEC/OUT/20298</t>
  </si>
  <si>
    <t>EFFEC/OUT/20299</t>
  </si>
  <si>
    <t>EFFEC/OUT/20300</t>
  </si>
  <si>
    <t>EFFEC/OUT/20301</t>
  </si>
  <si>
    <t>EFFEC/OUT/20302</t>
  </si>
  <si>
    <t>EFFEC/OUT/20109</t>
  </si>
  <si>
    <t>EFFEC/OUT/20303</t>
  </si>
  <si>
    <t>EFFEC/OUT/20304</t>
  </si>
  <si>
    <t>EFFEC/OUT/20305</t>
  </si>
  <si>
    <t>EFFEC/OUT/20306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</si>
</sst>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  <font>
      <b/>
      <sz val="11"/>
      <name val="Arial"/>
    </font>
    <font>
      <i/>
      <sz val="11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3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ySplit="1" topLeftCell="A13" activePane="bottomLeft" state="frozen"/>
      <selection pane="bottomLeft" activeCell="C37" sqref="C37"/>
    </sheetView>
  </sheetViews>
  <sheetFormatPr baseColWidth="10" defaultColWidth="8.88671875" defaultRowHeight="14.4" x14ac:dyDescent="0.3"/>
  <cols>
    <col min="1" max="1" width="32" customWidth="1"/>
    <col min="2" max="2" width="18" customWidth="1"/>
    <col min="3" max="3" width="17" customWidth="1"/>
    <col min="4" max="4" width="11" customWidth="1"/>
    <col min="5" max="5" width="10" customWidth="1"/>
  </cols>
  <sheetData>
    <row r="1" spans="1:5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f>SUMIF(Detalle!$B$2:$B$102,B2,Detalle!$F$2:$F$102)</f>
        <v>146</v>
      </c>
      <c r="E2" s="2">
        <f>SUMIF(Detalle!$B$2:$B$102,B2,Detalle!$G$2:$G$102)</f>
        <v>12</v>
      </c>
    </row>
    <row r="3" spans="1:5" x14ac:dyDescent="0.3">
      <c r="A3" s="2" t="s">
        <v>5</v>
      </c>
      <c r="B3" s="2" t="s">
        <v>8</v>
      </c>
      <c r="C3" s="2" t="s">
        <v>7</v>
      </c>
      <c r="D3" s="2">
        <f>SUMIF(Detalle!$B$2:$B$102,B3,Detalle!$F$2:$F$102)</f>
        <v>86</v>
      </c>
      <c r="E3" s="2">
        <f>SUMIF(Detalle!$B$2:$B$102,B3,Detalle!$G$2:$G$102)</f>
        <v>8</v>
      </c>
    </row>
    <row r="4" spans="1:5" x14ac:dyDescent="0.3">
      <c r="A4" s="2" t="s">
        <v>9</v>
      </c>
      <c r="B4" s="2" t="s">
        <v>10</v>
      </c>
      <c r="C4" s="2" t="s">
        <v>11</v>
      </c>
      <c r="D4" s="2">
        <f>SUMIF(Detalle!$B$2:$B$102,B4,Detalle!$F$2:$F$102)</f>
        <v>82</v>
      </c>
      <c r="E4" s="2">
        <f>SUMIF(Detalle!$B$2:$B$102,B4,Detalle!$G$2:$G$102)</f>
        <v>9</v>
      </c>
    </row>
    <row r="5" spans="1:5" x14ac:dyDescent="0.3">
      <c r="A5" s="2" t="s">
        <v>12</v>
      </c>
      <c r="B5" s="2" t="s">
        <v>13</v>
      </c>
      <c r="C5" s="2" t="s">
        <v>14</v>
      </c>
      <c r="D5" s="2">
        <f>SUMIF(Detalle!$B$2:$B$102,B5,Detalle!$F$2:$F$102)</f>
        <v>141</v>
      </c>
      <c r="E5" s="2">
        <f>SUMIF(Detalle!$B$2:$B$102,B5,Detalle!$G$2:$G$102)</f>
        <v>13</v>
      </c>
    </row>
    <row r="6" spans="1:5" x14ac:dyDescent="0.3">
      <c r="A6" s="2" t="s">
        <v>12</v>
      </c>
      <c r="B6" s="2" t="s">
        <v>15</v>
      </c>
      <c r="C6" s="2" t="s">
        <v>14</v>
      </c>
      <c r="D6" s="2">
        <f>SUMIF(Detalle!$B$2:$B$102,B6,Detalle!$F$2:$F$102)</f>
        <v>66</v>
      </c>
      <c r="E6" s="2">
        <f>SUMIF(Detalle!$B$2:$B$102,B6,Detalle!$G$2:$G$102)</f>
        <v>8</v>
      </c>
    </row>
    <row r="7" spans="1:5" x14ac:dyDescent="0.3">
      <c r="A7" s="2" t="s">
        <v>16</v>
      </c>
      <c r="B7" s="2" t="s">
        <v>17</v>
      </c>
      <c r="C7" s="2" t="s">
        <v>18</v>
      </c>
      <c r="D7" s="2">
        <f>SUMIF(Detalle!$B$2:$B$102,B7,Detalle!$F$2:$F$102)</f>
        <v>49</v>
      </c>
      <c r="E7" s="2">
        <f>SUMIF(Detalle!$B$2:$B$102,B7,Detalle!$G$2:$G$102)</f>
        <v>8</v>
      </c>
    </row>
    <row r="8" spans="1:5" x14ac:dyDescent="0.3">
      <c r="A8" s="2" t="s">
        <v>19</v>
      </c>
      <c r="B8" s="2" t="s">
        <v>20</v>
      </c>
      <c r="C8" s="2" t="s">
        <v>21</v>
      </c>
      <c r="D8" s="2">
        <f>SUMIF(Detalle!$B$2:$B$102,B8,Detalle!$F$2:$F$102)</f>
        <v>150</v>
      </c>
      <c r="E8" s="2">
        <f>SUMIF(Detalle!$B$2:$B$102,B8,Detalle!$G$2:$G$102)</f>
        <v>12</v>
      </c>
    </row>
    <row r="9" spans="1:5" x14ac:dyDescent="0.3">
      <c r="A9" s="2" t="s">
        <v>19</v>
      </c>
      <c r="B9" s="2" t="s">
        <v>22</v>
      </c>
      <c r="C9" s="2" t="s">
        <v>21</v>
      </c>
      <c r="D9" s="2">
        <f>SUMIF(Detalle!$B$2:$B$102,B9,Detalle!$F$2:$F$102)</f>
        <v>248</v>
      </c>
      <c r="E9" s="2">
        <f>SUMIF(Detalle!$B$2:$B$102,B9,Detalle!$G$2:$G$102)</f>
        <v>28</v>
      </c>
    </row>
    <row r="10" spans="1:5" x14ac:dyDescent="0.3">
      <c r="A10" s="2" t="s">
        <v>23</v>
      </c>
      <c r="B10" s="2" t="s">
        <v>24</v>
      </c>
      <c r="C10" s="2" t="s">
        <v>25</v>
      </c>
      <c r="D10" s="2">
        <f>SUMIF(Detalle!$B$2:$B$102,B10,Detalle!$F$2:$F$102)</f>
        <v>103</v>
      </c>
      <c r="E10" s="2">
        <f>SUMIF(Detalle!$B$2:$B$102,B10,Detalle!$G$2:$G$102)</f>
        <v>12</v>
      </c>
    </row>
    <row r="11" spans="1:5" x14ac:dyDescent="0.3">
      <c r="A11" s="2" t="s">
        <v>23</v>
      </c>
      <c r="B11" s="2" t="s">
        <v>26</v>
      </c>
      <c r="C11" s="2" t="s">
        <v>25</v>
      </c>
      <c r="D11" s="2">
        <f>SUMIF(Detalle!$B$2:$B$102,B11,Detalle!$F$2:$F$102)</f>
        <v>41</v>
      </c>
      <c r="E11" s="2">
        <f>SUMIF(Detalle!$B$2:$B$102,B11,Detalle!$G$2:$G$102)</f>
        <v>8</v>
      </c>
    </row>
    <row r="12" spans="1:5" x14ac:dyDescent="0.3">
      <c r="A12" s="2" t="s">
        <v>27</v>
      </c>
      <c r="B12" s="2" t="s">
        <v>28</v>
      </c>
      <c r="C12" s="2" t="s">
        <v>29</v>
      </c>
      <c r="D12" s="2">
        <f>SUMIF(Detalle!$B$2:$B$102,B12,Detalle!$F$2:$F$102)</f>
        <v>101</v>
      </c>
      <c r="E12" s="2">
        <f>SUMIF(Detalle!$B$2:$B$102,B12,Detalle!$G$2:$G$102)</f>
        <v>10</v>
      </c>
    </row>
    <row r="13" spans="1:5" x14ac:dyDescent="0.3">
      <c r="A13" s="2" t="s">
        <v>27</v>
      </c>
      <c r="B13" s="2" t="s">
        <v>30</v>
      </c>
      <c r="C13" s="2" t="s">
        <v>29</v>
      </c>
      <c r="D13" s="2">
        <f>SUMIF(Detalle!$B$2:$B$102,B13,Detalle!$F$2:$F$102)</f>
        <v>68</v>
      </c>
      <c r="E13" s="2">
        <f>SUMIF(Detalle!$B$2:$B$102,B13,Detalle!$G$2:$G$102)</f>
        <v>9</v>
      </c>
    </row>
    <row r="14" spans="1:5" x14ac:dyDescent="0.3">
      <c r="A14" s="2" t="s">
        <v>31</v>
      </c>
      <c r="B14" s="2" t="s">
        <v>32</v>
      </c>
      <c r="C14" s="2" t="s">
        <v>33</v>
      </c>
      <c r="D14" s="2">
        <f>SUMIF(Detalle!$B$2:$B$102,B14,Detalle!$F$2:$F$102)</f>
        <v>154</v>
      </c>
      <c r="E14" s="2">
        <f>SUMIF(Detalle!$B$2:$B$102,B14,Detalle!$G$2:$G$102)</f>
        <v>12</v>
      </c>
    </row>
    <row r="15" spans="1:5" x14ac:dyDescent="0.3">
      <c r="A15" s="2" t="s">
        <v>34</v>
      </c>
      <c r="B15" s="2" t="s">
        <v>35</v>
      </c>
      <c r="C15" s="2" t="s">
        <v>36</v>
      </c>
      <c r="D15" s="2">
        <f>SUMIF(Detalle!$B$2:$B$102,B15,Detalle!$F$2:$F$102)</f>
        <v>163</v>
      </c>
      <c r="E15" s="2">
        <f>SUMIF(Detalle!$B$2:$B$102,B15,Detalle!$G$2:$G$102)</f>
        <v>10</v>
      </c>
    </row>
    <row r="16" spans="1:5" x14ac:dyDescent="0.3">
      <c r="A16" s="2" t="s">
        <v>37</v>
      </c>
      <c r="B16" s="2" t="s">
        <v>38</v>
      </c>
      <c r="C16" s="2" t="s">
        <v>39</v>
      </c>
      <c r="D16" s="2">
        <f>SUMIF(Detalle!$B$2:$B$102,B16,Detalle!$F$2:$F$102)</f>
        <v>194</v>
      </c>
      <c r="E16" s="2">
        <f>SUMIF(Detalle!$B$2:$B$102,B16,Detalle!$G$2:$G$102)</f>
        <v>14</v>
      </c>
    </row>
    <row r="17" spans="1:5" x14ac:dyDescent="0.3">
      <c r="A17" s="2" t="s">
        <v>40</v>
      </c>
      <c r="B17" s="2" t="s">
        <v>41</v>
      </c>
      <c r="C17" s="2" t="s">
        <v>42</v>
      </c>
      <c r="D17" s="2">
        <f>SUMIF(Detalle!$B$2:$B$102,B17,Detalle!$F$2:$F$102)</f>
        <v>132</v>
      </c>
      <c r="E17" s="2">
        <f>SUMIF(Detalle!$B$2:$B$102,B17,Detalle!$G$2:$G$102)</f>
        <v>11</v>
      </c>
    </row>
    <row r="18" spans="1:5" x14ac:dyDescent="0.3">
      <c r="A18" s="2" t="s">
        <v>43</v>
      </c>
      <c r="B18" s="2" t="s">
        <v>44</v>
      </c>
      <c r="C18" s="2" t="s">
        <v>45</v>
      </c>
      <c r="D18" s="2">
        <f>SUMIF(Detalle!$B$2:$B$102,B18,Detalle!$F$2:$F$102)</f>
        <v>123</v>
      </c>
      <c r="E18" s="2">
        <f>SUMIF(Detalle!$B$2:$B$102,B18,Detalle!$G$2:$G$102)</f>
        <v>11</v>
      </c>
    </row>
    <row r="19" spans="1:5" x14ac:dyDescent="0.3">
      <c r="A19" s="2" t="s">
        <v>46</v>
      </c>
      <c r="B19" s="2" t="s">
        <v>47</v>
      </c>
      <c r="C19" s="2" t="s">
        <v>48</v>
      </c>
      <c r="D19" s="2">
        <f>SUMIF(Detalle!$B$2:$B$102,B19,Detalle!$F$2:$F$102)</f>
        <v>114</v>
      </c>
      <c r="E19" s="2">
        <f>SUMIF(Detalle!$B$2:$B$102,B19,Detalle!$G$2:$G$102)</f>
        <v>10</v>
      </c>
    </row>
    <row r="20" spans="1:5" x14ac:dyDescent="0.3">
      <c r="A20" s="2" t="s">
        <v>49</v>
      </c>
      <c r="B20" s="2" t="s">
        <v>50</v>
      </c>
      <c r="C20" s="2" t="s">
        <v>51</v>
      </c>
      <c r="D20" s="2">
        <f>SUMIF(Detalle!$B$2:$B$102,B20,Detalle!$F$2:$F$102)</f>
        <v>94</v>
      </c>
      <c r="E20" s="2">
        <f>SUMIF(Detalle!$B$2:$B$102,B20,Detalle!$G$2:$G$102)</f>
        <v>9</v>
      </c>
    </row>
    <row r="21" spans="1:5" x14ac:dyDescent="0.3">
      <c r="A21" s="2" t="s">
        <v>52</v>
      </c>
      <c r="B21" s="2" t="s">
        <v>53</v>
      </c>
      <c r="C21" s="2" t="s">
        <v>54</v>
      </c>
      <c r="D21" s="2">
        <f>SUMIF(Detalle!$B$2:$B$102,B21,Detalle!$F$2:$F$102)</f>
        <v>123</v>
      </c>
      <c r="E21" s="2">
        <f>SUMIF(Detalle!$B$2:$B$102,B21,Detalle!$G$2:$G$102)</f>
        <v>11</v>
      </c>
    </row>
    <row r="22" spans="1:5" x14ac:dyDescent="0.3">
      <c r="A22" s="2" t="s">
        <v>55</v>
      </c>
      <c r="B22" s="2" t="s">
        <v>56</v>
      </c>
      <c r="C22" s="2" t="s">
        <v>57</v>
      </c>
      <c r="D22" s="2">
        <f>SUMIF(Detalle!$B$2:$B$102,B22,Detalle!$F$2:$F$102)</f>
        <v>118</v>
      </c>
      <c r="E22" s="2">
        <f>SUMIF(Detalle!$B$2:$B$102,B22,Detalle!$G$2:$G$102)</f>
        <v>12</v>
      </c>
    </row>
    <row r="23" spans="1:5" x14ac:dyDescent="0.3">
      <c r="A23" s="2" t="s">
        <v>58</v>
      </c>
      <c r="B23" s="2" t="s">
        <v>59</v>
      </c>
      <c r="C23" s="2" t="s">
        <v>60</v>
      </c>
      <c r="D23" s="2">
        <f>SUMIF(Detalle!$B$2:$B$102,B23,Detalle!$F$2:$F$102)</f>
        <v>138</v>
      </c>
      <c r="E23" s="2">
        <f>SUMIF(Detalle!$B$2:$B$102,B23,Detalle!$G$2:$G$102)</f>
        <v>11</v>
      </c>
    </row>
    <row r="24" spans="1:5" x14ac:dyDescent="0.3">
      <c r="A24" s="2" t="s">
        <v>61</v>
      </c>
      <c r="B24" s="2" t="s">
        <v>62</v>
      </c>
      <c r="C24" s="2" t="s">
        <v>63</v>
      </c>
      <c r="D24" s="2">
        <f>SUMIF(Detalle!$B$2:$B$102,B24,Detalle!$F$2:$F$102)</f>
        <v>106</v>
      </c>
      <c r="E24" s="2">
        <f>SUMIF(Detalle!$B$2:$B$102,B24,Detalle!$G$2:$G$102)</f>
        <v>11</v>
      </c>
    </row>
    <row r="25" spans="1:5" x14ac:dyDescent="0.3">
      <c r="A25" s="2" t="s">
        <v>64</v>
      </c>
      <c r="B25" s="2" t="s">
        <v>65</v>
      </c>
      <c r="C25" s="2" t="s">
        <v>66</v>
      </c>
      <c r="D25" s="2">
        <f>SUMIF(Detalle!$B$2:$B$102,B25,Detalle!$F$2:$F$102)</f>
        <v>120</v>
      </c>
      <c r="E25" s="2">
        <f>SUMIF(Detalle!$B$2:$B$102,B25,Detalle!$G$2:$G$102)</f>
        <v>11</v>
      </c>
    </row>
    <row r="26" spans="1:5" x14ac:dyDescent="0.3">
      <c r="A26" s="2" t="s">
        <v>67</v>
      </c>
      <c r="B26" s="2" t="s">
        <v>68</v>
      </c>
      <c r="C26" s="2" t="s">
        <v>69</v>
      </c>
      <c r="D26" s="2">
        <f>SUMIF(Detalle!$B$2:$B$102,B26,Detalle!$F$2:$F$102)</f>
        <v>30</v>
      </c>
      <c r="E26" s="2">
        <f>SUMIF(Detalle!$B$2:$B$102,B26,Detalle!$G$2:$G$102)</f>
        <v>2</v>
      </c>
    </row>
    <row r="27" spans="1:5" x14ac:dyDescent="0.3">
      <c r="A27" s="2" t="s">
        <v>67</v>
      </c>
      <c r="B27" s="2" t="s">
        <v>70</v>
      </c>
      <c r="C27" s="2" t="s">
        <v>69</v>
      </c>
      <c r="D27" s="2">
        <f>SUMIF(Detalle!$B$2:$B$102,B27,Detalle!$F$2:$F$102)</f>
        <v>5</v>
      </c>
      <c r="E27" s="2">
        <f>SUMIF(Detalle!$B$2:$B$102,B27,Detalle!$G$2:$G$102)</f>
        <v>5</v>
      </c>
    </row>
    <row r="28" spans="1:5" x14ac:dyDescent="0.3">
      <c r="A28" s="2" t="s">
        <v>71</v>
      </c>
      <c r="B28" s="2" t="s">
        <v>72</v>
      </c>
      <c r="C28" s="2" t="s">
        <v>73</v>
      </c>
      <c r="D28" s="2">
        <f>SUMIF(Detalle!$B$2:$B$102,B28,Detalle!$F$2:$F$102)</f>
        <v>137</v>
      </c>
      <c r="E28" s="2">
        <f>SUMIF(Detalle!$B$2:$B$102,B28,Detalle!$G$2:$G$102)</f>
        <v>11</v>
      </c>
    </row>
    <row r="29" spans="1:5" x14ac:dyDescent="0.3">
      <c r="A29" s="2" t="s">
        <v>74</v>
      </c>
      <c r="B29" s="2" t="s">
        <v>75</v>
      </c>
      <c r="C29" s="2" t="s">
        <v>76</v>
      </c>
      <c r="D29" s="2">
        <f>SUMIF(Detalle!$B$2:$B$102,B29,Detalle!$F$2:$F$102)</f>
        <v>112</v>
      </c>
      <c r="E29" s="2">
        <f>SUMIF(Detalle!$B$2:$B$102,B29,Detalle!$G$2:$G$102)</f>
        <v>11</v>
      </c>
    </row>
    <row r="30" spans="1:5" x14ac:dyDescent="0.3">
      <c r="A30" s="2" t="s">
        <v>77</v>
      </c>
      <c r="B30" s="2" t="s">
        <v>78</v>
      </c>
      <c r="C30" s="2" t="s">
        <v>79</v>
      </c>
      <c r="D30" s="2">
        <f>SUMIF(Detalle!$B$2:$B$102,B30,Detalle!$F$2:$F$102)</f>
        <v>89</v>
      </c>
      <c r="E30" s="2">
        <f>SUMIF(Detalle!$B$2:$B$102,B30,Detalle!$G$2:$G$102)</f>
        <v>8</v>
      </c>
    </row>
    <row r="31" spans="1:5" x14ac:dyDescent="0.3">
      <c r="A31" s="3" t="s">
        <v>80</v>
      </c>
      <c r="B31" s="3" t="str">
        <f>COUNTA(B2:B30)&amp;" pedidos"</f>
        <v>29 pedidos</v>
      </c>
      <c r="C31" s="3"/>
      <c r="D31" s="3">
        <f>SUM(D2:D30)</f>
        <v>3233</v>
      </c>
      <c r="E31" s="3">
        <f>SUM(E2:E30)</f>
        <v>307</v>
      </c>
    </row>
    <row r="33" spans="1:1" x14ac:dyDescent="0.3">
      <c r="A33" s="4" t="s">
        <v>81</v>
      </c>
    </row>
  </sheetData>
  <autoFilter ref="A1:E3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2" customWidth="1"/>
    <col min="2" max="3" width="18" customWidth="1"/>
    <col min="4" max="5" width="13" customWidth="1"/>
    <col min="6" max="6" width="10" customWidth="1"/>
    <col min="7" max="7" width="9" customWidth="1"/>
  </cols>
  <sheetData>
    <row r="1" spans="1:7" ht="27.6" x14ac:dyDescent="0.3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3</v>
      </c>
      <c r="G1" s="1" t="s">
        <v>4</v>
      </c>
    </row>
    <row r="2" spans="1:7" x14ac:dyDescent="0.3">
      <c r="A2" s="2" t="s">
        <v>5</v>
      </c>
      <c r="B2" s="2" t="s">
        <v>6</v>
      </c>
      <c r="C2" s="2" t="s">
        <v>86</v>
      </c>
      <c r="D2" s="2" t="s">
        <v>87</v>
      </c>
      <c r="E2" s="2" t="s">
        <v>7</v>
      </c>
      <c r="F2" s="2">
        <v>146</v>
      </c>
      <c r="G2" s="2">
        <v>12</v>
      </c>
    </row>
    <row r="3" spans="1:7" x14ac:dyDescent="0.3">
      <c r="A3" s="2" t="s">
        <v>5</v>
      </c>
      <c r="B3" s="2" t="s">
        <v>8</v>
      </c>
      <c r="C3" s="2" t="s">
        <v>88</v>
      </c>
      <c r="D3" s="2" t="s">
        <v>87</v>
      </c>
      <c r="E3" s="2" t="s">
        <v>7</v>
      </c>
      <c r="F3" s="2">
        <v>23</v>
      </c>
      <c r="G3" s="2">
        <v>1</v>
      </c>
    </row>
    <row r="4" spans="1:7" x14ac:dyDescent="0.3">
      <c r="A4" s="2" t="s">
        <v>5</v>
      </c>
      <c r="B4" s="2" t="s">
        <v>8</v>
      </c>
      <c r="C4" s="2" t="s">
        <v>89</v>
      </c>
      <c r="D4" s="2" t="s">
        <v>87</v>
      </c>
      <c r="E4" s="2" t="s">
        <v>7</v>
      </c>
      <c r="F4" s="2">
        <v>17</v>
      </c>
      <c r="G4" s="2">
        <v>1</v>
      </c>
    </row>
    <row r="5" spans="1:7" x14ac:dyDescent="0.3">
      <c r="A5" s="2" t="s">
        <v>5</v>
      </c>
      <c r="B5" s="2" t="s">
        <v>8</v>
      </c>
      <c r="C5" s="2" t="s">
        <v>90</v>
      </c>
      <c r="D5" s="2" t="s">
        <v>87</v>
      </c>
      <c r="E5" s="2" t="s">
        <v>7</v>
      </c>
      <c r="F5" s="2">
        <v>17</v>
      </c>
      <c r="G5" s="2">
        <v>2</v>
      </c>
    </row>
    <row r="6" spans="1:7" x14ac:dyDescent="0.3">
      <c r="A6" s="2" t="s">
        <v>5</v>
      </c>
      <c r="B6" s="2" t="s">
        <v>8</v>
      </c>
      <c r="C6" s="2" t="s">
        <v>91</v>
      </c>
      <c r="D6" s="2" t="s">
        <v>87</v>
      </c>
      <c r="E6" s="2" t="s">
        <v>7</v>
      </c>
      <c r="F6" s="2">
        <v>13</v>
      </c>
      <c r="G6" s="2">
        <v>2</v>
      </c>
    </row>
    <row r="7" spans="1:7" x14ac:dyDescent="0.3">
      <c r="A7" s="2" t="s">
        <v>5</v>
      </c>
      <c r="B7" s="2" t="s">
        <v>8</v>
      </c>
      <c r="C7" s="2" t="s">
        <v>92</v>
      </c>
      <c r="D7" s="2" t="s">
        <v>87</v>
      </c>
      <c r="E7" s="2" t="s">
        <v>7</v>
      </c>
      <c r="F7" s="2">
        <v>16</v>
      </c>
      <c r="G7" s="2">
        <v>2</v>
      </c>
    </row>
    <row r="8" spans="1:7" x14ac:dyDescent="0.3">
      <c r="A8" s="2" t="s">
        <v>9</v>
      </c>
      <c r="B8" s="2" t="s">
        <v>10</v>
      </c>
      <c r="C8" s="2" t="s">
        <v>93</v>
      </c>
      <c r="D8" s="2" t="s">
        <v>87</v>
      </c>
      <c r="E8" s="2" t="s">
        <v>11</v>
      </c>
      <c r="F8" s="2">
        <v>22</v>
      </c>
      <c r="G8" s="2">
        <v>3</v>
      </c>
    </row>
    <row r="9" spans="1:7" x14ac:dyDescent="0.3">
      <c r="A9" s="2" t="s">
        <v>9</v>
      </c>
      <c r="B9" s="2" t="s">
        <v>10</v>
      </c>
      <c r="C9" s="2" t="s">
        <v>94</v>
      </c>
      <c r="D9" s="2" t="s">
        <v>87</v>
      </c>
      <c r="E9" s="2" t="s">
        <v>11</v>
      </c>
      <c r="F9" s="2">
        <v>14</v>
      </c>
      <c r="G9" s="2">
        <v>1</v>
      </c>
    </row>
    <row r="10" spans="1:7" x14ac:dyDescent="0.3">
      <c r="A10" s="2" t="s">
        <v>9</v>
      </c>
      <c r="B10" s="2" t="s">
        <v>10</v>
      </c>
      <c r="C10" s="2" t="s">
        <v>95</v>
      </c>
      <c r="D10" s="2" t="s">
        <v>87</v>
      </c>
      <c r="E10" s="2" t="s">
        <v>11</v>
      </c>
      <c r="F10" s="2">
        <v>20</v>
      </c>
      <c r="G10" s="2">
        <v>1</v>
      </c>
    </row>
    <row r="11" spans="1:7" x14ac:dyDescent="0.3">
      <c r="A11" s="2" t="s">
        <v>9</v>
      </c>
      <c r="B11" s="2" t="s">
        <v>10</v>
      </c>
      <c r="C11" s="2" t="s">
        <v>96</v>
      </c>
      <c r="D11" s="2" t="s">
        <v>87</v>
      </c>
      <c r="E11" s="2" t="s">
        <v>11</v>
      </c>
      <c r="F11" s="2">
        <v>12</v>
      </c>
      <c r="G11" s="2">
        <v>2</v>
      </c>
    </row>
    <row r="12" spans="1:7" x14ac:dyDescent="0.3">
      <c r="A12" s="2" t="s">
        <v>9</v>
      </c>
      <c r="B12" s="2" t="s">
        <v>10</v>
      </c>
      <c r="C12" s="2" t="s">
        <v>97</v>
      </c>
      <c r="D12" s="2" t="s">
        <v>87</v>
      </c>
      <c r="E12" s="2" t="s">
        <v>11</v>
      </c>
      <c r="F12" s="2">
        <v>14</v>
      </c>
      <c r="G12" s="2">
        <v>2</v>
      </c>
    </row>
    <row r="13" spans="1:7" x14ac:dyDescent="0.3">
      <c r="A13" s="2" t="s">
        <v>12</v>
      </c>
      <c r="B13" s="2" t="s">
        <v>13</v>
      </c>
      <c r="C13" s="2" t="s">
        <v>98</v>
      </c>
      <c r="D13" s="2" t="s">
        <v>87</v>
      </c>
      <c r="E13" s="2" t="s">
        <v>14</v>
      </c>
      <c r="F13" s="2">
        <v>141</v>
      </c>
      <c r="G13" s="2">
        <v>13</v>
      </c>
    </row>
    <row r="14" spans="1:7" x14ac:dyDescent="0.3">
      <c r="A14" s="2" t="s">
        <v>12</v>
      </c>
      <c r="B14" s="2" t="s">
        <v>15</v>
      </c>
      <c r="C14" s="2" t="s">
        <v>99</v>
      </c>
      <c r="D14" s="2" t="s">
        <v>87</v>
      </c>
      <c r="E14" s="2" t="s">
        <v>14</v>
      </c>
      <c r="F14" s="2">
        <v>17</v>
      </c>
      <c r="G14" s="2">
        <v>1</v>
      </c>
    </row>
    <row r="15" spans="1:7" x14ac:dyDescent="0.3">
      <c r="A15" s="2" t="s">
        <v>12</v>
      </c>
      <c r="B15" s="2" t="s">
        <v>15</v>
      </c>
      <c r="C15" s="2" t="s">
        <v>100</v>
      </c>
      <c r="D15" s="2" t="s">
        <v>87</v>
      </c>
      <c r="E15" s="2" t="s">
        <v>14</v>
      </c>
      <c r="F15" s="2">
        <v>10</v>
      </c>
      <c r="G15" s="2">
        <v>1</v>
      </c>
    </row>
    <row r="16" spans="1:7" x14ac:dyDescent="0.3">
      <c r="A16" s="2" t="s">
        <v>12</v>
      </c>
      <c r="B16" s="2" t="s">
        <v>15</v>
      </c>
      <c r="C16" s="2" t="s">
        <v>101</v>
      </c>
      <c r="D16" s="2" t="s">
        <v>87</v>
      </c>
      <c r="E16" s="2" t="s">
        <v>14</v>
      </c>
      <c r="F16" s="2">
        <v>12</v>
      </c>
      <c r="G16" s="2">
        <v>2</v>
      </c>
    </row>
    <row r="17" spans="1:7" x14ac:dyDescent="0.3">
      <c r="A17" s="2" t="s">
        <v>12</v>
      </c>
      <c r="B17" s="2" t="s">
        <v>15</v>
      </c>
      <c r="C17" s="2" t="s">
        <v>102</v>
      </c>
      <c r="D17" s="2" t="s">
        <v>87</v>
      </c>
      <c r="E17" s="2" t="s">
        <v>14</v>
      </c>
      <c r="F17" s="2">
        <v>11</v>
      </c>
      <c r="G17" s="2">
        <v>2</v>
      </c>
    </row>
    <row r="18" spans="1:7" x14ac:dyDescent="0.3">
      <c r="A18" s="2" t="s">
        <v>12</v>
      </c>
      <c r="B18" s="2" t="s">
        <v>15</v>
      </c>
      <c r="C18" s="2" t="s">
        <v>103</v>
      </c>
      <c r="D18" s="2" t="s">
        <v>87</v>
      </c>
      <c r="E18" s="2" t="s">
        <v>14</v>
      </c>
      <c r="F18" s="2">
        <v>16</v>
      </c>
      <c r="G18" s="2">
        <v>2</v>
      </c>
    </row>
    <row r="19" spans="1:7" x14ac:dyDescent="0.3">
      <c r="A19" s="2" t="s">
        <v>16</v>
      </c>
      <c r="B19" s="2" t="s">
        <v>17</v>
      </c>
      <c r="C19" s="2" t="s">
        <v>104</v>
      </c>
      <c r="D19" s="2" t="s">
        <v>87</v>
      </c>
      <c r="E19" s="2" t="s">
        <v>18</v>
      </c>
      <c r="F19" s="2">
        <v>15</v>
      </c>
      <c r="G19" s="2">
        <v>2</v>
      </c>
    </row>
    <row r="20" spans="1:7" x14ac:dyDescent="0.3">
      <c r="A20" s="2" t="s">
        <v>16</v>
      </c>
      <c r="B20" s="2" t="s">
        <v>17</v>
      </c>
      <c r="C20" s="2" t="s">
        <v>105</v>
      </c>
      <c r="D20" s="2" t="s">
        <v>87</v>
      </c>
      <c r="E20" s="2" t="s">
        <v>18</v>
      </c>
      <c r="F20" s="2">
        <v>8</v>
      </c>
      <c r="G20" s="2">
        <v>1</v>
      </c>
    </row>
    <row r="21" spans="1:7" x14ac:dyDescent="0.3">
      <c r="A21" s="2" t="s">
        <v>16</v>
      </c>
      <c r="B21" s="2" t="s">
        <v>17</v>
      </c>
      <c r="C21" s="2" t="s">
        <v>106</v>
      </c>
      <c r="D21" s="2" t="s">
        <v>87</v>
      </c>
      <c r="E21" s="2" t="s">
        <v>18</v>
      </c>
      <c r="F21" s="2">
        <v>4</v>
      </c>
      <c r="G21" s="2">
        <v>1</v>
      </c>
    </row>
    <row r="22" spans="1:7" x14ac:dyDescent="0.3">
      <c r="A22" s="2" t="s">
        <v>16</v>
      </c>
      <c r="B22" s="2" t="s">
        <v>17</v>
      </c>
      <c r="C22" s="2" t="s">
        <v>107</v>
      </c>
      <c r="D22" s="2" t="s">
        <v>87</v>
      </c>
      <c r="E22" s="2" t="s">
        <v>18</v>
      </c>
      <c r="F22" s="2">
        <v>10</v>
      </c>
      <c r="G22" s="2">
        <v>2</v>
      </c>
    </row>
    <row r="23" spans="1:7" x14ac:dyDescent="0.3">
      <c r="A23" s="2" t="s">
        <v>16</v>
      </c>
      <c r="B23" s="2" t="s">
        <v>17</v>
      </c>
      <c r="C23" s="2" t="s">
        <v>108</v>
      </c>
      <c r="D23" s="2" t="s">
        <v>87</v>
      </c>
      <c r="E23" s="2" t="s">
        <v>18</v>
      </c>
      <c r="F23" s="2">
        <v>12</v>
      </c>
      <c r="G23" s="2">
        <v>2</v>
      </c>
    </row>
    <row r="24" spans="1:7" x14ac:dyDescent="0.3">
      <c r="A24" s="2" t="s">
        <v>19</v>
      </c>
      <c r="B24" s="2" t="s">
        <v>20</v>
      </c>
      <c r="C24" s="2" t="s">
        <v>109</v>
      </c>
      <c r="D24" s="2" t="s">
        <v>87</v>
      </c>
      <c r="E24" s="2" t="s">
        <v>21</v>
      </c>
      <c r="F24" s="2">
        <v>150</v>
      </c>
      <c r="G24" s="2">
        <v>12</v>
      </c>
    </row>
    <row r="25" spans="1:7" x14ac:dyDescent="0.3">
      <c r="A25" s="2" t="s">
        <v>19</v>
      </c>
      <c r="B25" s="2" t="s">
        <v>22</v>
      </c>
      <c r="C25" s="2" t="s">
        <v>110</v>
      </c>
      <c r="D25" s="2" t="s">
        <v>87</v>
      </c>
      <c r="E25" s="2" t="s">
        <v>21</v>
      </c>
      <c r="F25" s="2">
        <v>72</v>
      </c>
      <c r="G25" s="2">
        <v>7</v>
      </c>
    </row>
    <row r="26" spans="1:7" x14ac:dyDescent="0.3">
      <c r="A26" s="2" t="s">
        <v>19</v>
      </c>
      <c r="B26" s="2" t="s">
        <v>22</v>
      </c>
      <c r="C26" s="2" t="s">
        <v>111</v>
      </c>
      <c r="D26" s="2" t="s">
        <v>87</v>
      </c>
      <c r="E26" s="2" t="s">
        <v>21</v>
      </c>
      <c r="F26" s="2">
        <v>40</v>
      </c>
      <c r="G26" s="2">
        <v>4</v>
      </c>
    </row>
    <row r="27" spans="1:7" x14ac:dyDescent="0.3">
      <c r="A27" s="2" t="s">
        <v>19</v>
      </c>
      <c r="B27" s="2" t="s">
        <v>22</v>
      </c>
      <c r="C27" s="2" t="s">
        <v>112</v>
      </c>
      <c r="D27" s="2" t="s">
        <v>87</v>
      </c>
      <c r="E27" s="2" t="s">
        <v>21</v>
      </c>
      <c r="F27" s="2">
        <v>52</v>
      </c>
      <c r="G27" s="2">
        <v>7</v>
      </c>
    </row>
    <row r="28" spans="1:7" x14ac:dyDescent="0.3">
      <c r="A28" s="2" t="s">
        <v>19</v>
      </c>
      <c r="B28" s="2" t="s">
        <v>22</v>
      </c>
      <c r="C28" s="2" t="s">
        <v>113</v>
      </c>
      <c r="D28" s="2" t="s">
        <v>87</v>
      </c>
      <c r="E28" s="2" t="s">
        <v>21</v>
      </c>
      <c r="F28" s="2">
        <v>59</v>
      </c>
      <c r="G28" s="2">
        <v>7</v>
      </c>
    </row>
    <row r="29" spans="1:7" x14ac:dyDescent="0.3">
      <c r="A29" s="2" t="s">
        <v>19</v>
      </c>
      <c r="B29" s="2" t="s">
        <v>22</v>
      </c>
      <c r="C29" s="2" t="s">
        <v>114</v>
      </c>
      <c r="D29" s="2" t="s">
        <v>87</v>
      </c>
      <c r="E29" s="2" t="s">
        <v>21</v>
      </c>
      <c r="F29" s="2">
        <v>25</v>
      </c>
      <c r="G29" s="2">
        <v>3</v>
      </c>
    </row>
    <row r="30" spans="1:7" x14ac:dyDescent="0.3">
      <c r="A30" s="2" t="s">
        <v>23</v>
      </c>
      <c r="B30" s="2" t="s">
        <v>24</v>
      </c>
      <c r="C30" s="2" t="s">
        <v>115</v>
      </c>
      <c r="D30" s="2" t="s">
        <v>87</v>
      </c>
      <c r="E30" s="2" t="s">
        <v>25</v>
      </c>
      <c r="F30" s="2">
        <v>34</v>
      </c>
      <c r="G30" s="2">
        <v>1</v>
      </c>
    </row>
    <row r="31" spans="1:7" x14ac:dyDescent="0.3">
      <c r="A31" s="2" t="s">
        <v>23</v>
      </c>
      <c r="B31" s="2" t="s">
        <v>24</v>
      </c>
      <c r="C31" s="2" t="s">
        <v>116</v>
      </c>
      <c r="D31" s="2" t="s">
        <v>87</v>
      </c>
      <c r="E31" s="2" t="s">
        <v>25</v>
      </c>
      <c r="F31" s="2">
        <v>27</v>
      </c>
      <c r="G31" s="2">
        <v>4</v>
      </c>
    </row>
    <row r="32" spans="1:7" x14ac:dyDescent="0.3">
      <c r="A32" s="2" t="s">
        <v>23</v>
      </c>
      <c r="B32" s="2" t="s">
        <v>24</v>
      </c>
      <c r="C32" s="2" t="s">
        <v>117</v>
      </c>
      <c r="D32" s="2" t="s">
        <v>87</v>
      </c>
      <c r="E32" s="2" t="s">
        <v>25</v>
      </c>
      <c r="F32" s="2">
        <v>33</v>
      </c>
      <c r="G32" s="2">
        <v>5</v>
      </c>
    </row>
    <row r="33" spans="1:7" x14ac:dyDescent="0.3">
      <c r="A33" s="2" t="s">
        <v>23</v>
      </c>
      <c r="B33" s="2" t="s">
        <v>24</v>
      </c>
      <c r="C33" s="2" t="s">
        <v>118</v>
      </c>
      <c r="D33" s="2" t="s">
        <v>87</v>
      </c>
      <c r="E33" s="2" t="s">
        <v>25</v>
      </c>
      <c r="F33" s="2">
        <v>6</v>
      </c>
      <c r="G33" s="2">
        <v>1</v>
      </c>
    </row>
    <row r="34" spans="1:7" x14ac:dyDescent="0.3">
      <c r="A34" s="2" t="s">
        <v>23</v>
      </c>
      <c r="B34" s="2" t="s">
        <v>24</v>
      </c>
      <c r="C34" s="2" t="s">
        <v>119</v>
      </c>
      <c r="D34" s="2" t="s">
        <v>87</v>
      </c>
      <c r="E34" s="2" t="s">
        <v>25</v>
      </c>
      <c r="F34" s="2">
        <v>3</v>
      </c>
      <c r="G34" s="2">
        <v>1</v>
      </c>
    </row>
    <row r="35" spans="1:7" x14ac:dyDescent="0.3">
      <c r="A35" s="2" t="s">
        <v>23</v>
      </c>
      <c r="B35" s="2" t="s">
        <v>26</v>
      </c>
      <c r="C35" s="2" t="s">
        <v>120</v>
      </c>
      <c r="D35" s="2" t="s">
        <v>87</v>
      </c>
      <c r="E35" s="2" t="s">
        <v>25</v>
      </c>
      <c r="F35" s="2">
        <v>14</v>
      </c>
      <c r="G35" s="2">
        <v>2</v>
      </c>
    </row>
    <row r="36" spans="1:7" x14ac:dyDescent="0.3">
      <c r="A36" s="2" t="s">
        <v>23</v>
      </c>
      <c r="B36" s="2" t="s">
        <v>26</v>
      </c>
      <c r="C36" s="2" t="s">
        <v>121</v>
      </c>
      <c r="D36" s="2" t="s">
        <v>87</v>
      </c>
      <c r="E36" s="2" t="s">
        <v>25</v>
      </c>
      <c r="F36" s="2">
        <v>4</v>
      </c>
      <c r="G36" s="2">
        <v>1</v>
      </c>
    </row>
    <row r="37" spans="1:7" x14ac:dyDescent="0.3">
      <c r="A37" s="2" t="s">
        <v>23</v>
      </c>
      <c r="B37" s="2" t="s">
        <v>26</v>
      </c>
      <c r="C37" s="2" t="s">
        <v>122</v>
      </c>
      <c r="D37" s="2" t="s">
        <v>87</v>
      </c>
      <c r="E37" s="2" t="s">
        <v>25</v>
      </c>
      <c r="F37" s="2">
        <v>4</v>
      </c>
      <c r="G37" s="2">
        <v>1</v>
      </c>
    </row>
    <row r="38" spans="1:7" x14ac:dyDescent="0.3">
      <c r="A38" s="2" t="s">
        <v>23</v>
      </c>
      <c r="B38" s="2" t="s">
        <v>26</v>
      </c>
      <c r="C38" s="2" t="s">
        <v>123</v>
      </c>
      <c r="D38" s="2" t="s">
        <v>87</v>
      </c>
      <c r="E38" s="2" t="s">
        <v>25</v>
      </c>
      <c r="F38" s="2">
        <v>8</v>
      </c>
      <c r="G38" s="2">
        <v>2</v>
      </c>
    </row>
    <row r="39" spans="1:7" x14ac:dyDescent="0.3">
      <c r="A39" s="2" t="s">
        <v>23</v>
      </c>
      <c r="B39" s="2" t="s">
        <v>26</v>
      </c>
      <c r="C39" s="2" t="s">
        <v>124</v>
      </c>
      <c r="D39" s="2" t="s">
        <v>87</v>
      </c>
      <c r="E39" s="2" t="s">
        <v>25</v>
      </c>
      <c r="F39" s="2">
        <v>11</v>
      </c>
      <c r="G39" s="2">
        <v>2</v>
      </c>
    </row>
    <row r="40" spans="1:7" x14ac:dyDescent="0.3">
      <c r="A40" s="2" t="s">
        <v>27</v>
      </c>
      <c r="B40" s="2" t="s">
        <v>28</v>
      </c>
      <c r="C40" s="2" t="s">
        <v>125</v>
      </c>
      <c r="D40" s="2" t="s">
        <v>87</v>
      </c>
      <c r="E40" s="2" t="s">
        <v>29</v>
      </c>
      <c r="F40" s="2">
        <v>32</v>
      </c>
      <c r="G40" s="2">
        <v>1</v>
      </c>
    </row>
    <row r="41" spans="1:7" x14ac:dyDescent="0.3">
      <c r="A41" s="2" t="s">
        <v>27</v>
      </c>
      <c r="B41" s="2" t="s">
        <v>28</v>
      </c>
      <c r="C41" s="2" t="s">
        <v>126</v>
      </c>
      <c r="D41" s="2" t="s">
        <v>87</v>
      </c>
      <c r="E41" s="2" t="s">
        <v>29</v>
      </c>
      <c r="F41" s="2">
        <v>25</v>
      </c>
      <c r="G41" s="2">
        <v>4</v>
      </c>
    </row>
    <row r="42" spans="1:7" x14ac:dyDescent="0.3">
      <c r="A42" s="2" t="s">
        <v>27</v>
      </c>
      <c r="B42" s="2" t="s">
        <v>28</v>
      </c>
      <c r="C42" s="2" t="s">
        <v>127</v>
      </c>
      <c r="D42" s="2" t="s">
        <v>87</v>
      </c>
      <c r="E42" s="2" t="s">
        <v>29</v>
      </c>
      <c r="F42" s="2">
        <v>3</v>
      </c>
      <c r="G42" s="2">
        <v>0</v>
      </c>
    </row>
    <row r="43" spans="1:7" x14ac:dyDescent="0.3">
      <c r="A43" s="2" t="s">
        <v>27</v>
      </c>
      <c r="B43" s="2" t="s">
        <v>28</v>
      </c>
      <c r="C43" s="2" t="s">
        <v>128</v>
      </c>
      <c r="D43" s="2" t="s">
        <v>87</v>
      </c>
      <c r="E43" s="2" t="s">
        <v>29</v>
      </c>
      <c r="F43" s="2">
        <v>9</v>
      </c>
      <c r="G43" s="2">
        <v>1</v>
      </c>
    </row>
    <row r="44" spans="1:7" x14ac:dyDescent="0.3">
      <c r="A44" s="2" t="s">
        <v>27</v>
      </c>
      <c r="B44" s="2" t="s">
        <v>28</v>
      </c>
      <c r="C44" s="2" t="s">
        <v>129</v>
      </c>
      <c r="D44" s="2" t="s">
        <v>87</v>
      </c>
      <c r="E44" s="2" t="s">
        <v>29</v>
      </c>
      <c r="F44" s="2">
        <v>32</v>
      </c>
      <c r="G44" s="2">
        <v>4</v>
      </c>
    </row>
    <row r="45" spans="1:7" x14ac:dyDescent="0.3">
      <c r="A45" s="2" t="s">
        <v>27</v>
      </c>
      <c r="B45" s="2" t="s">
        <v>30</v>
      </c>
      <c r="C45" s="2" t="s">
        <v>130</v>
      </c>
      <c r="D45" s="2" t="s">
        <v>87</v>
      </c>
      <c r="E45" s="2" t="s">
        <v>29</v>
      </c>
      <c r="F45" s="2">
        <v>19</v>
      </c>
      <c r="G45" s="2">
        <v>3</v>
      </c>
    </row>
    <row r="46" spans="1:7" x14ac:dyDescent="0.3">
      <c r="A46" s="2" t="s">
        <v>27</v>
      </c>
      <c r="B46" s="2" t="s">
        <v>30</v>
      </c>
      <c r="C46" s="2" t="s">
        <v>131</v>
      </c>
      <c r="D46" s="2" t="s">
        <v>87</v>
      </c>
      <c r="E46" s="2" t="s">
        <v>29</v>
      </c>
      <c r="F46" s="2">
        <v>13</v>
      </c>
      <c r="G46" s="2">
        <v>1</v>
      </c>
    </row>
    <row r="47" spans="1:7" x14ac:dyDescent="0.3">
      <c r="A47" s="2" t="s">
        <v>27</v>
      </c>
      <c r="B47" s="2" t="s">
        <v>30</v>
      </c>
      <c r="C47" s="2" t="s">
        <v>132</v>
      </c>
      <c r="D47" s="2" t="s">
        <v>87</v>
      </c>
      <c r="E47" s="2" t="s">
        <v>29</v>
      </c>
      <c r="F47" s="2">
        <v>6</v>
      </c>
      <c r="G47" s="2">
        <v>1</v>
      </c>
    </row>
    <row r="48" spans="1:7" x14ac:dyDescent="0.3">
      <c r="A48" s="2" t="s">
        <v>27</v>
      </c>
      <c r="B48" s="2" t="s">
        <v>30</v>
      </c>
      <c r="C48" s="2" t="s">
        <v>133</v>
      </c>
      <c r="D48" s="2" t="s">
        <v>87</v>
      </c>
      <c r="E48" s="2" t="s">
        <v>29</v>
      </c>
      <c r="F48" s="2">
        <v>16</v>
      </c>
      <c r="G48" s="2">
        <v>2</v>
      </c>
    </row>
    <row r="49" spans="1:7" x14ac:dyDescent="0.3">
      <c r="A49" s="2" t="s">
        <v>27</v>
      </c>
      <c r="B49" s="2" t="s">
        <v>30</v>
      </c>
      <c r="C49" s="2" t="s">
        <v>134</v>
      </c>
      <c r="D49" s="2" t="s">
        <v>87</v>
      </c>
      <c r="E49" s="2" t="s">
        <v>29</v>
      </c>
      <c r="F49" s="2">
        <v>14</v>
      </c>
      <c r="G49" s="2">
        <v>2</v>
      </c>
    </row>
    <row r="50" spans="1:7" x14ac:dyDescent="0.3">
      <c r="A50" s="2" t="s">
        <v>31</v>
      </c>
      <c r="B50" s="2" t="s">
        <v>32</v>
      </c>
      <c r="C50" s="2" t="s">
        <v>135</v>
      </c>
      <c r="D50" s="2" t="s">
        <v>87</v>
      </c>
      <c r="E50" s="2" t="s">
        <v>33</v>
      </c>
      <c r="F50" s="2">
        <v>154</v>
      </c>
      <c r="G50" s="2">
        <v>12</v>
      </c>
    </row>
    <row r="51" spans="1:7" x14ac:dyDescent="0.3">
      <c r="A51" s="2" t="s">
        <v>34</v>
      </c>
      <c r="B51" s="2" t="s">
        <v>35</v>
      </c>
      <c r="C51" s="2" t="s">
        <v>136</v>
      </c>
      <c r="D51" s="2" t="s">
        <v>87</v>
      </c>
      <c r="E51" s="2" t="s">
        <v>36</v>
      </c>
      <c r="F51" s="2">
        <v>163</v>
      </c>
      <c r="G51" s="2">
        <v>10</v>
      </c>
    </row>
    <row r="52" spans="1:7" x14ac:dyDescent="0.3">
      <c r="A52" s="2" t="s">
        <v>37</v>
      </c>
      <c r="B52" s="2" t="s">
        <v>38</v>
      </c>
      <c r="C52" s="2" t="s">
        <v>137</v>
      </c>
      <c r="D52" s="2" t="s">
        <v>87</v>
      </c>
      <c r="E52" s="2" t="s">
        <v>39</v>
      </c>
      <c r="F52" s="2">
        <v>194</v>
      </c>
      <c r="G52" s="2">
        <v>14</v>
      </c>
    </row>
    <row r="53" spans="1:7" x14ac:dyDescent="0.3">
      <c r="A53" s="2" t="s">
        <v>40</v>
      </c>
      <c r="B53" s="2" t="s">
        <v>41</v>
      </c>
      <c r="C53" s="2" t="s">
        <v>138</v>
      </c>
      <c r="D53" s="2" t="s">
        <v>87</v>
      </c>
      <c r="E53" s="2" t="s">
        <v>42</v>
      </c>
      <c r="F53" s="2">
        <v>132</v>
      </c>
      <c r="G53" s="2">
        <v>11</v>
      </c>
    </row>
    <row r="54" spans="1:7" x14ac:dyDescent="0.3">
      <c r="A54" s="2" t="s">
        <v>43</v>
      </c>
      <c r="B54" s="2" t="s">
        <v>44</v>
      </c>
      <c r="C54" s="2" t="s">
        <v>139</v>
      </c>
      <c r="D54" s="2" t="s">
        <v>87</v>
      </c>
      <c r="E54" s="2" t="s">
        <v>45</v>
      </c>
      <c r="F54" s="2">
        <v>123</v>
      </c>
      <c r="G54" s="2">
        <v>11</v>
      </c>
    </row>
    <row r="55" spans="1:7" x14ac:dyDescent="0.3">
      <c r="A55" s="2" t="s">
        <v>46</v>
      </c>
      <c r="B55" s="2" t="s">
        <v>47</v>
      </c>
      <c r="C55" s="2" t="s">
        <v>140</v>
      </c>
      <c r="D55" s="2" t="s">
        <v>87</v>
      </c>
      <c r="E55" s="2" t="s">
        <v>48</v>
      </c>
      <c r="F55" s="2">
        <v>36</v>
      </c>
      <c r="G55" s="2">
        <v>1</v>
      </c>
    </row>
    <row r="56" spans="1:7" x14ac:dyDescent="0.3">
      <c r="A56" s="2" t="s">
        <v>46</v>
      </c>
      <c r="B56" s="2" t="s">
        <v>47</v>
      </c>
      <c r="C56" s="2" t="s">
        <v>141</v>
      </c>
      <c r="D56" s="2" t="s">
        <v>87</v>
      </c>
      <c r="E56" s="2" t="s">
        <v>48</v>
      </c>
      <c r="F56" s="2">
        <v>13</v>
      </c>
      <c r="G56" s="2">
        <v>1</v>
      </c>
    </row>
    <row r="57" spans="1:7" x14ac:dyDescent="0.3">
      <c r="A57" s="2" t="s">
        <v>46</v>
      </c>
      <c r="B57" s="2" t="s">
        <v>47</v>
      </c>
      <c r="C57" s="2" t="s">
        <v>142</v>
      </c>
      <c r="D57" s="2" t="s">
        <v>87</v>
      </c>
      <c r="E57" s="2" t="s">
        <v>48</v>
      </c>
      <c r="F57" s="2">
        <v>24</v>
      </c>
      <c r="G57" s="2">
        <v>3</v>
      </c>
    </row>
    <row r="58" spans="1:7" x14ac:dyDescent="0.3">
      <c r="A58" s="2" t="s">
        <v>46</v>
      </c>
      <c r="B58" s="2" t="s">
        <v>47</v>
      </c>
      <c r="C58" s="2" t="s">
        <v>143</v>
      </c>
      <c r="D58" s="2" t="s">
        <v>87</v>
      </c>
      <c r="E58" s="2" t="s">
        <v>48</v>
      </c>
      <c r="F58" s="2">
        <v>31</v>
      </c>
      <c r="G58" s="2">
        <v>4</v>
      </c>
    </row>
    <row r="59" spans="1:7" x14ac:dyDescent="0.3">
      <c r="A59" s="2" t="s">
        <v>46</v>
      </c>
      <c r="B59" s="2" t="s">
        <v>47</v>
      </c>
      <c r="C59" s="2" t="s">
        <v>144</v>
      </c>
      <c r="D59" s="2" t="s">
        <v>87</v>
      </c>
      <c r="E59" s="2" t="s">
        <v>48</v>
      </c>
      <c r="F59" s="2">
        <v>9</v>
      </c>
      <c r="G59" s="2">
        <v>1</v>
      </c>
    </row>
    <row r="60" spans="1:7" x14ac:dyDescent="0.3">
      <c r="A60" s="2" t="s">
        <v>46</v>
      </c>
      <c r="B60" s="2" t="s">
        <v>47</v>
      </c>
      <c r="C60" s="2" t="s">
        <v>145</v>
      </c>
      <c r="D60" s="2" t="s">
        <v>87</v>
      </c>
      <c r="E60" s="2" t="s">
        <v>48</v>
      </c>
      <c r="F60" s="2">
        <v>1</v>
      </c>
      <c r="G60" s="2">
        <v>0</v>
      </c>
    </row>
    <row r="61" spans="1:7" x14ac:dyDescent="0.3">
      <c r="A61" s="2" t="s">
        <v>49</v>
      </c>
      <c r="B61" s="2" t="s">
        <v>50</v>
      </c>
      <c r="C61" s="2" t="s">
        <v>146</v>
      </c>
      <c r="D61" s="2" t="s">
        <v>87</v>
      </c>
      <c r="E61" s="2" t="s">
        <v>51</v>
      </c>
      <c r="F61" s="2">
        <v>35</v>
      </c>
      <c r="G61" s="2">
        <v>1</v>
      </c>
    </row>
    <row r="62" spans="1:7" x14ac:dyDescent="0.3">
      <c r="A62" s="2" t="s">
        <v>49</v>
      </c>
      <c r="B62" s="2" t="s">
        <v>50</v>
      </c>
      <c r="C62" s="2" t="s">
        <v>147</v>
      </c>
      <c r="D62" s="2" t="s">
        <v>87</v>
      </c>
      <c r="E62" s="2" t="s">
        <v>51</v>
      </c>
      <c r="F62" s="2">
        <v>24</v>
      </c>
      <c r="G62" s="2">
        <v>3</v>
      </c>
    </row>
    <row r="63" spans="1:7" x14ac:dyDescent="0.3">
      <c r="A63" s="2" t="s">
        <v>49</v>
      </c>
      <c r="B63" s="2" t="s">
        <v>50</v>
      </c>
      <c r="C63" s="2" t="s">
        <v>148</v>
      </c>
      <c r="D63" s="2" t="s">
        <v>87</v>
      </c>
      <c r="E63" s="2" t="s">
        <v>51</v>
      </c>
      <c r="F63" s="2">
        <v>30</v>
      </c>
      <c r="G63" s="2">
        <v>4</v>
      </c>
    </row>
    <row r="64" spans="1:7" x14ac:dyDescent="0.3">
      <c r="A64" s="2" t="s">
        <v>49</v>
      </c>
      <c r="B64" s="2" t="s">
        <v>50</v>
      </c>
      <c r="C64" s="2" t="s">
        <v>149</v>
      </c>
      <c r="D64" s="2" t="s">
        <v>87</v>
      </c>
      <c r="E64" s="2" t="s">
        <v>51</v>
      </c>
      <c r="F64" s="2">
        <v>3</v>
      </c>
      <c r="G64" s="2">
        <v>1</v>
      </c>
    </row>
    <row r="65" spans="1:7" x14ac:dyDescent="0.3">
      <c r="A65" s="2" t="s">
        <v>49</v>
      </c>
      <c r="B65" s="2" t="s">
        <v>50</v>
      </c>
      <c r="C65" s="2" t="s">
        <v>150</v>
      </c>
      <c r="D65" s="2" t="s">
        <v>87</v>
      </c>
      <c r="E65" s="2" t="s">
        <v>51</v>
      </c>
      <c r="F65" s="2">
        <v>2</v>
      </c>
      <c r="G65" s="2">
        <v>0</v>
      </c>
    </row>
    <row r="66" spans="1:7" x14ac:dyDescent="0.3">
      <c r="A66" s="2" t="s">
        <v>52</v>
      </c>
      <c r="B66" s="2" t="s">
        <v>53</v>
      </c>
      <c r="C66" s="2" t="s">
        <v>151</v>
      </c>
      <c r="D66" s="2" t="s">
        <v>87</v>
      </c>
      <c r="E66" s="2" t="s">
        <v>54</v>
      </c>
      <c r="F66" s="2">
        <v>35</v>
      </c>
      <c r="G66" s="2">
        <v>1</v>
      </c>
    </row>
    <row r="67" spans="1:7" x14ac:dyDescent="0.3">
      <c r="A67" s="2" t="s">
        <v>52</v>
      </c>
      <c r="B67" s="2" t="s">
        <v>53</v>
      </c>
      <c r="C67" s="2" t="s">
        <v>152</v>
      </c>
      <c r="D67" s="2" t="s">
        <v>87</v>
      </c>
      <c r="E67" s="2" t="s">
        <v>54</v>
      </c>
      <c r="F67" s="2">
        <v>24</v>
      </c>
      <c r="G67" s="2">
        <v>3</v>
      </c>
    </row>
    <row r="68" spans="1:7" x14ac:dyDescent="0.3">
      <c r="A68" s="2" t="s">
        <v>52</v>
      </c>
      <c r="B68" s="2" t="s">
        <v>53</v>
      </c>
      <c r="C68" s="2" t="s">
        <v>153</v>
      </c>
      <c r="D68" s="2" t="s">
        <v>87</v>
      </c>
      <c r="E68" s="2" t="s">
        <v>54</v>
      </c>
      <c r="F68" s="2">
        <v>13</v>
      </c>
      <c r="G68" s="2">
        <v>1</v>
      </c>
    </row>
    <row r="69" spans="1:7" x14ac:dyDescent="0.3">
      <c r="A69" s="2" t="s">
        <v>52</v>
      </c>
      <c r="B69" s="2" t="s">
        <v>53</v>
      </c>
      <c r="C69" s="2" t="s">
        <v>154</v>
      </c>
      <c r="D69" s="2" t="s">
        <v>87</v>
      </c>
      <c r="E69" s="2" t="s">
        <v>54</v>
      </c>
      <c r="F69" s="2">
        <v>16</v>
      </c>
      <c r="G69" s="2">
        <v>1</v>
      </c>
    </row>
    <row r="70" spans="1:7" x14ac:dyDescent="0.3">
      <c r="A70" s="2" t="s">
        <v>52</v>
      </c>
      <c r="B70" s="2" t="s">
        <v>53</v>
      </c>
      <c r="C70" s="2" t="s">
        <v>155</v>
      </c>
      <c r="D70" s="2" t="s">
        <v>87</v>
      </c>
      <c r="E70" s="2" t="s">
        <v>54</v>
      </c>
      <c r="F70" s="2">
        <v>35</v>
      </c>
      <c r="G70" s="2">
        <v>5</v>
      </c>
    </row>
    <row r="71" spans="1:7" x14ac:dyDescent="0.3">
      <c r="A71" s="2" t="s">
        <v>55</v>
      </c>
      <c r="B71" s="2" t="s">
        <v>56</v>
      </c>
      <c r="C71" s="2" t="s">
        <v>156</v>
      </c>
      <c r="D71" s="2" t="s">
        <v>87</v>
      </c>
      <c r="E71" s="2" t="s">
        <v>57</v>
      </c>
      <c r="F71" s="2">
        <v>41</v>
      </c>
      <c r="G71" s="2">
        <v>2</v>
      </c>
    </row>
    <row r="72" spans="1:7" x14ac:dyDescent="0.3">
      <c r="A72" s="2" t="s">
        <v>55</v>
      </c>
      <c r="B72" s="2" t="s">
        <v>56</v>
      </c>
      <c r="C72" s="2" t="s">
        <v>157</v>
      </c>
      <c r="D72" s="2" t="s">
        <v>87</v>
      </c>
      <c r="E72" s="2" t="s">
        <v>57</v>
      </c>
      <c r="F72" s="2">
        <v>24</v>
      </c>
      <c r="G72" s="2">
        <v>3</v>
      </c>
    </row>
    <row r="73" spans="1:7" x14ac:dyDescent="0.3">
      <c r="A73" s="2" t="s">
        <v>55</v>
      </c>
      <c r="B73" s="2" t="s">
        <v>56</v>
      </c>
      <c r="C73" s="2" t="s">
        <v>158</v>
      </c>
      <c r="D73" s="2" t="s">
        <v>87</v>
      </c>
      <c r="E73" s="2" t="s">
        <v>57</v>
      </c>
      <c r="F73" s="2">
        <v>13</v>
      </c>
      <c r="G73" s="2">
        <v>1</v>
      </c>
    </row>
    <row r="74" spans="1:7" x14ac:dyDescent="0.3">
      <c r="A74" s="2" t="s">
        <v>55</v>
      </c>
      <c r="B74" s="2" t="s">
        <v>56</v>
      </c>
      <c r="C74" s="2" t="s">
        <v>159</v>
      </c>
      <c r="D74" s="2" t="s">
        <v>87</v>
      </c>
      <c r="E74" s="2" t="s">
        <v>57</v>
      </c>
      <c r="F74" s="2">
        <v>30</v>
      </c>
      <c r="G74" s="2">
        <v>5</v>
      </c>
    </row>
    <row r="75" spans="1:7" x14ac:dyDescent="0.3">
      <c r="A75" s="2" t="s">
        <v>55</v>
      </c>
      <c r="B75" s="2" t="s">
        <v>56</v>
      </c>
      <c r="C75" s="2" t="s">
        <v>160</v>
      </c>
      <c r="D75" s="2" t="s">
        <v>87</v>
      </c>
      <c r="E75" s="2" t="s">
        <v>57</v>
      </c>
      <c r="F75" s="2">
        <v>10</v>
      </c>
      <c r="G75" s="2">
        <v>1</v>
      </c>
    </row>
    <row r="76" spans="1:7" x14ac:dyDescent="0.3">
      <c r="A76" s="2" t="s">
        <v>58</v>
      </c>
      <c r="B76" s="2" t="s">
        <v>59</v>
      </c>
      <c r="C76" s="2" t="s">
        <v>161</v>
      </c>
      <c r="D76" s="2" t="s">
        <v>87</v>
      </c>
      <c r="E76" s="2" t="s">
        <v>60</v>
      </c>
      <c r="F76" s="2">
        <v>138</v>
      </c>
      <c r="G76" s="2">
        <v>11</v>
      </c>
    </row>
    <row r="77" spans="1:7" x14ac:dyDescent="0.3">
      <c r="A77" s="2" t="s">
        <v>61</v>
      </c>
      <c r="B77" s="2" t="s">
        <v>62</v>
      </c>
      <c r="C77" s="2" t="s">
        <v>162</v>
      </c>
      <c r="D77" s="2" t="s">
        <v>87</v>
      </c>
      <c r="E77" s="2" t="s">
        <v>63</v>
      </c>
      <c r="F77" s="2">
        <v>35</v>
      </c>
      <c r="G77" s="2">
        <v>5</v>
      </c>
    </row>
    <row r="78" spans="1:7" x14ac:dyDescent="0.3">
      <c r="A78" s="2" t="s">
        <v>61</v>
      </c>
      <c r="B78" s="2" t="s">
        <v>62</v>
      </c>
      <c r="C78" s="2" t="s">
        <v>163</v>
      </c>
      <c r="D78" s="2" t="s">
        <v>87</v>
      </c>
      <c r="E78" s="2" t="s">
        <v>63</v>
      </c>
      <c r="F78" s="2">
        <v>7</v>
      </c>
      <c r="G78" s="2">
        <v>1</v>
      </c>
    </row>
    <row r="79" spans="1:7" x14ac:dyDescent="0.3">
      <c r="A79" s="2" t="s">
        <v>61</v>
      </c>
      <c r="B79" s="2" t="s">
        <v>62</v>
      </c>
      <c r="C79" s="2" t="s">
        <v>164</v>
      </c>
      <c r="D79" s="2" t="s">
        <v>87</v>
      </c>
      <c r="E79" s="2" t="s">
        <v>63</v>
      </c>
      <c r="F79" s="2">
        <v>28</v>
      </c>
      <c r="G79" s="2">
        <v>4</v>
      </c>
    </row>
    <row r="80" spans="1:7" x14ac:dyDescent="0.3">
      <c r="A80" s="2" t="s">
        <v>61</v>
      </c>
      <c r="B80" s="2" t="s">
        <v>62</v>
      </c>
      <c r="C80" s="2" t="s">
        <v>165</v>
      </c>
      <c r="D80" s="2" t="s">
        <v>87</v>
      </c>
      <c r="E80" s="2" t="s">
        <v>63</v>
      </c>
      <c r="F80" s="2">
        <v>2</v>
      </c>
      <c r="G80" s="2">
        <v>0</v>
      </c>
    </row>
    <row r="81" spans="1:7" x14ac:dyDescent="0.3">
      <c r="A81" s="2" t="s">
        <v>61</v>
      </c>
      <c r="B81" s="2" t="s">
        <v>62</v>
      </c>
      <c r="C81" s="2" t="s">
        <v>166</v>
      </c>
      <c r="D81" s="2" t="s">
        <v>87</v>
      </c>
      <c r="E81" s="2" t="s">
        <v>63</v>
      </c>
      <c r="F81" s="2">
        <v>34</v>
      </c>
      <c r="G81" s="2">
        <v>1</v>
      </c>
    </row>
    <row r="82" spans="1:7" x14ac:dyDescent="0.3">
      <c r="A82" s="2" t="s">
        <v>64</v>
      </c>
      <c r="B82" s="2" t="s">
        <v>65</v>
      </c>
      <c r="C82" s="2" t="s">
        <v>167</v>
      </c>
      <c r="D82" s="2" t="s">
        <v>87</v>
      </c>
      <c r="E82" s="2" t="s">
        <v>66</v>
      </c>
      <c r="F82" s="2">
        <v>36</v>
      </c>
      <c r="G82" s="2">
        <v>5</v>
      </c>
    </row>
    <row r="83" spans="1:7" x14ac:dyDescent="0.3">
      <c r="A83" s="2" t="s">
        <v>64</v>
      </c>
      <c r="B83" s="2" t="s">
        <v>65</v>
      </c>
      <c r="C83" s="2" t="s">
        <v>168</v>
      </c>
      <c r="D83" s="2" t="s">
        <v>87</v>
      </c>
      <c r="E83" s="2" t="s">
        <v>66</v>
      </c>
      <c r="F83" s="2">
        <v>32</v>
      </c>
      <c r="G83" s="2">
        <v>3</v>
      </c>
    </row>
    <row r="84" spans="1:7" x14ac:dyDescent="0.3">
      <c r="A84" s="2" t="s">
        <v>64</v>
      </c>
      <c r="B84" s="2" t="s">
        <v>65</v>
      </c>
      <c r="C84" s="2" t="s">
        <v>169</v>
      </c>
      <c r="D84" s="2" t="s">
        <v>87</v>
      </c>
      <c r="E84" s="2" t="s">
        <v>66</v>
      </c>
      <c r="F84" s="2">
        <v>12</v>
      </c>
      <c r="G84" s="2">
        <v>1</v>
      </c>
    </row>
    <row r="85" spans="1:7" x14ac:dyDescent="0.3">
      <c r="A85" s="2" t="s">
        <v>64</v>
      </c>
      <c r="B85" s="2" t="s">
        <v>65</v>
      </c>
      <c r="C85" s="2" t="s">
        <v>170</v>
      </c>
      <c r="D85" s="2" t="s">
        <v>87</v>
      </c>
      <c r="E85" s="2" t="s">
        <v>66</v>
      </c>
      <c r="F85" s="2">
        <v>6</v>
      </c>
      <c r="G85" s="2">
        <v>1</v>
      </c>
    </row>
    <row r="86" spans="1:7" x14ac:dyDescent="0.3">
      <c r="A86" s="2" t="s">
        <v>64</v>
      </c>
      <c r="B86" s="2" t="s">
        <v>65</v>
      </c>
      <c r="C86" s="2" t="s">
        <v>171</v>
      </c>
      <c r="D86" s="2" t="s">
        <v>87</v>
      </c>
      <c r="E86" s="2" t="s">
        <v>66</v>
      </c>
      <c r="F86" s="2">
        <v>34</v>
      </c>
      <c r="G86" s="2">
        <v>1</v>
      </c>
    </row>
    <row r="87" spans="1:7" x14ac:dyDescent="0.3">
      <c r="A87" s="2" t="s">
        <v>67</v>
      </c>
      <c r="B87" s="2" t="s">
        <v>68</v>
      </c>
      <c r="C87" s="2" t="s">
        <v>172</v>
      </c>
      <c r="D87" s="2" t="s">
        <v>87</v>
      </c>
      <c r="E87" s="2" t="s">
        <v>69</v>
      </c>
      <c r="F87" s="2">
        <v>22</v>
      </c>
      <c r="G87" s="2">
        <v>1</v>
      </c>
    </row>
    <row r="88" spans="1:7" x14ac:dyDescent="0.3">
      <c r="A88" s="2" t="s">
        <v>67</v>
      </c>
      <c r="B88" s="2" t="s">
        <v>68</v>
      </c>
      <c r="C88" s="2" t="s">
        <v>173</v>
      </c>
      <c r="D88" s="2" t="s">
        <v>87</v>
      </c>
      <c r="E88" s="2" t="s">
        <v>69</v>
      </c>
      <c r="F88" s="2">
        <v>4</v>
      </c>
      <c r="G88" s="2">
        <v>1</v>
      </c>
    </row>
    <row r="89" spans="1:7" x14ac:dyDescent="0.3">
      <c r="A89" s="2" t="s">
        <v>67</v>
      </c>
      <c r="B89" s="2" t="s">
        <v>68</v>
      </c>
      <c r="C89" s="2" t="s">
        <v>174</v>
      </c>
      <c r="D89" s="2" t="s">
        <v>87</v>
      </c>
      <c r="E89" s="2" t="s">
        <v>69</v>
      </c>
      <c r="F89" s="2">
        <v>4</v>
      </c>
      <c r="G89" s="2">
        <v>0</v>
      </c>
    </row>
    <row r="90" spans="1:7" x14ac:dyDescent="0.3">
      <c r="A90" s="2" t="s">
        <v>67</v>
      </c>
      <c r="B90" s="2" t="s">
        <v>70</v>
      </c>
      <c r="C90" s="2" t="s">
        <v>175</v>
      </c>
      <c r="D90" s="2" t="s">
        <v>87</v>
      </c>
      <c r="E90" s="2" t="s">
        <v>69</v>
      </c>
      <c r="F90" s="2">
        <v>5</v>
      </c>
      <c r="G90" s="2">
        <v>5</v>
      </c>
    </row>
    <row r="91" spans="1:7" x14ac:dyDescent="0.3">
      <c r="A91" s="2" t="s">
        <v>71</v>
      </c>
      <c r="B91" s="2" t="s">
        <v>72</v>
      </c>
      <c r="C91" s="2" t="s">
        <v>176</v>
      </c>
      <c r="D91" s="2" t="s">
        <v>87</v>
      </c>
      <c r="E91" s="2" t="s">
        <v>73</v>
      </c>
      <c r="F91" s="2">
        <v>137</v>
      </c>
      <c r="G91" s="2">
        <v>11</v>
      </c>
    </row>
    <row r="92" spans="1:7" x14ac:dyDescent="0.3">
      <c r="A92" s="2" t="s">
        <v>74</v>
      </c>
      <c r="B92" s="2" t="s">
        <v>75</v>
      </c>
      <c r="C92" s="2" t="s">
        <v>177</v>
      </c>
      <c r="D92" s="2" t="s">
        <v>87</v>
      </c>
      <c r="E92" s="2" t="s">
        <v>76</v>
      </c>
      <c r="F92" s="2">
        <v>40</v>
      </c>
      <c r="G92" s="2">
        <v>6</v>
      </c>
    </row>
    <row r="93" spans="1:7" x14ac:dyDescent="0.3">
      <c r="A93" s="2" t="s">
        <v>74</v>
      </c>
      <c r="B93" s="2" t="s">
        <v>75</v>
      </c>
      <c r="C93" s="2" t="s">
        <v>178</v>
      </c>
      <c r="D93" s="2" t="s">
        <v>87</v>
      </c>
      <c r="E93" s="2" t="s">
        <v>76</v>
      </c>
      <c r="F93" s="2">
        <v>24</v>
      </c>
      <c r="G93" s="2">
        <v>3</v>
      </c>
    </row>
    <row r="94" spans="1:7" x14ac:dyDescent="0.3">
      <c r="A94" s="2" t="s">
        <v>74</v>
      </c>
      <c r="B94" s="2" t="s">
        <v>75</v>
      </c>
      <c r="C94" s="2" t="s">
        <v>179</v>
      </c>
      <c r="D94" s="2" t="s">
        <v>87</v>
      </c>
      <c r="E94" s="2" t="s">
        <v>76</v>
      </c>
      <c r="F94" s="2">
        <v>13</v>
      </c>
      <c r="G94" s="2">
        <v>1</v>
      </c>
    </row>
    <row r="95" spans="1:7" x14ac:dyDescent="0.3">
      <c r="A95" s="2" t="s">
        <v>74</v>
      </c>
      <c r="B95" s="2" t="s">
        <v>75</v>
      </c>
      <c r="C95" s="2" t="s">
        <v>180</v>
      </c>
      <c r="D95" s="2" t="s">
        <v>87</v>
      </c>
      <c r="E95" s="2" t="s">
        <v>76</v>
      </c>
      <c r="F95" s="2">
        <v>31</v>
      </c>
      <c r="G95" s="2">
        <v>1</v>
      </c>
    </row>
    <row r="96" spans="1:7" x14ac:dyDescent="0.3">
      <c r="A96" s="2" t="s">
        <v>74</v>
      </c>
      <c r="B96" s="2" t="s">
        <v>75</v>
      </c>
      <c r="C96" s="2" t="s">
        <v>181</v>
      </c>
      <c r="D96" s="2" t="s">
        <v>87</v>
      </c>
      <c r="E96" s="2" t="s">
        <v>76</v>
      </c>
      <c r="F96" s="2">
        <v>1</v>
      </c>
      <c r="G96" s="2">
        <v>0</v>
      </c>
    </row>
    <row r="97" spans="1:7" x14ac:dyDescent="0.3">
      <c r="A97" s="2" t="s">
        <v>74</v>
      </c>
      <c r="B97" s="2" t="s">
        <v>75</v>
      </c>
      <c r="C97" s="2" t="s">
        <v>182</v>
      </c>
      <c r="D97" s="2" t="s">
        <v>87</v>
      </c>
      <c r="E97" s="2" t="s">
        <v>76</v>
      </c>
      <c r="F97" s="2">
        <v>3</v>
      </c>
      <c r="G97" s="2">
        <v>0</v>
      </c>
    </row>
    <row r="98" spans="1:7" x14ac:dyDescent="0.3">
      <c r="A98" s="2" t="s">
        <v>77</v>
      </c>
      <c r="B98" s="2" t="s">
        <v>78</v>
      </c>
      <c r="C98" s="2" t="s">
        <v>183</v>
      </c>
      <c r="D98" s="2" t="s">
        <v>87</v>
      </c>
      <c r="E98" s="2" t="s">
        <v>79</v>
      </c>
      <c r="F98" s="2">
        <v>34</v>
      </c>
      <c r="G98" s="2">
        <v>4</v>
      </c>
    </row>
    <row r="99" spans="1:7" x14ac:dyDescent="0.3">
      <c r="A99" s="2" t="s">
        <v>77</v>
      </c>
      <c r="B99" s="2" t="s">
        <v>78</v>
      </c>
      <c r="C99" s="2" t="s">
        <v>184</v>
      </c>
      <c r="D99" s="2" t="s">
        <v>87</v>
      </c>
      <c r="E99" s="2" t="s">
        <v>79</v>
      </c>
      <c r="F99" s="2">
        <v>24</v>
      </c>
      <c r="G99" s="2">
        <v>3</v>
      </c>
    </row>
    <row r="100" spans="1:7" x14ac:dyDescent="0.3">
      <c r="A100" s="2" t="s">
        <v>77</v>
      </c>
      <c r="B100" s="2" t="s">
        <v>78</v>
      </c>
      <c r="C100" s="2" t="s">
        <v>185</v>
      </c>
      <c r="D100" s="2" t="s">
        <v>87</v>
      </c>
      <c r="E100" s="2" t="s">
        <v>79</v>
      </c>
      <c r="F100" s="2">
        <v>3</v>
      </c>
      <c r="G100" s="2">
        <v>0</v>
      </c>
    </row>
    <row r="101" spans="1:7" x14ac:dyDescent="0.3">
      <c r="A101" s="2" t="s">
        <v>77</v>
      </c>
      <c r="B101" s="2" t="s">
        <v>78</v>
      </c>
      <c r="C101" s="2" t="s">
        <v>186</v>
      </c>
      <c r="D101" s="2" t="s">
        <v>87</v>
      </c>
      <c r="E101" s="2" t="s">
        <v>79</v>
      </c>
      <c r="F101" s="2">
        <v>1</v>
      </c>
      <c r="G101" s="2">
        <v>0</v>
      </c>
    </row>
    <row r="102" spans="1:7" x14ac:dyDescent="0.3">
      <c r="A102" s="2" t="s">
        <v>77</v>
      </c>
      <c r="B102" s="2" t="s">
        <v>78</v>
      </c>
      <c r="C102" s="2" t="s">
        <v>187</v>
      </c>
      <c r="D102" s="2" t="s">
        <v>87</v>
      </c>
      <c r="E102" s="2" t="s">
        <v>79</v>
      </c>
      <c r="F102" s="2">
        <v>27</v>
      </c>
      <c r="G102" s="2">
        <v>1</v>
      </c>
    </row>
    <row r="103" spans="1:7" x14ac:dyDescent="0.3">
      <c r="A103" s="3" t="s">
        <v>80</v>
      </c>
      <c r="B103" s="3"/>
      <c r="C103" s="3" t="str">
        <f>COUNTA(C2:C102)&amp;" OUT"</f>
        <v>101 OUT</v>
      </c>
      <c r="D103" s="3"/>
      <c r="E103" s="3"/>
      <c r="F103" s="3">
        <f>SUM(F2:F102)</f>
        <v>3233</v>
      </c>
      <c r="G103" s="3">
        <f>SUM(G2:G102)</f>
        <v>307</v>
      </c>
    </row>
  </sheetData>
  <autoFilter ref="A1:G10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Pedidos hoy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2026-10-22T11:26:45Z</dcterms:created>
  <dcterms:modified xsi:type="dcterms:W3CDTF">2026-10-22T11:44:28Z</dcterms:modified>
</cp:coreProperties>
</file>