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delegación" sheetId="1" state="visible" r:id="rId1"/>
    <sheet name="Detalle" sheetId="2" state="visible" r:id="rId2"/>
  </sheets>
  <definedNames>
    <definedName name="_xlnm._FilterDatabase" localSheetId="0" hidden="1">'Por delegación'!$A$1:$G$20</definedName>
    <definedName name="_xlnm._FilterDatabase" localSheetId="1" hidden="1">'Detalle'!$A$1:$F$54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  <font>
      <name val="Arial"/>
      <b val="1"/>
    </font>
    <font>
      <name val="Arial"/>
      <b val="1"/>
      <color rgb="000000FF"/>
    </font>
    <font>
      <name val="Arial"/>
      <i val="1"/>
      <color rgb="0080808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4" customWidth="1" min="3" max="3"/>
    <col width="10" customWidth="1" min="4" max="4"/>
    <col width="11" customWidth="1" min="5" max="5"/>
    <col width="9" customWidth="1" min="6" max="6"/>
    <col width="9" customWidth="1" min="7" max="7"/>
  </cols>
  <sheetData>
    <row r="1">
      <c r="A1" s="1" t="inlineStr">
        <is>
          <t>Delegación</t>
        </is>
      </c>
      <c r="B1" s="1" t="inlineStr">
        <is>
          <t>Tiendas</t>
        </is>
      </c>
      <c r="C1" s="1" t="inlineStr">
        <is>
          <t>Pedidos</t>
        </is>
      </c>
      <c r="D1" s="1" t="inlineStr">
        <is>
          <t>Nº pedidos</t>
        </is>
      </c>
      <c r="E1" s="1" t="inlineStr">
        <is>
          <t>Unidades</t>
        </is>
      </c>
      <c r="F1" s="1" t="inlineStr">
        <is>
          <t>Bultos</t>
        </is>
      </c>
      <c r="G1" s="1" t="inlineStr">
        <is>
          <t>Palets</t>
        </is>
      </c>
    </row>
    <row r="2">
      <c r="A2" s="2" t="inlineStr">
        <is>
          <t>BENAVENTE</t>
        </is>
      </c>
      <c r="B2" s="3" t="inlineStr">
        <is>
          <t>K43</t>
        </is>
      </c>
      <c r="C2" s="3" t="inlineStr">
        <is>
          <t>S-6665003382, S-6665003434</t>
        </is>
      </c>
      <c r="D2" s="2" t="n">
        <v>2</v>
      </c>
      <c r="E2" s="2">
        <f>SUMIF(Detalle!$A$2:$A$54,A2,Detalle!$E$2:$E$54)</f>
        <v/>
      </c>
      <c r="F2" s="2">
        <f>SUMIF(Detalle!$A$2:$A$54,A2,Detalle!$F$2:$F$54)</f>
        <v/>
      </c>
      <c r="G2" s="2">
        <f>MAX(1,ROUNDUP(F2/$B$23,0))</f>
        <v/>
      </c>
    </row>
    <row r="3">
      <c r="A3" s="2" t="inlineStr">
        <is>
          <t>BILBAO</t>
        </is>
      </c>
      <c r="B3" s="3" t="inlineStr">
        <is>
          <t>K9, K38</t>
        </is>
      </c>
      <c r="C3" s="3" t="inlineStr">
        <is>
          <t>S-6665003367, S-6665003378, S-6665003419, S-6665003430</t>
        </is>
      </c>
      <c r="D3" s="2" t="n">
        <v>4</v>
      </c>
      <c r="E3" s="2">
        <f>SUMIF(Detalle!$A$2:$A$54,A3,Detalle!$E$2:$E$54)</f>
        <v/>
      </c>
      <c r="F3" s="2">
        <f>SUMIF(Detalle!$A$2:$A$54,A3,Detalle!$F$2:$F$54)</f>
        <v/>
      </c>
      <c r="G3" s="2">
        <f>MAX(1,ROUNDUP(F3/$B$23,0))</f>
        <v/>
      </c>
    </row>
    <row r="4">
      <c r="A4" s="2" t="inlineStr">
        <is>
          <t>CASTELLBISBAL</t>
        </is>
      </c>
      <c r="B4" s="3" t="inlineStr">
        <is>
          <t>K42, K65, K72</t>
        </is>
      </c>
      <c r="C4" s="3" t="inlineStr">
        <is>
          <t>S-6665003381, S-6665003397, S-6665003401, S-6665003433, S-6665003449, S-6665003453</t>
        </is>
      </c>
      <c r="D4" s="2" t="n">
        <v>6</v>
      </c>
      <c r="E4" s="2">
        <f>SUMIF(Detalle!$A$2:$A$54,A4,Detalle!$E$2:$E$54)</f>
        <v/>
      </c>
      <c r="F4" s="2">
        <f>SUMIF(Detalle!$A$2:$A$54,A4,Detalle!$F$2:$F$54)</f>
        <v/>
      </c>
      <c r="G4" s="2">
        <f>MAX(1,ROUNDUP(F4/$B$23,0))</f>
        <v/>
      </c>
    </row>
    <row r="5">
      <c r="A5" s="2" t="inlineStr">
        <is>
          <t>CASTELLÓN</t>
        </is>
      </c>
      <c r="B5" s="3" t="inlineStr">
        <is>
          <t>K74</t>
        </is>
      </c>
      <c r="C5" s="3" t="inlineStr">
        <is>
          <t>S-6665003403</t>
        </is>
      </c>
      <c r="D5" s="2" t="n">
        <v>1</v>
      </c>
      <c r="E5" s="2">
        <f>SUMIF(Detalle!$A$2:$A$54,A5,Detalle!$E$2:$E$54)</f>
        <v/>
      </c>
      <c r="F5" s="2">
        <f>SUMIF(Detalle!$A$2:$A$54,A5,Detalle!$F$2:$F$54)</f>
        <v/>
      </c>
      <c r="G5" s="2">
        <f>MAX(1,ROUNDUP(F5/$B$23,0))</f>
        <v/>
      </c>
    </row>
    <row r="6">
      <c r="A6" s="2" t="inlineStr">
        <is>
          <t>CORUÑA</t>
        </is>
      </c>
      <c r="B6" s="3" t="inlineStr">
        <is>
          <t>K29</t>
        </is>
      </c>
      <c r="C6" s="3" t="inlineStr">
        <is>
          <t>S-6665003373, S-6665003425</t>
        </is>
      </c>
      <c r="D6" s="2" t="n">
        <v>2</v>
      </c>
      <c r="E6" s="2">
        <f>SUMIF(Detalle!$A$2:$A$54,A6,Detalle!$E$2:$E$54)</f>
        <v/>
      </c>
      <c r="F6" s="2">
        <f>SUMIF(Detalle!$A$2:$A$54,A6,Detalle!$F$2:$F$54)</f>
        <v/>
      </c>
      <c r="G6" s="2">
        <f>MAX(1,ROUNDUP(F6/$B$23,0))</f>
        <v/>
      </c>
    </row>
    <row r="7">
      <c r="A7" s="2" t="inlineStr">
        <is>
          <t>GERONA</t>
        </is>
      </c>
      <c r="B7" s="3" t="inlineStr">
        <is>
          <t>K44</t>
        </is>
      </c>
      <c r="C7" s="3" t="inlineStr">
        <is>
          <t>S-6665003383, S-6665003435</t>
        </is>
      </c>
      <c r="D7" s="2" t="n">
        <v>2</v>
      </c>
      <c r="E7" s="2">
        <f>SUMIF(Detalle!$A$2:$A$54,A7,Detalle!$E$2:$E$54)</f>
        <v/>
      </c>
      <c r="F7" s="2">
        <f>SUMIF(Detalle!$A$2:$A$54,A7,Detalle!$F$2:$F$54)</f>
        <v/>
      </c>
      <c r="G7" s="2">
        <f>MAX(1,ROUNDUP(F7/$B$23,0))</f>
        <v/>
      </c>
    </row>
    <row r="8">
      <c r="A8" s="2" t="inlineStr">
        <is>
          <t>GIJÓN</t>
        </is>
      </c>
      <c r="B8" s="3" t="inlineStr">
        <is>
          <t>K60</t>
        </is>
      </c>
      <c r="C8" s="3" t="inlineStr">
        <is>
          <t>S-6665003393, S-6665003445</t>
        </is>
      </c>
      <c r="D8" s="2" t="n">
        <v>2</v>
      </c>
      <c r="E8" s="2">
        <f>SUMIF(Detalle!$A$2:$A$54,A8,Detalle!$E$2:$E$54)</f>
        <v/>
      </c>
      <c r="F8" s="2">
        <f>SUMIF(Detalle!$A$2:$A$54,A8,Detalle!$F$2:$F$54)</f>
        <v/>
      </c>
      <c r="G8" s="2">
        <f>MAX(1,ROUNDUP(F8/$B$23,0))</f>
        <v/>
      </c>
    </row>
    <row r="9">
      <c r="A9" s="2" t="inlineStr">
        <is>
          <t>GRANADA</t>
        </is>
      </c>
      <c r="B9" s="3" t="inlineStr">
        <is>
          <t>K59</t>
        </is>
      </c>
      <c r="C9" s="3" t="inlineStr">
        <is>
          <t>S-6665003392, S-6665003444</t>
        </is>
      </c>
      <c r="D9" s="2" t="n">
        <v>2</v>
      </c>
      <c r="E9" s="2">
        <f>SUMIF(Detalle!$A$2:$A$54,A9,Detalle!$E$2:$E$54)</f>
        <v/>
      </c>
      <c r="F9" s="2">
        <f>SUMIF(Detalle!$A$2:$A$54,A9,Detalle!$F$2:$F$54)</f>
        <v/>
      </c>
      <c r="G9" s="2">
        <f>MAX(1,ROUNDUP(F9/$B$23,0))</f>
        <v/>
      </c>
    </row>
    <row r="10">
      <c r="A10" s="2" t="inlineStr">
        <is>
          <t>IRÚN</t>
        </is>
      </c>
      <c r="B10" s="3" t="inlineStr">
        <is>
          <t>K46, K49, K83</t>
        </is>
      </c>
      <c r="C10" s="3" t="inlineStr">
        <is>
          <t>S-6665003385, S-6665003387, S-6665003411, S-6665003437, S-6665003439</t>
        </is>
      </c>
      <c r="D10" s="2" t="n">
        <v>5</v>
      </c>
      <c r="E10" s="2">
        <f>SUMIF(Detalle!$A$2:$A$54,A10,Detalle!$E$2:$E$54)</f>
        <v/>
      </c>
      <c r="F10" s="2">
        <f>SUMIF(Detalle!$A$2:$A$54,A10,Detalle!$F$2:$F$54)</f>
        <v/>
      </c>
      <c r="G10" s="2">
        <f>MAX(1,ROUNDUP(F10/$B$23,0))</f>
        <v/>
      </c>
    </row>
    <row r="11">
      <c r="A11" s="2" t="inlineStr">
        <is>
          <t>K77 (va sola)</t>
        </is>
      </c>
      <c r="B11" s="3" t="inlineStr">
        <is>
          <t>K77</t>
        </is>
      </c>
      <c r="C11" s="3" t="inlineStr">
        <is>
          <t>S-6665003405, S-6665003415</t>
        </is>
      </c>
      <c r="D11" s="2" t="n">
        <v>2</v>
      </c>
      <c r="E11" s="2">
        <f>SUMIF(Detalle!$A$2:$A$54,A11,Detalle!$E$2:$E$54)</f>
        <v/>
      </c>
      <c r="F11" s="2">
        <f>SUMIF(Detalle!$A$2:$A$54,A11,Detalle!$F$2:$F$54)</f>
        <v/>
      </c>
      <c r="G11" s="2">
        <f>MAX(1,ROUNDUP(F11/$B$23,0))</f>
        <v/>
      </c>
    </row>
    <row r="12">
      <c r="A12" s="2" t="inlineStr">
        <is>
          <t>K85 (va sola)</t>
        </is>
      </c>
      <c r="B12" s="3" t="inlineStr">
        <is>
          <t>K85</t>
        </is>
      </c>
      <c r="C12" s="3" t="inlineStr">
        <is>
          <t>S-6665003412</t>
        </is>
      </c>
      <c r="D12" s="2" t="n">
        <v>1</v>
      </c>
      <c r="E12" s="2">
        <f>SUMIF(Detalle!$A$2:$A$54,A12,Detalle!$E$2:$E$54)</f>
        <v/>
      </c>
      <c r="F12" s="2">
        <f>SUMIF(Detalle!$A$2:$A$54,A12,Detalle!$F$2:$F$54)</f>
        <v/>
      </c>
      <c r="G12" s="2">
        <f>MAX(1,ROUNDUP(F12/$B$23,0))</f>
        <v/>
      </c>
    </row>
    <row r="13">
      <c r="A13" s="2" t="inlineStr">
        <is>
          <t>K86 (va sola)</t>
        </is>
      </c>
      <c r="B13" s="3" t="inlineStr">
        <is>
          <t>K86</t>
        </is>
      </c>
      <c r="C13" s="3" t="inlineStr">
        <is>
          <t>S-6665003413</t>
        </is>
      </c>
      <c r="D13" s="2" t="n">
        <v>1</v>
      </c>
      <c r="E13" s="2">
        <f>SUMIF(Detalle!$A$2:$A$54,A13,Detalle!$E$2:$E$54)</f>
        <v/>
      </c>
      <c r="F13" s="2">
        <f>SUMIF(Detalle!$A$2:$A$54,A13,Detalle!$F$2:$F$54)</f>
        <v/>
      </c>
      <c r="G13" s="2">
        <f>MAX(1,ROUNDUP(F13/$B$23,0))</f>
        <v/>
      </c>
    </row>
    <row r="14">
      <c r="A14" s="2" t="inlineStr">
        <is>
          <t>LEGANÉS</t>
        </is>
      </c>
      <c r="B14" s="3" t="inlineStr">
        <is>
          <t>K7, K62</t>
        </is>
      </c>
      <c r="C14" s="3" t="inlineStr">
        <is>
          <t>S-6665003344, S-6665003365, S-6665003395, S-6665003417, S-6665003447</t>
        </is>
      </c>
      <c r="D14" s="2" t="n">
        <v>5</v>
      </c>
      <c r="E14" s="2">
        <f>SUMIF(Detalle!$A$2:$A$54,A14,Detalle!$E$2:$E$54)</f>
        <v/>
      </c>
      <c r="F14" s="2">
        <f>SUMIF(Detalle!$A$2:$A$54,A14,Detalle!$F$2:$F$54)</f>
        <v/>
      </c>
      <c r="G14" s="2">
        <f>MAX(1,ROUNDUP(F14/$B$23,0))</f>
        <v/>
      </c>
    </row>
    <row r="15">
      <c r="A15" s="2" t="inlineStr">
        <is>
          <t>LOGROÑO</t>
        </is>
      </c>
      <c r="B15" s="3" t="inlineStr">
        <is>
          <t>K45</t>
        </is>
      </c>
      <c r="C15" s="3" t="inlineStr">
        <is>
          <t>S-6665003384, S-6665003436</t>
        </is>
      </c>
      <c r="D15" s="2" t="n">
        <v>2</v>
      </c>
      <c r="E15" s="2">
        <f>SUMIF(Detalle!$A$2:$A$54,A15,Detalle!$E$2:$E$54)</f>
        <v/>
      </c>
      <c r="F15" s="2">
        <f>SUMIF(Detalle!$A$2:$A$54,A15,Detalle!$F$2:$F$54)</f>
        <v/>
      </c>
      <c r="G15" s="2">
        <f>MAX(1,ROUNDUP(F15/$B$23,0))</f>
        <v/>
      </c>
    </row>
    <row r="16">
      <c r="A16" s="2" t="inlineStr">
        <is>
          <t>SAN FERNANDO</t>
        </is>
      </c>
      <c r="B16" s="3" t="inlineStr">
        <is>
          <t>K57, K63, K78</t>
        </is>
      </c>
      <c r="C16" s="3" t="inlineStr">
        <is>
          <t>S-6665003390, S-6665003396, S-6665003406, S-6665003414, S-6665003442, S-6665003448</t>
        </is>
      </c>
      <c r="D16" s="2" t="n">
        <v>6</v>
      </c>
      <c r="E16" s="2">
        <f>SUMIF(Detalle!$A$2:$A$54,A16,Detalle!$E$2:$E$54)</f>
        <v/>
      </c>
      <c r="F16" s="2">
        <f>SUMIF(Detalle!$A$2:$A$54,A16,Detalle!$F$2:$F$54)</f>
        <v/>
      </c>
      <c r="G16" s="2">
        <f>MAX(1,ROUNDUP(F16/$B$23,0))</f>
        <v/>
      </c>
    </row>
    <row r="17">
      <c r="A17" s="2" t="inlineStr">
        <is>
          <t>SANTANDER</t>
        </is>
      </c>
      <c r="B17" s="3" t="inlineStr">
        <is>
          <t>K41</t>
        </is>
      </c>
      <c r="C17" s="3" t="inlineStr">
        <is>
          <t>S-6665003380, S-6665003432</t>
        </is>
      </c>
      <c r="D17" s="2" t="n">
        <v>2</v>
      </c>
      <c r="E17" s="2">
        <f>SUMIF(Detalle!$A$2:$A$54,A17,Detalle!$E$2:$E$54)</f>
        <v/>
      </c>
      <c r="F17" s="2">
        <f>SUMIF(Detalle!$A$2:$A$54,A17,Detalle!$F$2:$F$54)</f>
        <v/>
      </c>
      <c r="G17" s="2">
        <f>MAX(1,ROUNDUP(F17/$B$23,0))</f>
        <v/>
      </c>
    </row>
    <row r="18">
      <c r="A18" s="2" t="inlineStr">
        <is>
          <t>VALENCIA</t>
        </is>
      </c>
      <c r="B18" s="3" t="inlineStr">
        <is>
          <t>K48</t>
        </is>
      </c>
      <c r="C18" s="3" t="inlineStr">
        <is>
          <t>S-6665003386, S-6665003438</t>
        </is>
      </c>
      <c r="D18" s="2" t="n">
        <v>2</v>
      </c>
      <c r="E18" s="2">
        <f>SUMIF(Detalle!$A$2:$A$54,A18,Detalle!$E$2:$E$54)</f>
        <v/>
      </c>
      <c r="F18" s="2">
        <f>SUMIF(Detalle!$A$2:$A$54,A18,Detalle!$F$2:$F$54)</f>
        <v/>
      </c>
      <c r="G18" s="2">
        <f>MAX(1,ROUNDUP(F18/$B$23,0))</f>
        <v/>
      </c>
    </row>
    <row r="19">
      <c r="A19" s="2" t="inlineStr">
        <is>
          <t>VALLADOLID</t>
        </is>
      </c>
      <c r="B19" s="3" t="inlineStr">
        <is>
          <t>K24</t>
        </is>
      </c>
      <c r="C19" s="3" t="inlineStr">
        <is>
          <t>S-6665003371, S-6665003423</t>
        </is>
      </c>
      <c r="D19" s="2" t="n">
        <v>2</v>
      </c>
      <c r="E19" s="2">
        <f>SUMIF(Detalle!$A$2:$A$54,A19,Detalle!$E$2:$E$54)</f>
        <v/>
      </c>
      <c r="F19" s="2">
        <f>SUMIF(Detalle!$A$2:$A$54,A19,Detalle!$F$2:$F$54)</f>
        <v/>
      </c>
      <c r="G19" s="2">
        <f>MAX(1,ROUNDUP(F19/$B$23,0))</f>
        <v/>
      </c>
    </row>
    <row r="20">
      <c r="A20" s="2" t="inlineStr">
        <is>
          <t>ZARAGOZA</t>
        </is>
      </c>
      <c r="B20" s="3" t="inlineStr">
        <is>
          <t>K33, K55</t>
        </is>
      </c>
      <c r="C20" s="3" t="inlineStr">
        <is>
          <t>S-6665003375, S-6665003388, S-6665003427, S-6665003440</t>
        </is>
      </c>
      <c r="D20" s="2" t="n">
        <v>4</v>
      </c>
      <c r="E20" s="2">
        <f>SUMIF(Detalle!$A$2:$A$54,A20,Detalle!$E$2:$E$54)</f>
        <v/>
      </c>
      <c r="F20" s="2">
        <f>SUMIF(Detalle!$A$2:$A$54,A20,Detalle!$F$2:$F$54)</f>
        <v/>
      </c>
      <c r="G20" s="2">
        <f>MAX(1,ROUNDUP(F20/$B$23,0))</f>
        <v/>
      </c>
    </row>
    <row r="21">
      <c r="A21" s="4" t="inlineStr">
        <is>
          <t>TOTAL</t>
        </is>
      </c>
      <c r="B21" s="5" t="n"/>
      <c r="C21" s="5" t="n"/>
      <c r="D21" s="4">
        <f>SUM(D2:D20)</f>
        <v/>
      </c>
      <c r="E21" s="4">
        <f>SUM(E2:E20)</f>
        <v/>
      </c>
      <c r="F21" s="4">
        <f>SUM(F2:F20)</f>
        <v/>
      </c>
      <c r="G21" s="4">
        <f>SUM(G2:G20)</f>
        <v/>
      </c>
    </row>
    <row r="23">
      <c r="A23" s="6" t="inlineStr">
        <is>
          <t>Cajas por palet</t>
        </is>
      </c>
      <c r="B23" s="7" t="n">
        <v>16</v>
      </c>
      <c r="C23" s="8" t="inlineStr">
        <is>
          <t>Palets = bultos / cajas por palet, redondeando hacia arriba (minimo 1). Con 16 el 23/10 salen 32 palets, los que se cargaron. Cambia el 16 si hace falta.</t>
        </is>
      </c>
    </row>
    <row r="24">
      <c r="A24" s="8" t="inlineStr">
        <is>
          <t>Datos: Odoo, OUT con etiqueta XPO generada el 23/10/2026 (~13:00). Delegaciones: lista de la etiqueta de zona (21/10/2026). K77, K85 y K86 van solas (sin delegacion). K86 con 7 bultos (corregido en Odoo, igual que XPO).</t>
        </is>
      </c>
    </row>
  </sheetData>
  <autoFilter ref="A1:G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5" customWidth="1" min="3" max="3"/>
    <col width="13" customWidth="1" min="4" max="4"/>
    <col width="10" customWidth="1" min="5" max="5"/>
    <col width="9" customWidth="1" min="6" max="6"/>
  </cols>
  <sheetData>
    <row r="1">
      <c r="A1" s="1" t="inlineStr">
        <is>
          <t>Delegación</t>
        </is>
      </c>
      <c r="B1" s="1" t="inlineStr">
        <is>
          <t>Tienda</t>
        </is>
      </c>
      <c r="C1" s="1" t="inlineStr">
        <is>
          <t>Pedido</t>
        </is>
      </c>
      <c r="D1" s="1" t="inlineStr">
        <is>
          <t>Seguimiento</t>
        </is>
      </c>
      <c r="E1" s="1" t="inlineStr">
        <is>
          <t>Unidades</t>
        </is>
      </c>
      <c r="F1" s="1" t="inlineStr">
        <is>
          <t>Bultos</t>
        </is>
      </c>
    </row>
    <row r="2">
      <c r="A2" s="2" t="inlineStr">
        <is>
          <t>BENAVENTE</t>
        </is>
      </c>
      <c r="B2" s="2" t="inlineStr">
        <is>
          <t>K43 - LEÓN</t>
        </is>
      </c>
      <c r="C2" s="2" t="inlineStr">
        <is>
          <t>S-6665003382</t>
        </is>
      </c>
      <c r="D2" s="2" t="inlineStr">
        <is>
          <t>121770905</t>
        </is>
      </c>
      <c r="E2" s="2" t="n">
        <v>15</v>
      </c>
      <c r="F2" s="2" t="n">
        <v>2</v>
      </c>
    </row>
    <row r="3">
      <c r="A3" s="2" t="inlineStr">
        <is>
          <t>BENAVENTE</t>
        </is>
      </c>
      <c r="B3" s="2" t="inlineStr">
        <is>
          <t>K43 - LEÓN</t>
        </is>
      </c>
      <c r="C3" s="2" t="inlineStr">
        <is>
          <t>S-6665003434</t>
        </is>
      </c>
      <c r="D3" s="2" t="inlineStr">
        <is>
          <t>121770905</t>
        </is>
      </c>
      <c r="E3" s="2" t="n">
        <v>42</v>
      </c>
      <c r="F3" s="2" t="n">
        <v>3</v>
      </c>
    </row>
    <row r="4">
      <c r="A4" s="2" t="inlineStr">
        <is>
          <t>BILBAO</t>
        </is>
      </c>
      <c r="B4" s="2" t="inlineStr">
        <is>
          <t>K9 - BALLONTI</t>
        </is>
      </c>
      <c r="C4" s="2" t="inlineStr">
        <is>
          <t>S-6665003367</t>
        </is>
      </c>
      <c r="D4" s="2" t="inlineStr">
        <is>
          <t>121770893</t>
        </is>
      </c>
      <c r="E4" s="2" t="n">
        <v>67</v>
      </c>
      <c r="F4" s="2" t="n">
        <v>9</v>
      </c>
    </row>
    <row r="5">
      <c r="A5" s="2" t="inlineStr">
        <is>
          <t>BILBAO</t>
        </is>
      </c>
      <c r="B5" s="2" t="inlineStr">
        <is>
          <t>K9 - BALLONTI</t>
        </is>
      </c>
      <c r="C5" s="2" t="inlineStr">
        <is>
          <t>S-6665003419</t>
        </is>
      </c>
      <c r="D5" s="2" t="inlineStr">
        <is>
          <t>121770893</t>
        </is>
      </c>
      <c r="E5" s="2" t="n">
        <v>92</v>
      </c>
      <c r="F5" s="2" t="n">
        <v>7</v>
      </c>
    </row>
    <row r="6">
      <c r="A6" s="2" t="inlineStr">
        <is>
          <t>BILBAO</t>
        </is>
      </c>
      <c r="B6" s="2" t="inlineStr">
        <is>
          <t>K38 - ARTEA</t>
        </is>
      </c>
      <c r="C6" s="2" t="inlineStr">
        <is>
          <t>S-6665003378</t>
        </is>
      </c>
      <c r="D6" s="2" t="inlineStr">
        <is>
          <t>121770896</t>
        </is>
      </c>
      <c r="E6" s="2" t="n">
        <v>65</v>
      </c>
      <c r="F6" s="2" t="n">
        <v>9</v>
      </c>
    </row>
    <row r="7">
      <c r="A7" s="2" t="inlineStr">
        <is>
          <t>BILBAO</t>
        </is>
      </c>
      <c r="B7" s="2" t="inlineStr">
        <is>
          <t>K38 - ARTEA</t>
        </is>
      </c>
      <c r="C7" s="2" t="inlineStr">
        <is>
          <t>S-6665003430</t>
        </is>
      </c>
      <c r="D7" s="2" t="inlineStr">
        <is>
          <t>121770896</t>
        </is>
      </c>
      <c r="E7" s="2" t="n">
        <v>66</v>
      </c>
      <c r="F7" s="2" t="n">
        <v>3</v>
      </c>
    </row>
    <row r="8">
      <c r="A8" s="2" t="inlineStr">
        <is>
          <t>CASTELLBISBAL</t>
        </is>
      </c>
      <c r="B8" s="2" t="inlineStr">
        <is>
          <t>K42 - SPLAU</t>
        </is>
      </c>
      <c r="C8" s="2" t="inlineStr">
        <is>
          <t>S-6665003381</t>
        </is>
      </c>
      <c r="D8" s="2" t="inlineStr">
        <is>
          <t>121770900</t>
        </is>
      </c>
      <c r="E8" s="2" t="n">
        <v>77</v>
      </c>
      <c r="F8" s="2" t="n">
        <v>8</v>
      </c>
    </row>
    <row r="9">
      <c r="A9" s="2" t="inlineStr">
        <is>
          <t>CASTELLBISBAL</t>
        </is>
      </c>
      <c r="B9" s="2" t="inlineStr">
        <is>
          <t>K42 - SPLAU</t>
        </is>
      </c>
      <c r="C9" s="2" t="inlineStr">
        <is>
          <t>S-6665003433</t>
        </is>
      </c>
      <c r="D9" s="2" t="inlineStr">
        <is>
          <t>121770900</t>
        </is>
      </c>
      <c r="E9" s="2" t="n">
        <v>54</v>
      </c>
      <c r="F9" s="2" t="n">
        <v>5</v>
      </c>
    </row>
    <row r="10">
      <c r="A10" s="2" t="inlineStr">
        <is>
          <t>CASTELLBISBAL</t>
        </is>
      </c>
      <c r="B10" s="2" t="inlineStr">
        <is>
          <t>K65 - BARICENTRO</t>
        </is>
      </c>
      <c r="C10" s="2" t="inlineStr">
        <is>
          <t>S-6665003397</t>
        </is>
      </c>
      <c r="D10" s="2" t="inlineStr">
        <is>
          <t>121770910</t>
        </is>
      </c>
      <c r="E10" s="2" t="n">
        <v>47</v>
      </c>
      <c r="F10" s="2" t="n">
        <v>7</v>
      </c>
    </row>
    <row r="11">
      <c r="A11" s="2" t="inlineStr">
        <is>
          <t>CASTELLBISBAL</t>
        </is>
      </c>
      <c r="B11" s="2" t="inlineStr">
        <is>
          <t>K65 - BARICENTRO</t>
        </is>
      </c>
      <c r="C11" s="2" t="inlineStr">
        <is>
          <t>S-6665003449</t>
        </is>
      </c>
      <c r="D11" s="2" t="inlineStr">
        <is>
          <t>121770910</t>
        </is>
      </c>
      <c r="E11" s="2" t="n">
        <v>93</v>
      </c>
      <c r="F11" s="2" t="n">
        <v>6</v>
      </c>
    </row>
    <row r="12">
      <c r="A12" s="2" t="inlineStr">
        <is>
          <t>CASTELLBISBAL</t>
        </is>
      </c>
      <c r="B12" s="2" t="inlineStr">
        <is>
          <t>K72 - DIAGONAL MAR</t>
        </is>
      </c>
      <c r="C12" s="2" t="inlineStr">
        <is>
          <t>S-6665003401</t>
        </is>
      </c>
      <c r="D12" s="2" t="inlineStr">
        <is>
          <t>121770915</t>
        </is>
      </c>
      <c r="E12" s="2" t="n">
        <v>80</v>
      </c>
      <c r="F12" s="2" t="n">
        <v>8</v>
      </c>
    </row>
    <row r="13">
      <c r="A13" s="2" t="inlineStr">
        <is>
          <t>CASTELLBISBAL</t>
        </is>
      </c>
      <c r="B13" s="2" t="inlineStr">
        <is>
          <t>K72 - DIAGONAL MAR</t>
        </is>
      </c>
      <c r="C13" s="2" t="inlineStr">
        <is>
          <t>S-6665003453</t>
        </is>
      </c>
      <c r="D13" s="2" t="inlineStr">
        <is>
          <t>121770915</t>
        </is>
      </c>
      <c r="E13" s="2" t="n">
        <v>91</v>
      </c>
      <c r="F13" s="2" t="n">
        <v>7</v>
      </c>
    </row>
    <row r="14">
      <c r="A14" s="2" t="inlineStr">
        <is>
          <t>CASTELLÓN</t>
        </is>
      </c>
      <c r="B14" s="2" t="inlineStr">
        <is>
          <t>K74 - CC SALERA</t>
        </is>
      </c>
      <c r="C14" s="2" t="inlineStr">
        <is>
          <t>S-6665003403</t>
        </is>
      </c>
      <c r="D14" s="2" t="inlineStr">
        <is>
          <t>121770911</t>
        </is>
      </c>
      <c r="E14" s="2" t="n">
        <v>45</v>
      </c>
      <c r="F14" s="2" t="n">
        <v>8</v>
      </c>
    </row>
    <row r="15">
      <c r="A15" s="2" t="inlineStr">
        <is>
          <t>CORUÑA</t>
        </is>
      </c>
      <c r="B15" s="2" t="inlineStr">
        <is>
          <t>K29 - MARINEDA</t>
        </is>
      </c>
      <c r="C15" s="2" t="inlineStr">
        <is>
          <t>S-6665003373</t>
        </is>
      </c>
      <c r="D15" s="2" t="inlineStr">
        <is>
          <t>121770895</t>
        </is>
      </c>
      <c r="E15" s="2" t="n">
        <v>39</v>
      </c>
      <c r="F15" s="2" t="n">
        <v>7</v>
      </c>
    </row>
    <row r="16">
      <c r="A16" s="2" t="inlineStr">
        <is>
          <t>CORUÑA</t>
        </is>
      </c>
      <c r="B16" s="2" t="inlineStr">
        <is>
          <t>K29 - MARINEDA</t>
        </is>
      </c>
      <c r="C16" s="2" t="inlineStr">
        <is>
          <t>S-6665003425</t>
        </is>
      </c>
      <c r="D16" s="2" t="inlineStr">
        <is>
          <t>121770895</t>
        </is>
      </c>
      <c r="E16" s="2" t="n">
        <v>40</v>
      </c>
      <c r="F16" s="2" t="n">
        <v>5</v>
      </c>
    </row>
    <row r="17">
      <c r="A17" s="2" t="inlineStr">
        <is>
          <t>GERONA</t>
        </is>
      </c>
      <c r="B17" s="2" t="inlineStr">
        <is>
          <t>K44 - GIRONA</t>
        </is>
      </c>
      <c r="C17" s="2" t="inlineStr">
        <is>
          <t>S-6665003383</t>
        </is>
      </c>
      <c r="D17" s="2" t="inlineStr">
        <is>
          <t>121770907</t>
        </is>
      </c>
      <c r="E17" s="2" t="n">
        <v>15</v>
      </c>
      <c r="F17" s="2" t="n">
        <v>1</v>
      </c>
    </row>
    <row r="18">
      <c r="A18" s="2" t="inlineStr">
        <is>
          <t>GERONA</t>
        </is>
      </c>
      <c r="B18" s="2" t="inlineStr">
        <is>
          <t>K44 - GIRONA</t>
        </is>
      </c>
      <c r="C18" s="2" t="inlineStr">
        <is>
          <t>S-6665003435</t>
        </is>
      </c>
      <c r="D18" s="2" t="inlineStr">
        <is>
          <t>121770907</t>
        </is>
      </c>
      <c r="E18" s="2" t="n">
        <v>64</v>
      </c>
      <c r="F18" s="2" t="n">
        <v>3</v>
      </c>
    </row>
    <row r="19">
      <c r="A19" s="2" t="inlineStr">
        <is>
          <t>GIJÓN</t>
        </is>
      </c>
      <c r="B19" s="2" t="inlineStr">
        <is>
          <t>K60 - LOS PRADOS</t>
        </is>
      </c>
      <c r="C19" s="2" t="inlineStr">
        <is>
          <t>S-6665003393</t>
        </is>
      </c>
      <c r="D19" s="2" t="inlineStr">
        <is>
          <t>121770904</t>
        </is>
      </c>
      <c r="E19" s="2" t="n">
        <v>11</v>
      </c>
      <c r="F19" s="2" t="n">
        <v>1</v>
      </c>
    </row>
    <row r="20">
      <c r="A20" s="2" t="inlineStr">
        <is>
          <t>GIJÓN</t>
        </is>
      </c>
      <c r="B20" s="2" t="inlineStr">
        <is>
          <t>K60 - LOS PRADOS</t>
        </is>
      </c>
      <c r="C20" s="2" t="inlineStr">
        <is>
          <t>S-6665003445</t>
        </is>
      </c>
      <c r="D20" s="2" t="inlineStr">
        <is>
          <t>121770904</t>
        </is>
      </c>
      <c r="E20" s="2" t="n">
        <v>61</v>
      </c>
      <c r="F20" s="2" t="n">
        <v>3</v>
      </c>
    </row>
    <row r="21">
      <c r="A21" s="2" t="inlineStr">
        <is>
          <t>GRANADA</t>
        </is>
      </c>
      <c r="B21" s="2" t="inlineStr">
        <is>
          <t>K59 - NEVADA SHOPPING</t>
        </is>
      </c>
      <c r="C21" s="2" t="inlineStr">
        <is>
          <t>S-6665003392</t>
        </is>
      </c>
      <c r="D21" s="2" t="inlineStr">
        <is>
          <t>121770903</t>
        </is>
      </c>
      <c r="E21" s="2" t="n">
        <v>51</v>
      </c>
      <c r="F21" s="2" t="n">
        <v>6</v>
      </c>
    </row>
    <row r="22">
      <c r="A22" s="2" t="inlineStr">
        <is>
          <t>GRANADA</t>
        </is>
      </c>
      <c r="B22" s="2" t="inlineStr">
        <is>
          <t>K59 - NEVADA SHOPPING</t>
        </is>
      </c>
      <c r="C22" s="2" t="inlineStr">
        <is>
          <t>S-6665003444</t>
        </is>
      </c>
      <c r="D22" s="2" t="inlineStr">
        <is>
          <t>121770903</t>
        </is>
      </c>
      <c r="E22" s="2" t="n">
        <v>64</v>
      </c>
      <c r="F22" s="2" t="n">
        <v>5</v>
      </c>
    </row>
    <row r="23">
      <c r="A23" s="2" t="inlineStr">
        <is>
          <t>IRÚN</t>
        </is>
      </c>
      <c r="B23" s="2" t="inlineStr">
        <is>
          <t>K46 - IRÚN</t>
        </is>
      </c>
      <c r="C23" s="2" t="inlineStr">
        <is>
          <t>S-6665003385</t>
        </is>
      </c>
      <c r="D23" s="2" t="inlineStr">
        <is>
          <t>121770914</t>
        </is>
      </c>
      <c r="E23" s="2" t="n">
        <v>98</v>
      </c>
      <c r="F23" s="2" t="n">
        <v>11</v>
      </c>
    </row>
    <row r="24">
      <c r="A24" s="2" t="inlineStr">
        <is>
          <t>IRÚN</t>
        </is>
      </c>
      <c r="B24" s="2" t="inlineStr">
        <is>
          <t>K46 - IRÚN</t>
        </is>
      </c>
      <c r="C24" s="2" t="inlineStr">
        <is>
          <t>S-6665003437</t>
        </is>
      </c>
      <c r="D24" s="2" t="inlineStr">
        <is>
          <t>121770914</t>
        </is>
      </c>
      <c r="E24" s="2" t="n">
        <v>163</v>
      </c>
      <c r="F24" s="2" t="n">
        <v>13</v>
      </c>
    </row>
    <row r="25">
      <c r="A25" s="2" t="inlineStr">
        <is>
          <t>IRÚN</t>
        </is>
      </c>
      <c r="B25" s="2" t="inlineStr">
        <is>
          <t>K49 - URBIL</t>
        </is>
      </c>
      <c r="C25" s="2" t="inlineStr">
        <is>
          <t>S-6665003387</t>
        </is>
      </c>
      <c r="D25" s="2" t="inlineStr">
        <is>
          <t>121770897</t>
        </is>
      </c>
      <c r="E25" s="2" t="n">
        <v>15</v>
      </c>
      <c r="F25" s="2" t="n">
        <v>1</v>
      </c>
    </row>
    <row r="26">
      <c r="A26" s="2" t="inlineStr">
        <is>
          <t>IRÚN</t>
        </is>
      </c>
      <c r="B26" s="2" t="inlineStr">
        <is>
          <t>K49 - URBIL</t>
        </is>
      </c>
      <c r="C26" s="2" t="inlineStr">
        <is>
          <t>S-6665003439</t>
        </is>
      </c>
      <c r="D26" s="2" t="inlineStr">
        <is>
          <t>121770897</t>
        </is>
      </c>
      <c r="E26" s="2" t="n">
        <v>79</v>
      </c>
      <c r="F26" s="2" t="n">
        <v>3</v>
      </c>
    </row>
    <row r="27">
      <c r="A27" s="2" t="inlineStr">
        <is>
          <t>IRÚN</t>
        </is>
      </c>
      <c r="B27" s="2" t="inlineStr">
        <is>
          <t>K83 - GARBERA NEW</t>
        </is>
      </c>
      <c r="C27" s="2" t="inlineStr">
        <is>
          <t>S-6665003411</t>
        </is>
      </c>
      <c r="D27" s="2" t="inlineStr">
        <is>
          <t>121770908</t>
        </is>
      </c>
      <c r="E27" s="2" t="n">
        <v>212</v>
      </c>
      <c r="F27" s="2" t="n">
        <v>26</v>
      </c>
    </row>
    <row r="28">
      <c r="A28" s="2" t="inlineStr">
        <is>
          <t>K77 (va sola)</t>
        </is>
      </c>
      <c r="B28" s="2" t="inlineStr">
        <is>
          <t>K77 - CC SANT CUGAT</t>
        </is>
      </c>
      <c r="C28" s="2" t="inlineStr">
        <is>
          <t>S-6665003405</t>
        </is>
      </c>
      <c r="D28" s="2" t="inlineStr">
        <is>
          <t>121770909</t>
        </is>
      </c>
      <c r="E28" s="2" t="n">
        <v>51</v>
      </c>
      <c r="F28" s="2" t="n">
        <v>8</v>
      </c>
    </row>
    <row r="29">
      <c r="A29" s="2" t="inlineStr">
        <is>
          <t>K77 (va sola)</t>
        </is>
      </c>
      <c r="B29" s="2" t="inlineStr">
        <is>
          <t>K77 - CC SANT CUGAT</t>
        </is>
      </c>
      <c r="C29" s="2" t="inlineStr">
        <is>
          <t>S-6665003415</t>
        </is>
      </c>
      <c r="D29" s="2" t="inlineStr">
        <is>
          <t>121770909</t>
        </is>
      </c>
      <c r="E29" s="2" t="n">
        <v>3</v>
      </c>
      <c r="F29" s="2" t="n">
        <v>3</v>
      </c>
    </row>
    <row r="30">
      <c r="A30" s="2" t="inlineStr">
        <is>
          <t>K85 (va sola)</t>
        </is>
      </c>
      <c r="B30" s="2" t="inlineStr">
        <is>
          <t>K85 - PLATJA D'ARO</t>
        </is>
      </c>
      <c r="C30" s="2" t="inlineStr">
        <is>
          <t>S-6665003412</t>
        </is>
      </c>
      <c r="D30" s="2" t="inlineStr">
        <is>
          <t>121770919</t>
        </is>
      </c>
      <c r="E30" s="2" t="n">
        <v>46</v>
      </c>
      <c r="F30" s="2" t="n">
        <v>8</v>
      </c>
    </row>
    <row r="31">
      <c r="A31" s="2" t="inlineStr">
        <is>
          <t>K86 (va sola)</t>
        </is>
      </c>
      <c r="B31" s="2" t="inlineStr">
        <is>
          <t>K86 - L'ALJUB (ELX)</t>
        </is>
      </c>
      <c r="C31" s="2" t="inlineStr">
        <is>
          <t>S-6665003413</t>
        </is>
      </c>
      <c r="D31" s="2" t="inlineStr">
        <is>
          <t>121770918</t>
        </is>
      </c>
      <c r="E31" s="2" t="n">
        <v>38</v>
      </c>
      <c r="F31" s="2" t="n">
        <v>7</v>
      </c>
    </row>
    <row r="32">
      <c r="A32" s="2" t="inlineStr">
        <is>
          <t>LEGANÉS</t>
        </is>
      </c>
      <c r="B32" s="2" t="inlineStr">
        <is>
          <t>K7 - ISLAZUL</t>
        </is>
      </c>
      <c r="C32" s="2" t="inlineStr">
        <is>
          <t>S-6665003365</t>
        </is>
      </c>
      <c r="D32" s="2" t="inlineStr">
        <is>
          <t>121770892</t>
        </is>
      </c>
      <c r="E32" s="2" t="n">
        <v>25</v>
      </c>
      <c r="F32" s="2" t="n">
        <v>2</v>
      </c>
    </row>
    <row r="33">
      <c r="A33" s="2" t="inlineStr">
        <is>
          <t>LEGANÉS</t>
        </is>
      </c>
      <c r="B33" s="2" t="inlineStr">
        <is>
          <t>K7 - ISLAZUL</t>
        </is>
      </c>
      <c r="C33" s="2" t="inlineStr">
        <is>
          <t>S-6665003417</t>
        </is>
      </c>
      <c r="D33" s="2" t="inlineStr">
        <is>
          <t>121770892</t>
        </is>
      </c>
      <c r="E33" s="2" t="n">
        <v>83</v>
      </c>
      <c r="F33" s="2" t="n">
        <v>6</v>
      </c>
    </row>
    <row r="34">
      <c r="A34" s="2" t="inlineStr">
        <is>
          <t>LEGANÉS</t>
        </is>
      </c>
      <c r="B34" s="2" t="inlineStr">
        <is>
          <t>K62 - XANADU</t>
        </is>
      </c>
      <c r="C34" s="2" t="inlineStr">
        <is>
          <t>S-6665003344</t>
        </is>
      </c>
      <c r="D34" s="2" t="inlineStr">
        <is>
          <t>121770916</t>
        </is>
      </c>
      <c r="E34" s="2" t="n">
        <v>45</v>
      </c>
      <c r="F34" s="2" t="n">
        <v>2</v>
      </c>
    </row>
    <row r="35">
      <c r="A35" s="2" t="inlineStr">
        <is>
          <t>LEGANÉS</t>
        </is>
      </c>
      <c r="B35" s="2" t="inlineStr">
        <is>
          <t>K62 - XANADU</t>
        </is>
      </c>
      <c r="C35" s="2" t="inlineStr">
        <is>
          <t>S-6665003395</t>
        </is>
      </c>
      <c r="D35" s="2" t="inlineStr">
        <is>
          <t>121770916</t>
        </is>
      </c>
      <c r="E35" s="2" t="n">
        <v>72</v>
      </c>
      <c r="F35" s="2" t="n">
        <v>8</v>
      </c>
    </row>
    <row r="36">
      <c r="A36" s="2" t="inlineStr">
        <is>
          <t>LEGANÉS</t>
        </is>
      </c>
      <c r="B36" s="2" t="inlineStr">
        <is>
          <t>K62 - XANADU</t>
        </is>
      </c>
      <c r="C36" s="2" t="inlineStr">
        <is>
          <t>S-6665003447</t>
        </is>
      </c>
      <c r="D36" s="2" t="inlineStr">
        <is>
          <t>121770916</t>
        </is>
      </c>
      <c r="E36" s="2" t="n">
        <v>91</v>
      </c>
      <c r="F36" s="2" t="n">
        <v>7</v>
      </c>
    </row>
    <row r="37">
      <c r="A37" s="2" t="inlineStr">
        <is>
          <t>LOGROÑO</t>
        </is>
      </c>
      <c r="B37" s="2" t="inlineStr">
        <is>
          <t>K45 - LOGROÑO BERCEO</t>
        </is>
      </c>
      <c r="C37" s="2" t="inlineStr">
        <is>
          <t>S-6665003384</t>
        </is>
      </c>
      <c r="D37" s="2" t="inlineStr">
        <is>
          <t>121770906</t>
        </is>
      </c>
      <c r="E37" s="2" t="n">
        <v>66</v>
      </c>
      <c r="F37" s="2" t="n">
        <v>9</v>
      </c>
    </row>
    <row r="38">
      <c r="A38" s="2" t="inlineStr">
        <is>
          <t>LOGROÑO</t>
        </is>
      </c>
      <c r="B38" s="2" t="inlineStr">
        <is>
          <t>K45 - LOGROÑO BERCEO</t>
        </is>
      </c>
      <c r="C38" s="2" t="inlineStr">
        <is>
          <t>S-6665003436</t>
        </is>
      </c>
      <c r="D38" s="2" t="inlineStr">
        <is>
          <t>121770906</t>
        </is>
      </c>
      <c r="E38" s="2" t="n">
        <v>121</v>
      </c>
      <c r="F38" s="2" t="n">
        <v>13</v>
      </c>
    </row>
    <row r="39">
      <c r="A39" s="2" t="inlineStr">
        <is>
          <t>SAN FERNANDO</t>
        </is>
      </c>
      <c r="B39" s="2" t="inlineStr">
        <is>
          <t>K57 - LAS ROSAS</t>
        </is>
      </c>
      <c r="C39" s="2" t="inlineStr">
        <is>
          <t>S-6665003390</t>
        </is>
      </c>
      <c r="D39" s="2" t="inlineStr">
        <is>
          <t>121770901</t>
        </is>
      </c>
      <c r="E39" s="2" t="n">
        <v>51</v>
      </c>
      <c r="F39" s="2" t="n">
        <v>8</v>
      </c>
    </row>
    <row r="40">
      <c r="A40" s="2" t="inlineStr">
        <is>
          <t>SAN FERNANDO</t>
        </is>
      </c>
      <c r="B40" s="2" t="inlineStr">
        <is>
          <t>K57 - LAS ROSAS</t>
        </is>
      </c>
      <c r="C40" s="2" t="inlineStr">
        <is>
          <t>S-6665003414</t>
        </is>
      </c>
      <c r="D40" s="2" t="inlineStr">
        <is>
          <t>121770901</t>
        </is>
      </c>
      <c r="E40" s="2" t="n">
        <v>4</v>
      </c>
      <c r="F40" s="2" t="n">
        <v>4</v>
      </c>
    </row>
    <row r="41">
      <c r="A41" s="2" t="inlineStr">
        <is>
          <t>SAN FERNANDO</t>
        </is>
      </c>
      <c r="B41" s="2" t="inlineStr">
        <is>
          <t>K57 - LAS ROSAS</t>
        </is>
      </c>
      <c r="C41" s="2" t="inlineStr">
        <is>
          <t>S-6665003442</t>
        </is>
      </c>
      <c r="D41" s="2" t="inlineStr">
        <is>
          <t>121770901</t>
        </is>
      </c>
      <c r="E41" s="2" t="n">
        <v>81</v>
      </c>
      <c r="F41" s="2" t="n">
        <v>5</v>
      </c>
    </row>
    <row r="42">
      <c r="A42" s="2" t="inlineStr">
        <is>
          <t>SAN FERNANDO</t>
        </is>
      </c>
      <c r="B42" s="2" t="inlineStr">
        <is>
          <t>K63 - ALCALÁ MAGNA</t>
        </is>
      </c>
      <c r="C42" s="2" t="inlineStr">
        <is>
          <t>S-6665003396</t>
        </is>
      </c>
      <c r="D42" s="2" t="inlineStr">
        <is>
          <t>121770917</t>
        </is>
      </c>
      <c r="E42" s="2" t="n">
        <v>50</v>
      </c>
      <c r="F42" s="2" t="n">
        <v>8</v>
      </c>
    </row>
    <row r="43">
      <c r="A43" s="2" t="inlineStr">
        <is>
          <t>SAN FERNANDO</t>
        </is>
      </c>
      <c r="B43" s="2" t="inlineStr">
        <is>
          <t>K63 - ALCALÁ MAGNA</t>
        </is>
      </c>
      <c r="C43" s="2" t="inlineStr">
        <is>
          <t>S-6665003448</t>
        </is>
      </c>
      <c r="D43" s="2" t="inlineStr">
        <is>
          <t>121770917</t>
        </is>
      </c>
      <c r="E43" s="2" t="n">
        <v>75</v>
      </c>
      <c r="F43" s="2" t="n">
        <v>5</v>
      </c>
    </row>
    <row r="44">
      <c r="A44" s="2" t="inlineStr">
        <is>
          <t>SAN FERNANDO</t>
        </is>
      </c>
      <c r="B44" s="2" t="inlineStr">
        <is>
          <t>K78 - PLAZA NORTE 2</t>
        </is>
      </c>
      <c r="C44" s="2" t="inlineStr">
        <is>
          <t>S-6665003406</t>
        </is>
      </c>
      <c r="D44" s="2" t="inlineStr">
        <is>
          <t>121770913</t>
        </is>
      </c>
      <c r="E44" s="2" t="n">
        <v>59</v>
      </c>
      <c r="F44" s="2" t="n">
        <v>8</v>
      </c>
    </row>
    <row r="45">
      <c r="A45" s="2" t="inlineStr">
        <is>
          <t>SANTANDER</t>
        </is>
      </c>
      <c r="B45" s="2" t="inlineStr">
        <is>
          <t>K41 - SANTANDER</t>
        </is>
      </c>
      <c r="C45" s="2" t="inlineStr">
        <is>
          <t>S-6665003380</t>
        </is>
      </c>
      <c r="D45" s="2" t="inlineStr">
        <is>
          <t>121770898</t>
        </is>
      </c>
      <c r="E45" s="2" t="n">
        <v>122</v>
      </c>
      <c r="F45" s="2" t="n">
        <v>12</v>
      </c>
    </row>
    <row r="46">
      <c r="A46" s="2" t="inlineStr">
        <is>
          <t>SANTANDER</t>
        </is>
      </c>
      <c r="B46" s="2" t="inlineStr">
        <is>
          <t>K41 - SANTANDER</t>
        </is>
      </c>
      <c r="C46" s="2" t="inlineStr">
        <is>
          <t>S-6665003432</t>
        </is>
      </c>
      <c r="D46" s="2" t="inlineStr">
        <is>
          <t>121770898</t>
        </is>
      </c>
      <c r="E46" s="2" t="n">
        <v>131</v>
      </c>
      <c r="F46" s="2" t="n">
        <v>10</v>
      </c>
    </row>
    <row r="47">
      <c r="A47" s="2" t="inlineStr">
        <is>
          <t>VALENCIA</t>
        </is>
      </c>
      <c r="B47" s="2" t="inlineStr">
        <is>
          <t>K48 - BONAIRE</t>
        </is>
      </c>
      <c r="C47" s="2" t="inlineStr">
        <is>
          <t>S-6665003386</t>
        </is>
      </c>
      <c r="D47" s="2" t="inlineStr">
        <is>
          <t>121770899</t>
        </is>
      </c>
      <c r="E47" s="2" t="n">
        <v>54</v>
      </c>
      <c r="F47" s="2" t="n">
        <v>7</v>
      </c>
    </row>
    <row r="48">
      <c r="A48" s="2" t="inlineStr">
        <is>
          <t>VALENCIA</t>
        </is>
      </c>
      <c r="B48" s="2" t="inlineStr">
        <is>
          <t>K48 - BONAIRE</t>
        </is>
      </c>
      <c r="C48" s="2" t="inlineStr">
        <is>
          <t>S-6665003438</t>
        </is>
      </c>
      <c r="D48" s="2" t="inlineStr">
        <is>
          <t>121770899</t>
        </is>
      </c>
      <c r="E48" s="2" t="n">
        <v>93</v>
      </c>
      <c r="F48" s="2" t="n">
        <v>6</v>
      </c>
    </row>
    <row r="49">
      <c r="A49" s="2" t="inlineStr">
        <is>
          <t>VALLADOLID</t>
        </is>
      </c>
      <c r="B49" s="2" t="inlineStr">
        <is>
          <t>K24 - VALLADOLID</t>
        </is>
      </c>
      <c r="C49" s="2" t="inlineStr">
        <is>
          <t>S-6665003371</t>
        </is>
      </c>
      <c r="D49" s="2" t="inlineStr">
        <is>
          <t>121770894</t>
        </is>
      </c>
      <c r="E49" s="2" t="n">
        <v>71</v>
      </c>
      <c r="F49" s="2" t="n">
        <v>9</v>
      </c>
    </row>
    <row r="50">
      <c r="A50" s="2" t="inlineStr">
        <is>
          <t>VALLADOLID</t>
        </is>
      </c>
      <c r="B50" s="2" t="inlineStr">
        <is>
          <t>K24 - VALLADOLID</t>
        </is>
      </c>
      <c r="C50" s="2" t="inlineStr">
        <is>
          <t>S-6665003423</t>
        </is>
      </c>
      <c r="D50" s="2" t="inlineStr">
        <is>
          <t>121770894</t>
        </is>
      </c>
      <c r="E50" s="2" t="n">
        <v>114</v>
      </c>
      <c r="F50" s="2" t="n">
        <v>10</v>
      </c>
    </row>
    <row r="51">
      <c r="A51" s="2" t="inlineStr">
        <is>
          <t>ZARAGOZA</t>
        </is>
      </c>
      <c r="B51" s="2" t="inlineStr">
        <is>
          <t>K33 - PUERTO VENECIA</t>
        </is>
      </c>
      <c r="C51" s="2" t="inlineStr">
        <is>
          <t>S-6665003375</t>
        </is>
      </c>
      <c r="D51" s="2" t="inlineStr">
        <is>
          <t>121770912</t>
        </is>
      </c>
      <c r="E51" s="2" t="n">
        <v>26</v>
      </c>
      <c r="F51" s="2" t="n">
        <v>1</v>
      </c>
    </row>
    <row r="52">
      <c r="A52" s="2" t="inlineStr">
        <is>
          <t>ZARAGOZA</t>
        </is>
      </c>
      <c r="B52" s="2" t="inlineStr">
        <is>
          <t>K33 - PUERTO VENECIA</t>
        </is>
      </c>
      <c r="C52" s="2" t="inlineStr">
        <is>
          <t>S-6665003427</t>
        </is>
      </c>
      <c r="D52" s="2" t="inlineStr">
        <is>
          <t>121770912</t>
        </is>
      </c>
      <c r="E52" s="2" t="n">
        <v>71</v>
      </c>
      <c r="F52" s="2" t="n">
        <v>4</v>
      </c>
    </row>
    <row r="53">
      <c r="A53" s="2" t="inlineStr">
        <is>
          <t>ZARAGOZA</t>
        </is>
      </c>
      <c r="B53" s="2" t="inlineStr">
        <is>
          <t>K55 - C.C. GRANCASA</t>
        </is>
      </c>
      <c r="C53" s="2" t="inlineStr">
        <is>
          <t>S-6665003388</t>
        </is>
      </c>
      <c r="D53" s="2" t="inlineStr">
        <is>
          <t>121770902</t>
        </is>
      </c>
      <c r="E53" s="2" t="n">
        <v>55</v>
      </c>
      <c r="F53" s="2" t="n">
        <v>7</v>
      </c>
    </row>
    <row r="54">
      <c r="A54" s="2" t="inlineStr">
        <is>
          <t>ZARAGOZA</t>
        </is>
      </c>
      <c r="B54" s="2" t="inlineStr">
        <is>
          <t>K55 - C.C. GRANCASA</t>
        </is>
      </c>
      <c r="C54" s="2" t="inlineStr">
        <is>
          <t>S-6665003440</t>
        </is>
      </c>
      <c r="D54" s="2" t="inlineStr">
        <is>
          <t>121770902</t>
        </is>
      </c>
      <c r="E54" s="2" t="n">
        <v>161</v>
      </c>
      <c r="F54" s="2" t="n">
        <v>11</v>
      </c>
    </row>
    <row r="55">
      <c r="A55" s="4" t="inlineStr">
        <is>
          <t>TOTAL</t>
        </is>
      </c>
      <c r="B55" s="4" t="n"/>
      <c r="C55" s="4" t="n"/>
      <c r="D55" s="4" t="n"/>
      <c r="E55" s="4">
        <f>SUM(E2:E54)</f>
        <v/>
      </c>
      <c r="F55" s="4">
        <f>SUM(F2:F54)</f>
        <v/>
      </c>
    </row>
  </sheetData>
  <autoFilter ref="A1:F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2026-10-23T11:33:08Z</dcterms:created>
  <dcterms:modified xsi:type="dcterms:W3CDTF">2026-10-23T11:33:08Z</dcterms:modified>
</cp:coreProperties>
</file>